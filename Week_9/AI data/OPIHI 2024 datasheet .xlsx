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Quadrat PtCounts" sheetId="2" r:id="rId6"/>
    <sheet state="visible" name="Quadrat PercentCover" sheetId="3" r:id="rId7"/>
    <sheet state="visible" name="Grouped Quadrat - PtCounts Sum" sheetId="4" r:id="rId8"/>
    <sheet state="visible" name="Grouped Quadrat - PercentCover " sheetId="5" r:id="rId9"/>
    <sheet state="visible" name="Sediment Data" sheetId="6" r:id="rId10"/>
  </sheets>
  <definedNames>
    <definedName hidden="1" localSheetId="1" name="_xlnm._FilterDatabase">'Quadrat PtCounts'!$A$1:$CQ$51</definedName>
    <definedName name="THEREST">LAMBDA(left, right, self, amount, amount-(left+right))</definedName>
  </definedNames>
  <calcPr/>
</workbook>
</file>

<file path=xl/sharedStrings.xml><?xml version="1.0" encoding="utf-8"?>
<sst xmlns="http://schemas.openxmlformats.org/spreadsheetml/2006/main" count="3617" uniqueCount="275">
  <si>
    <t>Date</t>
  </si>
  <si>
    <t>Each field trip is ONE line on this sheet (combine across all quadrats for point counts)</t>
  </si>
  <si>
    <t>Each transect on each field trip gets ONE line on this sheet (each line should add up to 100 percent)</t>
  </si>
  <si>
    <t xml:space="preserve">   </t>
  </si>
  <si>
    <t>Location</t>
  </si>
  <si>
    <t>Team Leader</t>
  </si>
  <si>
    <t>Team Members</t>
  </si>
  <si>
    <t>Stressful Events?</t>
  </si>
  <si>
    <t>Low Tide Time</t>
  </si>
  <si>
    <t>Low Tide Height</t>
  </si>
  <si>
    <t># in field group</t>
  </si>
  <si>
    <t># T lines</t>
  </si>
  <si>
    <t>Longest T (m)</t>
  </si>
  <si>
    <t>Dist between T pts for Q</t>
  </si>
  <si>
    <t># Quad/T</t>
  </si>
  <si>
    <t>Algae</t>
  </si>
  <si>
    <t>Start time</t>
  </si>
  <si>
    <t>End time</t>
  </si>
  <si>
    <t>Weather</t>
  </si>
  <si>
    <t>Rain events?</t>
  </si>
  <si>
    <t>Wave Height</t>
  </si>
  <si>
    <t>Wind speed</t>
  </si>
  <si>
    <t># Visitors</t>
  </si>
  <si>
    <t># fishing</t>
  </si>
  <si>
    <t># collecting</t>
  </si>
  <si>
    <t>What collecting?</t>
  </si>
  <si>
    <t>Notes</t>
  </si>
  <si>
    <t>`Ewa</t>
  </si>
  <si>
    <t>Addison</t>
  </si>
  <si>
    <t>Biscut, Blue, Cassie</t>
  </si>
  <si>
    <t>No</t>
  </si>
  <si>
    <t>Partly cloudy</t>
  </si>
  <si>
    <t>yes</t>
  </si>
  <si>
    <t>1-3 ft</t>
  </si>
  <si>
    <t>20mph</t>
  </si>
  <si>
    <t>Aadya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</si>
  <si>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</si>
  <si>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</si>
  <si>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Patrick, Nate, Aadya, Ritu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</si>
  <si>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</si>
  <si>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Cloudy</t>
  </si>
  <si>
    <t>7-10ft</t>
  </si>
  <si>
    <t>19-24mph</t>
  </si>
  <si>
    <t>N/A</t>
  </si>
  <si>
    <t>Ewa Beach</t>
  </si>
  <si>
    <t>Jo</t>
  </si>
  <si>
    <t>Biscuit, Ritu, Aadya</t>
  </si>
  <si>
    <t>Sunny</t>
  </si>
  <si>
    <t>4-7 mph</t>
  </si>
  <si>
    <t>Substrate</t>
  </si>
  <si>
    <t>Limu</t>
  </si>
  <si>
    <t>Josue</t>
  </si>
  <si>
    <t>Hikaru, Kirby, Josue, Elijah</t>
  </si>
  <si>
    <t>Total</t>
  </si>
  <si>
    <t xml:space="preserve"> 7-9 mph</t>
  </si>
  <si>
    <t>Data Entry By</t>
  </si>
  <si>
    <t># T</t>
  </si>
  <si>
    <t>Kalaeloa</t>
  </si>
  <si>
    <t xml:space="preserve">Patrick </t>
  </si>
  <si>
    <t>Position # on Transect (m)</t>
  </si>
  <si>
    <t>Nate, Aadaya, Sophia</t>
  </si>
  <si>
    <t>Acanthophora spicifera</t>
  </si>
  <si>
    <t>Amansia sp.</t>
  </si>
  <si>
    <t>Articulated Coralline</t>
  </si>
  <si>
    <t>Asparagopsis sp</t>
  </si>
  <si>
    <t>Nate</t>
  </si>
  <si>
    <t>Astronema breviarticulatum</t>
  </si>
  <si>
    <t>Sophia, Nate, Aadya, Ritu</t>
  </si>
  <si>
    <t>10-14 mph</t>
  </si>
  <si>
    <t>Ritu</t>
  </si>
  <si>
    <t>Astronema sp.</t>
  </si>
  <si>
    <t>Yes</t>
  </si>
  <si>
    <t>Ahnfeltiopsis sp</t>
  </si>
  <si>
    <t>1-3ft</t>
  </si>
  <si>
    <t>8-12mph</t>
  </si>
  <si>
    <t>Avrainvillea sp.</t>
  </si>
  <si>
    <t>3 people fishing but using 7 lines</t>
  </si>
  <si>
    <t>Kalealoa</t>
  </si>
  <si>
    <t>Avrainvillea lacerata</t>
  </si>
  <si>
    <t>Sophia</t>
  </si>
  <si>
    <t>Total #Q</t>
  </si>
  <si>
    <t>Bryopsis sp.</t>
  </si>
  <si>
    <t>Bornatella sphaerica</t>
  </si>
  <si>
    <t>Caulerpa racemosa</t>
  </si>
  <si>
    <t>CCA</t>
  </si>
  <si>
    <t>Cerramium sp</t>
  </si>
  <si>
    <t>cerracia</t>
  </si>
  <si>
    <t>Partly sunny</t>
  </si>
  <si>
    <t>Chaetomorpha basiretrorsa</t>
  </si>
  <si>
    <t>4-6 ft</t>
  </si>
  <si>
    <t>Chnoospora sp</t>
  </si>
  <si>
    <t>Cladophora sp</t>
  </si>
  <si>
    <t>Sharp rocks, strong waves</t>
  </si>
  <si>
    <t>Codium sp</t>
  </si>
  <si>
    <t>Codium arabicum</t>
  </si>
  <si>
    <t>Le'ahi</t>
  </si>
  <si>
    <t>Codium edule</t>
  </si>
  <si>
    <t>Elijah</t>
  </si>
  <si>
    <t>Codium reediae</t>
  </si>
  <si>
    <t>Hikaru, Kirby, Josue</t>
  </si>
  <si>
    <t xml:space="preserve">Colpomenia sp. </t>
  </si>
  <si>
    <t>Colpomenia sinuosa</t>
  </si>
  <si>
    <t>Cyanobacteria</t>
  </si>
  <si>
    <t>Dasya iridescens</t>
  </si>
  <si>
    <t>Dichotomaria marginata</t>
  </si>
  <si>
    <t>Dictyosphaeria cavernosa</t>
  </si>
  <si>
    <t>Asteronema sp</t>
  </si>
  <si>
    <t>4.6 ft</t>
  </si>
  <si>
    <t>Dictyosphaeria versluysii</t>
  </si>
  <si>
    <t>18 kts</t>
  </si>
  <si>
    <t>Dictyosphaeria sp.</t>
  </si>
  <si>
    <t>Dictyota sp</t>
  </si>
  <si>
    <t>Fish</t>
  </si>
  <si>
    <t>Dictyota acutiloba</t>
  </si>
  <si>
    <t>Asparagopsis taxiformis</t>
  </si>
  <si>
    <t>Lē'ahi</t>
  </si>
  <si>
    <t>Dictyota sandvicensis</t>
  </si>
  <si>
    <t>Kirby</t>
  </si>
  <si>
    <t>Dichtyopterous</t>
  </si>
  <si>
    <t>Gelidiella sp</t>
  </si>
  <si>
    <t>Gracilaria sp.</t>
  </si>
  <si>
    <t>Colpomenia sp.</t>
  </si>
  <si>
    <t>Gracilaria salicronia</t>
  </si>
  <si>
    <t>Avrainvillea sp</t>
  </si>
  <si>
    <t>4 ft</t>
  </si>
  <si>
    <t>Halimeda sp</t>
  </si>
  <si>
    <t>7-9 mph</t>
  </si>
  <si>
    <t>Hydroclathrus clathratus</t>
  </si>
  <si>
    <t>Ulva</t>
  </si>
  <si>
    <t>Hikaru</t>
  </si>
  <si>
    <t>Hypnea sp.</t>
  </si>
  <si>
    <t>Botrocladia sp.</t>
  </si>
  <si>
    <t>Jania pumila</t>
  </si>
  <si>
    <t>Jania sp</t>
  </si>
  <si>
    <t>Laurencia sp.</t>
  </si>
  <si>
    <t>Laurencia majuscula</t>
  </si>
  <si>
    <t>Laurencia mcdermidiae</t>
  </si>
  <si>
    <t>Laurencia nidifica</t>
  </si>
  <si>
    <t>17mph</t>
  </si>
  <si>
    <t>Liagora sp</t>
  </si>
  <si>
    <t>13-20</t>
  </si>
  <si>
    <t>Lobophora sp</t>
  </si>
  <si>
    <t>Lobophora obscura</t>
  </si>
  <si>
    <t>Geology data</t>
  </si>
  <si>
    <t>Lyngbya sp</t>
  </si>
  <si>
    <t>Microdictyon sp.</t>
  </si>
  <si>
    <t>Leahi</t>
  </si>
  <si>
    <t xml:space="preserve">Chnoospora sp. </t>
  </si>
  <si>
    <t xml:space="preserve">Josue </t>
  </si>
  <si>
    <t>Neomeris sp</t>
  </si>
  <si>
    <t>Portieria</t>
  </si>
  <si>
    <t>Pterocladiella</t>
  </si>
  <si>
    <t>Padina sp.</t>
  </si>
  <si>
    <t>Cladophora sericea</t>
  </si>
  <si>
    <t>Sargassum sp.</t>
  </si>
  <si>
    <t>Sargassum aquifolium</t>
  </si>
  <si>
    <t>Sargassum polyphyllum</t>
  </si>
  <si>
    <t>Codium sp.</t>
  </si>
  <si>
    <t>Sphaecelaria sp</t>
  </si>
  <si>
    <t>Symploca hypnoides</t>
  </si>
  <si>
    <t>Trichogloea sp</t>
  </si>
  <si>
    <t>Turbinaria ornata</t>
  </si>
  <si>
    <t>Valonia sp.</t>
  </si>
  <si>
    <t>Turf</t>
  </si>
  <si>
    <t>Cucumber- Actinopyga</t>
  </si>
  <si>
    <t>13-18</t>
  </si>
  <si>
    <t>Hermet crab</t>
  </si>
  <si>
    <t>Crab</t>
  </si>
  <si>
    <t>Echinometra</t>
  </si>
  <si>
    <t>Snail- Dendropoma gregarium</t>
  </si>
  <si>
    <t>Urchin</t>
  </si>
  <si>
    <t>Mamala Bay</t>
  </si>
  <si>
    <t>Cucumber- Holothuria</t>
  </si>
  <si>
    <t>Haminoea cymbalum - green snail</t>
  </si>
  <si>
    <t>Blue, Addison, Buscuit, Cassie</t>
  </si>
  <si>
    <t>Pennaria disticha (christmas tree hydroid)</t>
  </si>
  <si>
    <t>Pocillopora damicornis</t>
  </si>
  <si>
    <t>Sea Star</t>
  </si>
  <si>
    <t>Snail- Littoraria</t>
  </si>
  <si>
    <t>Snail - Nerite</t>
  </si>
  <si>
    <t>Snail- Serpulorbis</t>
  </si>
  <si>
    <t>cyanobacteria</t>
  </si>
  <si>
    <t>Snail- Siphonaria normalis</t>
  </si>
  <si>
    <t>sponge</t>
  </si>
  <si>
    <t>Sand</t>
  </si>
  <si>
    <t>14 mph</t>
  </si>
  <si>
    <t>limestone</t>
  </si>
  <si>
    <t>Bare Rock</t>
  </si>
  <si>
    <t>Dictyosphaeria sp</t>
  </si>
  <si>
    <t>Rubble</t>
  </si>
  <si>
    <t>Cassie</t>
  </si>
  <si>
    <t>Addison, Biscuit, Blue, Cassie</t>
  </si>
  <si>
    <t>pebble</t>
  </si>
  <si>
    <t>Light rain</t>
  </si>
  <si>
    <t>hole</t>
  </si>
  <si>
    <t>Brown Crust</t>
  </si>
  <si>
    <t>unknown</t>
  </si>
  <si>
    <t>Snail- Dendropoma</t>
  </si>
  <si>
    <t>Total Points</t>
  </si>
  <si>
    <t>Blue</t>
  </si>
  <si>
    <t>Within 2m proximity of attached coral colony? (Y/N) (Mamala Bay only)</t>
  </si>
  <si>
    <t>Haminoea cymbalum</t>
  </si>
  <si>
    <t>Dichtyopteris sp.</t>
  </si>
  <si>
    <t>Sediment Depth</t>
  </si>
  <si>
    <t>Unknown Bulbous Algae</t>
  </si>
  <si>
    <t>Gracillaria sp</t>
  </si>
  <si>
    <t>Sponge</t>
  </si>
  <si>
    <t>ʻEwa</t>
  </si>
  <si>
    <t>Gracilaria salicornia</t>
  </si>
  <si>
    <t>Halimeda sp.</t>
  </si>
  <si>
    <t>Halimeda discoidea</t>
  </si>
  <si>
    <t>Laurencia sp</t>
  </si>
  <si>
    <t>Lobophora sp.</t>
  </si>
  <si>
    <t>Lyngbya majuscula</t>
  </si>
  <si>
    <t>Marienria sp</t>
  </si>
  <si>
    <t>Joanna</t>
  </si>
  <si>
    <t>Microdictyon sp</t>
  </si>
  <si>
    <t>Neomeris sp.</t>
  </si>
  <si>
    <t>Orange crust</t>
  </si>
  <si>
    <t>Padina sp</t>
  </si>
  <si>
    <t>Pocillopora meandrina</t>
  </si>
  <si>
    <t>Portieria sp</t>
  </si>
  <si>
    <t>Pterocladiella capillacea</t>
  </si>
  <si>
    <t>Symploca hydnoides</t>
  </si>
  <si>
    <t>Ulva Lactuca</t>
  </si>
  <si>
    <t>Urchin - Echinometra mathaei</t>
  </si>
  <si>
    <t>nudibranch</t>
  </si>
  <si>
    <t>Snail- Morula uva</t>
  </si>
  <si>
    <t>Red crab</t>
  </si>
  <si>
    <t>pebbles</t>
  </si>
  <si>
    <t>brown crust</t>
  </si>
  <si>
    <t>Coral</t>
  </si>
  <si>
    <t>unknon</t>
  </si>
  <si>
    <t>Lēʻahi</t>
  </si>
  <si>
    <t xml:space="preserve">Ewa </t>
  </si>
  <si>
    <t>Biscuit</t>
  </si>
  <si>
    <t>`Ewa (Pu`uloa)</t>
  </si>
  <si>
    <t>Leʻahi</t>
  </si>
  <si>
    <t>Ewa</t>
  </si>
  <si>
    <t xml:space="preserve">Sophia </t>
  </si>
  <si>
    <t>Each field trip is ONE line on this sheet (combine across all quadrats for percent cover)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</si>
  <si>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</si>
  <si>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Chaetomorphabasiretrorsa</t>
  </si>
  <si>
    <t xml:space="preserve">Lyngbya sp. </t>
  </si>
  <si>
    <t>orange crust</t>
  </si>
  <si>
    <t>*waiting to ID (2 points)</t>
  </si>
  <si>
    <t xml:space="preserve">Hikaru </t>
  </si>
  <si>
    <t>Y</t>
  </si>
  <si>
    <t>1mm</t>
  </si>
  <si>
    <t>5mm</t>
  </si>
  <si>
    <t xml:space="preserve"> N</t>
  </si>
  <si>
    <t>N</t>
  </si>
  <si>
    <t>0mm</t>
  </si>
  <si>
    <t>&lt; 1mm</t>
  </si>
  <si>
    <t>&lt; 1 mm</t>
  </si>
  <si>
    <t>Y (bleached)</t>
  </si>
  <si>
    <t>&lt;5 mm</t>
  </si>
  <si>
    <t>&lt;10 mm</t>
  </si>
  <si>
    <t>5 mm</t>
  </si>
  <si>
    <t>&gt;10 mm</t>
  </si>
  <si>
    <t>0 mm</t>
  </si>
  <si>
    <t>Patrick</t>
  </si>
  <si>
    <t>0.5 cm</t>
  </si>
  <si>
    <t>&lt;0.01</t>
  </si>
  <si>
    <t>Mamala</t>
  </si>
  <si>
    <t>Site</t>
  </si>
  <si>
    <t>Transect #</t>
  </si>
  <si>
    <t>Quadrat point #</t>
  </si>
  <si>
    <t>Distance from shore (m)</t>
  </si>
  <si>
    <t>Sediment Depth (mm)</t>
  </si>
  <si>
    <t>%Non-Invasive Algae Cover</t>
  </si>
  <si>
    <t>Marienria</t>
  </si>
  <si>
    <t>Barber's point</t>
  </si>
  <si>
    <t>0.01.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</si>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</sst>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"/>
    <numFmt numFmtId="165" formatCode="mm/dd/yyyy"/>
    <numFmt numFmtId="166" formatCode="m-d"/>
    <numFmt numFmtId="167" formatCode="m/d/yyyy"/>
    <numFmt numFmtId="168" formatCode="m-d-yyyy"/>
    <numFmt numFmtId="169" formatCode="0.000"/>
    <numFmt numFmtId="170" formatCode="M/d/yyyy"/>
    <numFmt numFmtId="171" formatCode="#,##0.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color theme="1"/>
      <name val="Arial"/>
    </font>
    <font>
      <sz val="11.0"/>
      <color theme="1"/>
      <name val="Arial"/>
      <scheme val="minor"/>
    </font>
    <font>
      <sz val="9.0"/>
      <color rgb="FF000000"/>
      <name val="&quot;Google Sans Mono&quot;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2" numFmtId="168" xfId="0" applyAlignment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5" numFmtId="167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2" fontId="4" numFmtId="164" xfId="0" applyAlignment="1" applyFill="1" applyFont="1" applyNumberFormat="1">
      <alignment horizontal="right" readingOrder="0"/>
    </xf>
    <xf borderId="0" fillId="2" fontId="7" numFmtId="0" xfId="0" applyFill="1" applyFont="1"/>
    <xf borderId="0" fillId="0" fontId="6" numFmtId="167" xfId="0" applyAlignment="1" applyFont="1" applyNumberFormat="1">
      <alignment readingOrder="0"/>
    </xf>
    <xf borderId="0" fillId="2" fontId="4" numFmtId="167" xfId="0" applyAlignment="1" applyFill="1" applyFont="1" applyNumberFormat="1">
      <alignment horizontal="right" readingOrder="0"/>
    </xf>
    <xf borderId="0" fillId="0" fontId="8" numFmtId="0" xfId="0" applyAlignment="1" applyFont="1">
      <alignment horizontal="right" readingOrder="0" vertical="bottom"/>
    </xf>
    <xf borderId="0" fillId="0" fontId="4" numFmtId="167" xfId="0" applyAlignment="1" applyFont="1" applyNumberFormat="1">
      <alignment horizontal="right" readingOrder="0"/>
    </xf>
    <xf borderId="0" fillId="2" fontId="2" numFmtId="4" xfId="0" applyFill="1" applyFont="1" applyNumberFormat="1"/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0" xfId="0" applyAlignment="1" applyFont="1" applyNumberFormat="1">
      <alignment readingOrder="0" shrinkToFit="0" wrapText="1"/>
    </xf>
    <xf borderId="2" fillId="0" fontId="2" numFmtId="169" xfId="0" applyBorder="1" applyFont="1" applyNumberFormat="1"/>
    <xf borderId="0" fillId="0" fontId="2" numFmtId="169" xfId="0" applyAlignment="1" applyFont="1" applyNumberFormat="1">
      <alignment readingOrder="0" shrinkToFit="0" wrapText="1"/>
    </xf>
    <xf borderId="0" fillId="0" fontId="2" numFmtId="169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readingOrder="0"/>
    </xf>
    <xf borderId="0" fillId="0" fontId="2" numFmtId="10" xfId="0" applyFont="1" applyNumberFormat="1"/>
    <xf borderId="0" fillId="0" fontId="2" numFmtId="169" xfId="0" applyFont="1" applyNumberFormat="1"/>
    <xf borderId="0" fillId="0" fontId="2" numFmtId="1" xfId="0" applyFont="1" applyNumberFormat="1"/>
    <xf borderId="0" fillId="0" fontId="5" numFmtId="165" xfId="0" applyAlignment="1" applyFont="1" applyNumberFormat="1">
      <alignment horizontal="right" vertical="bottom"/>
    </xf>
    <xf borderId="0" fillId="3" fontId="2" numFmtId="0" xfId="0" applyAlignment="1" applyFill="1" applyFont="1">
      <alignment readingOrder="0"/>
    </xf>
    <xf borderId="3" fillId="0" fontId="2" numFmtId="170" xfId="0" applyAlignment="1" applyBorder="1" applyFont="1" applyNumberFormat="1">
      <alignment readingOrder="0"/>
    </xf>
    <xf borderId="3" fillId="0" fontId="2" numFmtId="169" xfId="0" applyAlignment="1" applyBorder="1" applyFont="1" applyNumberFormat="1">
      <alignment readingOrder="0"/>
    </xf>
    <xf borderId="3" fillId="0" fontId="2" numFmtId="1" xfId="0" applyAlignment="1" applyBorder="1" applyFont="1" applyNumberFormat="1">
      <alignment readingOrder="0"/>
    </xf>
    <xf borderId="3" fillId="0" fontId="2" numFmtId="10" xfId="0" applyBorder="1" applyFont="1" applyNumberFormat="1"/>
    <xf borderId="4" fillId="0" fontId="2" numFmtId="169" xfId="0" applyBorder="1" applyFont="1" applyNumberForma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3" fillId="0" fontId="1" numFmtId="0" xfId="0" applyAlignment="1" applyBorder="1" applyFont="1">
      <alignment readingOrder="0"/>
    </xf>
    <xf borderId="3" fillId="0" fontId="2" numFmtId="0" xfId="0" applyBorder="1" applyFont="1"/>
    <xf borderId="0" fillId="0" fontId="2" numFmtId="171" xfId="0" applyFont="1" applyNumberFormat="1"/>
    <xf borderId="0" fillId="0" fontId="2" numFmtId="171" xfId="0" applyAlignment="1" applyFont="1" applyNumberFormat="1">
      <alignment readingOrder="0"/>
    </xf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4.75"/>
    <col customWidth="1" min="7" max="7" width="13.75"/>
    <col customWidth="1" min="9" max="9" width="8.88"/>
    <col customWidth="1" min="11" max="11" width="20.38"/>
    <col customWidth="1" min="12" max="12" width="9.1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3"/>
      <c r="Y1" s="3"/>
      <c r="Z1" s="3"/>
      <c r="AA1" s="3"/>
    </row>
    <row r="2">
      <c r="A2" s="4">
        <v>45388.0</v>
      </c>
      <c r="B2" s="2" t="s">
        <v>27</v>
      </c>
      <c r="C2" s="2" t="s">
        <v>28</v>
      </c>
      <c r="D2" s="2" t="s">
        <v>29</v>
      </c>
      <c r="E2" s="2" t="s">
        <v>30</v>
      </c>
      <c r="F2" s="5">
        <v>0.3597222222222222</v>
      </c>
      <c r="G2" s="2">
        <v>-0.16</v>
      </c>
      <c r="H2" s="2">
        <v>4.0</v>
      </c>
      <c r="I2" s="2">
        <v>4.0</v>
      </c>
      <c r="J2" s="2">
        <v>20.0</v>
      </c>
      <c r="K2" s="2">
        <v>2.0</v>
      </c>
      <c r="L2" s="2">
        <v>11.0</v>
      </c>
      <c r="M2" s="5">
        <v>0.3055555555555556</v>
      </c>
      <c r="N2" s="5">
        <v>0.4375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3.0</v>
      </c>
      <c r="T2" s="2">
        <v>1.0</v>
      </c>
      <c r="U2" s="2">
        <v>0.0</v>
      </c>
    </row>
    <row r="3">
      <c r="A3" s="6">
        <v>45389.0</v>
      </c>
      <c r="B3" s="2" t="s">
        <v>27</v>
      </c>
      <c r="C3" s="2" t="s">
        <v>35</v>
      </c>
      <c r="D3" s="7" t="s">
        <v>38</v>
      </c>
      <c r="E3" s="2" t="s">
        <v>30</v>
      </c>
      <c r="F3" s="5">
        <v>0.3854166666666667</v>
      </c>
      <c r="G3" s="2">
        <v>-0.2</v>
      </c>
      <c r="H3" s="2">
        <v>5.0</v>
      </c>
      <c r="I3" s="2">
        <v>4.0</v>
      </c>
      <c r="J3" s="2">
        <v>22.0</v>
      </c>
      <c r="K3" s="2">
        <v>2.0</v>
      </c>
      <c r="L3" s="2">
        <v>12.0</v>
      </c>
      <c r="M3" s="5">
        <v>0.3416666666666667</v>
      </c>
      <c r="N3" s="5">
        <v>0.3958333333333333</v>
      </c>
      <c r="O3" s="2" t="s">
        <v>40</v>
      </c>
      <c r="P3" s="2" t="s">
        <v>30</v>
      </c>
      <c r="Q3" s="2" t="s">
        <v>41</v>
      </c>
      <c r="R3" s="2" t="s">
        <v>42</v>
      </c>
      <c r="S3" s="2">
        <v>4.0</v>
      </c>
      <c r="T3" s="2">
        <v>2.0</v>
      </c>
      <c r="U3" s="2">
        <v>0.0</v>
      </c>
      <c r="V3" s="2" t="s">
        <v>43</v>
      </c>
    </row>
    <row r="4">
      <c r="A4" s="6">
        <v>45305.0</v>
      </c>
      <c r="B4" s="2" t="s">
        <v>44</v>
      </c>
      <c r="C4" s="2" t="s">
        <v>45</v>
      </c>
      <c r="D4" s="2" t="s">
        <v>46</v>
      </c>
      <c r="E4" s="2" t="s">
        <v>30</v>
      </c>
      <c r="F4" s="5">
        <v>0.5416666666666666</v>
      </c>
      <c r="G4" s="2">
        <v>0.1</v>
      </c>
      <c r="H4" s="2">
        <v>13.0</v>
      </c>
      <c r="I4" s="2">
        <v>3.0</v>
      </c>
      <c r="J4" s="2">
        <v>24.0</v>
      </c>
      <c r="K4" s="2">
        <v>2.0</v>
      </c>
      <c r="L4" s="2">
        <v>12.0</v>
      </c>
      <c r="M4" s="5">
        <v>0.5458333333333333</v>
      </c>
      <c r="N4" s="5">
        <v>0.5868055555555556</v>
      </c>
      <c r="O4" s="2" t="s">
        <v>47</v>
      </c>
      <c r="P4" s="2" t="s">
        <v>30</v>
      </c>
      <c r="Q4" s="2" t="s">
        <v>33</v>
      </c>
      <c r="R4" s="2" t="s">
        <v>48</v>
      </c>
      <c r="S4" s="2">
        <v>3.0</v>
      </c>
      <c r="T4" s="2">
        <v>1.0</v>
      </c>
      <c r="U4" s="2">
        <v>2.0</v>
      </c>
      <c r="V4" s="2" t="s">
        <v>50</v>
      </c>
    </row>
    <row r="5">
      <c r="A5" s="6">
        <v>45332.0</v>
      </c>
      <c r="B5" s="2" t="s">
        <v>44</v>
      </c>
      <c r="C5" s="2" t="s">
        <v>51</v>
      </c>
      <c r="D5" s="2" t="s">
        <v>52</v>
      </c>
      <c r="E5" s="2" t="s">
        <v>30</v>
      </c>
      <c r="F5" s="5">
        <v>0.4791666666666667</v>
      </c>
      <c r="G5" s="2">
        <v>-0.19</v>
      </c>
      <c r="H5" s="2">
        <v>4.0</v>
      </c>
      <c r="I5" s="2">
        <v>4.0</v>
      </c>
      <c r="J5" s="2">
        <v>22.0</v>
      </c>
      <c r="K5" s="2">
        <v>2.0</v>
      </c>
      <c r="L5" s="8">
        <v>45576.0</v>
      </c>
      <c r="M5" s="5">
        <v>0.4548611111111111</v>
      </c>
      <c r="N5" s="5">
        <v>0.04861111111111111</v>
      </c>
      <c r="O5" s="2" t="s">
        <v>47</v>
      </c>
      <c r="P5" s="2" t="s">
        <v>30</v>
      </c>
      <c r="Q5" s="2" t="s">
        <v>33</v>
      </c>
      <c r="R5" s="2" t="s">
        <v>54</v>
      </c>
      <c r="S5" s="2">
        <v>5.0</v>
      </c>
      <c r="T5" s="2">
        <v>0.0</v>
      </c>
      <c r="U5" s="2">
        <v>0.0</v>
      </c>
    </row>
    <row r="6">
      <c r="A6" s="9">
        <v>45346.0</v>
      </c>
      <c r="B6" s="2" t="s">
        <v>57</v>
      </c>
      <c r="C6" s="2" t="s">
        <v>58</v>
      </c>
      <c r="D6" s="2" t="s">
        <v>60</v>
      </c>
      <c r="E6" s="2" t="s">
        <v>30</v>
      </c>
      <c r="F6" s="5">
        <v>0.4548611111111111</v>
      </c>
      <c r="G6" s="2">
        <v>0.5</v>
      </c>
      <c r="H6" s="2">
        <v>4.0</v>
      </c>
      <c r="I6" s="2">
        <v>4.0</v>
      </c>
      <c r="J6" s="2">
        <v>35.0</v>
      </c>
      <c r="M6" s="5">
        <v>0.4048611111111111</v>
      </c>
      <c r="N6" s="5">
        <v>0.4965277777777778</v>
      </c>
      <c r="O6" s="2" t="s">
        <v>40</v>
      </c>
      <c r="P6" s="2" t="s">
        <v>30</v>
      </c>
      <c r="Q6" s="2">
        <v>5.0</v>
      </c>
      <c r="R6" s="2">
        <v>20.0</v>
      </c>
      <c r="S6" s="8">
        <v>45422.0</v>
      </c>
      <c r="T6" s="2">
        <v>1.0</v>
      </c>
      <c r="U6" s="2">
        <v>0.0</v>
      </c>
    </row>
    <row r="7">
      <c r="A7" s="6">
        <v>45353.0</v>
      </c>
      <c r="B7" s="2" t="s">
        <v>57</v>
      </c>
      <c r="C7" s="2" t="s">
        <v>65</v>
      </c>
      <c r="D7" s="2" t="s">
        <v>67</v>
      </c>
      <c r="E7" s="2" t="s">
        <v>30</v>
      </c>
      <c r="F7" s="5">
        <v>0.05138888888888889</v>
      </c>
      <c r="G7" s="2">
        <v>0.01</v>
      </c>
      <c r="H7" s="2">
        <v>4.0</v>
      </c>
      <c r="I7" s="2">
        <v>4.0</v>
      </c>
      <c r="J7" s="2">
        <v>20.0</v>
      </c>
      <c r="K7" s="2">
        <v>2.0</v>
      </c>
      <c r="L7" s="2">
        <v>10.0</v>
      </c>
      <c r="M7" s="5">
        <v>0.5</v>
      </c>
      <c r="N7" s="5">
        <v>0.06597222222222222</v>
      </c>
      <c r="O7" s="2" t="s">
        <v>31</v>
      </c>
      <c r="P7" s="2" t="s">
        <v>30</v>
      </c>
      <c r="Q7" s="2" t="s">
        <v>33</v>
      </c>
      <c r="R7" s="2" t="s">
        <v>68</v>
      </c>
      <c r="S7" s="2">
        <v>8.0</v>
      </c>
      <c r="T7" s="2">
        <v>2.0</v>
      </c>
      <c r="U7" s="2">
        <v>0.0</v>
      </c>
      <c r="W7" s="2"/>
    </row>
    <row r="8">
      <c r="A8" s="6">
        <v>45360.0</v>
      </c>
      <c r="B8" s="2" t="s">
        <v>57</v>
      </c>
      <c r="C8" s="2" t="s">
        <v>69</v>
      </c>
      <c r="D8" s="2" t="s">
        <v>67</v>
      </c>
      <c r="E8" s="2" t="s">
        <v>30</v>
      </c>
      <c r="F8" s="5">
        <v>0.4284722222222222</v>
      </c>
      <c r="G8" s="2">
        <v>-0.03</v>
      </c>
      <c r="H8" s="2">
        <v>4.0</v>
      </c>
      <c r="I8" s="2">
        <v>4.0</v>
      </c>
      <c r="J8" s="2">
        <v>20.0</v>
      </c>
      <c r="K8" s="2">
        <v>2.0</v>
      </c>
      <c r="L8" s="2">
        <v>10.0</v>
      </c>
      <c r="M8" s="5">
        <v>0.3819444444444444</v>
      </c>
      <c r="N8" s="5">
        <v>0.4215277777777778</v>
      </c>
      <c r="O8" s="2" t="s">
        <v>31</v>
      </c>
      <c r="P8" s="2" t="s">
        <v>71</v>
      </c>
      <c r="Q8" s="2" t="s">
        <v>73</v>
      </c>
      <c r="R8" s="2" t="s">
        <v>74</v>
      </c>
      <c r="S8" s="2">
        <v>7.0</v>
      </c>
      <c r="T8" s="2">
        <v>3.0</v>
      </c>
      <c r="U8" s="2">
        <v>0.0</v>
      </c>
      <c r="W8" s="2" t="s">
        <v>76</v>
      </c>
    </row>
    <row r="9">
      <c r="A9" s="6">
        <v>45332.0</v>
      </c>
      <c r="B9" s="2" t="s">
        <v>77</v>
      </c>
      <c r="C9" s="2" t="s">
        <v>79</v>
      </c>
      <c r="D9" s="2" t="s">
        <v>67</v>
      </c>
      <c r="E9" s="2" t="s">
        <v>30</v>
      </c>
      <c r="F9" s="5">
        <v>0.4847222222222222</v>
      </c>
      <c r="G9" s="2">
        <v>0.4</v>
      </c>
      <c r="H9" s="2">
        <v>5.0</v>
      </c>
      <c r="I9" s="2">
        <v>4.0</v>
      </c>
      <c r="J9" s="2">
        <v>20.0</v>
      </c>
      <c r="K9" s="2">
        <v>2.0</v>
      </c>
      <c r="L9" s="2">
        <v>10.0</v>
      </c>
      <c r="M9" s="5">
        <v>0.42430555555555555</v>
      </c>
      <c r="N9" s="5">
        <v>0.5138888888888888</v>
      </c>
      <c r="O9" s="2" t="s">
        <v>87</v>
      </c>
      <c r="P9" s="2" t="s">
        <v>71</v>
      </c>
      <c r="Q9" s="2" t="s">
        <v>89</v>
      </c>
      <c r="R9" s="2" t="s">
        <v>48</v>
      </c>
      <c r="S9" s="2">
        <v>12.0</v>
      </c>
      <c r="T9" s="2">
        <v>6.0</v>
      </c>
      <c r="U9" s="2">
        <v>0.0</v>
      </c>
      <c r="W9" s="2" t="s">
        <v>92</v>
      </c>
    </row>
    <row r="10">
      <c r="A10" s="6">
        <v>45318.0</v>
      </c>
      <c r="B10" s="2" t="s">
        <v>95</v>
      </c>
      <c r="C10" s="2" t="s">
        <v>97</v>
      </c>
      <c r="D10" s="2" t="s">
        <v>99</v>
      </c>
      <c r="E10" s="2" t="s">
        <v>71</v>
      </c>
      <c r="F10" s="5">
        <v>0.5118055555555555</v>
      </c>
      <c r="G10" s="2">
        <v>0.0</v>
      </c>
      <c r="H10" s="2">
        <v>4.0</v>
      </c>
      <c r="I10" s="2">
        <v>4.0</v>
      </c>
      <c r="J10" s="2">
        <v>13.0</v>
      </c>
      <c r="K10" s="2">
        <v>2.0</v>
      </c>
      <c r="L10" s="8">
        <v>45639.0</v>
      </c>
      <c r="M10" s="5">
        <v>0.4583333333333333</v>
      </c>
      <c r="N10" s="5">
        <v>0.04513888888888889</v>
      </c>
      <c r="O10" s="2" t="s">
        <v>40</v>
      </c>
      <c r="P10" s="2" t="s">
        <v>71</v>
      </c>
      <c r="Q10" s="2" t="s">
        <v>107</v>
      </c>
      <c r="R10" s="2" t="s">
        <v>109</v>
      </c>
      <c r="S10" s="2">
        <v>4.0</v>
      </c>
      <c r="T10" s="2">
        <v>0.0</v>
      </c>
      <c r="U10" s="2">
        <v>2.0</v>
      </c>
      <c r="V10" s="2" t="s">
        <v>112</v>
      </c>
    </row>
    <row r="11">
      <c r="A11" s="6">
        <v>45333.0</v>
      </c>
      <c r="B11" s="2" t="s">
        <v>115</v>
      </c>
      <c r="C11" s="2" t="s">
        <v>117</v>
      </c>
      <c r="D11" s="2" t="s">
        <v>52</v>
      </c>
      <c r="E11" s="2" t="s">
        <v>30</v>
      </c>
      <c r="F11" s="5">
        <v>0.5006944444444444</v>
      </c>
      <c r="G11" s="2">
        <v>-0.3</v>
      </c>
      <c r="H11" s="2">
        <v>4.0</v>
      </c>
      <c r="I11" s="2">
        <v>4.0</v>
      </c>
      <c r="J11" s="2">
        <v>13.0</v>
      </c>
      <c r="K11" s="2">
        <v>2.0</v>
      </c>
      <c r="L11" s="8">
        <v>45576.0</v>
      </c>
      <c r="M11" s="5">
        <v>0.4513888888888889</v>
      </c>
      <c r="N11" s="5">
        <v>0.5104166666666666</v>
      </c>
      <c r="O11" s="2" t="s">
        <v>47</v>
      </c>
      <c r="P11" s="2" t="s">
        <v>30</v>
      </c>
      <c r="Q11" s="2" t="s">
        <v>124</v>
      </c>
      <c r="R11" s="2" t="s">
        <v>126</v>
      </c>
      <c r="S11" s="8">
        <v>45422.0</v>
      </c>
      <c r="T11" s="2">
        <v>0.0</v>
      </c>
      <c r="U11" s="2">
        <v>0.0</v>
      </c>
    </row>
    <row r="12">
      <c r="A12" s="9">
        <v>45346.0</v>
      </c>
      <c r="B12" s="2" t="s">
        <v>115</v>
      </c>
      <c r="C12" s="2" t="s">
        <v>129</v>
      </c>
      <c r="D12" s="2" t="s">
        <v>52</v>
      </c>
      <c r="E12" s="2" t="s">
        <v>30</v>
      </c>
      <c r="F12" s="5">
        <v>0.4548611111111111</v>
      </c>
      <c r="G12" s="2">
        <v>-0.02</v>
      </c>
      <c r="H12" s="2">
        <v>4.0</v>
      </c>
      <c r="I12" s="2">
        <v>4.0</v>
      </c>
      <c r="J12" s="2">
        <v>13.0</v>
      </c>
      <c r="K12" s="2">
        <v>2.0</v>
      </c>
      <c r="L12" s="2">
        <v>10.0</v>
      </c>
      <c r="M12" s="5">
        <v>0.4236111111111111</v>
      </c>
      <c r="N12" s="5">
        <v>0.4895833333333333</v>
      </c>
      <c r="O12" s="2" t="s">
        <v>40</v>
      </c>
      <c r="P12" s="2" t="s">
        <v>71</v>
      </c>
      <c r="Q12" s="2" t="s">
        <v>41</v>
      </c>
      <c r="R12" s="2" t="s">
        <v>138</v>
      </c>
      <c r="S12" s="2" t="s">
        <v>140</v>
      </c>
      <c r="T12" s="2">
        <v>2.0</v>
      </c>
      <c r="U12" s="2">
        <v>7.0</v>
      </c>
      <c r="V12" s="2" t="s">
        <v>143</v>
      </c>
    </row>
    <row r="13">
      <c r="A13" s="9">
        <v>45347.0</v>
      </c>
      <c r="B13" s="2" t="s">
        <v>146</v>
      </c>
      <c r="C13" s="2" t="s">
        <v>148</v>
      </c>
      <c r="D13" s="2" t="s">
        <v>52</v>
      </c>
      <c r="E13" s="2" t="s">
        <v>30</v>
      </c>
      <c r="F13" s="5">
        <v>0.46875</v>
      </c>
      <c r="G13" s="2">
        <v>-0.04</v>
      </c>
      <c r="H13" s="2">
        <v>4.0</v>
      </c>
      <c r="I13" s="2">
        <v>4.0</v>
      </c>
      <c r="J13" s="2">
        <v>13.0</v>
      </c>
      <c r="K13" s="2">
        <v>2.0</v>
      </c>
      <c r="L13" s="2">
        <v>10.0</v>
      </c>
      <c r="M13" s="5">
        <v>0.4305555555555556</v>
      </c>
      <c r="N13" s="5">
        <v>0.4930555555555556</v>
      </c>
      <c r="O13" s="2" t="s">
        <v>31</v>
      </c>
      <c r="P13" s="2" t="s">
        <v>30</v>
      </c>
      <c r="Q13" s="2" t="s">
        <v>89</v>
      </c>
      <c r="R13" s="2" t="s">
        <v>165</v>
      </c>
      <c r="S13" s="2">
        <v>15.0</v>
      </c>
      <c r="T13" s="2">
        <v>4.0</v>
      </c>
    </row>
    <row r="14">
      <c r="A14" s="9">
        <v>45332.0</v>
      </c>
      <c r="B14" s="2" t="s">
        <v>171</v>
      </c>
      <c r="C14" s="2" t="s">
        <v>28</v>
      </c>
      <c r="D14" s="2" t="s">
        <v>174</v>
      </c>
      <c r="E14" s="2" t="s">
        <v>30</v>
      </c>
      <c r="F14" s="5">
        <v>0.4791666666666667</v>
      </c>
      <c r="G14" s="2">
        <v>-0.2</v>
      </c>
      <c r="H14" s="2">
        <v>4.0</v>
      </c>
      <c r="I14" s="2">
        <v>4.0</v>
      </c>
      <c r="J14" s="2">
        <v>40.0</v>
      </c>
      <c r="K14" s="2">
        <v>5.0</v>
      </c>
      <c r="L14" s="2">
        <v>8.0</v>
      </c>
      <c r="M14" s="5">
        <v>0.4166666666666667</v>
      </c>
      <c r="N14" s="5">
        <v>0.5277777777777778</v>
      </c>
      <c r="O14" s="2" t="s">
        <v>47</v>
      </c>
      <c r="P14" s="2" t="s">
        <v>30</v>
      </c>
      <c r="Q14" s="2" t="s">
        <v>73</v>
      </c>
      <c r="R14" s="2" t="s">
        <v>185</v>
      </c>
      <c r="S14" s="2">
        <v>1.0</v>
      </c>
      <c r="T14" s="2">
        <v>0.0</v>
      </c>
      <c r="U14" s="2">
        <v>0.0</v>
      </c>
    </row>
    <row r="15">
      <c r="A15" s="9">
        <v>45346.0</v>
      </c>
      <c r="B15" s="2" t="s">
        <v>171</v>
      </c>
      <c r="C15" s="2" t="s">
        <v>190</v>
      </c>
      <c r="D15" s="2" t="s">
        <v>191</v>
      </c>
      <c r="E15" s="2" t="s">
        <v>30</v>
      </c>
      <c r="F15" s="5">
        <v>0.4548611111111111</v>
      </c>
      <c r="H15" s="2">
        <v>4.0</v>
      </c>
      <c r="I15" s="2">
        <v>4.0</v>
      </c>
      <c r="J15" s="2">
        <v>40.0</v>
      </c>
      <c r="K15" s="2">
        <v>5.0</v>
      </c>
      <c r="L15" s="2">
        <v>8.0</v>
      </c>
      <c r="M15" s="5">
        <v>0.3993055555555556</v>
      </c>
      <c r="N15" s="5">
        <v>0.4791666666666667</v>
      </c>
      <c r="O15" s="2" t="s">
        <v>193</v>
      </c>
      <c r="P15" s="2" t="s">
        <v>71</v>
      </c>
      <c r="Q15" s="8">
        <v>45294.0</v>
      </c>
      <c r="R15" s="8">
        <v>45516.0</v>
      </c>
      <c r="S15" s="2">
        <v>0.0</v>
      </c>
      <c r="T15" s="2">
        <v>0.0</v>
      </c>
      <c r="U15" s="2">
        <v>0.0</v>
      </c>
    </row>
    <row r="16">
      <c r="A16" s="9">
        <v>45347.0</v>
      </c>
      <c r="B16" s="2" t="s">
        <v>171</v>
      </c>
      <c r="C16" s="2" t="s">
        <v>199</v>
      </c>
      <c r="D16" s="2" t="s">
        <v>191</v>
      </c>
      <c r="E16" s="2" t="s">
        <v>30</v>
      </c>
      <c r="F16" s="5">
        <v>0.4375</v>
      </c>
      <c r="H16" s="2">
        <v>4.0</v>
      </c>
      <c r="I16" s="2">
        <v>4.0</v>
      </c>
      <c r="J16" s="2">
        <v>40.0</v>
      </c>
      <c r="K16" s="2">
        <v>5.0</v>
      </c>
      <c r="L16" s="2">
        <v>8.0</v>
      </c>
      <c r="M16" s="5">
        <v>0.3854166666666667</v>
      </c>
      <c r="N16" s="5">
        <v>0.4791666666666667</v>
      </c>
      <c r="O16" s="2" t="s">
        <v>193</v>
      </c>
      <c r="P16" s="2" t="s">
        <v>71</v>
      </c>
      <c r="Q16" s="8">
        <v>45294.0</v>
      </c>
      <c r="R16" s="8">
        <v>45389.0</v>
      </c>
      <c r="S16" s="8">
        <v>45355.0</v>
      </c>
      <c r="T16" s="2">
        <v>2.0</v>
      </c>
      <c r="U16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3" max="3" width="12.25"/>
    <col customWidth="1" min="4" max="4" width="7.63"/>
    <col customWidth="1" min="5" max="5" width="0.38"/>
    <col customWidth="1" min="25" max="25" width="21.75"/>
    <col customWidth="1" min="26" max="26" width="18.38"/>
    <col customWidth="1" min="27" max="27" width="16.38"/>
    <col customWidth="1" min="28" max="33" width="21.75"/>
    <col customWidth="1" min="34" max="35" width="14.38"/>
    <col customWidth="1" min="37" max="38" width="17.0"/>
    <col customWidth="1" min="71" max="71" width="18.63"/>
    <col customWidth="1" min="72" max="75" width="16.38"/>
    <col customWidth="1" min="77" max="77" width="17.63"/>
    <col customWidth="1" min="84" max="84" width="14.13"/>
  </cols>
  <sheetData>
    <row r="1">
      <c r="A1" s="1" t="s">
        <v>3</v>
      </c>
      <c r="B1" s="1"/>
      <c r="C1" s="2"/>
      <c r="D1" s="2"/>
      <c r="G1" s="1"/>
      <c r="BA1" s="1"/>
      <c r="BK1" s="1"/>
      <c r="BL1" s="1"/>
      <c r="BM1" s="1"/>
      <c r="BN1" s="1"/>
      <c r="BO1" s="1"/>
      <c r="BP1" s="1"/>
      <c r="BQ1" s="1"/>
      <c r="BR1" s="1"/>
      <c r="BS1" s="2" t="s">
        <v>36</v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 t="s">
        <v>49</v>
      </c>
      <c r="CL1" s="1"/>
      <c r="CM1" s="1"/>
      <c r="CN1" s="1"/>
      <c r="CO1" s="1"/>
      <c r="CP1" s="1"/>
      <c r="CQ1" s="1" t="s">
        <v>53</v>
      </c>
    </row>
    <row r="2">
      <c r="A2" s="1" t="s">
        <v>0</v>
      </c>
      <c r="B2" s="1" t="s">
        <v>4</v>
      </c>
      <c r="C2" s="1" t="s">
        <v>55</v>
      </c>
      <c r="D2" s="1" t="s">
        <v>56</v>
      </c>
      <c r="E2" s="1" t="s">
        <v>59</v>
      </c>
      <c r="F2" s="2" t="s">
        <v>61</v>
      </c>
      <c r="G2" s="2" t="s">
        <v>62</v>
      </c>
      <c r="H2" s="2" t="s">
        <v>63</v>
      </c>
      <c r="I2" s="2" t="s">
        <v>64</v>
      </c>
      <c r="J2" s="11" t="s">
        <v>66</v>
      </c>
      <c r="K2" s="2" t="s">
        <v>70</v>
      </c>
      <c r="L2" s="2" t="s">
        <v>72</v>
      </c>
      <c r="M2" s="12" t="s">
        <v>75</v>
      </c>
      <c r="N2" s="2" t="s">
        <v>78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88</v>
      </c>
      <c r="V2" s="2" t="s">
        <v>90</v>
      </c>
      <c r="W2" s="2" t="s">
        <v>91</v>
      </c>
      <c r="X2" s="2" t="s">
        <v>93</v>
      </c>
      <c r="Y2" s="2" t="s">
        <v>94</v>
      </c>
      <c r="Z2" s="2" t="s">
        <v>96</v>
      </c>
      <c r="AA2" s="2" t="s">
        <v>98</v>
      </c>
      <c r="AB2" s="2" t="s">
        <v>100</v>
      </c>
      <c r="AC2" s="2" t="s">
        <v>101</v>
      </c>
      <c r="AD2" s="2" t="s">
        <v>102</v>
      </c>
      <c r="AE2" s="2" t="s">
        <v>103</v>
      </c>
      <c r="AF2" s="2" t="s">
        <v>104</v>
      </c>
      <c r="AG2" s="2" t="s">
        <v>105</v>
      </c>
      <c r="AH2" s="2" t="s">
        <v>108</v>
      </c>
      <c r="AI2" s="2" t="s">
        <v>110</v>
      </c>
      <c r="AJ2" s="2" t="s">
        <v>111</v>
      </c>
      <c r="AK2" s="2" t="s">
        <v>113</v>
      </c>
      <c r="AL2" s="2" t="s">
        <v>116</v>
      </c>
      <c r="AM2" s="2" t="s">
        <v>118</v>
      </c>
      <c r="AN2" s="2" t="s">
        <v>119</v>
      </c>
      <c r="AO2" s="2" t="s">
        <v>120</v>
      </c>
      <c r="AP2" s="2" t="s">
        <v>122</v>
      </c>
      <c r="AQ2" s="2" t="s">
        <v>125</v>
      </c>
      <c r="AR2" s="13" t="s">
        <v>127</v>
      </c>
      <c r="AS2" s="2" t="s">
        <v>128</v>
      </c>
      <c r="AT2" s="2" t="s">
        <v>130</v>
      </c>
      <c r="AU2" s="2" t="s">
        <v>132</v>
      </c>
      <c r="AV2" s="2" t="s">
        <v>133</v>
      </c>
      <c r="AW2" s="2" t="s">
        <v>134</v>
      </c>
      <c r="AX2" s="2" t="s">
        <v>135</v>
      </c>
      <c r="AY2" s="2" t="s">
        <v>136</v>
      </c>
      <c r="AZ2" s="2" t="s">
        <v>137</v>
      </c>
      <c r="BA2" s="2" t="s">
        <v>139</v>
      </c>
      <c r="BB2" s="2" t="s">
        <v>141</v>
      </c>
      <c r="BC2" s="2" t="s">
        <v>142</v>
      </c>
      <c r="BD2" s="2" t="s">
        <v>144</v>
      </c>
      <c r="BE2" s="2" t="s">
        <v>145</v>
      </c>
      <c r="BF2" s="2" t="s">
        <v>149</v>
      </c>
      <c r="BG2" s="2" t="s">
        <v>150</v>
      </c>
      <c r="BH2" s="2" t="s">
        <v>151</v>
      </c>
      <c r="BI2" s="2" t="s">
        <v>152</v>
      </c>
      <c r="BJ2" s="2" t="s">
        <v>154</v>
      </c>
      <c r="BK2" s="2" t="s">
        <v>155</v>
      </c>
      <c r="BL2" s="2" t="s">
        <v>156</v>
      </c>
      <c r="BM2" s="2" t="s">
        <v>158</v>
      </c>
      <c r="BN2" s="2" t="s">
        <v>159</v>
      </c>
      <c r="BO2" s="2" t="s">
        <v>160</v>
      </c>
      <c r="BP2" s="2" t="s">
        <v>161</v>
      </c>
      <c r="BQ2" s="2" t="s">
        <v>162</v>
      </c>
      <c r="BR2" s="2" t="s">
        <v>163</v>
      </c>
      <c r="BS2" s="2" t="s">
        <v>164</v>
      </c>
      <c r="BT2" s="2" t="s">
        <v>166</v>
      </c>
      <c r="BU2" s="2" t="s">
        <v>167</v>
      </c>
      <c r="BV2" s="2" t="s">
        <v>168</v>
      </c>
      <c r="BW2" s="2" t="s">
        <v>169</v>
      </c>
      <c r="BX2" s="2" t="s">
        <v>170</v>
      </c>
      <c r="BY2" s="2" t="s">
        <v>172</v>
      </c>
      <c r="BZ2" s="13" t="s">
        <v>173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182</v>
      </c>
      <c r="CH2" s="2" t="s">
        <v>183</v>
      </c>
      <c r="CI2" s="2" t="s">
        <v>184</v>
      </c>
      <c r="CJ2" s="2" t="s">
        <v>186</v>
      </c>
      <c r="CK2" s="2" t="s">
        <v>187</v>
      </c>
      <c r="CL2" s="14" t="s">
        <v>189</v>
      </c>
      <c r="CM2" s="14" t="s">
        <v>192</v>
      </c>
      <c r="CN2" s="14" t="s">
        <v>194</v>
      </c>
      <c r="CO2" s="14" t="s">
        <v>195</v>
      </c>
      <c r="CP2" s="1" t="s">
        <v>196</v>
      </c>
      <c r="CQ2" s="1" t="s">
        <v>198</v>
      </c>
      <c r="CS2" s="1" t="s">
        <v>200</v>
      </c>
      <c r="CT2" s="1" t="s">
        <v>203</v>
      </c>
      <c r="CU2" s="2" t="s">
        <v>204</v>
      </c>
    </row>
    <row r="3">
      <c r="A3" s="9">
        <v>45305.0</v>
      </c>
      <c r="B3" s="2" t="s">
        <v>207</v>
      </c>
      <c r="C3" s="2" t="s">
        <v>190</v>
      </c>
      <c r="D3" s="2">
        <v>2.0</v>
      </c>
      <c r="E3" s="2">
        <v>0.0</v>
      </c>
      <c r="F3" s="2"/>
      <c r="J3" s="2"/>
      <c r="K3" s="2"/>
      <c r="L3" s="2"/>
      <c r="M3" s="2"/>
      <c r="N3" s="2"/>
      <c r="S3" s="2"/>
      <c r="T3" s="2"/>
      <c r="U3" s="2"/>
      <c r="V3" s="2"/>
      <c r="W3" s="2"/>
      <c r="Y3" s="2"/>
      <c r="Z3" s="2"/>
      <c r="AA3" s="2"/>
      <c r="AB3" s="2"/>
      <c r="AC3" s="2"/>
      <c r="AD3" s="2"/>
      <c r="AE3" s="2"/>
      <c r="AF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>
        <v>3.0</v>
      </c>
      <c r="AW3" s="2">
        <v>3.0</v>
      </c>
      <c r="AX3" s="2"/>
      <c r="AY3" s="2"/>
      <c r="AZ3" s="2"/>
      <c r="BB3" s="2"/>
      <c r="BF3" s="2"/>
      <c r="BG3" s="2"/>
      <c r="BH3" s="2"/>
      <c r="BI3" s="2">
        <v>8.0</v>
      </c>
      <c r="BQ3" s="2"/>
      <c r="BR3" s="2"/>
      <c r="CH3" s="2"/>
      <c r="CI3" s="2"/>
      <c r="CL3" s="2">
        <v>11.0</v>
      </c>
      <c r="CQ3" s="15">
        <f t="shared" ref="CQ3:CQ9" si="1">SUM(F3:CN3)</f>
        <v>25</v>
      </c>
    </row>
    <row r="4">
      <c r="A4" s="9">
        <v>45305.0</v>
      </c>
      <c r="B4" s="2" t="s">
        <v>207</v>
      </c>
      <c r="C4" s="2" t="s">
        <v>190</v>
      </c>
      <c r="D4" s="2">
        <v>2.0</v>
      </c>
      <c r="E4" s="2">
        <v>2.0</v>
      </c>
      <c r="F4" s="2"/>
      <c r="J4" s="2"/>
      <c r="K4" s="2"/>
      <c r="L4" s="2"/>
      <c r="M4" s="2"/>
      <c r="N4" s="2"/>
      <c r="S4" s="2"/>
      <c r="T4" s="2"/>
      <c r="U4" s="2"/>
      <c r="V4" s="2"/>
      <c r="W4" s="2">
        <v>1.0</v>
      </c>
      <c r="Y4" s="2"/>
      <c r="Z4" s="2"/>
      <c r="AA4" s="2"/>
      <c r="AB4" s="2"/>
      <c r="AC4" s="2"/>
      <c r="AD4" s="2"/>
      <c r="AE4" s="2"/>
      <c r="AF4" s="2"/>
      <c r="AH4" s="2"/>
      <c r="AI4" s="2"/>
      <c r="AJ4" s="2"/>
      <c r="AK4" s="2"/>
      <c r="AL4" s="2"/>
      <c r="AM4" s="2"/>
      <c r="AN4" s="2"/>
      <c r="AO4" s="2"/>
      <c r="AP4" s="2">
        <v>6.0</v>
      </c>
      <c r="AQ4" s="2"/>
      <c r="AR4" s="2"/>
      <c r="AS4" s="2"/>
      <c r="AT4" s="2"/>
      <c r="AX4" s="2"/>
      <c r="AY4" s="2"/>
      <c r="AZ4" s="2"/>
      <c r="BB4" s="2"/>
      <c r="BF4" s="2"/>
      <c r="BG4" s="2"/>
      <c r="BH4" s="2"/>
      <c r="BI4" s="2">
        <v>10.0</v>
      </c>
      <c r="BJ4" s="2">
        <v>1.0</v>
      </c>
      <c r="BQ4" s="2"/>
      <c r="BR4" s="2">
        <v>7.0</v>
      </c>
      <c r="CH4" s="2"/>
      <c r="CI4" s="2"/>
      <c r="CQ4" s="15">
        <f t="shared" si="1"/>
        <v>25</v>
      </c>
    </row>
    <row r="5">
      <c r="A5" s="9">
        <v>45305.0</v>
      </c>
      <c r="B5" s="2" t="s">
        <v>207</v>
      </c>
      <c r="C5" s="2" t="s">
        <v>190</v>
      </c>
      <c r="D5" s="2">
        <v>2.0</v>
      </c>
      <c r="E5" s="2">
        <v>4.0</v>
      </c>
      <c r="F5" s="2"/>
      <c r="H5" s="2">
        <v>2.0</v>
      </c>
      <c r="J5" s="2"/>
      <c r="K5" s="2"/>
      <c r="L5" s="2"/>
      <c r="M5" s="2"/>
      <c r="N5" s="2">
        <v>10.0</v>
      </c>
      <c r="Q5" s="2"/>
      <c r="R5" s="2">
        <v>5.0</v>
      </c>
      <c r="S5" s="2"/>
      <c r="T5" s="2"/>
      <c r="U5" s="2"/>
      <c r="V5" s="2"/>
      <c r="W5" s="2">
        <v>1.0</v>
      </c>
      <c r="Y5" s="2"/>
      <c r="Z5" s="2"/>
      <c r="AA5" s="2"/>
      <c r="AB5" s="2"/>
      <c r="AC5" s="2"/>
      <c r="AD5" s="2"/>
      <c r="AE5" s="2"/>
      <c r="AF5" s="2"/>
      <c r="AH5" s="2"/>
      <c r="AI5" s="2"/>
      <c r="AJ5" s="2"/>
      <c r="AK5" s="2"/>
      <c r="AL5" s="2"/>
      <c r="AM5" s="2"/>
      <c r="AN5" s="2"/>
      <c r="AO5" s="2"/>
      <c r="AP5" s="2">
        <v>1.0</v>
      </c>
      <c r="AQ5" s="2"/>
      <c r="AR5" s="2"/>
      <c r="AS5" s="2"/>
      <c r="AT5" s="2"/>
      <c r="AX5" s="2"/>
      <c r="AY5" s="2"/>
      <c r="AZ5" s="2"/>
      <c r="BB5" s="2"/>
      <c r="BF5" s="2"/>
      <c r="BG5" s="2"/>
      <c r="BH5" s="2"/>
      <c r="BI5" s="2">
        <v>5.0</v>
      </c>
      <c r="BQ5" s="2"/>
      <c r="BR5" s="2">
        <v>1.0</v>
      </c>
      <c r="CH5" s="2"/>
      <c r="CI5" s="2"/>
      <c r="CQ5" s="15">
        <f t="shared" si="1"/>
        <v>25</v>
      </c>
    </row>
    <row r="6">
      <c r="A6" s="9">
        <v>45305.0</v>
      </c>
      <c r="B6" s="2" t="s">
        <v>207</v>
      </c>
      <c r="C6" s="2" t="s">
        <v>190</v>
      </c>
      <c r="D6" s="2">
        <v>2.0</v>
      </c>
      <c r="E6" s="2">
        <v>6.0</v>
      </c>
      <c r="F6" s="2"/>
      <c r="J6" s="2"/>
      <c r="K6" s="2"/>
      <c r="L6" s="2"/>
      <c r="M6" s="2"/>
      <c r="N6" s="2">
        <v>2.0</v>
      </c>
      <c r="S6" s="2"/>
      <c r="T6" s="2"/>
      <c r="U6" s="2"/>
      <c r="V6" s="2"/>
      <c r="W6" s="2">
        <v>2.0</v>
      </c>
      <c r="Y6" s="2"/>
      <c r="Z6" s="2"/>
      <c r="AA6" s="2"/>
      <c r="AB6" s="2"/>
      <c r="AC6" s="2"/>
      <c r="AD6" s="2"/>
      <c r="AE6" s="2"/>
      <c r="AF6" s="2"/>
      <c r="AG6" s="2">
        <v>1.0</v>
      </c>
      <c r="AH6" s="2"/>
      <c r="AI6" s="2"/>
      <c r="AJ6" s="2"/>
      <c r="AK6" s="2"/>
      <c r="AL6" s="2"/>
      <c r="AM6" s="2"/>
      <c r="AN6" s="2"/>
      <c r="AO6" s="2"/>
      <c r="AP6" s="2">
        <v>1.0</v>
      </c>
      <c r="AQ6" s="2"/>
      <c r="AR6" s="2"/>
      <c r="AS6" s="2"/>
      <c r="AT6" s="2">
        <v>1.0</v>
      </c>
      <c r="AW6" s="2">
        <v>1.0</v>
      </c>
      <c r="AX6" s="2"/>
      <c r="AY6" s="2"/>
      <c r="AZ6" s="2"/>
      <c r="BB6" s="2"/>
      <c r="BF6" s="2"/>
      <c r="BG6" s="2"/>
      <c r="BH6" s="2"/>
      <c r="BI6" s="2">
        <v>14.0</v>
      </c>
      <c r="BQ6" s="2"/>
      <c r="BR6" s="2">
        <v>1.0</v>
      </c>
      <c r="CH6" s="2"/>
      <c r="CI6" s="2">
        <v>2.0</v>
      </c>
      <c r="CQ6" s="15">
        <f t="shared" si="1"/>
        <v>25</v>
      </c>
    </row>
    <row r="7">
      <c r="A7" s="9">
        <v>45305.0</v>
      </c>
      <c r="B7" s="2" t="s">
        <v>207</v>
      </c>
      <c r="C7" s="2" t="s">
        <v>190</v>
      </c>
      <c r="D7" s="2">
        <v>2.0</v>
      </c>
      <c r="E7" s="2">
        <v>8.0</v>
      </c>
      <c r="F7" s="2"/>
      <c r="J7" s="2"/>
      <c r="K7" s="2"/>
      <c r="L7" s="2"/>
      <c r="M7" s="2"/>
      <c r="N7" s="2">
        <v>8.0</v>
      </c>
      <c r="S7" s="2"/>
      <c r="T7" s="2"/>
      <c r="U7" s="2"/>
      <c r="V7" s="2"/>
      <c r="W7" s="2"/>
      <c r="Y7" s="2"/>
      <c r="Z7" s="2"/>
      <c r="AA7" s="2"/>
      <c r="AB7" s="2"/>
      <c r="AC7" s="2"/>
      <c r="AD7" s="2"/>
      <c r="AE7" s="2"/>
      <c r="AF7" s="2"/>
      <c r="AH7" s="2"/>
      <c r="AI7" s="2">
        <v>3.0</v>
      </c>
      <c r="AJ7" s="2"/>
      <c r="AK7" s="2"/>
      <c r="AL7" s="2"/>
      <c r="AM7" s="2"/>
      <c r="AN7" s="2"/>
      <c r="AO7" s="2"/>
      <c r="AP7" s="2">
        <v>2.0</v>
      </c>
      <c r="AQ7" s="2"/>
      <c r="AR7" s="2"/>
      <c r="AS7" s="2"/>
      <c r="AT7" s="2">
        <v>6.0</v>
      </c>
      <c r="AX7" s="2"/>
      <c r="AY7" s="2"/>
      <c r="AZ7" s="2"/>
      <c r="BB7" s="2"/>
      <c r="BF7" s="2"/>
      <c r="BG7" s="2"/>
      <c r="BH7" s="2"/>
      <c r="BI7" s="2">
        <v>5.0</v>
      </c>
      <c r="BQ7" s="2"/>
      <c r="BR7" s="2">
        <v>1.0</v>
      </c>
      <c r="CH7" s="2"/>
      <c r="CI7" s="2"/>
      <c r="CQ7" s="15">
        <f t="shared" si="1"/>
        <v>25</v>
      </c>
    </row>
    <row r="8">
      <c r="A8" s="9">
        <v>45305.0</v>
      </c>
      <c r="B8" s="2" t="s">
        <v>207</v>
      </c>
      <c r="C8" s="2" t="s">
        <v>129</v>
      </c>
      <c r="D8" s="2">
        <v>2.0</v>
      </c>
      <c r="E8" s="2">
        <v>10.0</v>
      </c>
      <c r="F8" s="2"/>
      <c r="J8" s="2"/>
      <c r="K8" s="2"/>
      <c r="L8" s="2"/>
      <c r="M8" s="2"/>
      <c r="N8" s="2">
        <v>6.0</v>
      </c>
      <c r="S8" s="2"/>
      <c r="T8" s="2"/>
      <c r="U8" s="2"/>
      <c r="V8" s="2"/>
      <c r="W8" s="2"/>
      <c r="Y8" s="2"/>
      <c r="Z8" s="2"/>
      <c r="AA8" s="2"/>
      <c r="AB8" s="2"/>
      <c r="AC8" s="2"/>
      <c r="AD8" s="2"/>
      <c r="AE8" s="2"/>
      <c r="AF8" s="2">
        <v>1.0</v>
      </c>
      <c r="AH8" s="2"/>
      <c r="AI8" s="2"/>
      <c r="AJ8" s="2">
        <v>1.0</v>
      </c>
      <c r="AK8" s="2"/>
      <c r="AL8" s="2"/>
      <c r="AM8" s="2"/>
      <c r="AN8" s="2"/>
      <c r="AO8" s="2"/>
      <c r="AP8" s="2">
        <v>3.0</v>
      </c>
      <c r="AQ8" s="2"/>
      <c r="AR8" s="2"/>
      <c r="AS8" s="2"/>
      <c r="AT8" s="2">
        <v>2.0</v>
      </c>
      <c r="AX8" s="2"/>
      <c r="AY8" s="2"/>
      <c r="AZ8" s="2"/>
      <c r="BB8" s="2"/>
      <c r="BF8" s="2"/>
      <c r="BG8" s="2"/>
      <c r="BH8" s="2"/>
      <c r="BI8" s="2">
        <v>6.0</v>
      </c>
      <c r="BQ8" s="2"/>
      <c r="BR8" s="2">
        <v>3.0</v>
      </c>
      <c r="CH8" s="2"/>
      <c r="CI8" s="2">
        <v>3.0</v>
      </c>
      <c r="CQ8" s="15">
        <f t="shared" si="1"/>
        <v>25</v>
      </c>
    </row>
    <row r="9">
      <c r="A9" s="9">
        <v>45305.0</v>
      </c>
      <c r="B9" s="2" t="s">
        <v>207</v>
      </c>
      <c r="C9" s="2" t="s">
        <v>129</v>
      </c>
      <c r="D9" s="2">
        <v>2.0</v>
      </c>
      <c r="E9" s="2">
        <v>12.0</v>
      </c>
      <c r="F9" s="2"/>
      <c r="H9" s="2">
        <v>1.0</v>
      </c>
      <c r="S9" s="2"/>
      <c r="T9" s="2"/>
      <c r="U9" s="2"/>
      <c r="V9" s="2"/>
      <c r="W9" s="2"/>
      <c r="AH9" s="2"/>
      <c r="AI9" s="2">
        <v>1.0</v>
      </c>
      <c r="AK9" s="2"/>
      <c r="AL9" s="2"/>
      <c r="AM9" s="2"/>
      <c r="AN9" s="2"/>
      <c r="AO9" s="2"/>
      <c r="AP9" s="2">
        <v>1.0</v>
      </c>
      <c r="AQ9" s="2"/>
      <c r="AR9" s="2"/>
      <c r="AS9" s="2"/>
      <c r="AT9" s="2">
        <v>12.0</v>
      </c>
      <c r="AW9" s="2">
        <v>1.0</v>
      </c>
      <c r="AX9" s="2"/>
      <c r="AY9" s="2"/>
      <c r="AZ9" s="2"/>
      <c r="BB9" s="2"/>
      <c r="BF9" s="2"/>
      <c r="BG9" s="2"/>
      <c r="BH9" s="2"/>
      <c r="BI9" s="2">
        <v>1.0</v>
      </c>
      <c r="CH9" s="2"/>
      <c r="CI9" s="2"/>
      <c r="CJ9" s="2"/>
      <c r="CK9" s="2">
        <v>8.0</v>
      </c>
      <c r="CQ9" s="15">
        <f t="shared" si="1"/>
        <v>25</v>
      </c>
    </row>
    <row r="10">
      <c r="A10" s="9">
        <v>45305.0</v>
      </c>
      <c r="B10" s="2" t="s">
        <v>207</v>
      </c>
      <c r="C10" s="2" t="s">
        <v>129</v>
      </c>
      <c r="D10" s="2">
        <v>2.0</v>
      </c>
      <c r="E10" s="2">
        <v>14.0</v>
      </c>
      <c r="F10" s="2">
        <v>5.0</v>
      </c>
      <c r="S10" s="2"/>
      <c r="T10" s="2"/>
      <c r="U10" s="2"/>
      <c r="V10" s="2"/>
      <c r="W10" s="2">
        <v>1.0</v>
      </c>
      <c r="AH10" s="2"/>
      <c r="AI10" s="2"/>
      <c r="AK10" s="2"/>
      <c r="AL10" s="2">
        <v>2.0</v>
      </c>
      <c r="AX10" s="2"/>
      <c r="AY10" s="2"/>
      <c r="AZ10" s="2"/>
      <c r="BB10" s="2">
        <v>1.0</v>
      </c>
      <c r="BF10" s="2"/>
      <c r="BG10" s="2"/>
      <c r="BH10" s="2"/>
      <c r="BI10" s="2">
        <v>13.0</v>
      </c>
      <c r="CH10" s="2"/>
      <c r="CI10" s="2">
        <v>3.0</v>
      </c>
      <c r="CQ10" s="15">
        <f t="shared" ref="CQ10:CQ20" si="2">sum(F10:CN10)</f>
        <v>25</v>
      </c>
    </row>
    <row r="11">
      <c r="A11" s="9">
        <v>45305.0</v>
      </c>
      <c r="B11" s="2" t="s">
        <v>207</v>
      </c>
      <c r="C11" s="2" t="s">
        <v>129</v>
      </c>
      <c r="D11" s="2">
        <v>2.0</v>
      </c>
      <c r="E11" s="2">
        <v>16.0</v>
      </c>
      <c r="F11" s="2">
        <v>8.0</v>
      </c>
      <c r="J11" s="2"/>
      <c r="K11" s="2"/>
      <c r="L11" s="2"/>
      <c r="M11" s="2"/>
      <c r="N11" s="2">
        <v>7.0</v>
      </c>
      <c r="BF11" s="2"/>
      <c r="BG11" s="2"/>
      <c r="BH11" s="2"/>
      <c r="BI11" s="2">
        <v>10.0</v>
      </c>
      <c r="CQ11" s="15">
        <f t="shared" si="2"/>
        <v>25</v>
      </c>
    </row>
    <row r="12">
      <c r="A12" s="9">
        <v>45305.0</v>
      </c>
      <c r="B12" s="2" t="s">
        <v>207</v>
      </c>
      <c r="C12" s="2" t="s">
        <v>129</v>
      </c>
      <c r="D12" s="2">
        <v>2.0</v>
      </c>
      <c r="E12" s="2">
        <v>18.0</v>
      </c>
      <c r="F12" s="2">
        <v>2.0</v>
      </c>
      <c r="Y12" s="2"/>
      <c r="Z12" s="2"/>
      <c r="AA12" s="2"/>
      <c r="AB12" s="2"/>
      <c r="AC12" s="2"/>
      <c r="AD12" s="2"/>
      <c r="AE12" s="2"/>
      <c r="AF12" s="2"/>
      <c r="AG12" s="2">
        <v>2.0</v>
      </c>
      <c r="BF12" s="2"/>
      <c r="BG12" s="2"/>
      <c r="BH12" s="2"/>
      <c r="BI12" s="2">
        <v>10.0</v>
      </c>
      <c r="CJ12" s="2"/>
      <c r="CK12" s="2">
        <v>11.0</v>
      </c>
      <c r="CQ12" s="15">
        <f t="shared" si="2"/>
        <v>25</v>
      </c>
    </row>
    <row r="13">
      <c r="A13" s="9">
        <v>45305.0</v>
      </c>
      <c r="B13" s="2" t="s">
        <v>207</v>
      </c>
      <c r="C13" s="2" t="s">
        <v>129</v>
      </c>
      <c r="D13" s="2">
        <v>2.0</v>
      </c>
      <c r="E13" s="2">
        <v>20.0</v>
      </c>
      <c r="BF13" s="2"/>
      <c r="BG13" s="2"/>
      <c r="BH13" s="2"/>
      <c r="BI13" s="2">
        <v>10.0</v>
      </c>
      <c r="CH13" s="2"/>
      <c r="CI13" s="2">
        <v>10.0</v>
      </c>
      <c r="CJ13" s="2"/>
      <c r="CK13" s="2">
        <v>5.0</v>
      </c>
      <c r="CQ13" s="15">
        <f t="shared" si="2"/>
        <v>25</v>
      </c>
    </row>
    <row r="14">
      <c r="A14" s="9">
        <v>45305.0</v>
      </c>
      <c r="B14" s="2" t="s">
        <v>207</v>
      </c>
      <c r="C14" s="2" t="s">
        <v>129</v>
      </c>
      <c r="D14" s="21">
        <v>2.0</v>
      </c>
      <c r="E14" s="2">
        <v>22.0</v>
      </c>
      <c r="O14" s="2"/>
      <c r="P14" s="2">
        <v>1.0</v>
      </c>
      <c r="BF14" s="2"/>
      <c r="BG14" s="2"/>
      <c r="BH14" s="2"/>
      <c r="BI14" s="2">
        <v>11.0</v>
      </c>
      <c r="CJ14" s="2"/>
      <c r="CK14" s="2">
        <v>13.0</v>
      </c>
      <c r="CQ14" s="15">
        <f t="shared" si="2"/>
        <v>25</v>
      </c>
    </row>
    <row r="15">
      <c r="A15" s="9">
        <v>45305.0</v>
      </c>
      <c r="B15" s="2" t="s">
        <v>207</v>
      </c>
      <c r="C15" s="2" t="s">
        <v>117</v>
      </c>
      <c r="D15" s="2">
        <v>3.0</v>
      </c>
      <c r="E15" s="2">
        <v>0.0</v>
      </c>
      <c r="H15" s="2">
        <v>1.0</v>
      </c>
      <c r="Q15" s="2"/>
      <c r="R15" s="2">
        <v>9.0</v>
      </c>
      <c r="Y15" s="2"/>
      <c r="Z15" s="2"/>
      <c r="AA15" s="2"/>
      <c r="AB15" s="2"/>
      <c r="AC15" s="2"/>
      <c r="AD15" s="2"/>
      <c r="AE15" s="2"/>
      <c r="AF15" s="2"/>
      <c r="AG15" s="2">
        <v>2.0</v>
      </c>
      <c r="AH15" s="2"/>
      <c r="AI15" s="2"/>
      <c r="AK15" s="2"/>
      <c r="AL15" s="2">
        <v>2.0</v>
      </c>
      <c r="BF15" s="2"/>
      <c r="BG15" s="2"/>
      <c r="BH15" s="2"/>
      <c r="BI15" s="2">
        <v>7.0</v>
      </c>
      <c r="BQ15" s="2"/>
      <c r="BR15" s="2">
        <v>3.0</v>
      </c>
      <c r="CL15" s="2"/>
      <c r="CM15" s="2"/>
      <c r="CN15" s="2">
        <v>1.0</v>
      </c>
      <c r="CQ15" s="15">
        <f t="shared" si="2"/>
        <v>25</v>
      </c>
    </row>
    <row r="16">
      <c r="A16" s="9">
        <v>45305.0</v>
      </c>
      <c r="B16" s="2" t="s">
        <v>207</v>
      </c>
      <c r="C16" s="2" t="s">
        <v>117</v>
      </c>
      <c r="D16" s="2">
        <v>3.0</v>
      </c>
      <c r="E16" s="2">
        <v>2.0</v>
      </c>
      <c r="H16" s="2">
        <v>2.0</v>
      </c>
      <c r="Y16" s="2"/>
      <c r="Z16" s="2"/>
      <c r="AA16" s="2"/>
      <c r="AB16" s="2"/>
      <c r="AC16" s="2"/>
      <c r="AD16" s="2"/>
      <c r="AE16" s="2"/>
      <c r="AF16" s="2"/>
      <c r="AG16" s="2">
        <v>1.0</v>
      </c>
      <c r="AH16" s="2"/>
      <c r="AI16" s="2"/>
      <c r="AK16" s="2"/>
      <c r="AL16" s="2">
        <v>2.0</v>
      </c>
      <c r="AM16" s="2"/>
      <c r="AN16" s="2"/>
      <c r="AO16" s="2"/>
      <c r="AP16" s="2">
        <v>6.0</v>
      </c>
      <c r="BF16" s="2"/>
      <c r="BG16" s="2"/>
      <c r="BH16" s="2"/>
      <c r="BI16" s="2">
        <v>7.0</v>
      </c>
      <c r="BQ16" s="2"/>
      <c r="BR16" s="2">
        <v>7.0</v>
      </c>
      <c r="CQ16" s="15">
        <f t="shared" si="2"/>
        <v>25</v>
      </c>
    </row>
    <row r="17">
      <c r="A17" s="9">
        <v>45305.0</v>
      </c>
      <c r="B17" s="2" t="s">
        <v>207</v>
      </c>
      <c r="C17" s="2" t="s">
        <v>117</v>
      </c>
      <c r="D17" s="2">
        <v>3.0</v>
      </c>
      <c r="E17" s="2">
        <v>4.0</v>
      </c>
      <c r="F17" s="2">
        <v>1.0</v>
      </c>
      <c r="Q17" s="2"/>
      <c r="R17" s="2">
        <v>2.0</v>
      </c>
      <c r="Y17" s="2"/>
      <c r="Z17" s="2"/>
      <c r="AA17" s="2"/>
      <c r="AB17" s="2"/>
      <c r="AC17" s="2"/>
      <c r="AD17" s="2"/>
      <c r="AE17" s="2"/>
      <c r="AF17" s="2"/>
      <c r="AG17" s="2">
        <v>1.0</v>
      </c>
      <c r="AH17" s="2"/>
      <c r="AI17" s="2"/>
      <c r="AK17" s="2"/>
      <c r="AL17" s="2">
        <v>4.0</v>
      </c>
      <c r="AQ17" s="2"/>
      <c r="AR17" s="2"/>
      <c r="AS17" s="2"/>
      <c r="AT17" s="2">
        <v>2.0</v>
      </c>
      <c r="BC17" s="2"/>
      <c r="BD17" s="2"/>
      <c r="BE17" s="2">
        <v>1.0</v>
      </c>
      <c r="BF17" s="2"/>
      <c r="BG17" s="2"/>
      <c r="BH17" s="2"/>
      <c r="BI17" s="2">
        <v>3.0</v>
      </c>
      <c r="BQ17" s="2"/>
      <c r="BR17" s="2">
        <v>10.0</v>
      </c>
      <c r="CH17" s="2"/>
      <c r="CI17" s="2">
        <v>1.0</v>
      </c>
      <c r="CQ17" s="15">
        <f t="shared" si="2"/>
        <v>25</v>
      </c>
    </row>
    <row r="18">
      <c r="A18" s="9">
        <v>45305.0</v>
      </c>
      <c r="B18" s="2" t="s">
        <v>207</v>
      </c>
      <c r="C18" s="2" t="s">
        <v>28</v>
      </c>
      <c r="D18" s="2">
        <v>3.0</v>
      </c>
      <c r="E18" s="2">
        <v>6.0</v>
      </c>
      <c r="F18" s="2">
        <v>1.0</v>
      </c>
      <c r="J18" s="2"/>
      <c r="K18" s="2"/>
      <c r="L18" s="2"/>
      <c r="M18" s="2"/>
      <c r="N18" s="2">
        <v>2.0</v>
      </c>
      <c r="AU18" s="2"/>
      <c r="AV18" s="2"/>
      <c r="AW18" s="2">
        <v>5.0</v>
      </c>
      <c r="AX18" s="2"/>
      <c r="AY18" s="2"/>
      <c r="AZ18" s="2"/>
      <c r="BB18" s="2">
        <v>1.0</v>
      </c>
      <c r="BC18" s="2"/>
      <c r="BD18" s="2"/>
      <c r="BE18" s="2">
        <v>6.0</v>
      </c>
      <c r="BF18" s="2"/>
      <c r="BG18" s="2"/>
      <c r="BH18" s="2"/>
      <c r="BI18" s="2">
        <v>5.0</v>
      </c>
      <c r="BN18" s="2"/>
      <c r="BO18" s="2"/>
      <c r="BP18" s="2">
        <v>2.0</v>
      </c>
      <c r="BQ18" s="2"/>
      <c r="BR18" s="2">
        <v>1.0</v>
      </c>
      <c r="CL18" s="2"/>
      <c r="CM18" s="2"/>
      <c r="CN18" s="2">
        <v>2.0</v>
      </c>
      <c r="CQ18" s="15">
        <f t="shared" si="2"/>
        <v>25</v>
      </c>
    </row>
    <row r="19">
      <c r="A19" s="9">
        <v>45305.0</v>
      </c>
      <c r="B19" s="2" t="s">
        <v>207</v>
      </c>
      <c r="C19" s="2" t="s">
        <v>28</v>
      </c>
      <c r="D19" s="2">
        <v>3.0</v>
      </c>
      <c r="E19" s="2">
        <v>8.0</v>
      </c>
      <c r="J19" s="2"/>
      <c r="K19" s="2"/>
      <c r="L19" s="2"/>
      <c r="M19" s="2"/>
      <c r="N19" s="2">
        <v>3.0</v>
      </c>
      <c r="Q19" s="2"/>
      <c r="R19" s="2">
        <v>1.0</v>
      </c>
      <c r="AH19" s="2"/>
      <c r="AI19" s="2"/>
      <c r="AK19" s="2"/>
      <c r="AL19" s="2">
        <v>1.0</v>
      </c>
      <c r="AM19" s="2"/>
      <c r="AN19" s="2"/>
      <c r="AO19" s="2"/>
      <c r="AP19" s="2">
        <v>1.0</v>
      </c>
      <c r="AQ19" s="2"/>
      <c r="AR19" s="2"/>
      <c r="AS19" s="2"/>
      <c r="AT19" s="2">
        <v>2.0</v>
      </c>
      <c r="BC19" s="2"/>
      <c r="BD19" s="2"/>
      <c r="BE19" s="2">
        <v>1.0</v>
      </c>
      <c r="BF19" s="2"/>
      <c r="BG19" s="2"/>
      <c r="BH19" s="2"/>
      <c r="BI19" s="2">
        <v>13.0</v>
      </c>
      <c r="BQ19" s="2"/>
      <c r="BR19" s="2">
        <v>3.0</v>
      </c>
      <c r="CQ19" s="15">
        <f t="shared" si="2"/>
        <v>25</v>
      </c>
    </row>
    <row r="20">
      <c r="A20" s="9">
        <v>45305.0</v>
      </c>
      <c r="B20" s="2" t="s">
        <v>207</v>
      </c>
      <c r="C20" s="2" t="s">
        <v>28</v>
      </c>
      <c r="D20" s="2">
        <v>3.0</v>
      </c>
      <c r="E20" s="2">
        <v>10.0</v>
      </c>
      <c r="AQ20" s="2"/>
      <c r="AR20" s="2"/>
      <c r="AS20" s="2"/>
      <c r="AT20" s="2">
        <v>5.0</v>
      </c>
      <c r="BF20" s="2"/>
      <c r="BG20" s="2"/>
      <c r="BH20" s="2"/>
      <c r="BI20" s="2">
        <v>15.0</v>
      </c>
      <c r="BQ20" s="2"/>
      <c r="BR20" s="2">
        <v>2.0</v>
      </c>
      <c r="CL20" s="2"/>
      <c r="CM20" s="2"/>
      <c r="CN20" s="2">
        <v>3.0</v>
      </c>
      <c r="CQ20" s="15">
        <f t="shared" si="2"/>
        <v>25</v>
      </c>
    </row>
    <row r="21">
      <c r="A21" s="9">
        <v>45305.0</v>
      </c>
      <c r="B21" s="2" t="s">
        <v>207</v>
      </c>
      <c r="C21" s="2" t="s">
        <v>235</v>
      </c>
      <c r="D21" s="2">
        <v>3.0</v>
      </c>
      <c r="E21" s="2">
        <v>12.0</v>
      </c>
      <c r="AQ21" s="2"/>
      <c r="AR21" s="2"/>
      <c r="AS21" s="2"/>
      <c r="AT21" s="2">
        <v>2.0</v>
      </c>
      <c r="AU21" s="2"/>
      <c r="AV21" s="2"/>
      <c r="AW21" s="2">
        <v>15.0</v>
      </c>
      <c r="BC21" s="2"/>
      <c r="BD21" s="2"/>
      <c r="BE21" s="2">
        <v>4.0</v>
      </c>
      <c r="BF21" s="2"/>
      <c r="BG21" s="2"/>
      <c r="BH21" s="2"/>
      <c r="BI21" s="2">
        <v>2.0</v>
      </c>
      <c r="CA21" s="2">
        <v>1.0</v>
      </c>
      <c r="CJ21" s="2"/>
      <c r="CK21" s="2">
        <v>1.0</v>
      </c>
      <c r="CQ21" s="15">
        <f t="shared" ref="CQ21:CQ60" si="3">SUM(F21:CN21)</f>
        <v>25</v>
      </c>
    </row>
    <row r="22">
      <c r="A22" s="9">
        <v>45305.0</v>
      </c>
      <c r="B22" s="2" t="s">
        <v>207</v>
      </c>
      <c r="C22" s="2" t="s">
        <v>235</v>
      </c>
      <c r="D22" s="2">
        <v>3.0</v>
      </c>
      <c r="E22" s="2">
        <v>14.0</v>
      </c>
      <c r="F22" s="2">
        <v>2.0</v>
      </c>
      <c r="J22" s="2"/>
      <c r="K22" s="2"/>
      <c r="L22" s="2"/>
      <c r="M22" s="2"/>
      <c r="N22" s="2">
        <v>6.0</v>
      </c>
      <c r="AQ22" s="2"/>
      <c r="AR22" s="2"/>
      <c r="AS22" s="2"/>
      <c r="AT22" s="2">
        <v>1.0</v>
      </c>
      <c r="AU22" s="2"/>
      <c r="AV22" s="2"/>
      <c r="AW22" s="2">
        <v>7.0</v>
      </c>
      <c r="BC22" s="2"/>
      <c r="BD22" s="2"/>
      <c r="BE22" s="2">
        <v>3.0</v>
      </c>
      <c r="BF22" s="2"/>
      <c r="BG22" s="2"/>
      <c r="BH22" s="2"/>
      <c r="BI22" s="2">
        <v>3.0</v>
      </c>
      <c r="BN22" s="2"/>
      <c r="BO22" s="2">
        <v>1.0</v>
      </c>
      <c r="CJ22" s="2"/>
      <c r="CK22" s="2">
        <v>2.0</v>
      </c>
      <c r="CQ22" s="15">
        <f t="shared" si="3"/>
        <v>25</v>
      </c>
    </row>
    <row r="23">
      <c r="A23" s="9">
        <v>45305.0</v>
      </c>
      <c r="B23" s="2" t="s">
        <v>207</v>
      </c>
      <c r="C23" s="2" t="s">
        <v>235</v>
      </c>
      <c r="D23" s="2">
        <v>3.0</v>
      </c>
      <c r="E23" s="2">
        <v>16.0</v>
      </c>
      <c r="F23" s="2">
        <v>2.0</v>
      </c>
      <c r="J23" s="2"/>
      <c r="K23" s="2"/>
      <c r="L23" s="2"/>
      <c r="M23" s="2"/>
      <c r="N23" s="2">
        <v>3.0</v>
      </c>
      <c r="AH23" s="2"/>
      <c r="AI23" s="2">
        <v>2.0</v>
      </c>
      <c r="AU23" s="2"/>
      <c r="AV23" s="2"/>
      <c r="AW23" s="2">
        <v>11.0</v>
      </c>
      <c r="BC23" s="2"/>
      <c r="BD23" s="2"/>
      <c r="BE23" s="2">
        <v>6.0</v>
      </c>
      <c r="BF23" s="2"/>
      <c r="BG23" s="2"/>
      <c r="BH23" s="2"/>
      <c r="BI23" s="2">
        <v>1.0</v>
      </c>
      <c r="CQ23" s="15">
        <f t="shared" si="3"/>
        <v>25</v>
      </c>
    </row>
    <row r="24">
      <c r="A24" s="9">
        <v>45305.0</v>
      </c>
      <c r="B24" s="2" t="s">
        <v>207</v>
      </c>
      <c r="C24" s="2" t="s">
        <v>235</v>
      </c>
      <c r="D24" s="2">
        <v>3.0</v>
      </c>
      <c r="E24" s="2">
        <v>18.0</v>
      </c>
      <c r="J24" s="2"/>
      <c r="K24" s="2"/>
      <c r="L24" s="2"/>
      <c r="M24" s="2"/>
      <c r="N24" s="2">
        <v>7.0</v>
      </c>
      <c r="O24" s="2"/>
      <c r="P24" s="2">
        <v>1.0</v>
      </c>
      <c r="AG24" s="2">
        <v>1.0</v>
      </c>
      <c r="AH24" s="2"/>
      <c r="AI24" s="2">
        <v>1.0</v>
      </c>
      <c r="AQ24" s="2"/>
      <c r="AR24" s="2"/>
      <c r="AS24" s="2"/>
      <c r="AT24" s="2">
        <v>1.0</v>
      </c>
      <c r="AU24" s="2"/>
      <c r="AV24" s="2">
        <v>1.0</v>
      </c>
      <c r="AW24" s="2">
        <v>1.0</v>
      </c>
      <c r="BF24" s="2"/>
      <c r="BG24" s="2"/>
      <c r="BH24" s="2"/>
      <c r="BI24" s="2">
        <v>2.0</v>
      </c>
      <c r="CH24" s="2"/>
      <c r="CI24" s="2">
        <v>3.0</v>
      </c>
      <c r="CJ24" s="2"/>
      <c r="CK24" s="2">
        <v>4.0</v>
      </c>
      <c r="CL24" s="2">
        <v>3.0</v>
      </c>
      <c r="CQ24" s="15">
        <f t="shared" si="3"/>
        <v>25</v>
      </c>
    </row>
    <row r="25">
      <c r="A25" s="9">
        <v>45305.0</v>
      </c>
      <c r="B25" s="2" t="s">
        <v>207</v>
      </c>
      <c r="C25" s="2" t="s">
        <v>235</v>
      </c>
      <c r="D25" s="2">
        <v>3.0</v>
      </c>
      <c r="E25" s="2">
        <v>20.0</v>
      </c>
      <c r="O25" s="2"/>
      <c r="P25" s="2">
        <v>1.0</v>
      </c>
      <c r="AH25" s="2"/>
      <c r="AI25" s="2">
        <v>2.0</v>
      </c>
      <c r="AU25" s="2"/>
      <c r="AV25" s="2"/>
      <c r="AW25" s="2">
        <v>1.0</v>
      </c>
      <c r="BF25" s="2"/>
      <c r="BG25" s="2"/>
      <c r="BH25" s="2"/>
      <c r="BI25" s="2">
        <v>5.0</v>
      </c>
      <c r="BQ25" s="2"/>
      <c r="BR25" s="2">
        <v>1.0</v>
      </c>
      <c r="CJ25" s="2"/>
      <c r="CK25" s="2">
        <v>11.0</v>
      </c>
      <c r="CL25" s="2">
        <v>4.0</v>
      </c>
      <c r="CQ25" s="15">
        <f t="shared" si="3"/>
        <v>25</v>
      </c>
    </row>
    <row r="26">
      <c r="A26" s="9">
        <v>45305.0</v>
      </c>
      <c r="B26" s="2" t="s">
        <v>207</v>
      </c>
      <c r="C26" s="2" t="s">
        <v>235</v>
      </c>
      <c r="D26" s="2">
        <v>3.0</v>
      </c>
      <c r="E26" s="2">
        <v>22.0</v>
      </c>
      <c r="O26" s="2"/>
      <c r="P26" s="2">
        <v>1.0</v>
      </c>
      <c r="AH26" s="2"/>
      <c r="AI26" s="2">
        <v>1.0</v>
      </c>
      <c r="BQ26" s="2"/>
      <c r="BR26" s="2">
        <v>5.0</v>
      </c>
      <c r="CJ26" s="2"/>
      <c r="CK26" s="2">
        <v>14.0</v>
      </c>
      <c r="CL26" s="2">
        <v>4.0</v>
      </c>
      <c r="CQ26" s="15">
        <f t="shared" si="3"/>
        <v>25</v>
      </c>
    </row>
    <row r="27">
      <c r="A27" s="9">
        <v>45305.0</v>
      </c>
      <c r="B27" s="2" t="s">
        <v>207</v>
      </c>
      <c r="C27" s="2" t="s">
        <v>148</v>
      </c>
      <c r="D27" s="2">
        <v>1.0</v>
      </c>
      <c r="E27" s="2">
        <v>22.0</v>
      </c>
      <c r="G27" s="2"/>
      <c r="AH27" s="2"/>
      <c r="AI27" s="2"/>
      <c r="AK27" s="2"/>
      <c r="AL27" s="2">
        <v>1.0</v>
      </c>
      <c r="AU27" s="2"/>
      <c r="AV27" s="2">
        <v>1.0</v>
      </c>
      <c r="BA27" s="2">
        <v>1.0</v>
      </c>
      <c r="BF27" s="2"/>
      <c r="BG27" s="2"/>
      <c r="BH27" s="2"/>
      <c r="BI27" s="2">
        <v>1.0</v>
      </c>
      <c r="CH27" s="2"/>
      <c r="CI27" s="2">
        <v>5.0</v>
      </c>
      <c r="CJ27" s="2"/>
      <c r="CK27" s="2">
        <v>13.0</v>
      </c>
      <c r="CL27" s="2">
        <v>3.0</v>
      </c>
      <c r="CQ27" s="15">
        <f t="shared" si="3"/>
        <v>25</v>
      </c>
    </row>
    <row r="28">
      <c r="A28" s="9">
        <v>45305.0</v>
      </c>
      <c r="B28" s="2" t="s">
        <v>207</v>
      </c>
      <c r="C28" s="2" t="s">
        <v>148</v>
      </c>
      <c r="D28" s="2">
        <v>1.0</v>
      </c>
      <c r="E28" s="2">
        <v>20.0</v>
      </c>
      <c r="J28" s="2"/>
      <c r="K28" s="2"/>
      <c r="L28" s="2"/>
      <c r="M28" s="2"/>
      <c r="N28" s="2">
        <v>5.0</v>
      </c>
      <c r="AH28" s="2"/>
      <c r="AI28" s="2"/>
      <c r="AK28" s="2"/>
      <c r="AL28" s="2">
        <v>3.0</v>
      </c>
      <c r="BF28" s="2"/>
      <c r="BG28" s="2"/>
      <c r="BH28" s="2"/>
      <c r="BI28" s="2">
        <v>11.0</v>
      </c>
      <c r="CH28" s="2"/>
      <c r="CI28" s="2">
        <v>5.0</v>
      </c>
      <c r="CJ28" s="2"/>
      <c r="CK28" s="2">
        <v>1.0</v>
      </c>
      <c r="CQ28" s="15">
        <f t="shared" si="3"/>
        <v>25</v>
      </c>
    </row>
    <row r="29">
      <c r="A29" s="9">
        <v>45305.0</v>
      </c>
      <c r="B29" s="2" t="s">
        <v>207</v>
      </c>
      <c r="C29" s="2" t="s">
        <v>148</v>
      </c>
      <c r="D29" s="2">
        <v>1.0</v>
      </c>
      <c r="E29" s="2">
        <v>18.0</v>
      </c>
      <c r="G29" s="2"/>
      <c r="J29" s="2"/>
      <c r="K29" s="2"/>
      <c r="L29" s="2"/>
      <c r="M29" s="2"/>
      <c r="N29" s="2">
        <v>5.0</v>
      </c>
      <c r="X29" s="2">
        <v>1.0</v>
      </c>
      <c r="AH29" s="2"/>
      <c r="AI29" s="2"/>
      <c r="AK29" s="2"/>
      <c r="AL29" s="2">
        <v>6.0</v>
      </c>
      <c r="AU29" s="2"/>
      <c r="AV29" s="2">
        <v>1.0</v>
      </c>
      <c r="BF29" s="2">
        <v>2.0</v>
      </c>
      <c r="BG29" s="2"/>
      <c r="BH29" s="2"/>
      <c r="BI29" s="2">
        <v>5.0</v>
      </c>
      <c r="CH29" s="2"/>
      <c r="CI29" s="2">
        <v>5.0</v>
      </c>
      <c r="CQ29" s="15">
        <f t="shared" si="3"/>
        <v>25</v>
      </c>
    </row>
    <row r="30">
      <c r="A30" s="9">
        <v>45305.0</v>
      </c>
      <c r="B30" s="2" t="s">
        <v>207</v>
      </c>
      <c r="C30" s="2" t="s">
        <v>148</v>
      </c>
      <c r="D30" s="2">
        <v>1.0</v>
      </c>
      <c r="E30" s="2">
        <v>16.0</v>
      </c>
      <c r="J30" s="2"/>
      <c r="K30" s="2"/>
      <c r="L30" s="2"/>
      <c r="M30" s="2"/>
      <c r="N30" s="2">
        <v>4.0</v>
      </c>
      <c r="AK30" s="2"/>
      <c r="AL30" s="2">
        <v>6.0</v>
      </c>
      <c r="AU30" s="2"/>
      <c r="AV30" s="2">
        <v>5.0</v>
      </c>
      <c r="BF30" s="2"/>
      <c r="BG30" s="2"/>
      <c r="BH30" s="2"/>
      <c r="BI30" s="2">
        <v>6.0</v>
      </c>
      <c r="CH30" s="2"/>
      <c r="CI30" s="2">
        <v>1.0</v>
      </c>
      <c r="CJ30" s="2"/>
      <c r="CK30" s="2">
        <v>3.0</v>
      </c>
      <c r="CQ30" s="15">
        <f t="shared" si="3"/>
        <v>25</v>
      </c>
    </row>
    <row r="31">
      <c r="A31" s="9">
        <v>45305.0</v>
      </c>
      <c r="B31" s="2" t="s">
        <v>207</v>
      </c>
      <c r="C31" s="2" t="s">
        <v>148</v>
      </c>
      <c r="D31" s="2">
        <v>1.0</v>
      </c>
      <c r="E31" s="2">
        <v>14.0</v>
      </c>
      <c r="AK31" s="2"/>
      <c r="AL31" s="2">
        <v>5.0</v>
      </c>
      <c r="AW31" s="2">
        <v>1.0</v>
      </c>
      <c r="BF31" s="2"/>
      <c r="BG31" s="2"/>
      <c r="BH31" s="2"/>
      <c r="BI31" s="2">
        <v>14.0</v>
      </c>
      <c r="BJ31" s="2">
        <v>2.0</v>
      </c>
      <c r="CJ31" s="2"/>
      <c r="CK31" s="2">
        <v>3.0</v>
      </c>
      <c r="CQ31" s="15">
        <f t="shared" si="3"/>
        <v>25</v>
      </c>
    </row>
    <row r="32">
      <c r="A32" s="9">
        <v>45305.0</v>
      </c>
      <c r="B32" s="2" t="s">
        <v>207</v>
      </c>
      <c r="C32" s="2" t="s">
        <v>148</v>
      </c>
      <c r="D32" s="2">
        <v>1.0</v>
      </c>
      <c r="E32" s="2">
        <v>12.0</v>
      </c>
      <c r="J32" s="2"/>
      <c r="K32" s="2"/>
      <c r="L32" s="2"/>
      <c r="M32" s="2"/>
      <c r="N32" s="2">
        <v>4.0</v>
      </c>
      <c r="Q32" s="2"/>
      <c r="R32" s="2">
        <v>1.0</v>
      </c>
      <c r="AW32" s="2">
        <v>6.0</v>
      </c>
      <c r="BC32" s="2"/>
      <c r="BD32" s="2"/>
      <c r="BE32" s="2">
        <v>2.0</v>
      </c>
      <c r="BF32" s="2"/>
      <c r="BG32" s="2"/>
      <c r="BH32" s="2"/>
      <c r="BI32" s="2">
        <v>11.0</v>
      </c>
      <c r="BZ32" s="2">
        <v>1.0</v>
      </c>
      <c r="CQ32" s="15">
        <f t="shared" si="3"/>
        <v>25</v>
      </c>
    </row>
    <row r="33">
      <c r="A33" s="9">
        <v>45305.0</v>
      </c>
      <c r="B33" s="2" t="s">
        <v>207</v>
      </c>
      <c r="C33" s="2" t="s">
        <v>148</v>
      </c>
      <c r="D33" s="2">
        <v>1.0</v>
      </c>
      <c r="E33" s="2">
        <v>10.0</v>
      </c>
      <c r="F33" s="2">
        <v>1.0</v>
      </c>
      <c r="G33" s="2">
        <v>2.0</v>
      </c>
      <c r="X33" s="2">
        <v>5.0</v>
      </c>
      <c r="AM33" s="2"/>
      <c r="AN33" s="2"/>
      <c r="AO33" s="2"/>
      <c r="AP33" s="2">
        <v>1.0</v>
      </c>
      <c r="AW33" s="2">
        <v>3.0</v>
      </c>
      <c r="BF33" s="2"/>
      <c r="BG33" s="2"/>
      <c r="BH33" s="2"/>
      <c r="BI33" s="2">
        <v>9.0</v>
      </c>
      <c r="BQ33" s="2"/>
      <c r="BR33" s="2">
        <v>2.0</v>
      </c>
      <c r="CJ33" s="2"/>
      <c r="CK33" s="2">
        <v>1.0</v>
      </c>
      <c r="CL33" s="2">
        <v>1.0</v>
      </c>
      <c r="CQ33" s="15">
        <f t="shared" si="3"/>
        <v>25</v>
      </c>
    </row>
    <row r="34">
      <c r="A34" s="9">
        <v>45305.0</v>
      </c>
      <c r="B34" s="2" t="s">
        <v>207</v>
      </c>
      <c r="C34" s="2" t="s">
        <v>199</v>
      </c>
      <c r="D34" s="2">
        <v>1.0</v>
      </c>
      <c r="E34" s="2">
        <v>8.0</v>
      </c>
      <c r="Q34" s="2"/>
      <c r="R34" s="2">
        <v>3.0</v>
      </c>
      <c r="S34" s="2"/>
      <c r="T34" s="2"/>
      <c r="U34" s="2"/>
      <c r="V34" s="2"/>
      <c r="W34" s="2">
        <v>1.0</v>
      </c>
      <c r="AM34" s="2"/>
      <c r="AN34" s="2"/>
      <c r="AO34" s="2"/>
      <c r="AP34" s="2">
        <v>1.0</v>
      </c>
      <c r="AQ34" s="2"/>
      <c r="AR34" s="2"/>
      <c r="AS34" s="2"/>
      <c r="AT34" s="2">
        <v>5.0</v>
      </c>
      <c r="BF34" s="2"/>
      <c r="BG34" s="2"/>
      <c r="BH34" s="2"/>
      <c r="BI34" s="2">
        <v>15.0</v>
      </c>
      <c r="CQ34" s="15">
        <f t="shared" si="3"/>
        <v>25</v>
      </c>
    </row>
    <row r="35">
      <c r="A35" s="9">
        <v>45305.0</v>
      </c>
      <c r="B35" s="2" t="s">
        <v>207</v>
      </c>
      <c r="C35" s="2" t="s">
        <v>199</v>
      </c>
      <c r="D35" s="2">
        <v>1.0</v>
      </c>
      <c r="E35" s="2">
        <v>6.0</v>
      </c>
      <c r="Q35" s="2"/>
      <c r="R35" s="2">
        <v>3.0</v>
      </c>
      <c r="AW35" s="2">
        <v>6.0</v>
      </c>
      <c r="AX35" s="2"/>
      <c r="AY35" s="2"/>
      <c r="AZ35" s="2"/>
      <c r="BB35" s="2">
        <v>5.0</v>
      </c>
      <c r="BC35" s="2"/>
      <c r="BD35" s="2"/>
      <c r="BE35" s="2">
        <v>1.0</v>
      </c>
      <c r="BF35" s="2"/>
      <c r="BG35" s="2"/>
      <c r="BH35" s="2"/>
      <c r="BI35" s="2">
        <v>6.0</v>
      </c>
      <c r="BJ35" s="2">
        <v>4.0</v>
      </c>
      <c r="CQ35" s="15">
        <f t="shared" si="3"/>
        <v>25</v>
      </c>
    </row>
    <row r="36">
      <c r="A36" s="9">
        <v>45305.0</v>
      </c>
      <c r="B36" s="2" t="s">
        <v>207</v>
      </c>
      <c r="C36" s="2" t="s">
        <v>199</v>
      </c>
      <c r="D36" s="2">
        <v>1.0</v>
      </c>
      <c r="E36" s="2">
        <v>4.0</v>
      </c>
      <c r="J36" s="2"/>
      <c r="K36" s="2"/>
      <c r="L36" s="2"/>
      <c r="M36" s="2"/>
      <c r="N36" s="2">
        <v>9.0</v>
      </c>
      <c r="Q36" s="2"/>
      <c r="R36" s="2">
        <v>10.0</v>
      </c>
      <c r="S36" s="2"/>
      <c r="T36" s="2"/>
      <c r="U36" s="2"/>
      <c r="V36" s="2"/>
      <c r="W36" s="2">
        <v>2.0</v>
      </c>
      <c r="AW36" s="2">
        <v>4.0</v>
      </c>
      <c r="CQ36" s="15">
        <f t="shared" si="3"/>
        <v>25</v>
      </c>
    </row>
    <row r="37">
      <c r="A37" s="9">
        <v>45305.0</v>
      </c>
      <c r="B37" s="2" t="s">
        <v>207</v>
      </c>
      <c r="C37" s="2" t="s">
        <v>199</v>
      </c>
      <c r="D37" s="2">
        <v>1.0</v>
      </c>
      <c r="E37" s="2">
        <v>2.0</v>
      </c>
      <c r="J37" s="2"/>
      <c r="K37" s="2"/>
      <c r="L37" s="2"/>
      <c r="M37" s="2"/>
      <c r="N37" s="2">
        <v>4.0</v>
      </c>
      <c r="Q37" s="2"/>
      <c r="R37" s="2">
        <v>3.0</v>
      </c>
      <c r="AW37" s="2">
        <v>15.0</v>
      </c>
      <c r="CH37" s="2"/>
      <c r="CI37" s="2">
        <v>3.0</v>
      </c>
      <c r="CQ37" s="15">
        <f t="shared" si="3"/>
        <v>25</v>
      </c>
    </row>
    <row r="38">
      <c r="A38" s="9">
        <v>45305.0</v>
      </c>
      <c r="B38" s="2" t="s">
        <v>207</v>
      </c>
      <c r="C38" s="2" t="s">
        <v>199</v>
      </c>
      <c r="D38" s="2">
        <v>1.0</v>
      </c>
      <c r="E38" s="2">
        <v>0.0</v>
      </c>
      <c r="J38" s="2"/>
      <c r="K38" s="2"/>
      <c r="L38" s="2"/>
      <c r="M38" s="2"/>
      <c r="N38" s="2">
        <v>6.0</v>
      </c>
      <c r="AG38" s="2">
        <v>1.0</v>
      </c>
      <c r="AW38" s="2">
        <v>4.0</v>
      </c>
      <c r="CJ38" s="2"/>
      <c r="CK38" s="2">
        <v>14.0</v>
      </c>
      <c r="CQ38" s="15">
        <f t="shared" si="3"/>
        <v>25</v>
      </c>
    </row>
    <row r="39">
      <c r="A39" s="22">
        <v>45318.0</v>
      </c>
      <c r="B39" s="23" t="s">
        <v>237</v>
      </c>
      <c r="C39" s="23" t="s">
        <v>97</v>
      </c>
      <c r="D39" s="24">
        <v>3.0</v>
      </c>
      <c r="E39" s="25">
        <v>13.0</v>
      </c>
      <c r="CJ39" s="2"/>
      <c r="CK39" s="2">
        <v>25.0</v>
      </c>
      <c r="CQ39" s="15">
        <f t="shared" si="3"/>
        <v>25</v>
      </c>
    </row>
    <row r="40">
      <c r="A40" s="22">
        <v>45318.0</v>
      </c>
      <c r="B40" s="23" t="s">
        <v>237</v>
      </c>
      <c r="C40" s="23" t="s">
        <v>97</v>
      </c>
      <c r="D40" s="24">
        <v>3.0</v>
      </c>
      <c r="E40" s="25">
        <v>12.0</v>
      </c>
      <c r="J40" s="2"/>
      <c r="K40" s="2"/>
      <c r="L40" s="2">
        <v>2.0</v>
      </c>
      <c r="BQ40" s="2"/>
      <c r="BR40" s="2">
        <v>1.0</v>
      </c>
      <c r="CM40" s="2">
        <v>22.0</v>
      </c>
      <c r="CQ40" s="15">
        <f t="shared" si="3"/>
        <v>25</v>
      </c>
    </row>
    <row r="41">
      <c r="A41" s="22">
        <v>45318.0</v>
      </c>
      <c r="B41" s="23" t="s">
        <v>237</v>
      </c>
      <c r="C41" s="23" t="s">
        <v>97</v>
      </c>
      <c r="D41" s="24">
        <v>3.0</v>
      </c>
      <c r="E41" s="25">
        <v>11.0</v>
      </c>
      <c r="AX41" s="2">
        <v>1.0</v>
      </c>
      <c r="BF41" s="25"/>
      <c r="BG41" s="25"/>
      <c r="BH41" s="25"/>
      <c r="BI41" s="25">
        <v>3.0</v>
      </c>
      <c r="BQ41" s="2"/>
      <c r="BR41" s="2">
        <v>4.0</v>
      </c>
      <c r="CH41" s="2"/>
      <c r="CI41" s="2">
        <v>6.0</v>
      </c>
      <c r="CJ41" s="2"/>
      <c r="CK41" s="2">
        <v>11.0</v>
      </c>
      <c r="CQ41" s="15">
        <f t="shared" si="3"/>
        <v>25</v>
      </c>
    </row>
    <row r="42">
      <c r="A42" s="22">
        <v>45318.0</v>
      </c>
      <c r="B42" s="23" t="s">
        <v>237</v>
      </c>
      <c r="C42" s="23" t="s">
        <v>97</v>
      </c>
      <c r="D42" s="24">
        <v>3.0</v>
      </c>
      <c r="E42" s="25">
        <v>10.0</v>
      </c>
      <c r="BF42" s="26"/>
      <c r="BG42" s="26"/>
      <c r="BH42" s="26"/>
      <c r="BI42" s="26">
        <v>1.0</v>
      </c>
      <c r="BQ42" s="2"/>
      <c r="BR42" s="2">
        <v>14.0</v>
      </c>
      <c r="CJ42" s="2"/>
      <c r="CK42" s="2">
        <v>10.0</v>
      </c>
      <c r="CQ42" s="15">
        <f t="shared" si="3"/>
        <v>25</v>
      </c>
    </row>
    <row r="43">
      <c r="A43" s="22">
        <v>45318.0</v>
      </c>
      <c r="B43" s="23" t="s">
        <v>237</v>
      </c>
      <c r="C43" s="23" t="s">
        <v>97</v>
      </c>
      <c r="D43" s="24">
        <v>3.0</v>
      </c>
      <c r="E43" s="25">
        <v>9.0</v>
      </c>
      <c r="O43" s="2"/>
      <c r="P43" s="2">
        <v>1.0</v>
      </c>
      <c r="AQ43" s="2">
        <v>2.0</v>
      </c>
      <c r="AR43" s="2"/>
      <c r="AX43" s="2">
        <v>2.0</v>
      </c>
      <c r="BF43" s="25"/>
      <c r="BG43" s="25"/>
      <c r="BH43" s="25"/>
      <c r="BI43" s="25">
        <v>4.0</v>
      </c>
      <c r="BQ43" s="2"/>
      <c r="BR43" s="2">
        <v>2.0</v>
      </c>
      <c r="CJ43" s="2"/>
      <c r="CK43" s="2">
        <v>14.0</v>
      </c>
      <c r="CQ43" s="15">
        <f t="shared" si="3"/>
        <v>25</v>
      </c>
    </row>
    <row r="44">
      <c r="A44" s="22">
        <v>45318.0</v>
      </c>
      <c r="B44" s="23" t="s">
        <v>237</v>
      </c>
      <c r="C44" s="23" t="s">
        <v>97</v>
      </c>
      <c r="D44" s="24">
        <v>3.0</v>
      </c>
      <c r="E44" s="25">
        <v>8.0</v>
      </c>
      <c r="O44" s="2"/>
      <c r="P44" s="2">
        <v>2.0</v>
      </c>
      <c r="Q44" s="2"/>
      <c r="R44" s="2">
        <v>1.0</v>
      </c>
      <c r="AX44" s="2">
        <v>1.0</v>
      </c>
      <c r="BF44" s="25"/>
      <c r="BG44" s="25"/>
      <c r="BH44" s="25"/>
      <c r="BI44" s="25">
        <v>8.0</v>
      </c>
      <c r="CJ44" s="2"/>
      <c r="CK44" s="2">
        <v>13.0</v>
      </c>
      <c r="CQ44" s="15">
        <f t="shared" si="3"/>
        <v>25</v>
      </c>
    </row>
    <row r="45">
      <c r="A45" s="22">
        <v>45318.0</v>
      </c>
      <c r="B45" s="23" t="s">
        <v>237</v>
      </c>
      <c r="C45" s="23" t="s">
        <v>97</v>
      </c>
      <c r="D45" s="24">
        <v>3.0</v>
      </c>
      <c r="E45" s="25">
        <v>7.0</v>
      </c>
      <c r="O45" s="2"/>
      <c r="P45" s="2">
        <v>2.0</v>
      </c>
      <c r="AX45" s="2">
        <v>2.0</v>
      </c>
      <c r="BF45" s="25"/>
      <c r="BG45" s="25"/>
      <c r="BH45" s="25"/>
      <c r="BI45" s="25">
        <v>12.0</v>
      </c>
      <c r="BL45" s="2">
        <v>3.0</v>
      </c>
      <c r="CH45" s="2"/>
      <c r="CI45" s="2">
        <v>3.0</v>
      </c>
      <c r="CJ45" s="2"/>
      <c r="CK45" s="2">
        <v>3.0</v>
      </c>
      <c r="CQ45" s="15">
        <f t="shared" si="3"/>
        <v>25</v>
      </c>
    </row>
    <row r="46">
      <c r="A46" s="22">
        <v>45318.0</v>
      </c>
      <c r="B46" s="23" t="s">
        <v>237</v>
      </c>
      <c r="C46" s="23" t="s">
        <v>97</v>
      </c>
      <c r="D46" s="24">
        <v>3.0</v>
      </c>
      <c r="E46" s="25">
        <v>6.0</v>
      </c>
      <c r="Q46" s="2"/>
      <c r="R46" s="2">
        <v>4.0</v>
      </c>
      <c r="BC46" s="2"/>
      <c r="BD46" s="2">
        <v>1.0</v>
      </c>
      <c r="BE46" s="2">
        <v>3.0</v>
      </c>
      <c r="BF46" s="25"/>
      <c r="BG46" s="25"/>
      <c r="BH46" s="25"/>
      <c r="BI46" s="25">
        <v>14.0</v>
      </c>
      <c r="CJ46" s="2"/>
      <c r="CK46" s="2">
        <v>3.0</v>
      </c>
      <c r="CQ46" s="15">
        <f t="shared" si="3"/>
        <v>25</v>
      </c>
    </row>
    <row r="47">
      <c r="A47" s="22">
        <v>45318.0</v>
      </c>
      <c r="B47" s="23" t="s">
        <v>237</v>
      </c>
      <c r="C47" s="23" t="s">
        <v>97</v>
      </c>
      <c r="D47" s="24">
        <v>3.0</v>
      </c>
      <c r="E47" s="25">
        <v>5.0</v>
      </c>
      <c r="Q47" s="2"/>
      <c r="R47" s="2">
        <v>2.0</v>
      </c>
      <c r="AX47" s="2">
        <v>1.0</v>
      </c>
      <c r="BC47" s="2"/>
      <c r="BD47" s="2">
        <v>6.0</v>
      </c>
      <c r="BF47" s="25"/>
      <c r="BG47" s="25"/>
      <c r="BH47" s="25"/>
      <c r="BI47" s="25">
        <v>7.0</v>
      </c>
      <c r="CJ47" s="2"/>
      <c r="CK47" s="2">
        <v>4.0</v>
      </c>
      <c r="CM47" s="2">
        <v>5.0</v>
      </c>
      <c r="CQ47" s="15">
        <f t="shared" si="3"/>
        <v>25</v>
      </c>
    </row>
    <row r="48">
      <c r="A48" s="22">
        <v>45318.0</v>
      </c>
      <c r="B48" s="23" t="s">
        <v>237</v>
      </c>
      <c r="C48" s="23" t="s">
        <v>97</v>
      </c>
      <c r="D48" s="24">
        <v>3.0</v>
      </c>
      <c r="E48" s="25">
        <v>4.0</v>
      </c>
      <c r="Q48" s="2"/>
      <c r="R48" s="2">
        <v>1.0</v>
      </c>
      <c r="BL48" s="2">
        <v>12.0</v>
      </c>
      <c r="BM48" s="2">
        <v>11.0</v>
      </c>
      <c r="CJ48" s="2"/>
      <c r="CK48" s="2">
        <v>1.0</v>
      </c>
      <c r="CQ48" s="15">
        <f t="shared" si="3"/>
        <v>25</v>
      </c>
    </row>
    <row r="49">
      <c r="A49" s="22">
        <v>45318.0</v>
      </c>
      <c r="B49" s="23" t="s">
        <v>237</v>
      </c>
      <c r="C49" s="2" t="s">
        <v>97</v>
      </c>
      <c r="D49" s="2">
        <v>3.0</v>
      </c>
      <c r="E49" s="2">
        <v>3.0</v>
      </c>
      <c r="F49" s="2">
        <v>2.0</v>
      </c>
      <c r="AK49" s="2"/>
      <c r="AL49" s="2">
        <v>1.0</v>
      </c>
      <c r="AX49" s="2">
        <v>4.0</v>
      </c>
      <c r="AY49" s="2">
        <v>4.0</v>
      </c>
      <c r="BC49" s="2"/>
      <c r="BD49" s="2">
        <v>1.0</v>
      </c>
      <c r="BK49" s="2">
        <v>2.0</v>
      </c>
      <c r="BL49" s="2">
        <v>4.0</v>
      </c>
      <c r="CJ49" s="2"/>
      <c r="CK49" s="2">
        <v>7.0</v>
      </c>
      <c r="CQ49" s="15">
        <f t="shared" si="3"/>
        <v>25</v>
      </c>
    </row>
    <row r="50">
      <c r="A50" s="9">
        <v>45318.0</v>
      </c>
      <c r="B50" s="2" t="s">
        <v>237</v>
      </c>
      <c r="C50" s="2" t="s">
        <v>117</v>
      </c>
      <c r="D50" s="2">
        <v>1.0</v>
      </c>
      <c r="E50" s="2">
        <v>3.0</v>
      </c>
      <c r="AK50" s="2"/>
      <c r="AL50" s="2">
        <v>4.0</v>
      </c>
      <c r="AX50" s="2"/>
      <c r="AY50" s="2">
        <v>12.0</v>
      </c>
      <c r="BK50" s="2">
        <v>3.0</v>
      </c>
      <c r="BL50" s="2">
        <v>5.0</v>
      </c>
      <c r="CJ50" s="2"/>
      <c r="CK50" s="2">
        <v>1.0</v>
      </c>
      <c r="CQ50" s="15">
        <f t="shared" si="3"/>
        <v>25</v>
      </c>
    </row>
    <row r="51">
      <c r="A51" s="9">
        <v>45318.0</v>
      </c>
      <c r="B51" s="2" t="s">
        <v>237</v>
      </c>
      <c r="C51" s="2" t="s">
        <v>117</v>
      </c>
      <c r="D51" s="2">
        <v>1.0</v>
      </c>
      <c r="E51" s="2">
        <v>4.0</v>
      </c>
      <c r="AX51" s="2"/>
      <c r="AY51" s="2">
        <v>1.0</v>
      </c>
      <c r="BK51" s="2">
        <v>14.0</v>
      </c>
      <c r="BL51" s="2">
        <v>5.0</v>
      </c>
      <c r="CJ51" s="2"/>
      <c r="CK51" s="2">
        <v>6.0</v>
      </c>
      <c r="CQ51" s="15">
        <f t="shared" si="3"/>
        <v>26</v>
      </c>
    </row>
    <row r="52">
      <c r="A52" s="9">
        <v>45318.0</v>
      </c>
      <c r="B52" s="2" t="s">
        <v>237</v>
      </c>
      <c r="C52" s="2" t="s">
        <v>117</v>
      </c>
      <c r="D52" s="2">
        <v>1.0</v>
      </c>
      <c r="E52" s="2">
        <v>5.0</v>
      </c>
      <c r="Q52" s="2"/>
      <c r="R52" s="2">
        <v>1.0</v>
      </c>
      <c r="BF52" s="2"/>
      <c r="BG52" s="2"/>
      <c r="BH52" s="2"/>
      <c r="BI52" s="2">
        <v>4.0</v>
      </c>
      <c r="BK52" s="2">
        <v>9.0</v>
      </c>
      <c r="BL52" s="2">
        <v>10.0</v>
      </c>
      <c r="CJ52" s="2"/>
      <c r="CK52" s="2">
        <v>1.0</v>
      </c>
      <c r="CQ52" s="15">
        <f t="shared" si="3"/>
        <v>25</v>
      </c>
    </row>
    <row r="53">
      <c r="A53" s="9">
        <v>45318.0</v>
      </c>
      <c r="B53" s="2" t="s">
        <v>237</v>
      </c>
      <c r="C53" s="2" t="s">
        <v>117</v>
      </c>
      <c r="D53" s="2">
        <v>1.0</v>
      </c>
      <c r="E53" s="2">
        <v>6.0</v>
      </c>
      <c r="BF53" s="2"/>
      <c r="BG53" s="2"/>
      <c r="BH53" s="2"/>
      <c r="BI53" s="2">
        <v>17.0</v>
      </c>
      <c r="BL53" s="2">
        <v>1.0</v>
      </c>
      <c r="BQ53" s="2"/>
      <c r="BR53" s="2">
        <v>7.0</v>
      </c>
      <c r="CQ53" s="15">
        <f t="shared" si="3"/>
        <v>25</v>
      </c>
    </row>
    <row r="54">
      <c r="A54" s="9">
        <v>45318.0</v>
      </c>
      <c r="B54" s="2" t="s">
        <v>237</v>
      </c>
      <c r="C54" s="2" t="s">
        <v>117</v>
      </c>
      <c r="D54" s="2">
        <v>1.0</v>
      </c>
      <c r="E54" s="2">
        <v>7.0</v>
      </c>
      <c r="AW54" s="2">
        <v>7.0</v>
      </c>
      <c r="BF54" s="2"/>
      <c r="BG54" s="2"/>
      <c r="BH54" s="2"/>
      <c r="BI54" s="2">
        <v>13.0</v>
      </c>
      <c r="BQ54" s="2"/>
      <c r="BR54" s="2">
        <v>5.0</v>
      </c>
      <c r="CQ54" s="15">
        <f t="shared" si="3"/>
        <v>25</v>
      </c>
    </row>
    <row r="55">
      <c r="A55" s="9">
        <v>45318.0</v>
      </c>
      <c r="B55" s="2" t="s">
        <v>237</v>
      </c>
      <c r="C55" s="2" t="s">
        <v>117</v>
      </c>
      <c r="D55" s="2">
        <v>1.0</v>
      </c>
      <c r="E55" s="2">
        <v>8.0</v>
      </c>
      <c r="AQ55" s="2">
        <v>3.0</v>
      </c>
      <c r="AR55" s="2"/>
      <c r="BF55" s="2"/>
      <c r="BG55" s="2"/>
      <c r="BH55" s="2"/>
      <c r="BI55" s="2">
        <v>6.0</v>
      </c>
      <c r="BL55" s="2">
        <v>7.0</v>
      </c>
      <c r="BQ55" s="2"/>
      <c r="BR55" s="2">
        <v>9.0</v>
      </c>
      <c r="CQ55" s="15">
        <f t="shared" si="3"/>
        <v>25</v>
      </c>
    </row>
    <row r="56">
      <c r="A56" s="9">
        <v>45318.0</v>
      </c>
      <c r="B56" s="2" t="s">
        <v>237</v>
      </c>
      <c r="C56" s="2" t="s">
        <v>117</v>
      </c>
      <c r="D56" s="2">
        <v>1.0</v>
      </c>
      <c r="E56" s="2">
        <v>9.0</v>
      </c>
      <c r="AQ56" s="2">
        <v>2.0</v>
      </c>
      <c r="AR56" s="2"/>
      <c r="BF56" s="2"/>
      <c r="BG56" s="2"/>
      <c r="BH56" s="2"/>
      <c r="BI56" s="2">
        <v>3.0</v>
      </c>
      <c r="BL56" s="2">
        <v>2.0</v>
      </c>
      <c r="BQ56" s="2"/>
      <c r="BR56" s="2">
        <v>18.0</v>
      </c>
      <c r="CQ56" s="15">
        <f t="shared" si="3"/>
        <v>25</v>
      </c>
    </row>
    <row r="57">
      <c r="A57" s="9">
        <v>45318.0</v>
      </c>
      <c r="B57" s="2" t="s">
        <v>237</v>
      </c>
      <c r="C57" s="2" t="s">
        <v>117</v>
      </c>
      <c r="D57" s="2">
        <v>1.0</v>
      </c>
      <c r="E57" s="2">
        <v>10.0</v>
      </c>
      <c r="BF57" s="2"/>
      <c r="BG57" s="2"/>
      <c r="BH57" s="2"/>
      <c r="BI57" s="2">
        <v>5.0</v>
      </c>
      <c r="BQ57" s="2"/>
      <c r="BR57" s="2">
        <v>15.0</v>
      </c>
      <c r="CJ57" s="2"/>
      <c r="CK57" s="2">
        <v>5.0</v>
      </c>
      <c r="CQ57" s="15">
        <f t="shared" si="3"/>
        <v>25</v>
      </c>
    </row>
    <row r="58">
      <c r="A58" s="9">
        <v>45318.0</v>
      </c>
      <c r="B58" s="2" t="s">
        <v>237</v>
      </c>
      <c r="C58" s="2" t="s">
        <v>117</v>
      </c>
      <c r="D58" s="2">
        <v>1.0</v>
      </c>
      <c r="E58" s="2">
        <v>11.0</v>
      </c>
      <c r="BF58" s="2"/>
      <c r="BG58" s="2"/>
      <c r="BH58" s="2"/>
      <c r="BI58" s="2">
        <v>2.0</v>
      </c>
      <c r="BQ58" s="2"/>
      <c r="BR58" s="2">
        <v>4.0</v>
      </c>
      <c r="BT58" s="2"/>
      <c r="BU58" s="2"/>
      <c r="BV58" s="2"/>
      <c r="BW58" s="2">
        <v>2.0</v>
      </c>
      <c r="CJ58" s="2"/>
      <c r="CK58" s="2">
        <v>14.0</v>
      </c>
      <c r="CM58" s="2">
        <v>3.0</v>
      </c>
      <c r="CQ58" s="15">
        <f t="shared" si="3"/>
        <v>25</v>
      </c>
    </row>
    <row r="59">
      <c r="A59" s="9">
        <v>45318.0</v>
      </c>
      <c r="B59" s="2" t="s">
        <v>237</v>
      </c>
      <c r="C59" s="2" t="s">
        <v>117</v>
      </c>
      <c r="D59" s="2">
        <v>1.0</v>
      </c>
      <c r="E59" s="2">
        <v>12.0</v>
      </c>
      <c r="CJ59" s="2"/>
      <c r="CK59" s="2">
        <v>25.0</v>
      </c>
      <c r="CQ59" s="15">
        <f t="shared" si="3"/>
        <v>25</v>
      </c>
    </row>
    <row r="60">
      <c r="A60" s="9">
        <v>45318.0</v>
      </c>
      <c r="B60" s="2" t="s">
        <v>237</v>
      </c>
      <c r="C60" s="2" t="s">
        <v>117</v>
      </c>
      <c r="D60" s="2">
        <v>1.0</v>
      </c>
      <c r="E60" s="2">
        <v>13.0</v>
      </c>
      <c r="CE60" s="2"/>
      <c r="CG60" s="2">
        <v>1.0</v>
      </c>
      <c r="CJ60" s="2"/>
      <c r="CK60" s="2">
        <v>24.0</v>
      </c>
      <c r="CQ60" s="15">
        <f t="shared" si="3"/>
        <v>25</v>
      </c>
    </row>
    <row r="61">
      <c r="A61" s="9">
        <v>45318.0</v>
      </c>
      <c r="B61" s="2" t="s">
        <v>233</v>
      </c>
      <c r="C61" s="2" t="s">
        <v>129</v>
      </c>
      <c r="D61" s="2">
        <v>4.0</v>
      </c>
      <c r="E61" s="2">
        <v>1.0</v>
      </c>
      <c r="BC61" s="2"/>
      <c r="BD61" s="2">
        <v>1.0</v>
      </c>
      <c r="BK61" s="2">
        <v>18.0</v>
      </c>
      <c r="BP61" s="2">
        <v>3.0</v>
      </c>
      <c r="CJ61" s="2"/>
      <c r="CK61" s="2">
        <v>3.0</v>
      </c>
      <c r="CQ61" s="15">
        <f t="shared" ref="CQ61:CQ71" si="4">sum(F61:CN61)</f>
        <v>25</v>
      </c>
    </row>
    <row r="62">
      <c r="A62" s="9">
        <v>45318.0</v>
      </c>
      <c r="B62" s="2" t="s">
        <v>233</v>
      </c>
      <c r="C62" s="2" t="s">
        <v>129</v>
      </c>
      <c r="D62" s="2">
        <v>4.0</v>
      </c>
      <c r="E62" s="2">
        <v>2.0</v>
      </c>
      <c r="AW62" s="2">
        <v>1.0</v>
      </c>
      <c r="BF62" s="2"/>
      <c r="BG62" s="2"/>
      <c r="BH62" s="2"/>
      <c r="BI62" s="2">
        <v>4.0</v>
      </c>
      <c r="BK62" s="2">
        <v>5.0</v>
      </c>
      <c r="BL62" s="2">
        <v>13.0</v>
      </c>
      <c r="CJ62" s="2"/>
      <c r="CK62" s="2">
        <v>2.0</v>
      </c>
      <c r="CQ62" s="15">
        <f t="shared" si="4"/>
        <v>25</v>
      </c>
    </row>
    <row r="63">
      <c r="A63" s="9">
        <v>45318.0</v>
      </c>
      <c r="B63" s="2" t="s">
        <v>233</v>
      </c>
      <c r="C63" s="2" t="s">
        <v>129</v>
      </c>
      <c r="D63" s="2">
        <v>4.0</v>
      </c>
      <c r="E63" s="2">
        <v>3.0</v>
      </c>
      <c r="O63" s="2"/>
      <c r="P63" s="2">
        <v>1.0</v>
      </c>
      <c r="AS63" s="2"/>
      <c r="AT63" s="2">
        <v>2.0</v>
      </c>
      <c r="AW63" s="2">
        <v>1.0</v>
      </c>
      <c r="BC63" s="2"/>
      <c r="BD63" s="2">
        <v>2.0</v>
      </c>
      <c r="BF63" s="2"/>
      <c r="BG63" s="2"/>
      <c r="BH63" s="2"/>
      <c r="BI63" s="2">
        <v>7.0</v>
      </c>
      <c r="BL63" s="2">
        <v>6.0</v>
      </c>
      <c r="BQ63" s="2"/>
      <c r="BR63" s="2">
        <v>6.0</v>
      </c>
      <c r="CQ63" s="15">
        <f t="shared" si="4"/>
        <v>25</v>
      </c>
    </row>
    <row r="64">
      <c r="A64" s="9">
        <v>45318.0</v>
      </c>
      <c r="B64" s="2" t="s">
        <v>233</v>
      </c>
      <c r="C64" s="2" t="s">
        <v>129</v>
      </c>
      <c r="D64" s="2">
        <v>4.0</v>
      </c>
      <c r="E64" s="2">
        <v>4.0</v>
      </c>
      <c r="BF64" s="2"/>
      <c r="BG64" s="2"/>
      <c r="BH64" s="2"/>
      <c r="BI64" s="2">
        <v>25.0</v>
      </c>
      <c r="CQ64" s="15">
        <f t="shared" si="4"/>
        <v>25</v>
      </c>
    </row>
    <row r="65">
      <c r="A65" s="9">
        <v>45318.0</v>
      </c>
      <c r="B65" s="2" t="s">
        <v>233</v>
      </c>
      <c r="C65" s="2" t="s">
        <v>129</v>
      </c>
      <c r="D65" s="2">
        <v>4.0</v>
      </c>
      <c r="E65" s="2">
        <v>5.0</v>
      </c>
      <c r="O65" s="2"/>
      <c r="P65" s="2">
        <v>1.0</v>
      </c>
      <c r="AK65" s="2"/>
      <c r="AL65" s="2">
        <v>1.0</v>
      </c>
      <c r="AS65" s="2"/>
      <c r="AT65" s="2">
        <v>2.0</v>
      </c>
      <c r="AW65" s="2">
        <v>2.0</v>
      </c>
      <c r="BF65" s="2"/>
      <c r="BG65" s="2"/>
      <c r="BH65" s="2"/>
      <c r="BI65" s="2">
        <v>9.0</v>
      </c>
      <c r="BL65" s="2">
        <v>7.0</v>
      </c>
      <c r="CJ65" s="2"/>
      <c r="CK65" s="2">
        <v>3.0</v>
      </c>
      <c r="CQ65" s="15">
        <f t="shared" si="4"/>
        <v>25</v>
      </c>
    </row>
    <row r="66">
      <c r="A66" s="9">
        <v>45318.0</v>
      </c>
      <c r="B66" s="2" t="s">
        <v>233</v>
      </c>
      <c r="C66" s="2" t="s">
        <v>129</v>
      </c>
      <c r="D66" s="2">
        <v>4.0</v>
      </c>
      <c r="E66" s="2">
        <v>6.0</v>
      </c>
      <c r="AQ66" s="2">
        <v>1.0</v>
      </c>
      <c r="AR66" s="2"/>
      <c r="AU66" s="2"/>
      <c r="AV66" s="2">
        <v>3.0</v>
      </c>
      <c r="BF66" s="2"/>
      <c r="BG66" s="2"/>
      <c r="BH66" s="2"/>
      <c r="BI66" s="2">
        <v>11.0</v>
      </c>
      <c r="BL66" s="2">
        <v>3.0</v>
      </c>
      <c r="CJ66" s="2"/>
      <c r="CK66" s="2">
        <v>7.0</v>
      </c>
      <c r="CQ66" s="15">
        <f t="shared" si="4"/>
        <v>25</v>
      </c>
    </row>
    <row r="67">
      <c r="A67" s="9">
        <v>45318.0</v>
      </c>
      <c r="B67" s="2" t="s">
        <v>233</v>
      </c>
      <c r="C67" s="2" t="s">
        <v>129</v>
      </c>
      <c r="D67" s="2">
        <v>4.0</v>
      </c>
      <c r="E67" s="2">
        <v>7.0</v>
      </c>
      <c r="O67" s="2"/>
      <c r="P67" s="2">
        <v>1.0</v>
      </c>
      <c r="AQ67" s="2">
        <v>2.0</v>
      </c>
      <c r="AR67" s="2"/>
      <c r="BC67" s="2"/>
      <c r="BD67" s="2">
        <v>1.0</v>
      </c>
      <c r="BF67" s="2"/>
      <c r="BG67" s="2"/>
      <c r="BH67" s="2"/>
      <c r="BI67" s="2">
        <v>9.0</v>
      </c>
      <c r="BQ67" s="2"/>
      <c r="BR67" s="2">
        <v>2.0</v>
      </c>
      <c r="CJ67" s="2"/>
      <c r="CK67" s="2">
        <v>10.0</v>
      </c>
      <c r="CQ67" s="15">
        <f t="shared" si="4"/>
        <v>25</v>
      </c>
    </row>
    <row r="68">
      <c r="A68" s="9">
        <v>45318.0</v>
      </c>
      <c r="B68" s="2" t="s">
        <v>233</v>
      </c>
      <c r="C68" s="2" t="s">
        <v>129</v>
      </c>
      <c r="D68" s="2">
        <v>4.0</v>
      </c>
      <c r="E68" s="2">
        <v>8.0</v>
      </c>
      <c r="O68" s="2"/>
      <c r="P68" s="2">
        <v>1.0</v>
      </c>
      <c r="AU68" s="2"/>
      <c r="AV68" s="2">
        <v>8.0</v>
      </c>
      <c r="BF68" s="2"/>
      <c r="BG68" s="2"/>
      <c r="BH68" s="2"/>
      <c r="BI68" s="2">
        <v>6.0</v>
      </c>
      <c r="BQ68" s="2"/>
      <c r="BR68" s="2">
        <v>1.0</v>
      </c>
      <c r="CJ68" s="2"/>
      <c r="CK68" s="2">
        <v>9.0</v>
      </c>
      <c r="CQ68" s="15">
        <f t="shared" si="4"/>
        <v>25</v>
      </c>
    </row>
    <row r="69">
      <c r="A69" s="9">
        <v>45318.0</v>
      </c>
      <c r="B69" s="2" t="s">
        <v>233</v>
      </c>
      <c r="C69" s="2" t="s">
        <v>129</v>
      </c>
      <c r="D69" s="2">
        <v>4.0</v>
      </c>
      <c r="E69" s="2">
        <v>9.0</v>
      </c>
      <c r="BC69" s="2"/>
      <c r="BD69" s="2">
        <v>19.0</v>
      </c>
      <c r="BQ69" s="2"/>
      <c r="BR69" s="2">
        <v>4.0</v>
      </c>
      <c r="CJ69" s="2"/>
      <c r="CK69" s="2">
        <v>2.0</v>
      </c>
      <c r="CQ69" s="15">
        <f t="shared" si="4"/>
        <v>25</v>
      </c>
    </row>
    <row r="70">
      <c r="A70" s="9">
        <v>45318.0</v>
      </c>
      <c r="B70" s="2" t="s">
        <v>233</v>
      </c>
      <c r="C70" s="2" t="s">
        <v>129</v>
      </c>
      <c r="D70" s="2">
        <v>4.0</v>
      </c>
      <c r="E70" s="2">
        <v>10.0</v>
      </c>
      <c r="CJ70" s="2"/>
      <c r="CK70" s="2">
        <v>25.0</v>
      </c>
      <c r="CQ70" s="15">
        <f t="shared" si="4"/>
        <v>25</v>
      </c>
    </row>
    <row r="71">
      <c r="A71" s="9">
        <v>45318.0</v>
      </c>
      <c r="B71" s="2" t="s">
        <v>233</v>
      </c>
      <c r="C71" s="2" t="s">
        <v>129</v>
      </c>
      <c r="D71" s="2">
        <v>4.0</v>
      </c>
      <c r="E71" s="2">
        <v>11.0</v>
      </c>
      <c r="CE71" s="2">
        <v>1.0</v>
      </c>
      <c r="CJ71" s="2"/>
      <c r="CK71" s="2">
        <v>24.0</v>
      </c>
      <c r="CQ71" s="15">
        <f t="shared" si="4"/>
        <v>25</v>
      </c>
    </row>
    <row r="72">
      <c r="A72" s="9">
        <v>45318.0</v>
      </c>
      <c r="B72" s="2" t="s">
        <v>233</v>
      </c>
      <c r="C72" s="2" t="s">
        <v>129</v>
      </c>
      <c r="D72" s="2">
        <v>2.0</v>
      </c>
      <c r="E72" s="2">
        <v>2.0</v>
      </c>
      <c r="AK72" s="2"/>
      <c r="AL72" s="2">
        <v>8.0</v>
      </c>
      <c r="AW72" s="2">
        <v>1.0</v>
      </c>
      <c r="AY72" s="2">
        <v>11.0</v>
      </c>
      <c r="BK72" s="2">
        <v>3.0</v>
      </c>
      <c r="BL72" s="2">
        <v>1.0</v>
      </c>
      <c r="CJ72" s="2"/>
      <c r="CK72" s="2">
        <v>1.0</v>
      </c>
      <c r="CQ72" s="15">
        <f t="shared" ref="CQ72:CQ101" si="5">SUM(F72:CN72)</f>
        <v>25</v>
      </c>
    </row>
    <row r="73">
      <c r="A73" s="9">
        <v>45318.0</v>
      </c>
      <c r="B73" s="2" t="s">
        <v>233</v>
      </c>
      <c r="C73" s="2" t="s">
        <v>129</v>
      </c>
      <c r="D73" s="2">
        <v>2.0</v>
      </c>
      <c r="E73" s="2">
        <v>3.0</v>
      </c>
      <c r="AK73" s="2"/>
      <c r="AL73" s="2">
        <v>6.0</v>
      </c>
      <c r="AY73" s="2">
        <v>3.0</v>
      </c>
      <c r="BK73" s="2">
        <v>11.0</v>
      </c>
      <c r="BL73" s="2">
        <v>3.0</v>
      </c>
      <c r="CJ73" s="2"/>
      <c r="CK73" s="2">
        <v>2.0</v>
      </c>
      <c r="CQ73" s="15">
        <f t="shared" si="5"/>
        <v>25</v>
      </c>
    </row>
    <row r="74">
      <c r="A74" s="9">
        <v>45318.0</v>
      </c>
      <c r="B74" s="2" t="s">
        <v>233</v>
      </c>
      <c r="C74" s="2" t="s">
        <v>129</v>
      </c>
      <c r="D74" s="2">
        <v>2.0</v>
      </c>
      <c r="E74" s="2">
        <v>4.0</v>
      </c>
      <c r="S74" s="2">
        <v>1.0</v>
      </c>
      <c r="AH74" s="2"/>
      <c r="AI74" s="2">
        <v>2.0</v>
      </c>
      <c r="BC74" s="2"/>
      <c r="BD74" s="2">
        <v>1.0</v>
      </c>
      <c r="BE74" s="2">
        <v>4.0</v>
      </c>
      <c r="BK74" s="2">
        <v>2.0</v>
      </c>
      <c r="BL74" s="2">
        <v>14.0</v>
      </c>
      <c r="CJ74" s="2"/>
      <c r="CK74" s="2">
        <v>1.0</v>
      </c>
      <c r="CQ74" s="15">
        <f t="shared" si="5"/>
        <v>25</v>
      </c>
    </row>
    <row r="75">
      <c r="A75" s="9">
        <v>45318.0</v>
      </c>
      <c r="B75" s="2" t="s">
        <v>233</v>
      </c>
      <c r="C75" s="2" t="s">
        <v>129</v>
      </c>
      <c r="D75" s="2">
        <v>2.0</v>
      </c>
      <c r="E75" s="2">
        <v>5.0</v>
      </c>
      <c r="O75" s="2"/>
      <c r="P75" s="2">
        <v>1.0</v>
      </c>
      <c r="AK75" s="2"/>
      <c r="AL75" s="2">
        <v>9.0</v>
      </c>
      <c r="AW75" s="2">
        <v>1.0</v>
      </c>
      <c r="BF75" s="2"/>
      <c r="BG75" s="2"/>
      <c r="BH75" s="2"/>
      <c r="BI75" s="2">
        <v>14.0</v>
      </c>
      <c r="CQ75" s="15">
        <f t="shared" si="5"/>
        <v>25</v>
      </c>
    </row>
    <row r="76">
      <c r="A76" s="9">
        <v>45318.0</v>
      </c>
      <c r="B76" s="2" t="s">
        <v>233</v>
      </c>
      <c r="C76" s="2" t="s">
        <v>129</v>
      </c>
      <c r="D76" s="2">
        <v>2.0</v>
      </c>
      <c r="E76" s="2">
        <v>6.0</v>
      </c>
      <c r="BC76" s="2"/>
      <c r="BD76" s="2">
        <v>3.0</v>
      </c>
      <c r="BF76" s="2">
        <v>1.0</v>
      </c>
      <c r="BG76" s="2"/>
      <c r="BH76" s="2"/>
      <c r="BI76" s="2">
        <v>20.0</v>
      </c>
      <c r="BL76" s="2">
        <v>1.0</v>
      </c>
      <c r="CQ76" s="15">
        <f t="shared" si="5"/>
        <v>25</v>
      </c>
    </row>
    <row r="77">
      <c r="A77" s="9">
        <v>45318.0</v>
      </c>
      <c r="B77" s="2" t="s">
        <v>233</v>
      </c>
      <c r="C77" s="2" t="s">
        <v>129</v>
      </c>
      <c r="D77" s="2">
        <v>2.0</v>
      </c>
      <c r="E77" s="2">
        <v>7.0</v>
      </c>
      <c r="O77" s="2"/>
      <c r="P77" s="2">
        <v>2.0</v>
      </c>
      <c r="BC77" s="2"/>
      <c r="BD77" s="2">
        <v>12.0</v>
      </c>
      <c r="BF77" s="2"/>
      <c r="BG77" s="2"/>
      <c r="BH77" s="2"/>
      <c r="BI77" s="2">
        <v>8.0</v>
      </c>
      <c r="BL77" s="2"/>
      <c r="CJ77" s="2"/>
      <c r="CK77" s="2">
        <v>3.0</v>
      </c>
      <c r="CQ77" s="15">
        <f t="shared" si="5"/>
        <v>25</v>
      </c>
    </row>
    <row r="78">
      <c r="A78" s="9">
        <v>45318.0</v>
      </c>
      <c r="B78" s="2" t="s">
        <v>233</v>
      </c>
      <c r="C78" s="2" t="s">
        <v>129</v>
      </c>
      <c r="D78" s="2">
        <v>2.0</v>
      </c>
      <c r="E78" s="2">
        <v>8.0</v>
      </c>
      <c r="O78" s="2"/>
      <c r="P78" s="2">
        <v>4.0</v>
      </c>
      <c r="BC78" s="2"/>
      <c r="BD78" s="2">
        <v>4.0</v>
      </c>
      <c r="BG78" s="2"/>
      <c r="BH78" s="2"/>
      <c r="BI78" s="2">
        <v>2.0</v>
      </c>
      <c r="BQ78" s="2"/>
      <c r="BR78" s="2">
        <v>4.0</v>
      </c>
      <c r="CJ78" s="2"/>
      <c r="CK78" s="2">
        <v>11.0</v>
      </c>
      <c r="CQ78" s="15">
        <f t="shared" si="5"/>
        <v>25</v>
      </c>
    </row>
    <row r="79">
      <c r="A79" s="9">
        <v>45318.0</v>
      </c>
      <c r="B79" s="2" t="s">
        <v>233</v>
      </c>
      <c r="C79" s="2" t="s">
        <v>129</v>
      </c>
      <c r="D79" s="2">
        <v>2.0</v>
      </c>
      <c r="E79" s="2">
        <v>9.0</v>
      </c>
      <c r="AK79" s="2"/>
      <c r="AL79" s="2">
        <v>3.0</v>
      </c>
      <c r="AQ79" s="2">
        <v>4.0</v>
      </c>
      <c r="AR79" s="2"/>
      <c r="AU79" s="2"/>
      <c r="AV79" s="2">
        <v>8.0</v>
      </c>
      <c r="BG79" s="2"/>
      <c r="BH79" s="2"/>
      <c r="BI79" s="2">
        <v>4.0</v>
      </c>
      <c r="CJ79" s="2"/>
      <c r="CK79" s="2">
        <v>6.0</v>
      </c>
      <c r="CQ79" s="15">
        <f t="shared" si="5"/>
        <v>25</v>
      </c>
    </row>
    <row r="80">
      <c r="A80" s="9">
        <v>45318.0</v>
      </c>
      <c r="B80" s="2" t="s">
        <v>233</v>
      </c>
      <c r="C80" s="2" t="s">
        <v>129</v>
      </c>
      <c r="D80" s="2">
        <v>2.0</v>
      </c>
      <c r="E80" s="2">
        <v>10.0</v>
      </c>
      <c r="S80" s="2">
        <v>3.0</v>
      </c>
      <c r="AU80" s="2"/>
      <c r="AV80" s="2">
        <v>4.0</v>
      </c>
      <c r="BC80" s="2"/>
      <c r="BD80" s="2">
        <v>6.0</v>
      </c>
      <c r="BT80" s="2"/>
      <c r="BU80" s="2"/>
      <c r="BV80" s="2"/>
      <c r="BW80" s="2">
        <v>4.0</v>
      </c>
      <c r="CJ80" s="28"/>
      <c r="CK80" s="28">
        <v>8.0</v>
      </c>
      <c r="CQ80" s="15">
        <f t="shared" si="5"/>
        <v>25</v>
      </c>
    </row>
    <row r="81">
      <c r="A81" s="9">
        <v>45318.0</v>
      </c>
      <c r="B81" s="2" t="s">
        <v>233</v>
      </c>
      <c r="C81" s="2" t="s">
        <v>129</v>
      </c>
      <c r="D81" s="2">
        <v>2.0</v>
      </c>
      <c r="E81" s="2">
        <v>11.0</v>
      </c>
      <c r="AU81" s="2"/>
      <c r="AV81" s="2">
        <v>4.0</v>
      </c>
      <c r="BC81" s="2"/>
      <c r="BD81" s="2">
        <v>8.0</v>
      </c>
      <c r="BL81" s="2">
        <v>4.0</v>
      </c>
      <c r="BQ81" s="2"/>
      <c r="BR81" s="2">
        <v>2.0</v>
      </c>
      <c r="CJ81" s="2"/>
      <c r="CK81" s="2">
        <v>7.0</v>
      </c>
      <c r="CQ81" s="15">
        <f t="shared" si="5"/>
        <v>25</v>
      </c>
    </row>
    <row r="82">
      <c r="A82" s="4">
        <v>45332.0</v>
      </c>
      <c r="B82" s="2" t="s">
        <v>207</v>
      </c>
      <c r="C82" s="2" t="s">
        <v>117</v>
      </c>
      <c r="D82" s="2">
        <v>2.0</v>
      </c>
      <c r="E82" s="2">
        <v>2.0</v>
      </c>
      <c r="M82" s="2"/>
      <c r="N82" s="2">
        <v>7.0</v>
      </c>
      <c r="Q82" s="2"/>
      <c r="R82" s="2">
        <v>1.0</v>
      </c>
      <c r="Y82" s="2">
        <v>4.0</v>
      </c>
      <c r="BE82" s="2">
        <v>5.0</v>
      </c>
      <c r="BG82" s="2"/>
      <c r="BH82" s="2"/>
      <c r="BI82" s="2">
        <v>6.0</v>
      </c>
      <c r="CH82" s="2">
        <v>1.0</v>
      </c>
      <c r="CM82" s="2">
        <v>1.0</v>
      </c>
      <c r="CQ82" s="15">
        <f t="shared" si="5"/>
        <v>25</v>
      </c>
    </row>
    <row r="83">
      <c r="A83" s="30">
        <v>45332.0</v>
      </c>
      <c r="B83" s="2" t="s">
        <v>207</v>
      </c>
      <c r="C83" s="2" t="s">
        <v>117</v>
      </c>
      <c r="D83" s="2">
        <v>2.0</v>
      </c>
      <c r="E83" s="2">
        <v>4.0</v>
      </c>
      <c r="O83" s="2"/>
      <c r="P83" s="2">
        <v>1.0</v>
      </c>
      <c r="Q83" s="2"/>
      <c r="R83" s="2">
        <v>1.0</v>
      </c>
      <c r="Y83" s="2">
        <v>4.0</v>
      </c>
      <c r="AK83" s="2"/>
      <c r="AL83" s="2">
        <v>1.0</v>
      </c>
      <c r="AP83" s="2">
        <v>1.0</v>
      </c>
      <c r="AS83" s="2"/>
      <c r="AT83" s="2">
        <v>1.0</v>
      </c>
      <c r="BE83" s="2">
        <v>7.0</v>
      </c>
      <c r="BG83" s="2"/>
      <c r="BH83" s="2"/>
      <c r="BI83" s="2">
        <v>7.0</v>
      </c>
      <c r="CJ83" s="2"/>
      <c r="CK83" s="2">
        <v>2.0</v>
      </c>
      <c r="CQ83" s="15">
        <f t="shared" si="5"/>
        <v>25</v>
      </c>
    </row>
    <row r="84">
      <c r="A84" s="30">
        <v>45332.0</v>
      </c>
      <c r="B84" s="2" t="s">
        <v>207</v>
      </c>
      <c r="C84" s="2" t="s">
        <v>117</v>
      </c>
      <c r="D84" s="2">
        <v>2.0</v>
      </c>
      <c r="E84" s="2">
        <v>6.0</v>
      </c>
      <c r="M84" s="2"/>
      <c r="N84" s="2">
        <v>2.0</v>
      </c>
      <c r="Q84" s="2"/>
      <c r="R84" s="2">
        <v>10.0</v>
      </c>
      <c r="Y84" s="2">
        <v>1.0</v>
      </c>
      <c r="AH84" s="2"/>
      <c r="AI84" s="2">
        <v>2.0</v>
      </c>
      <c r="AJ84" s="2">
        <v>1.0</v>
      </c>
      <c r="BE84" s="2">
        <v>2.0</v>
      </c>
      <c r="BG84" s="2"/>
      <c r="BH84" s="2"/>
      <c r="BI84" s="2">
        <v>3.0</v>
      </c>
      <c r="BQ84" s="2"/>
      <c r="BR84" s="2">
        <v>2.0</v>
      </c>
      <c r="CJ84" s="2"/>
      <c r="CK84" s="2">
        <v>2.0</v>
      </c>
      <c r="CQ84" s="15">
        <f t="shared" si="5"/>
        <v>25</v>
      </c>
    </row>
    <row r="85">
      <c r="A85" s="30">
        <v>45332.0</v>
      </c>
      <c r="B85" s="2" t="s">
        <v>207</v>
      </c>
      <c r="C85" s="2" t="s">
        <v>117</v>
      </c>
      <c r="D85" s="2">
        <v>2.0</v>
      </c>
      <c r="E85" s="2">
        <v>8.0</v>
      </c>
      <c r="M85" s="2"/>
      <c r="N85" s="2">
        <v>2.0</v>
      </c>
      <c r="Q85" s="2"/>
      <c r="R85" s="2">
        <v>1.0</v>
      </c>
      <c r="T85" s="2"/>
      <c r="U85" s="2">
        <v>6.0</v>
      </c>
      <c r="AK85" s="2"/>
      <c r="AL85" s="2">
        <v>1.0</v>
      </c>
      <c r="AS85" s="2"/>
      <c r="AT85" s="2">
        <v>4.0</v>
      </c>
      <c r="AW85" s="2">
        <v>1.0</v>
      </c>
      <c r="BE85" s="2">
        <v>1.0</v>
      </c>
      <c r="BG85" s="2"/>
      <c r="BH85" s="2"/>
      <c r="BI85" s="2">
        <v>8.0</v>
      </c>
      <c r="CJ85" s="2"/>
      <c r="CK85" s="2">
        <v>1.0</v>
      </c>
      <c r="CQ85" s="15">
        <f t="shared" si="5"/>
        <v>25</v>
      </c>
    </row>
    <row r="86">
      <c r="A86" s="30">
        <v>45332.0</v>
      </c>
      <c r="B86" s="2" t="s">
        <v>207</v>
      </c>
      <c r="C86" s="2" t="s">
        <v>117</v>
      </c>
      <c r="D86" s="2">
        <v>2.0</v>
      </c>
      <c r="E86" s="2">
        <v>10.0</v>
      </c>
      <c r="AH86" s="2"/>
      <c r="AI86" s="2">
        <v>1.0</v>
      </c>
      <c r="AJ86" s="2">
        <v>1.0</v>
      </c>
      <c r="AS86" s="2"/>
      <c r="AT86" s="2">
        <v>2.0</v>
      </c>
      <c r="AW86" s="2">
        <v>1.0</v>
      </c>
      <c r="BE86" s="2">
        <v>4.0</v>
      </c>
      <c r="BG86" s="2"/>
      <c r="BH86" s="2"/>
      <c r="BI86" s="2">
        <v>7.0</v>
      </c>
      <c r="BP86" s="2">
        <v>7.0</v>
      </c>
      <c r="CJ86" s="2"/>
      <c r="CK86" s="2">
        <v>1.0</v>
      </c>
      <c r="CQ86" s="15">
        <f t="shared" si="5"/>
        <v>24</v>
      </c>
    </row>
    <row r="87">
      <c r="A87" s="30">
        <v>45332.0</v>
      </c>
      <c r="B87" s="2" t="s">
        <v>207</v>
      </c>
      <c r="C87" s="2" t="s">
        <v>117</v>
      </c>
      <c r="D87" s="2">
        <v>2.0</v>
      </c>
      <c r="E87" s="2">
        <v>12.0</v>
      </c>
      <c r="T87" s="2"/>
      <c r="U87" s="2">
        <v>2.0</v>
      </c>
      <c r="AH87" s="2"/>
      <c r="AI87" s="2">
        <v>1.0</v>
      </c>
      <c r="AJ87" s="2">
        <v>2.0</v>
      </c>
      <c r="AS87" s="2"/>
      <c r="AT87" s="2">
        <v>3.0</v>
      </c>
      <c r="AW87" s="2">
        <v>2.0</v>
      </c>
      <c r="BE87" s="2">
        <v>6.0</v>
      </c>
      <c r="BG87" s="2"/>
      <c r="BH87" s="2"/>
      <c r="BI87" s="2">
        <v>5.0</v>
      </c>
      <c r="BQ87" s="2"/>
      <c r="BR87" s="2">
        <v>2.0</v>
      </c>
      <c r="CJ87" s="2"/>
      <c r="CK87" s="2">
        <v>2.0</v>
      </c>
      <c r="CQ87" s="15">
        <f t="shared" si="5"/>
        <v>25</v>
      </c>
    </row>
    <row r="88">
      <c r="A88" s="30">
        <v>45332.0</v>
      </c>
      <c r="B88" s="2" t="s">
        <v>207</v>
      </c>
      <c r="C88" s="2" t="s">
        <v>117</v>
      </c>
      <c r="D88" s="2">
        <v>2.0</v>
      </c>
      <c r="E88" s="2">
        <v>14.0</v>
      </c>
      <c r="AH88" s="2"/>
      <c r="AI88" s="2">
        <v>3.0</v>
      </c>
      <c r="AS88" s="2"/>
      <c r="AT88" s="2">
        <v>2.0</v>
      </c>
      <c r="BG88" s="2"/>
      <c r="BH88" s="2"/>
      <c r="BI88" s="2">
        <v>9.0</v>
      </c>
      <c r="BQ88" s="2"/>
      <c r="BR88" s="2">
        <v>1.0</v>
      </c>
      <c r="CI88" s="2">
        <v>5.0</v>
      </c>
      <c r="CJ88" s="2"/>
      <c r="CK88" s="2">
        <v>5.0</v>
      </c>
      <c r="CQ88" s="15">
        <f t="shared" si="5"/>
        <v>25</v>
      </c>
    </row>
    <row r="89">
      <c r="A89" s="30">
        <v>45332.0</v>
      </c>
      <c r="B89" s="2" t="s">
        <v>207</v>
      </c>
      <c r="C89" s="2" t="s">
        <v>117</v>
      </c>
      <c r="D89" s="2">
        <v>2.0</v>
      </c>
      <c r="E89" s="2">
        <v>16.0</v>
      </c>
      <c r="M89" s="2"/>
      <c r="N89" s="2">
        <v>2.0</v>
      </c>
      <c r="AH89" s="2"/>
      <c r="AI89" s="2">
        <v>3.0</v>
      </c>
      <c r="BE89" s="2">
        <v>1.0</v>
      </c>
      <c r="BG89" s="2"/>
      <c r="BH89" s="2"/>
      <c r="BI89" s="2">
        <v>4.0</v>
      </c>
      <c r="BQ89" s="2"/>
      <c r="BR89" s="2">
        <v>1.0</v>
      </c>
      <c r="BZ89" s="2">
        <v>1.0</v>
      </c>
      <c r="CI89" s="2">
        <v>7.0</v>
      </c>
      <c r="CJ89" s="2"/>
      <c r="CK89" s="2">
        <v>6.0</v>
      </c>
      <c r="CQ89" s="15">
        <f t="shared" si="5"/>
        <v>25</v>
      </c>
    </row>
    <row r="90">
      <c r="A90" s="30">
        <v>45332.0</v>
      </c>
      <c r="B90" s="2" t="s">
        <v>207</v>
      </c>
      <c r="C90" s="2" t="s">
        <v>117</v>
      </c>
      <c r="D90" s="2">
        <v>2.0</v>
      </c>
      <c r="E90" s="2">
        <v>18.0</v>
      </c>
      <c r="AJ90" s="2">
        <v>3.0</v>
      </c>
      <c r="BG90" s="2"/>
      <c r="BH90" s="2"/>
      <c r="BI90" s="2">
        <v>15.0</v>
      </c>
      <c r="CI90" s="2">
        <v>6.0</v>
      </c>
      <c r="CJ90" s="2"/>
      <c r="CK90" s="2">
        <v>1.0</v>
      </c>
      <c r="CQ90" s="15">
        <f t="shared" si="5"/>
        <v>25</v>
      </c>
    </row>
    <row r="91">
      <c r="A91" s="30">
        <v>45332.0</v>
      </c>
      <c r="B91" s="2" t="s">
        <v>207</v>
      </c>
      <c r="C91" s="2" t="s">
        <v>117</v>
      </c>
      <c r="D91" s="2">
        <v>2.0</v>
      </c>
      <c r="E91" s="2">
        <v>20.0</v>
      </c>
      <c r="BA91" s="2">
        <v>6.0</v>
      </c>
      <c r="CI91" s="2">
        <v>8.0</v>
      </c>
      <c r="CJ91" s="2"/>
      <c r="CK91" s="2">
        <v>11.0</v>
      </c>
      <c r="CQ91" s="15">
        <f t="shared" si="5"/>
        <v>25</v>
      </c>
    </row>
    <row r="92">
      <c r="A92" s="9">
        <v>45332.0</v>
      </c>
      <c r="B92" s="2" t="s">
        <v>207</v>
      </c>
      <c r="C92" s="2" t="s">
        <v>129</v>
      </c>
      <c r="D92" s="2">
        <v>3.0</v>
      </c>
      <c r="E92" s="2">
        <v>2.0</v>
      </c>
      <c r="M92" s="2"/>
      <c r="N92" s="2">
        <v>1.0</v>
      </c>
      <c r="T92" s="2"/>
      <c r="U92" s="2">
        <v>1.0</v>
      </c>
      <c r="AH92" s="2"/>
      <c r="AI92" s="2">
        <v>2.0</v>
      </c>
      <c r="AJ92" s="2">
        <v>4.0</v>
      </c>
      <c r="AP92" s="2">
        <v>1.0</v>
      </c>
      <c r="AS92" s="2"/>
      <c r="AT92" s="2">
        <v>1.0</v>
      </c>
      <c r="AW92" s="2">
        <v>4.0</v>
      </c>
      <c r="BE92" s="2">
        <v>3.0</v>
      </c>
      <c r="BG92" s="2"/>
      <c r="BH92" s="2"/>
      <c r="BI92" s="2">
        <v>8.0</v>
      </c>
      <c r="CQ92" s="15">
        <f t="shared" si="5"/>
        <v>25</v>
      </c>
    </row>
    <row r="93">
      <c r="A93" s="9">
        <v>45332.0</v>
      </c>
      <c r="B93" s="2" t="s">
        <v>207</v>
      </c>
      <c r="C93" s="2" t="s">
        <v>129</v>
      </c>
      <c r="D93" s="2">
        <v>3.0</v>
      </c>
      <c r="E93" s="2">
        <v>4.0</v>
      </c>
      <c r="T93" s="2"/>
      <c r="U93" s="2">
        <v>2.0</v>
      </c>
      <c r="AH93" s="2"/>
      <c r="AI93" s="2">
        <v>1.0</v>
      </c>
      <c r="AJ93" s="2">
        <v>1.0</v>
      </c>
      <c r="AP93" s="2">
        <v>3.0</v>
      </c>
      <c r="AS93" s="2"/>
      <c r="AT93" s="2">
        <v>2.0</v>
      </c>
      <c r="BE93" s="2">
        <v>1.0</v>
      </c>
      <c r="BG93" s="2"/>
      <c r="BH93" s="2"/>
      <c r="BI93" s="2">
        <v>10.0</v>
      </c>
      <c r="CJ93" s="2"/>
      <c r="CK93" s="2">
        <v>5.0</v>
      </c>
      <c r="CQ93" s="15">
        <f t="shared" si="5"/>
        <v>25</v>
      </c>
    </row>
    <row r="94">
      <c r="A94" s="9">
        <v>45332.0</v>
      </c>
      <c r="B94" s="2" t="s">
        <v>207</v>
      </c>
      <c r="C94" s="2" t="s">
        <v>129</v>
      </c>
      <c r="D94" s="2">
        <v>3.0</v>
      </c>
      <c r="E94" s="2">
        <v>6.0</v>
      </c>
      <c r="M94" s="2"/>
      <c r="N94" s="2">
        <v>1.0</v>
      </c>
      <c r="X94" s="2">
        <v>1.0</v>
      </c>
      <c r="AH94" s="2"/>
      <c r="AI94" s="2">
        <v>7.0</v>
      </c>
      <c r="AJ94" s="2">
        <v>5.0</v>
      </c>
      <c r="AS94" s="2"/>
      <c r="AT94" s="2">
        <v>1.0</v>
      </c>
      <c r="AU94" s="2"/>
      <c r="AV94" s="2">
        <v>1.0</v>
      </c>
      <c r="AW94" s="2">
        <v>1.0</v>
      </c>
      <c r="BG94" s="2"/>
      <c r="BH94" s="2"/>
      <c r="BI94" s="2">
        <v>5.0</v>
      </c>
      <c r="CJ94" s="2"/>
      <c r="CK94" s="2">
        <v>3.0</v>
      </c>
      <c r="CQ94" s="15">
        <f t="shared" si="5"/>
        <v>25</v>
      </c>
    </row>
    <row r="95">
      <c r="A95" s="9">
        <v>45332.0</v>
      </c>
      <c r="B95" s="2" t="s">
        <v>207</v>
      </c>
      <c r="C95" s="2" t="s">
        <v>129</v>
      </c>
      <c r="D95" s="2">
        <v>3.0</v>
      </c>
      <c r="E95" s="2">
        <v>8.0</v>
      </c>
      <c r="M95" s="2"/>
      <c r="N95" s="2">
        <v>1.0</v>
      </c>
      <c r="AH95" s="2"/>
      <c r="AI95" s="2">
        <v>1.0</v>
      </c>
      <c r="AJ95" s="2">
        <v>3.0</v>
      </c>
      <c r="AP95" s="2">
        <v>1.0</v>
      </c>
      <c r="AS95" s="2"/>
      <c r="AT95" s="2">
        <v>2.0</v>
      </c>
      <c r="AU95" s="2"/>
      <c r="AV95" s="2">
        <v>1.0</v>
      </c>
      <c r="BG95" s="2"/>
      <c r="BH95" s="2"/>
      <c r="BI95" s="2">
        <v>12.0</v>
      </c>
      <c r="CJ95" s="2"/>
      <c r="CK95" s="2">
        <v>4.0</v>
      </c>
      <c r="CQ95" s="15">
        <f t="shared" si="5"/>
        <v>25</v>
      </c>
    </row>
    <row r="96">
      <c r="A96" s="9">
        <v>45332.0</v>
      </c>
      <c r="B96" s="2" t="s">
        <v>207</v>
      </c>
      <c r="C96" s="2" t="s">
        <v>129</v>
      </c>
      <c r="D96" s="2">
        <v>3.0</v>
      </c>
      <c r="E96" s="2">
        <v>10.0</v>
      </c>
      <c r="M96" s="2"/>
      <c r="N96" s="2">
        <v>2.0</v>
      </c>
      <c r="AJ96" s="2">
        <v>7.0</v>
      </c>
      <c r="AW96" s="2">
        <v>4.0</v>
      </c>
      <c r="BE96" s="2">
        <v>1.0</v>
      </c>
      <c r="BG96" s="2"/>
      <c r="BH96" s="2"/>
      <c r="BI96" s="2">
        <v>8.0</v>
      </c>
      <c r="CJ96" s="2"/>
      <c r="CK96" s="2">
        <v>2.0</v>
      </c>
      <c r="CQ96" s="15">
        <f t="shared" si="5"/>
        <v>24</v>
      </c>
    </row>
    <row r="97">
      <c r="A97" s="9">
        <v>45332.0</v>
      </c>
      <c r="B97" s="2" t="s">
        <v>207</v>
      </c>
      <c r="C97" s="2" t="s">
        <v>129</v>
      </c>
      <c r="D97" s="2">
        <v>3.0</v>
      </c>
      <c r="E97" s="2">
        <v>12.0</v>
      </c>
      <c r="T97" s="2"/>
      <c r="U97" s="2">
        <v>2.0</v>
      </c>
      <c r="AJ97" s="2">
        <v>2.0</v>
      </c>
      <c r="AW97" s="2">
        <v>2.0</v>
      </c>
      <c r="BG97" s="2"/>
      <c r="BH97" s="2"/>
      <c r="BI97" s="2">
        <v>19.0</v>
      </c>
      <c r="CQ97" s="15">
        <f t="shared" si="5"/>
        <v>25</v>
      </c>
    </row>
    <row r="98">
      <c r="A98" s="9">
        <v>45332.0</v>
      </c>
      <c r="B98" s="2" t="s">
        <v>207</v>
      </c>
      <c r="C98" s="2" t="s">
        <v>129</v>
      </c>
      <c r="D98" s="2">
        <v>3.0</v>
      </c>
      <c r="E98" s="2">
        <v>14.0</v>
      </c>
      <c r="M98" s="2"/>
      <c r="N98" s="2">
        <v>7.0</v>
      </c>
      <c r="AJ98" s="2">
        <v>2.0</v>
      </c>
      <c r="BG98" s="2"/>
      <c r="BH98" s="2"/>
      <c r="BI98" s="2">
        <v>15.0</v>
      </c>
      <c r="CJ98" s="2"/>
      <c r="CK98" s="2">
        <v>1.0</v>
      </c>
      <c r="CQ98" s="15">
        <f t="shared" si="5"/>
        <v>25</v>
      </c>
    </row>
    <row r="99">
      <c r="A99" s="9">
        <v>45332.0</v>
      </c>
      <c r="B99" s="2" t="s">
        <v>207</v>
      </c>
      <c r="C99" s="2" t="s">
        <v>129</v>
      </c>
      <c r="D99" s="2">
        <v>3.0</v>
      </c>
      <c r="E99" s="2">
        <v>16.0</v>
      </c>
      <c r="AH99" s="2"/>
      <c r="AI99" s="2">
        <v>3.0</v>
      </c>
      <c r="AJ99" s="2">
        <v>4.0</v>
      </c>
      <c r="BG99" s="2"/>
      <c r="BH99" s="2"/>
      <c r="BI99" s="2">
        <v>2.0</v>
      </c>
      <c r="BQ99" s="2"/>
      <c r="BR99" s="2">
        <v>6.0</v>
      </c>
      <c r="CJ99" s="2"/>
      <c r="CK99" s="2">
        <v>10.0</v>
      </c>
      <c r="CQ99" s="15">
        <f t="shared" si="5"/>
        <v>25</v>
      </c>
    </row>
    <row r="100">
      <c r="A100" s="9">
        <v>45332.0</v>
      </c>
      <c r="B100" s="2" t="s">
        <v>207</v>
      </c>
      <c r="C100" s="2" t="s">
        <v>129</v>
      </c>
      <c r="D100" s="2">
        <v>3.0</v>
      </c>
      <c r="E100" s="2">
        <v>18.0</v>
      </c>
      <c r="M100" s="2"/>
      <c r="N100" s="2">
        <v>1.0</v>
      </c>
      <c r="AH100" s="2"/>
      <c r="AI100" s="2">
        <v>3.0</v>
      </c>
      <c r="BG100" s="2"/>
      <c r="BH100" s="2"/>
      <c r="BI100" s="2">
        <v>4.0</v>
      </c>
      <c r="BQ100" s="2"/>
      <c r="BR100" s="2">
        <v>2.0</v>
      </c>
      <c r="CJ100" s="2"/>
      <c r="CK100" s="2">
        <v>15.0</v>
      </c>
      <c r="CQ100" s="15">
        <f t="shared" si="5"/>
        <v>25</v>
      </c>
    </row>
    <row r="101">
      <c r="A101" s="9">
        <v>45332.0</v>
      </c>
      <c r="B101" s="2" t="s">
        <v>207</v>
      </c>
      <c r="C101" s="2" t="s">
        <v>129</v>
      </c>
      <c r="D101" s="2">
        <v>3.0</v>
      </c>
      <c r="E101" s="2">
        <v>20.0</v>
      </c>
      <c r="AJ101" s="2">
        <v>8.0</v>
      </c>
      <c r="BG101" s="2"/>
      <c r="BH101" s="2"/>
      <c r="BI101" s="2">
        <v>10.0</v>
      </c>
      <c r="CJ101" s="2"/>
      <c r="CK101" s="2">
        <v>7.0</v>
      </c>
      <c r="CQ101" s="15">
        <f t="shared" si="5"/>
        <v>25</v>
      </c>
    </row>
    <row r="102">
      <c r="A102" s="9">
        <v>45332.0</v>
      </c>
      <c r="B102" s="2" t="s">
        <v>207</v>
      </c>
      <c r="C102" s="2" t="s">
        <v>97</v>
      </c>
      <c r="D102" s="2">
        <v>4.0</v>
      </c>
      <c r="E102" s="2">
        <v>20.0</v>
      </c>
      <c r="CI102" s="2">
        <v>25.0</v>
      </c>
      <c r="CQ102" s="15">
        <f t="shared" ref="CQ102:CQ116" si="6">sum(F102:CN102)</f>
        <v>25</v>
      </c>
    </row>
    <row r="103">
      <c r="A103" s="9">
        <v>45332.0</v>
      </c>
      <c r="B103" s="2" t="s">
        <v>207</v>
      </c>
      <c r="C103" s="2" t="s">
        <v>97</v>
      </c>
      <c r="D103" s="2">
        <v>4.0</v>
      </c>
      <c r="E103" s="2">
        <v>18.0</v>
      </c>
      <c r="AK103" s="2"/>
      <c r="AL103" s="2">
        <v>3.0</v>
      </c>
      <c r="BG103" s="2"/>
      <c r="BH103" s="2"/>
      <c r="BI103" s="2">
        <v>9.0</v>
      </c>
      <c r="CI103" s="2">
        <v>12.0</v>
      </c>
      <c r="CJ103" s="2"/>
      <c r="CK103" s="2">
        <v>1.0</v>
      </c>
      <c r="CQ103" s="15">
        <f t="shared" si="6"/>
        <v>25</v>
      </c>
    </row>
    <row r="104">
      <c r="A104" s="9">
        <v>45332.0</v>
      </c>
      <c r="B104" s="2" t="s">
        <v>207</v>
      </c>
      <c r="C104" s="2" t="s">
        <v>97</v>
      </c>
      <c r="D104" s="2">
        <v>4.0</v>
      </c>
      <c r="E104" s="2">
        <v>16.0</v>
      </c>
      <c r="M104" s="2"/>
      <c r="N104" s="2">
        <v>6.0</v>
      </c>
      <c r="AH104" s="2"/>
      <c r="AI104" s="2">
        <v>1.0</v>
      </c>
      <c r="AS104" s="2"/>
      <c r="AT104" s="2">
        <v>3.0</v>
      </c>
      <c r="BG104" s="2"/>
      <c r="BH104" s="2"/>
      <c r="BI104" s="2">
        <v>4.0</v>
      </c>
      <c r="CI104" s="2">
        <v>3.0</v>
      </c>
      <c r="CJ104" s="2"/>
      <c r="CK104" s="2">
        <v>7.0</v>
      </c>
      <c r="CM104" s="2">
        <v>1.0</v>
      </c>
      <c r="CQ104" s="15">
        <f t="shared" si="6"/>
        <v>25</v>
      </c>
    </row>
    <row r="105">
      <c r="A105" s="9">
        <v>45332.0</v>
      </c>
      <c r="B105" s="2" t="s">
        <v>207</v>
      </c>
      <c r="C105" s="2" t="s">
        <v>97</v>
      </c>
      <c r="D105" s="2">
        <v>4.0</v>
      </c>
      <c r="E105" s="2">
        <v>14.0</v>
      </c>
      <c r="M105" s="2"/>
      <c r="N105" s="2">
        <v>2.0</v>
      </c>
      <c r="AK105" s="2"/>
      <c r="AL105" s="2">
        <v>1.0</v>
      </c>
      <c r="AS105" s="2"/>
      <c r="AT105" s="2">
        <v>4.0</v>
      </c>
      <c r="AX105" s="2">
        <v>1.0</v>
      </c>
      <c r="BG105" s="2"/>
      <c r="BH105" s="2"/>
      <c r="BI105" s="2">
        <v>12.0</v>
      </c>
      <c r="CI105" s="2">
        <v>5.0</v>
      </c>
      <c r="CQ105" s="15">
        <f t="shared" si="6"/>
        <v>25</v>
      </c>
    </row>
    <row r="106">
      <c r="A106" s="9">
        <v>45332.0</v>
      </c>
      <c r="B106" s="2" t="s">
        <v>207</v>
      </c>
      <c r="C106" s="2" t="s">
        <v>97</v>
      </c>
      <c r="D106" s="2">
        <v>4.0</v>
      </c>
      <c r="E106" s="2">
        <v>12.0</v>
      </c>
      <c r="T106" s="2"/>
      <c r="U106" s="2"/>
      <c r="V106" s="2">
        <v>1.0</v>
      </c>
      <c r="AH106" s="2"/>
      <c r="AI106" s="2">
        <v>1.0</v>
      </c>
      <c r="AS106" s="2"/>
      <c r="AT106" s="2">
        <v>2.0</v>
      </c>
      <c r="AX106" s="2">
        <v>1.0</v>
      </c>
      <c r="BE106" s="2">
        <v>3.0</v>
      </c>
      <c r="BG106" s="2"/>
      <c r="BH106" s="2"/>
      <c r="BI106" s="2">
        <v>17.0</v>
      </c>
      <c r="CQ106" s="15">
        <f t="shared" si="6"/>
        <v>25</v>
      </c>
    </row>
    <row r="107">
      <c r="A107" s="9">
        <v>45332.0</v>
      </c>
      <c r="B107" s="2" t="s">
        <v>207</v>
      </c>
      <c r="C107" s="2" t="s">
        <v>97</v>
      </c>
      <c r="D107" s="2">
        <v>4.0</v>
      </c>
      <c r="E107" s="2">
        <v>10.0</v>
      </c>
      <c r="Q107" s="2"/>
      <c r="R107" s="2">
        <v>2.0</v>
      </c>
      <c r="AS107" s="2"/>
      <c r="AT107" s="2">
        <v>10.0</v>
      </c>
      <c r="AX107" s="2">
        <v>3.0</v>
      </c>
      <c r="BB107" s="2">
        <v>1.0</v>
      </c>
      <c r="BG107" s="2"/>
      <c r="BH107" s="2"/>
      <c r="BI107" s="2">
        <v>9.0</v>
      </c>
      <c r="CQ107" s="15">
        <f t="shared" si="6"/>
        <v>25</v>
      </c>
    </row>
    <row r="108">
      <c r="A108" s="9">
        <v>45332.0</v>
      </c>
      <c r="B108" s="2" t="s">
        <v>207</v>
      </c>
      <c r="C108" s="2" t="s">
        <v>97</v>
      </c>
      <c r="D108" s="2">
        <v>4.0</v>
      </c>
      <c r="E108" s="2">
        <v>8.0</v>
      </c>
      <c r="M108" s="2"/>
      <c r="N108" s="2">
        <v>1.0</v>
      </c>
      <c r="Q108" s="2"/>
      <c r="R108" s="2">
        <v>2.0</v>
      </c>
      <c r="AJ108" s="2">
        <v>1.0</v>
      </c>
      <c r="AK108" s="2"/>
      <c r="AL108" s="2">
        <v>2.0</v>
      </c>
      <c r="AX108" s="2">
        <v>3.0</v>
      </c>
      <c r="BE108" s="2">
        <v>4.0</v>
      </c>
      <c r="BG108" s="2"/>
      <c r="BH108" s="2"/>
      <c r="BI108" s="2">
        <v>11.0</v>
      </c>
      <c r="CH108" s="2">
        <v>1.0</v>
      </c>
      <c r="CQ108" s="15">
        <f t="shared" si="6"/>
        <v>25</v>
      </c>
    </row>
    <row r="109">
      <c r="A109" s="9">
        <v>45332.0</v>
      </c>
      <c r="B109" s="2" t="s">
        <v>207</v>
      </c>
      <c r="C109" s="2" t="s">
        <v>97</v>
      </c>
      <c r="D109" s="2">
        <v>4.0</v>
      </c>
      <c r="E109" s="2">
        <v>6.0</v>
      </c>
      <c r="T109" s="2"/>
      <c r="U109" s="2">
        <v>1.0</v>
      </c>
      <c r="AH109" s="2"/>
      <c r="AI109" s="2">
        <v>2.0</v>
      </c>
      <c r="AJ109" s="2">
        <v>1.0</v>
      </c>
      <c r="AS109" s="2"/>
      <c r="AT109" s="2">
        <v>1.0</v>
      </c>
      <c r="AX109" s="2">
        <v>5.0</v>
      </c>
      <c r="BA109" s="2">
        <v>2.0</v>
      </c>
      <c r="BE109" s="2">
        <v>3.0</v>
      </c>
      <c r="BG109" s="2"/>
      <c r="BH109" s="2"/>
      <c r="BI109" s="2">
        <v>7.0</v>
      </c>
      <c r="BL109" s="2">
        <v>1.0</v>
      </c>
      <c r="CJ109" s="2"/>
      <c r="CK109" s="2">
        <v>2.0</v>
      </c>
      <c r="CQ109" s="15">
        <f t="shared" si="6"/>
        <v>25</v>
      </c>
    </row>
    <row r="110">
      <c r="A110" s="9">
        <v>45332.0</v>
      </c>
      <c r="B110" s="2" t="s">
        <v>207</v>
      </c>
      <c r="C110" s="2" t="s">
        <v>97</v>
      </c>
      <c r="D110" s="2">
        <v>4.0</v>
      </c>
      <c r="E110" s="2">
        <v>4.0</v>
      </c>
      <c r="Q110" s="2"/>
      <c r="R110" s="2">
        <v>1.0</v>
      </c>
      <c r="AJ110" s="2">
        <v>2.0</v>
      </c>
      <c r="AP110" s="2">
        <v>3.0</v>
      </c>
      <c r="AS110" s="2"/>
      <c r="AT110" s="2">
        <v>6.0</v>
      </c>
      <c r="AU110" s="2">
        <v>1.0</v>
      </c>
      <c r="AX110" s="2">
        <v>1.0</v>
      </c>
      <c r="BA110" s="2">
        <v>1.0</v>
      </c>
      <c r="BE110" s="2">
        <v>3.0</v>
      </c>
      <c r="BG110" s="2"/>
      <c r="BH110" s="2"/>
      <c r="BI110" s="2">
        <v>4.0</v>
      </c>
      <c r="CJ110" s="2"/>
      <c r="CK110" s="2">
        <v>3.0</v>
      </c>
      <c r="CQ110" s="15">
        <f t="shared" si="6"/>
        <v>25</v>
      </c>
    </row>
    <row r="111">
      <c r="A111" s="9">
        <v>45332.0</v>
      </c>
      <c r="B111" s="2" t="s">
        <v>207</v>
      </c>
      <c r="C111" s="2" t="s">
        <v>97</v>
      </c>
      <c r="D111" s="2">
        <v>4.0</v>
      </c>
      <c r="E111" s="2">
        <v>2.0</v>
      </c>
      <c r="M111" s="2"/>
      <c r="N111" s="2">
        <v>2.0</v>
      </c>
      <c r="Q111" s="2"/>
      <c r="R111" s="2">
        <v>3.0</v>
      </c>
      <c r="AJ111" s="2">
        <v>3.0</v>
      </c>
      <c r="AM111" s="2"/>
      <c r="AN111" s="2">
        <v>2.0</v>
      </c>
      <c r="AX111" s="2">
        <v>3.0</v>
      </c>
      <c r="BE111" s="2">
        <v>2.0</v>
      </c>
      <c r="BG111" s="2"/>
      <c r="BH111" s="2"/>
      <c r="BI111" s="2">
        <v>4.0</v>
      </c>
      <c r="BP111" s="2">
        <v>3.0</v>
      </c>
      <c r="CH111" s="2">
        <v>1.0</v>
      </c>
      <c r="CJ111" s="2"/>
      <c r="CK111" s="2">
        <v>2.0</v>
      </c>
      <c r="CQ111" s="15">
        <f t="shared" si="6"/>
        <v>25</v>
      </c>
    </row>
    <row r="112">
      <c r="A112" s="22">
        <v>45332.0</v>
      </c>
      <c r="B112" s="23" t="s">
        <v>207</v>
      </c>
      <c r="C112" s="23" t="s">
        <v>129</v>
      </c>
      <c r="D112" s="25">
        <v>1.0</v>
      </c>
      <c r="E112" s="2">
        <v>2.0</v>
      </c>
      <c r="M112" s="2"/>
      <c r="N112" s="2">
        <v>1.0</v>
      </c>
      <c r="AS112" s="2"/>
      <c r="AT112" s="2">
        <v>2.0</v>
      </c>
      <c r="AW112" s="2">
        <v>3.0</v>
      </c>
      <c r="BE112" s="2">
        <v>12.0</v>
      </c>
      <c r="BG112" s="2"/>
      <c r="BH112" s="2"/>
      <c r="BI112" s="2">
        <v>7.0</v>
      </c>
      <c r="CQ112" s="15">
        <f t="shared" si="6"/>
        <v>25</v>
      </c>
    </row>
    <row r="113">
      <c r="A113" s="22">
        <v>45332.0</v>
      </c>
      <c r="B113" s="23" t="s">
        <v>207</v>
      </c>
      <c r="C113" s="23" t="s">
        <v>129</v>
      </c>
      <c r="D113" s="25">
        <v>1.0</v>
      </c>
      <c r="E113" s="2">
        <v>4.0</v>
      </c>
      <c r="M113" s="2"/>
      <c r="N113" s="2">
        <v>1.0</v>
      </c>
      <c r="X113" s="2">
        <v>3.0</v>
      </c>
      <c r="AH113" s="2"/>
      <c r="AI113" s="2">
        <v>1.0</v>
      </c>
      <c r="AJ113" s="2">
        <v>4.0</v>
      </c>
      <c r="AS113" s="2"/>
      <c r="AT113" s="2">
        <v>4.0</v>
      </c>
      <c r="AW113" s="2">
        <v>1.0</v>
      </c>
      <c r="BE113" s="2">
        <v>3.0</v>
      </c>
      <c r="BG113" s="2"/>
      <c r="BH113" s="2"/>
      <c r="BI113" s="2">
        <v>7.0</v>
      </c>
      <c r="CJ113" s="2"/>
      <c r="CK113" s="2">
        <v>1.0</v>
      </c>
      <c r="CQ113" s="15">
        <f t="shared" si="6"/>
        <v>25</v>
      </c>
    </row>
    <row r="114">
      <c r="A114" s="22">
        <v>45332.0</v>
      </c>
      <c r="B114" s="23" t="s">
        <v>207</v>
      </c>
      <c r="C114" s="23" t="s">
        <v>129</v>
      </c>
      <c r="D114" s="25">
        <v>1.0</v>
      </c>
      <c r="E114" s="2">
        <v>6.0</v>
      </c>
      <c r="M114" s="2"/>
      <c r="N114" s="2">
        <v>6.0</v>
      </c>
      <c r="AH114" s="2"/>
      <c r="AI114" s="2">
        <v>1.0</v>
      </c>
      <c r="AJ114" s="2">
        <v>1.0</v>
      </c>
      <c r="AP114" s="2">
        <v>3.0</v>
      </c>
      <c r="AW114" s="2">
        <v>2.0</v>
      </c>
      <c r="BE114" s="2">
        <v>11.0</v>
      </c>
      <c r="BG114" s="2"/>
      <c r="BH114" s="2"/>
      <c r="BI114" s="2">
        <v>1.0</v>
      </c>
      <c r="CQ114" s="15">
        <f t="shared" si="6"/>
        <v>25</v>
      </c>
    </row>
    <row r="115">
      <c r="A115" s="22">
        <v>45332.0</v>
      </c>
      <c r="B115" s="23" t="s">
        <v>207</v>
      </c>
      <c r="C115" s="23" t="s">
        <v>129</v>
      </c>
      <c r="D115" s="25">
        <v>1.0</v>
      </c>
      <c r="E115" s="2">
        <v>8.0</v>
      </c>
      <c r="AS115" s="2"/>
      <c r="AT115" s="2">
        <v>1.0</v>
      </c>
      <c r="AW115" s="2">
        <v>1.0</v>
      </c>
      <c r="BB115" s="2">
        <v>3.0</v>
      </c>
      <c r="BE115" s="2">
        <v>4.0</v>
      </c>
      <c r="BG115" s="2"/>
      <c r="BH115" s="2"/>
      <c r="BI115" s="2">
        <v>3.0</v>
      </c>
      <c r="BP115" s="2">
        <v>12.0</v>
      </c>
      <c r="CJ115" s="2"/>
      <c r="CK115" s="2">
        <v>1.0</v>
      </c>
      <c r="CQ115" s="15">
        <f t="shared" si="6"/>
        <v>25</v>
      </c>
    </row>
    <row r="116">
      <c r="A116" s="22">
        <v>45332.0</v>
      </c>
      <c r="B116" s="23" t="s">
        <v>207</v>
      </c>
      <c r="C116" s="23" t="s">
        <v>129</v>
      </c>
      <c r="D116" s="25">
        <v>1.0</v>
      </c>
      <c r="E116" s="2">
        <v>10.0</v>
      </c>
      <c r="G116" s="2">
        <v>1.0</v>
      </c>
      <c r="AH116" s="2"/>
      <c r="AI116" s="2">
        <v>1.0</v>
      </c>
      <c r="AS116" s="2"/>
      <c r="AT116" s="2">
        <v>1.0</v>
      </c>
      <c r="AW116" s="2">
        <v>3.0</v>
      </c>
      <c r="BE116" s="2">
        <v>10.0</v>
      </c>
      <c r="BG116" s="2"/>
      <c r="BH116" s="2"/>
      <c r="BI116" s="2">
        <v>9.0</v>
      </c>
      <c r="CQ116" s="15">
        <f t="shared" si="6"/>
        <v>25</v>
      </c>
    </row>
    <row r="117">
      <c r="A117" s="22">
        <v>45332.0</v>
      </c>
      <c r="B117" s="23" t="s">
        <v>207</v>
      </c>
      <c r="C117" s="23" t="s">
        <v>129</v>
      </c>
      <c r="D117" s="25">
        <v>1.0</v>
      </c>
      <c r="E117" s="2">
        <v>12.0</v>
      </c>
      <c r="M117" s="2"/>
      <c r="N117" s="2">
        <v>1.0</v>
      </c>
      <c r="Q117" s="2"/>
      <c r="R117" s="2"/>
      <c r="T117" s="2"/>
      <c r="U117" s="2">
        <v>1.0</v>
      </c>
      <c r="AB117" s="2"/>
      <c r="AC117" s="2"/>
      <c r="AJ117" s="2"/>
      <c r="AK117" s="2"/>
      <c r="AL117" s="2">
        <v>1.0</v>
      </c>
      <c r="AP117" s="2">
        <v>2.0</v>
      </c>
      <c r="AS117" s="2"/>
      <c r="AT117" s="2">
        <v>4.0</v>
      </c>
      <c r="AW117" s="2">
        <v>2.0</v>
      </c>
      <c r="AY117" s="2"/>
      <c r="BC117" s="2"/>
      <c r="BD117" s="2"/>
      <c r="BE117" s="2">
        <v>10.0</v>
      </c>
      <c r="BG117" s="2"/>
      <c r="BH117" s="2"/>
      <c r="BI117" s="2">
        <v>4.0</v>
      </c>
      <c r="BK117" s="2"/>
      <c r="CQ117" s="15">
        <f t="shared" ref="CQ117:CQ121" si="7">sum(F117:CO117)</f>
        <v>25</v>
      </c>
    </row>
    <row r="118">
      <c r="A118" s="22">
        <v>45332.0</v>
      </c>
      <c r="B118" s="23" t="s">
        <v>207</v>
      </c>
      <c r="C118" s="23" t="s">
        <v>129</v>
      </c>
      <c r="D118" s="25">
        <v>1.0</v>
      </c>
      <c r="E118" s="2">
        <v>14.0</v>
      </c>
      <c r="Q118" s="2"/>
      <c r="R118" s="2"/>
      <c r="AB118" s="2"/>
      <c r="AC118" s="2"/>
      <c r="AJ118" s="2"/>
      <c r="AS118" s="2"/>
      <c r="AT118" s="2">
        <v>1.0</v>
      </c>
      <c r="AW118" s="2">
        <v>3.0</v>
      </c>
      <c r="AY118" s="2"/>
      <c r="BC118" s="2"/>
      <c r="BD118" s="2"/>
      <c r="BG118" s="2"/>
      <c r="BH118" s="2"/>
      <c r="BI118" s="2">
        <v>15.0</v>
      </c>
      <c r="BK118" s="2"/>
      <c r="BP118" s="2">
        <v>2.0</v>
      </c>
      <c r="CK118" s="2">
        <v>4.0</v>
      </c>
      <c r="CQ118" s="15">
        <f t="shared" si="7"/>
        <v>25</v>
      </c>
    </row>
    <row r="119">
      <c r="A119" s="22">
        <v>45332.0</v>
      </c>
      <c r="B119" s="23" t="s">
        <v>207</v>
      </c>
      <c r="C119" s="23" t="s">
        <v>129</v>
      </c>
      <c r="D119" s="25">
        <v>1.0</v>
      </c>
      <c r="E119" s="2">
        <v>16.0</v>
      </c>
      <c r="M119" s="2"/>
      <c r="N119" s="2">
        <v>1.0</v>
      </c>
      <c r="Q119" s="2"/>
      <c r="R119" s="2"/>
      <c r="AB119" s="2"/>
      <c r="AC119" s="2"/>
      <c r="AI119" s="2">
        <v>1.0</v>
      </c>
      <c r="AJ119" s="2"/>
      <c r="AS119" s="2"/>
      <c r="AT119" s="2">
        <v>2.0</v>
      </c>
      <c r="AV119" s="2">
        <v>2.0</v>
      </c>
      <c r="AW119" s="2">
        <v>8.0</v>
      </c>
      <c r="AY119" s="2"/>
      <c r="BC119" s="2"/>
      <c r="BD119" s="2"/>
      <c r="BG119" s="2"/>
      <c r="BH119" s="2"/>
      <c r="BI119" s="2">
        <v>7.0</v>
      </c>
      <c r="BK119" s="2"/>
      <c r="BP119" s="2">
        <v>1.0</v>
      </c>
      <c r="CK119" s="2">
        <v>3.0</v>
      </c>
      <c r="CQ119" s="15">
        <f t="shared" si="7"/>
        <v>25</v>
      </c>
    </row>
    <row r="120">
      <c r="A120" s="22">
        <v>45332.0</v>
      </c>
      <c r="B120" s="23" t="s">
        <v>207</v>
      </c>
      <c r="C120" s="23" t="s">
        <v>129</v>
      </c>
      <c r="D120" s="25">
        <v>1.0</v>
      </c>
      <c r="E120" s="2">
        <v>18.0</v>
      </c>
      <c r="F120" s="2">
        <v>1.0</v>
      </c>
      <c r="M120" s="2"/>
      <c r="N120" s="2">
        <v>4.0</v>
      </c>
      <c r="Q120" s="2"/>
      <c r="R120" s="2"/>
      <c r="AB120" s="2"/>
      <c r="AC120" s="2"/>
      <c r="AJ120" s="2">
        <v>5.0</v>
      </c>
      <c r="AK120" s="2"/>
      <c r="AL120" s="2">
        <v>2.0</v>
      </c>
      <c r="AS120" s="2"/>
      <c r="AT120" s="2">
        <v>4.0</v>
      </c>
      <c r="AW120" s="2">
        <v>6.0</v>
      </c>
      <c r="AY120" s="2"/>
      <c r="BC120" s="2"/>
      <c r="BD120" s="2"/>
      <c r="BG120" s="2"/>
      <c r="BH120" s="2"/>
      <c r="BI120" s="2">
        <v>2.0</v>
      </c>
      <c r="BK120" s="2"/>
      <c r="BQ120" s="2"/>
      <c r="BR120" s="2">
        <v>1.0</v>
      </c>
      <c r="CQ120" s="15">
        <f t="shared" si="7"/>
        <v>25</v>
      </c>
    </row>
    <row r="121">
      <c r="A121" s="22">
        <v>45332.0</v>
      </c>
      <c r="B121" s="23" t="s">
        <v>207</v>
      </c>
      <c r="C121" s="23" t="s">
        <v>129</v>
      </c>
      <c r="D121" s="25">
        <v>1.0</v>
      </c>
      <c r="E121" s="2">
        <v>20.0</v>
      </c>
      <c r="M121" s="2"/>
      <c r="N121" s="2">
        <v>3.0</v>
      </c>
      <c r="O121" s="2"/>
      <c r="P121" s="2">
        <v>1.0</v>
      </c>
      <c r="Q121" s="2"/>
      <c r="R121" s="2"/>
      <c r="AB121" s="2"/>
      <c r="AC121" s="2"/>
      <c r="AJ121" s="2">
        <v>3.0</v>
      </c>
      <c r="AV121" s="2">
        <v>6.0</v>
      </c>
      <c r="AW121" s="2">
        <v>1.0</v>
      </c>
      <c r="AY121" s="2"/>
      <c r="BC121" s="2"/>
      <c r="BD121" s="2"/>
      <c r="BG121" s="2"/>
      <c r="BH121" s="2"/>
      <c r="BI121" s="2">
        <v>3.0</v>
      </c>
      <c r="BK121" s="2"/>
      <c r="CI121" s="2">
        <v>7.0</v>
      </c>
      <c r="CK121" s="2">
        <v>1.0</v>
      </c>
      <c r="CQ121" s="15">
        <f t="shared" si="7"/>
        <v>25</v>
      </c>
    </row>
    <row r="122">
      <c r="A122" s="9">
        <v>45333.0</v>
      </c>
      <c r="B122" s="2" t="s">
        <v>233</v>
      </c>
      <c r="C122" s="2" t="s">
        <v>117</v>
      </c>
      <c r="D122" s="2">
        <v>4.0</v>
      </c>
      <c r="E122" s="2">
        <v>3.0</v>
      </c>
      <c r="Q122" s="2"/>
      <c r="R122" s="2">
        <v>6.0</v>
      </c>
      <c r="AB122" s="2">
        <v>1.0</v>
      </c>
      <c r="AC122" s="2"/>
      <c r="AJ122" s="2">
        <v>6.0</v>
      </c>
      <c r="AY122" s="2">
        <v>9.0</v>
      </c>
      <c r="BC122" s="2"/>
      <c r="BD122" s="2">
        <v>1.0</v>
      </c>
      <c r="BK122" s="2">
        <v>2.0</v>
      </c>
      <c r="CQ122" s="15">
        <f t="shared" ref="CQ122:CQ132" si="8">sum(F122:CN122)</f>
        <v>25</v>
      </c>
    </row>
    <row r="123">
      <c r="A123" s="33">
        <v>45333.0</v>
      </c>
      <c r="B123" s="2" t="s">
        <v>233</v>
      </c>
      <c r="C123" s="2" t="s">
        <v>117</v>
      </c>
      <c r="D123" s="2">
        <v>4.0</v>
      </c>
      <c r="E123" s="2">
        <v>4.0</v>
      </c>
      <c r="Q123" s="2"/>
      <c r="R123" s="2">
        <v>1.0</v>
      </c>
      <c r="BK123" s="2">
        <v>20.0</v>
      </c>
      <c r="BL123" s="2">
        <v>3.0</v>
      </c>
      <c r="CJ123" s="2"/>
      <c r="CK123" s="2">
        <v>1.0</v>
      </c>
      <c r="CQ123" s="15">
        <f t="shared" si="8"/>
        <v>25</v>
      </c>
    </row>
    <row r="124">
      <c r="A124" s="33">
        <v>45333.0</v>
      </c>
      <c r="B124" s="2" t="s">
        <v>233</v>
      </c>
      <c r="C124" s="2" t="s">
        <v>117</v>
      </c>
      <c r="D124" s="2">
        <v>4.0</v>
      </c>
      <c r="E124" s="2">
        <v>5.0</v>
      </c>
      <c r="Q124" s="2"/>
      <c r="R124" s="2">
        <v>1.0</v>
      </c>
      <c r="AX124" s="2">
        <v>1.0</v>
      </c>
      <c r="AY124" s="2">
        <v>1.0</v>
      </c>
      <c r="BC124" s="2"/>
      <c r="BD124" s="2">
        <v>3.0</v>
      </c>
      <c r="BG124" s="2"/>
      <c r="BH124" s="2"/>
      <c r="BI124" s="2">
        <v>8.0</v>
      </c>
      <c r="BK124" s="2">
        <v>4.0</v>
      </c>
      <c r="BL124" s="2">
        <v>4.0</v>
      </c>
      <c r="CI124" s="2">
        <v>1.0</v>
      </c>
      <c r="CJ124" s="2"/>
      <c r="CK124" s="2">
        <v>2.0</v>
      </c>
      <c r="CQ124" s="15">
        <f t="shared" si="8"/>
        <v>25</v>
      </c>
    </row>
    <row r="125">
      <c r="A125" s="33">
        <v>45333.0</v>
      </c>
      <c r="B125" s="2" t="s">
        <v>233</v>
      </c>
      <c r="C125" s="2" t="s">
        <v>117</v>
      </c>
      <c r="D125" s="2">
        <v>4.0</v>
      </c>
      <c r="E125" s="2">
        <v>6.0</v>
      </c>
      <c r="O125" s="2"/>
      <c r="P125" s="2">
        <v>1.0</v>
      </c>
      <c r="Q125" s="2"/>
      <c r="R125" s="2">
        <v>1.0</v>
      </c>
      <c r="AX125" s="2">
        <v>2.0</v>
      </c>
      <c r="BC125" s="2"/>
      <c r="BD125" s="2">
        <v>2.0</v>
      </c>
      <c r="BE125" s="2">
        <v>1.0</v>
      </c>
      <c r="BG125" s="2"/>
      <c r="BH125" s="2"/>
      <c r="BI125" s="2">
        <v>15.0</v>
      </c>
      <c r="BK125" s="2">
        <v>1.0</v>
      </c>
      <c r="CJ125" s="2"/>
      <c r="CK125" s="2">
        <v>2.0</v>
      </c>
      <c r="CQ125" s="15">
        <f t="shared" si="8"/>
        <v>25</v>
      </c>
    </row>
    <row r="126">
      <c r="A126" s="33">
        <v>45333.0</v>
      </c>
      <c r="B126" s="2" t="s">
        <v>233</v>
      </c>
      <c r="C126" s="2" t="s">
        <v>117</v>
      </c>
      <c r="D126" s="2">
        <v>4.0</v>
      </c>
      <c r="E126" s="2">
        <v>7.0</v>
      </c>
      <c r="AV126" s="2">
        <v>1.0</v>
      </c>
      <c r="BG126" s="2"/>
      <c r="BH126" s="2"/>
      <c r="BI126" s="2">
        <v>23.0</v>
      </c>
      <c r="CJ126" s="2"/>
      <c r="CK126" s="2">
        <v>1.0</v>
      </c>
      <c r="CQ126" s="15">
        <f t="shared" si="8"/>
        <v>25</v>
      </c>
    </row>
    <row r="127">
      <c r="A127" s="33">
        <v>45333.0</v>
      </c>
      <c r="B127" s="2" t="s">
        <v>233</v>
      </c>
      <c r="C127" s="2" t="s">
        <v>117</v>
      </c>
      <c r="D127" s="2">
        <v>4.0</v>
      </c>
      <c r="E127" s="2">
        <v>8.0</v>
      </c>
      <c r="O127" s="2"/>
      <c r="P127" s="2">
        <v>2.0</v>
      </c>
      <c r="AQ127" s="2">
        <v>3.0</v>
      </c>
      <c r="AR127" s="2"/>
      <c r="AV127" s="2">
        <v>1.0</v>
      </c>
      <c r="AX127" s="2">
        <v>1.0</v>
      </c>
      <c r="BC127" s="2"/>
      <c r="BD127" s="2">
        <v>6.0</v>
      </c>
      <c r="BG127" s="2"/>
      <c r="BH127" s="2"/>
      <c r="BI127" s="2">
        <v>8.0</v>
      </c>
      <c r="CJ127" s="2"/>
      <c r="CK127" s="2">
        <v>4.0</v>
      </c>
      <c r="CQ127" s="15">
        <f t="shared" si="8"/>
        <v>25</v>
      </c>
    </row>
    <row r="128">
      <c r="A128" s="33">
        <v>45333.0</v>
      </c>
      <c r="B128" s="2" t="s">
        <v>233</v>
      </c>
      <c r="C128" s="2" t="s">
        <v>117</v>
      </c>
      <c r="D128" s="2">
        <v>4.0</v>
      </c>
      <c r="E128" s="2">
        <v>9.0</v>
      </c>
      <c r="O128" s="2"/>
      <c r="P128" s="2">
        <v>1.0</v>
      </c>
      <c r="AV128" s="2">
        <v>1.0</v>
      </c>
      <c r="BC128" s="2"/>
      <c r="BD128" s="2">
        <v>3.0</v>
      </c>
      <c r="BG128" s="2"/>
      <c r="BH128" s="2"/>
      <c r="BI128" s="2">
        <v>3.0</v>
      </c>
      <c r="CG128" s="2">
        <v>1.0</v>
      </c>
      <c r="CJ128" s="2"/>
      <c r="CK128" s="2">
        <v>16.0</v>
      </c>
      <c r="CQ128" s="15">
        <f t="shared" si="8"/>
        <v>25</v>
      </c>
    </row>
    <row r="129">
      <c r="A129" s="33">
        <v>45333.0</v>
      </c>
      <c r="B129" s="2" t="s">
        <v>233</v>
      </c>
      <c r="C129" s="2" t="s">
        <v>117</v>
      </c>
      <c r="D129" s="2">
        <v>4.0</v>
      </c>
      <c r="E129" s="2">
        <v>10.0</v>
      </c>
      <c r="AK129" s="2"/>
      <c r="AL129" s="2">
        <v>1.0</v>
      </c>
      <c r="BG129" s="2"/>
      <c r="BH129" s="2"/>
      <c r="BI129" s="2">
        <v>9.0</v>
      </c>
      <c r="BK129" s="2">
        <v>3.0</v>
      </c>
      <c r="BL129" s="2">
        <v>2.0</v>
      </c>
      <c r="CI129" s="2">
        <v>10.0</v>
      </c>
      <c r="CQ129" s="15">
        <f t="shared" si="8"/>
        <v>25</v>
      </c>
    </row>
    <row r="130">
      <c r="A130" s="33">
        <v>45333.0</v>
      </c>
      <c r="B130" s="2" t="s">
        <v>233</v>
      </c>
      <c r="C130" s="2" t="s">
        <v>117</v>
      </c>
      <c r="D130" s="2">
        <v>4.0</v>
      </c>
      <c r="E130" s="2">
        <v>11.0</v>
      </c>
      <c r="CI130" s="2">
        <v>8.0</v>
      </c>
      <c r="CJ130" s="2"/>
      <c r="CK130" s="2">
        <v>11.0</v>
      </c>
      <c r="CM130" s="2">
        <v>6.0</v>
      </c>
      <c r="CQ130" s="15">
        <f t="shared" si="8"/>
        <v>25</v>
      </c>
    </row>
    <row r="131">
      <c r="A131" s="33">
        <v>45333.0</v>
      </c>
      <c r="B131" s="2" t="s">
        <v>233</v>
      </c>
      <c r="C131" s="2" t="s">
        <v>117</v>
      </c>
      <c r="D131" s="2">
        <v>4.0</v>
      </c>
      <c r="E131" s="2">
        <v>12.0</v>
      </c>
      <c r="BC131" s="2"/>
      <c r="BD131" s="2">
        <v>3.0</v>
      </c>
      <c r="BT131" s="2"/>
      <c r="BU131" s="2"/>
      <c r="BV131" s="2"/>
      <c r="BW131" s="2">
        <v>17.0</v>
      </c>
      <c r="CJ131" s="2"/>
      <c r="CK131" s="2">
        <v>5.0</v>
      </c>
      <c r="CQ131" s="15">
        <f t="shared" si="8"/>
        <v>25</v>
      </c>
    </row>
    <row r="132">
      <c r="A132" s="33">
        <v>45333.0</v>
      </c>
      <c r="B132" s="2" t="s">
        <v>233</v>
      </c>
      <c r="C132" s="2" t="s">
        <v>117</v>
      </c>
      <c r="D132" s="2">
        <v>4.0</v>
      </c>
      <c r="E132" s="2">
        <v>13.0</v>
      </c>
      <c r="BT132" s="2"/>
      <c r="BU132" s="2"/>
      <c r="BV132" s="2"/>
      <c r="BW132" s="2">
        <v>10.0</v>
      </c>
      <c r="CJ132" s="2"/>
      <c r="CK132" s="2">
        <v>15.0</v>
      </c>
      <c r="CQ132" s="15">
        <f t="shared" si="8"/>
        <v>25</v>
      </c>
    </row>
    <row r="133">
      <c r="A133" s="9">
        <v>45333.0</v>
      </c>
      <c r="B133" s="2" t="s">
        <v>233</v>
      </c>
      <c r="C133" s="2" t="s">
        <v>129</v>
      </c>
      <c r="D133" s="2">
        <v>3.0</v>
      </c>
      <c r="E133" s="2">
        <v>2.0</v>
      </c>
      <c r="Q133" s="2"/>
      <c r="R133" s="2">
        <v>2.0</v>
      </c>
      <c r="V133" s="2">
        <v>1.0</v>
      </c>
      <c r="AJ133" s="2"/>
      <c r="AK133" s="2"/>
      <c r="AL133" s="2">
        <v>1.0</v>
      </c>
      <c r="AY133" s="2">
        <v>9.0</v>
      </c>
      <c r="BA133" s="2"/>
      <c r="BC133" s="2"/>
      <c r="BD133" s="2"/>
      <c r="BK133" s="2">
        <v>12.0</v>
      </c>
      <c r="CK133" s="2"/>
      <c r="CQ133" s="15">
        <f t="shared" ref="CQ133:CQ142" si="9">sum(F133:CO133)</f>
        <v>25</v>
      </c>
    </row>
    <row r="134">
      <c r="A134" s="9">
        <v>45333.0</v>
      </c>
      <c r="B134" s="2" t="s">
        <v>233</v>
      </c>
      <c r="C134" s="2" t="s">
        <v>129</v>
      </c>
      <c r="D134" s="2">
        <v>3.0</v>
      </c>
      <c r="E134" s="2">
        <v>3.0</v>
      </c>
      <c r="O134" s="2">
        <v>1.0</v>
      </c>
      <c r="Q134" s="2"/>
      <c r="R134" s="2"/>
      <c r="AJ134" s="2"/>
      <c r="AK134" s="2"/>
      <c r="AL134" s="2">
        <v>6.0</v>
      </c>
      <c r="AW134" s="2">
        <v>1.0</v>
      </c>
      <c r="AY134" s="2">
        <v>10.0</v>
      </c>
      <c r="BA134" s="2"/>
      <c r="BC134" s="2"/>
      <c r="BD134" s="2"/>
      <c r="BK134" s="2">
        <v>5.0</v>
      </c>
      <c r="BP134" s="2">
        <v>1.0</v>
      </c>
      <c r="CK134" s="2">
        <v>1.0</v>
      </c>
      <c r="CQ134" s="15">
        <f t="shared" si="9"/>
        <v>25</v>
      </c>
    </row>
    <row r="135">
      <c r="A135" s="9">
        <v>45333.0</v>
      </c>
      <c r="B135" s="2" t="s">
        <v>233</v>
      </c>
      <c r="C135" s="2" t="s">
        <v>129</v>
      </c>
      <c r="D135" s="2">
        <v>3.0</v>
      </c>
      <c r="E135" s="2">
        <v>4.0</v>
      </c>
      <c r="Q135" s="2"/>
      <c r="R135" s="2"/>
      <c r="V135" s="2">
        <v>1.0</v>
      </c>
      <c r="AJ135" s="2"/>
      <c r="AK135" s="2"/>
      <c r="AL135" s="2"/>
      <c r="AY135" s="2"/>
      <c r="BA135" s="2"/>
      <c r="BC135" s="2"/>
      <c r="BD135" s="2"/>
      <c r="BK135" s="2">
        <v>1.0</v>
      </c>
      <c r="BL135" s="2">
        <v>17.0</v>
      </c>
      <c r="CK135" s="2">
        <v>1.0</v>
      </c>
      <c r="CM135" s="2">
        <v>5.0</v>
      </c>
      <c r="CQ135" s="15">
        <f t="shared" si="9"/>
        <v>25</v>
      </c>
    </row>
    <row r="136">
      <c r="A136" s="9">
        <v>45333.0</v>
      </c>
      <c r="B136" s="2" t="s">
        <v>233</v>
      </c>
      <c r="C136" s="2" t="s">
        <v>129</v>
      </c>
      <c r="D136" s="2">
        <v>3.0</v>
      </c>
      <c r="E136" s="2">
        <v>5.0</v>
      </c>
      <c r="O136" s="2"/>
      <c r="P136" s="2">
        <v>1.0</v>
      </c>
      <c r="Q136" s="2"/>
      <c r="R136" s="2"/>
      <c r="AJ136" s="2"/>
      <c r="AK136" s="2"/>
      <c r="AL136" s="2"/>
      <c r="AY136" s="2"/>
      <c r="BA136" s="2"/>
      <c r="BC136" s="2"/>
      <c r="BD136" s="2"/>
      <c r="BE136" s="2">
        <v>1.0</v>
      </c>
      <c r="BG136" s="2"/>
      <c r="BH136" s="2"/>
      <c r="BI136" s="2">
        <v>10.0</v>
      </c>
      <c r="BK136" s="2">
        <v>8.0</v>
      </c>
      <c r="BQ136" s="2"/>
      <c r="BR136" s="2">
        <v>3.0</v>
      </c>
      <c r="CK136" s="2">
        <v>2.0</v>
      </c>
      <c r="CQ136" s="15">
        <f t="shared" si="9"/>
        <v>25</v>
      </c>
    </row>
    <row r="137">
      <c r="A137" s="9">
        <v>45333.0</v>
      </c>
      <c r="B137" s="2" t="s">
        <v>233</v>
      </c>
      <c r="C137" s="2" t="s">
        <v>129</v>
      </c>
      <c r="D137" s="2">
        <v>3.0</v>
      </c>
      <c r="E137" s="2">
        <v>6.0</v>
      </c>
      <c r="O137" s="2"/>
      <c r="P137" s="2">
        <v>1.0</v>
      </c>
      <c r="Q137" s="2"/>
      <c r="R137" s="2"/>
      <c r="AJ137" s="2"/>
      <c r="AK137" s="2"/>
      <c r="AL137" s="2"/>
      <c r="AW137" s="2">
        <v>1.0</v>
      </c>
      <c r="AY137" s="2"/>
      <c r="BA137" s="2"/>
      <c r="BC137" s="2"/>
      <c r="BD137" s="2"/>
      <c r="BG137" s="2"/>
      <c r="BH137" s="2"/>
      <c r="BI137" s="2">
        <v>13.0</v>
      </c>
      <c r="BK137" s="2">
        <v>8.0</v>
      </c>
      <c r="BL137" s="2">
        <v>1.0</v>
      </c>
      <c r="CI137" s="2">
        <v>1.0</v>
      </c>
      <c r="CQ137" s="15">
        <f t="shared" si="9"/>
        <v>25</v>
      </c>
    </row>
    <row r="138">
      <c r="A138" s="9">
        <v>45333.0</v>
      </c>
      <c r="B138" s="2" t="s">
        <v>233</v>
      </c>
      <c r="C138" s="2" t="s">
        <v>129</v>
      </c>
      <c r="D138" s="2">
        <v>3.0</v>
      </c>
      <c r="E138" s="2">
        <v>7.0</v>
      </c>
      <c r="O138" s="2"/>
      <c r="P138" s="2">
        <v>2.0</v>
      </c>
      <c r="Q138" s="2"/>
      <c r="R138" s="2"/>
      <c r="AI138" s="2">
        <v>1.0</v>
      </c>
      <c r="AJ138" s="2"/>
      <c r="AK138" s="2"/>
      <c r="AL138" s="2"/>
      <c r="AV138" s="2">
        <v>2.0</v>
      </c>
      <c r="AY138" s="2"/>
      <c r="BA138" s="2"/>
      <c r="BC138" s="2"/>
      <c r="BD138" s="2"/>
      <c r="BG138" s="2"/>
      <c r="BH138" s="2"/>
      <c r="BI138" s="2">
        <v>19.0</v>
      </c>
      <c r="BK138" s="2"/>
      <c r="CI138" s="2">
        <v>1.0</v>
      </c>
      <c r="CQ138" s="15">
        <f t="shared" si="9"/>
        <v>25</v>
      </c>
    </row>
    <row r="139">
      <c r="A139" s="9">
        <v>45333.0</v>
      </c>
      <c r="B139" s="2" t="s">
        <v>233</v>
      </c>
      <c r="C139" s="2" t="s">
        <v>129</v>
      </c>
      <c r="D139" s="2">
        <v>3.0</v>
      </c>
      <c r="E139" s="2">
        <v>8.0</v>
      </c>
      <c r="Q139" s="2"/>
      <c r="R139" s="2"/>
      <c r="S139" s="2">
        <v>1.0</v>
      </c>
      <c r="AJ139" s="2"/>
      <c r="AK139" s="2"/>
      <c r="AL139" s="2"/>
      <c r="AW139" s="2">
        <v>1.0</v>
      </c>
      <c r="AY139" s="2"/>
      <c r="BA139" s="2"/>
      <c r="BC139" s="2"/>
      <c r="BD139" s="2"/>
      <c r="BE139" s="2">
        <v>1.0</v>
      </c>
      <c r="BG139" s="2"/>
      <c r="BH139" s="2"/>
      <c r="BI139" s="2">
        <v>11.0</v>
      </c>
      <c r="BK139" s="2">
        <v>1.0</v>
      </c>
      <c r="BL139" s="2">
        <v>2.0</v>
      </c>
      <c r="CI139" s="2">
        <v>8.0</v>
      </c>
      <c r="CQ139" s="15">
        <f t="shared" si="9"/>
        <v>25</v>
      </c>
    </row>
    <row r="140">
      <c r="A140" s="9">
        <v>45333.0</v>
      </c>
      <c r="B140" s="2" t="s">
        <v>233</v>
      </c>
      <c r="C140" s="2" t="s">
        <v>129</v>
      </c>
      <c r="D140" s="2">
        <v>3.0</v>
      </c>
      <c r="E140" s="2">
        <v>9.0</v>
      </c>
      <c r="O140" s="2"/>
      <c r="P140" s="2">
        <v>1.0</v>
      </c>
      <c r="Q140" s="2"/>
      <c r="R140" s="2"/>
      <c r="AJ140" s="2"/>
      <c r="AK140" s="2"/>
      <c r="AL140" s="2"/>
      <c r="AY140" s="2"/>
      <c r="BA140" s="2"/>
      <c r="BC140" s="2"/>
      <c r="BD140" s="2"/>
      <c r="BG140" s="2"/>
      <c r="BH140" s="2"/>
      <c r="BI140" s="2">
        <v>4.0</v>
      </c>
      <c r="BK140" s="2"/>
      <c r="BQ140" s="2"/>
      <c r="BR140" s="2">
        <v>4.0</v>
      </c>
      <c r="CI140" s="2">
        <v>16.0</v>
      </c>
      <c r="CQ140" s="15">
        <f t="shared" si="9"/>
        <v>25</v>
      </c>
    </row>
    <row r="141">
      <c r="A141" s="9">
        <v>45333.0</v>
      </c>
      <c r="B141" s="2" t="s">
        <v>233</v>
      </c>
      <c r="C141" s="2" t="s">
        <v>129</v>
      </c>
      <c r="D141" s="2">
        <v>3.0</v>
      </c>
      <c r="E141" s="2">
        <v>10.0</v>
      </c>
      <c r="Q141" s="2"/>
      <c r="R141" s="2"/>
      <c r="AJ141" s="2"/>
      <c r="AK141" s="2"/>
      <c r="AL141" s="2"/>
      <c r="AY141" s="2"/>
      <c r="BA141" s="2"/>
      <c r="BC141" s="2"/>
      <c r="BD141" s="2"/>
      <c r="BK141" s="2"/>
      <c r="BT141" s="2"/>
      <c r="BU141" s="2"/>
      <c r="BV141" s="2"/>
      <c r="BW141" s="2">
        <v>25.0</v>
      </c>
      <c r="CQ141" s="15">
        <f t="shared" si="9"/>
        <v>25</v>
      </c>
    </row>
    <row r="142">
      <c r="A142" s="9">
        <v>45333.0</v>
      </c>
      <c r="B142" s="2" t="s">
        <v>233</v>
      </c>
      <c r="C142" s="2" t="s">
        <v>129</v>
      </c>
      <c r="D142" s="2">
        <v>3.0</v>
      </c>
      <c r="E142" s="2">
        <v>11.0</v>
      </c>
      <c r="O142" s="2"/>
      <c r="P142" s="2">
        <v>1.0</v>
      </c>
      <c r="Q142" s="2"/>
      <c r="R142" s="2"/>
      <c r="AJ142" s="2"/>
      <c r="AK142" s="2"/>
      <c r="AL142" s="2"/>
      <c r="AY142" s="2"/>
      <c r="BA142" s="2"/>
      <c r="BC142" s="2"/>
      <c r="BD142" s="2"/>
      <c r="BG142" s="2"/>
      <c r="BH142" s="2"/>
      <c r="BI142" s="2">
        <v>1.0</v>
      </c>
      <c r="BK142" s="2"/>
      <c r="BQ142" s="2"/>
      <c r="BR142" s="2">
        <v>2.0</v>
      </c>
      <c r="BT142" s="2"/>
      <c r="BU142" s="2"/>
      <c r="BV142" s="2"/>
      <c r="BW142" s="2">
        <v>1.0</v>
      </c>
      <c r="CK142" s="2">
        <v>20.0</v>
      </c>
      <c r="CQ142" s="15">
        <f t="shared" si="9"/>
        <v>25</v>
      </c>
    </row>
    <row r="143">
      <c r="A143" s="9">
        <v>45333.0</v>
      </c>
      <c r="B143" s="2" t="s">
        <v>233</v>
      </c>
      <c r="C143" s="2" t="s">
        <v>97</v>
      </c>
      <c r="D143" s="2">
        <v>2.0</v>
      </c>
      <c r="E143" s="2">
        <v>3.0</v>
      </c>
      <c r="Q143" s="2"/>
      <c r="R143" s="2">
        <v>6.0</v>
      </c>
      <c r="AJ143" s="2">
        <v>10.0</v>
      </c>
      <c r="AK143" s="2"/>
      <c r="AL143" s="2">
        <v>1.0</v>
      </c>
      <c r="AY143" s="2">
        <v>4.0</v>
      </c>
      <c r="BA143" s="2">
        <v>1.0</v>
      </c>
      <c r="BC143" s="2"/>
      <c r="BD143" s="2">
        <v>2.0</v>
      </c>
      <c r="BK143" s="2">
        <v>1.0</v>
      </c>
      <c r="CQ143" s="15">
        <f t="shared" ref="CQ143:CQ152" si="10">sum(F143:CN143)</f>
        <v>25</v>
      </c>
    </row>
    <row r="144">
      <c r="A144" s="33">
        <v>45333.0</v>
      </c>
      <c r="B144" s="2" t="s">
        <v>233</v>
      </c>
      <c r="C144" s="2" t="s">
        <v>97</v>
      </c>
      <c r="D144" s="2">
        <v>2.0</v>
      </c>
      <c r="E144" s="2">
        <v>4.0</v>
      </c>
      <c r="Q144" s="2"/>
      <c r="R144" s="2">
        <v>4.0</v>
      </c>
      <c r="AB144" s="2">
        <v>1.0</v>
      </c>
      <c r="AC144" s="2"/>
      <c r="BC144" s="2"/>
      <c r="BD144" s="2">
        <v>1.0</v>
      </c>
      <c r="BE144" s="2">
        <v>1.0</v>
      </c>
      <c r="BK144" s="2">
        <v>13.0</v>
      </c>
      <c r="BL144" s="2">
        <v>1.0</v>
      </c>
      <c r="CJ144" s="2"/>
      <c r="CK144" s="2">
        <v>4.0</v>
      </c>
      <c r="CQ144" s="15">
        <f t="shared" si="10"/>
        <v>25</v>
      </c>
    </row>
    <row r="145">
      <c r="A145" s="33">
        <v>45333.0</v>
      </c>
      <c r="B145" s="2" t="s">
        <v>233</v>
      </c>
      <c r="C145" s="2" t="s">
        <v>97</v>
      </c>
      <c r="D145" s="2">
        <v>2.0</v>
      </c>
      <c r="E145" s="2">
        <v>5.0</v>
      </c>
      <c r="BG145" s="2"/>
      <c r="BH145" s="2"/>
      <c r="BI145" s="2">
        <v>8.0</v>
      </c>
      <c r="BK145" s="2">
        <v>9.0</v>
      </c>
      <c r="BL145" s="2">
        <v>4.0</v>
      </c>
      <c r="CJ145" s="2"/>
      <c r="CK145" s="2">
        <v>4.0</v>
      </c>
      <c r="CQ145" s="15">
        <f t="shared" si="10"/>
        <v>25</v>
      </c>
    </row>
    <row r="146">
      <c r="A146" s="33">
        <v>45333.0</v>
      </c>
      <c r="B146" s="2" t="s">
        <v>233</v>
      </c>
      <c r="C146" s="2" t="s">
        <v>97</v>
      </c>
      <c r="D146" s="2">
        <v>2.0</v>
      </c>
      <c r="E146" s="2">
        <v>6.0</v>
      </c>
      <c r="BG146" s="2"/>
      <c r="BH146" s="2"/>
      <c r="BI146" s="2">
        <v>24.0</v>
      </c>
      <c r="BK146" s="2">
        <v>1.0</v>
      </c>
      <c r="CQ146" s="15">
        <f t="shared" si="10"/>
        <v>25</v>
      </c>
    </row>
    <row r="147">
      <c r="A147" s="33">
        <v>45333.0</v>
      </c>
      <c r="B147" s="2" t="s">
        <v>233</v>
      </c>
      <c r="C147" s="2" t="s">
        <v>97</v>
      </c>
      <c r="D147" s="2">
        <v>2.0</v>
      </c>
      <c r="E147" s="2">
        <v>7.0</v>
      </c>
      <c r="Q147" s="2"/>
      <c r="R147" s="2">
        <v>1.0</v>
      </c>
      <c r="AJ147" s="2">
        <v>2.0</v>
      </c>
      <c r="AQ147" s="2">
        <v>5.0</v>
      </c>
      <c r="AR147" s="2"/>
      <c r="BG147" s="2"/>
      <c r="BH147" s="2"/>
      <c r="BI147" s="2">
        <v>12.0</v>
      </c>
      <c r="BK147" s="2">
        <v>2.0</v>
      </c>
      <c r="CI147" s="2">
        <v>2.0</v>
      </c>
      <c r="CJ147" s="2"/>
      <c r="CK147" s="2">
        <v>1.0</v>
      </c>
      <c r="CQ147" s="15">
        <f t="shared" si="10"/>
        <v>25</v>
      </c>
    </row>
    <row r="148">
      <c r="A148" s="33">
        <v>45333.0</v>
      </c>
      <c r="B148" s="2" t="s">
        <v>233</v>
      </c>
      <c r="C148" s="2" t="s">
        <v>97</v>
      </c>
      <c r="D148" s="2">
        <v>2.0</v>
      </c>
      <c r="E148" s="2">
        <v>8.0</v>
      </c>
      <c r="AJ148" s="2">
        <v>1.0</v>
      </c>
      <c r="AQ148" s="2">
        <v>1.0</v>
      </c>
      <c r="AR148" s="2"/>
      <c r="AU148" s="2">
        <v>2.0</v>
      </c>
      <c r="AY148" s="2">
        <v>1.0</v>
      </c>
      <c r="BE148" s="2">
        <v>1.0</v>
      </c>
      <c r="BG148" s="2"/>
      <c r="BH148" s="2"/>
      <c r="BI148" s="2">
        <v>4.0</v>
      </c>
      <c r="BK148" s="2">
        <v>4.0</v>
      </c>
      <c r="BL148" s="2">
        <v>4.0</v>
      </c>
      <c r="CI148" s="2">
        <v>7.0</v>
      </c>
      <c r="CQ148" s="15">
        <f t="shared" si="10"/>
        <v>25</v>
      </c>
    </row>
    <row r="149">
      <c r="A149" s="33">
        <v>45333.0</v>
      </c>
      <c r="B149" s="2" t="s">
        <v>233</v>
      </c>
      <c r="C149" s="2" t="s">
        <v>97</v>
      </c>
      <c r="D149" s="2">
        <v>2.0</v>
      </c>
      <c r="E149" s="2">
        <v>9.0</v>
      </c>
      <c r="O149" s="2"/>
      <c r="P149" s="2">
        <v>1.0</v>
      </c>
      <c r="AH149" s="2"/>
      <c r="AI149" s="2">
        <v>2.0</v>
      </c>
      <c r="AJ149" s="2">
        <v>1.0</v>
      </c>
      <c r="AQ149" s="2">
        <v>1.0</v>
      </c>
      <c r="AR149" s="2"/>
      <c r="AU149" s="2">
        <v>6.0</v>
      </c>
      <c r="BG149" s="2"/>
      <c r="BH149" s="2"/>
      <c r="BI149" s="2">
        <v>1.0</v>
      </c>
      <c r="BK149" s="2">
        <v>2.0</v>
      </c>
      <c r="CI149" s="2">
        <v>11.0</v>
      </c>
      <c r="CQ149" s="15">
        <f t="shared" si="10"/>
        <v>25</v>
      </c>
    </row>
    <row r="150">
      <c r="A150" s="33">
        <v>45333.0</v>
      </c>
      <c r="B150" s="2" t="s">
        <v>233</v>
      </c>
      <c r="C150" s="2" t="s">
        <v>97</v>
      </c>
      <c r="D150" s="2">
        <v>2.0</v>
      </c>
      <c r="E150" s="2">
        <v>10.0</v>
      </c>
      <c r="BG150" s="2"/>
      <c r="BH150" s="2"/>
      <c r="BI150" s="2">
        <v>1.0</v>
      </c>
      <c r="CI150" s="2">
        <v>24.0</v>
      </c>
      <c r="CQ150" s="15">
        <f t="shared" si="10"/>
        <v>25</v>
      </c>
    </row>
    <row r="151">
      <c r="A151" s="33">
        <v>45333.0</v>
      </c>
      <c r="B151" s="2" t="s">
        <v>233</v>
      </c>
      <c r="C151" s="2" t="s">
        <v>97</v>
      </c>
      <c r="D151" s="2">
        <v>2.0</v>
      </c>
      <c r="E151" s="2">
        <v>11.0</v>
      </c>
      <c r="BK151" s="2">
        <v>2.0</v>
      </c>
      <c r="BL151" s="2">
        <v>2.0</v>
      </c>
      <c r="BT151" s="2"/>
      <c r="BU151" s="2"/>
      <c r="BV151" s="2"/>
      <c r="BW151" s="2">
        <v>3.0</v>
      </c>
      <c r="CI151" s="2">
        <v>15.0</v>
      </c>
      <c r="CJ151" s="2"/>
      <c r="CK151" s="2">
        <v>3.0</v>
      </c>
      <c r="CQ151" s="15">
        <f t="shared" si="10"/>
        <v>25</v>
      </c>
    </row>
    <row r="152">
      <c r="A152" s="33">
        <v>45333.0</v>
      </c>
      <c r="B152" s="2" t="s">
        <v>233</v>
      </c>
      <c r="C152" s="2" t="s">
        <v>97</v>
      </c>
      <c r="D152" s="2">
        <v>2.0</v>
      </c>
      <c r="E152" s="2">
        <v>12.0</v>
      </c>
      <c r="CI152" s="2">
        <v>3.0</v>
      </c>
      <c r="CJ152" s="2"/>
      <c r="CK152" s="2">
        <v>15.0</v>
      </c>
      <c r="CM152" s="2">
        <v>7.0</v>
      </c>
      <c r="CQ152" s="15">
        <f t="shared" si="10"/>
        <v>25</v>
      </c>
    </row>
    <row r="153">
      <c r="A153" s="35">
        <v>45333.0</v>
      </c>
      <c r="B153" s="2" t="s">
        <v>233</v>
      </c>
      <c r="C153" s="2" t="s">
        <v>129</v>
      </c>
      <c r="D153" s="2">
        <v>1.0</v>
      </c>
      <c r="E153" s="2">
        <v>2.0</v>
      </c>
      <c r="J153" s="2"/>
      <c r="K153" s="2"/>
      <c r="O153" s="2"/>
      <c r="P153" s="2"/>
      <c r="Q153" s="2"/>
      <c r="R153" s="2"/>
      <c r="AH153" s="2"/>
      <c r="AI153" s="2">
        <v>2.0</v>
      </c>
      <c r="AK153" s="2"/>
      <c r="AL153" s="2">
        <v>8.0</v>
      </c>
      <c r="AP153" s="2"/>
      <c r="AY153" s="2">
        <v>8.0</v>
      </c>
      <c r="BB153" s="2">
        <v>1.0</v>
      </c>
      <c r="BE153" s="2">
        <v>2.0</v>
      </c>
      <c r="BG153" s="2"/>
      <c r="BH153" s="2"/>
      <c r="BI153" s="2"/>
      <c r="BP153" s="2">
        <v>2.0</v>
      </c>
      <c r="BQ153" s="2"/>
      <c r="BR153" s="2"/>
      <c r="CQ153" s="15">
        <f t="shared" ref="CQ153:CQ162" si="11">sum(F153:CO153)</f>
        <v>23</v>
      </c>
      <c r="CR153" s="2" t="s">
        <v>245</v>
      </c>
      <c r="CS153" s="2"/>
      <c r="CT153" s="2"/>
    </row>
    <row r="154">
      <c r="A154" s="35">
        <v>45333.0</v>
      </c>
      <c r="B154" s="2" t="s">
        <v>233</v>
      </c>
      <c r="C154" s="2" t="s">
        <v>129</v>
      </c>
      <c r="D154" s="2">
        <v>1.0</v>
      </c>
      <c r="E154" s="2">
        <v>3.0</v>
      </c>
      <c r="J154" s="2"/>
      <c r="K154" s="2"/>
      <c r="O154" s="2"/>
      <c r="P154" s="2"/>
      <c r="Q154" s="2"/>
      <c r="R154" s="2"/>
      <c r="AH154" s="2"/>
      <c r="AK154" s="2"/>
      <c r="AL154" s="2">
        <v>6.0</v>
      </c>
      <c r="AP154" s="2"/>
      <c r="AY154" s="2">
        <v>11.0</v>
      </c>
      <c r="BE154" s="2">
        <v>1.0</v>
      </c>
      <c r="BG154" s="2"/>
      <c r="BH154" s="2"/>
      <c r="BI154" s="2"/>
      <c r="BK154" s="2">
        <v>5.0</v>
      </c>
      <c r="BL154" s="2">
        <v>2.0</v>
      </c>
      <c r="BQ154" s="2"/>
      <c r="BR154" s="2"/>
      <c r="CQ154" s="15">
        <f t="shared" si="11"/>
        <v>25</v>
      </c>
      <c r="CS154" s="2"/>
      <c r="CT154" s="2"/>
    </row>
    <row r="155">
      <c r="A155" s="35">
        <v>45333.0</v>
      </c>
      <c r="B155" s="2" t="s">
        <v>233</v>
      </c>
      <c r="C155" s="2" t="s">
        <v>129</v>
      </c>
      <c r="D155" s="2">
        <v>1.0</v>
      </c>
      <c r="E155" s="2">
        <v>4.0</v>
      </c>
      <c r="J155" s="2"/>
      <c r="K155" s="2"/>
      <c r="O155" s="2"/>
      <c r="P155" s="2"/>
      <c r="Q155" s="2"/>
      <c r="R155" s="2"/>
      <c r="AH155" s="2"/>
      <c r="AP155" s="2"/>
      <c r="BG155" s="2"/>
      <c r="BH155" s="2"/>
      <c r="BI155" s="2"/>
      <c r="BK155" s="2">
        <v>6.0</v>
      </c>
      <c r="BL155" s="2">
        <v>14.0</v>
      </c>
      <c r="BQ155" s="2"/>
      <c r="BR155" s="2"/>
      <c r="CM155" s="2">
        <v>5.0</v>
      </c>
      <c r="CQ155" s="15">
        <f t="shared" si="11"/>
        <v>25</v>
      </c>
      <c r="CS155" s="2"/>
      <c r="CT155" s="2"/>
    </row>
    <row r="156">
      <c r="A156" s="35">
        <v>45333.0</v>
      </c>
      <c r="B156" s="2" t="s">
        <v>233</v>
      </c>
      <c r="C156" s="2" t="s">
        <v>129</v>
      </c>
      <c r="D156" s="2">
        <v>1.0</v>
      </c>
      <c r="E156" s="2">
        <v>5.0</v>
      </c>
      <c r="J156" s="2"/>
      <c r="K156" s="2"/>
      <c r="O156" s="2"/>
      <c r="P156" s="2"/>
      <c r="Q156" s="2"/>
      <c r="R156" s="2"/>
      <c r="AH156" s="2"/>
      <c r="AP156" s="2"/>
      <c r="AV156" s="2">
        <v>1.0</v>
      </c>
      <c r="BE156" s="2">
        <v>3.0</v>
      </c>
      <c r="BG156" s="2"/>
      <c r="BH156" s="2"/>
      <c r="BI156" s="2">
        <v>20.0</v>
      </c>
      <c r="BQ156" s="2"/>
      <c r="BR156" s="2"/>
      <c r="CI156" s="2">
        <v>1.0</v>
      </c>
      <c r="CQ156" s="15">
        <f t="shared" si="11"/>
        <v>25</v>
      </c>
      <c r="CS156" s="2"/>
      <c r="CT156" s="2"/>
    </row>
    <row r="157">
      <c r="A157" s="35">
        <v>45333.0</v>
      </c>
      <c r="B157" s="2" t="s">
        <v>233</v>
      </c>
      <c r="C157" s="2" t="s">
        <v>129</v>
      </c>
      <c r="D157" s="2">
        <v>1.0</v>
      </c>
      <c r="E157" s="2">
        <v>6.0</v>
      </c>
      <c r="J157" s="2"/>
      <c r="K157" s="2"/>
      <c r="O157" s="2"/>
      <c r="P157" s="2"/>
      <c r="Q157" s="2"/>
      <c r="R157" s="2"/>
      <c r="AH157" s="2"/>
      <c r="AP157" s="2"/>
      <c r="AV157" s="2">
        <v>1.0</v>
      </c>
      <c r="BE157" s="2">
        <v>2.0</v>
      </c>
      <c r="BG157" s="2"/>
      <c r="BH157" s="2"/>
      <c r="BI157" s="2">
        <v>17.0</v>
      </c>
      <c r="BK157" s="2">
        <v>3.0</v>
      </c>
      <c r="BL157" s="2">
        <v>1.0</v>
      </c>
      <c r="BQ157" s="2"/>
      <c r="BR157" s="2"/>
      <c r="CI157" s="2"/>
      <c r="CM157" s="2">
        <v>1.0</v>
      </c>
      <c r="CQ157" s="15">
        <f t="shared" si="11"/>
        <v>25</v>
      </c>
      <c r="CS157" s="2"/>
      <c r="CT157" s="2"/>
    </row>
    <row r="158">
      <c r="A158" s="35">
        <v>45333.0</v>
      </c>
      <c r="B158" s="2" t="s">
        <v>233</v>
      </c>
      <c r="C158" s="2" t="s">
        <v>129</v>
      </c>
      <c r="D158" s="2">
        <v>1.0</v>
      </c>
      <c r="E158" s="2">
        <v>7.0</v>
      </c>
      <c r="J158" s="2"/>
      <c r="K158" s="2"/>
      <c r="O158" s="2"/>
      <c r="P158" s="2"/>
      <c r="Q158" s="2"/>
      <c r="R158" s="2"/>
      <c r="AH158" s="2"/>
      <c r="AP158" s="2"/>
      <c r="AV158" s="2">
        <v>4.0</v>
      </c>
      <c r="AW158" s="2">
        <v>2.0</v>
      </c>
      <c r="BC158" s="2"/>
      <c r="BD158" s="2">
        <v>1.0</v>
      </c>
      <c r="BG158" s="2"/>
      <c r="BH158" s="2"/>
      <c r="BI158" s="2">
        <v>16.0</v>
      </c>
      <c r="BQ158" s="2"/>
      <c r="BR158" s="2"/>
      <c r="CK158" s="2">
        <v>2.0</v>
      </c>
      <c r="CQ158" s="15">
        <f t="shared" si="11"/>
        <v>25</v>
      </c>
      <c r="CS158" s="2"/>
      <c r="CT158" s="2"/>
    </row>
    <row r="159">
      <c r="A159" s="35">
        <v>45333.0</v>
      </c>
      <c r="B159" s="2" t="s">
        <v>233</v>
      </c>
      <c r="C159" s="2" t="s">
        <v>129</v>
      </c>
      <c r="D159" s="2">
        <v>1.0</v>
      </c>
      <c r="E159" s="2">
        <v>8.0</v>
      </c>
      <c r="J159" s="2"/>
      <c r="K159" s="2"/>
      <c r="O159" s="2"/>
      <c r="P159" s="2"/>
      <c r="Q159" s="2"/>
      <c r="R159" s="2"/>
      <c r="AH159" s="2"/>
      <c r="AP159" s="2"/>
      <c r="AV159" s="2">
        <v>22.0</v>
      </c>
      <c r="BG159" s="2"/>
      <c r="BH159" s="2"/>
      <c r="BI159" s="2">
        <v>1.0</v>
      </c>
      <c r="BK159" s="2">
        <v>2.0</v>
      </c>
      <c r="BQ159" s="2"/>
      <c r="BR159" s="2"/>
      <c r="CQ159" s="15">
        <f t="shared" si="11"/>
        <v>25</v>
      </c>
      <c r="CS159" s="2"/>
      <c r="CT159" s="2"/>
    </row>
    <row r="160">
      <c r="A160" s="35">
        <v>45333.0</v>
      </c>
      <c r="B160" s="2" t="s">
        <v>233</v>
      </c>
      <c r="C160" s="2" t="s">
        <v>129</v>
      </c>
      <c r="D160" s="2">
        <v>1.0</v>
      </c>
      <c r="E160" s="2">
        <v>9.0</v>
      </c>
      <c r="J160" s="2"/>
      <c r="K160" s="2"/>
      <c r="O160" s="2"/>
      <c r="P160" s="2"/>
      <c r="Q160" s="2"/>
      <c r="R160" s="2"/>
      <c r="AH160" s="2"/>
      <c r="AP160" s="2"/>
      <c r="AV160" s="2">
        <v>3.0</v>
      </c>
      <c r="AW160" s="2">
        <v>1.0</v>
      </c>
      <c r="BG160" s="2"/>
      <c r="BH160" s="2"/>
      <c r="BI160" s="2">
        <v>4.0</v>
      </c>
      <c r="BQ160" s="2"/>
      <c r="BR160" s="2"/>
      <c r="CI160" s="2">
        <v>17.0</v>
      </c>
      <c r="CQ160" s="15">
        <f t="shared" si="11"/>
        <v>25</v>
      </c>
      <c r="CS160" s="2"/>
      <c r="CT160" s="2"/>
    </row>
    <row r="161">
      <c r="A161" s="35">
        <v>45333.0</v>
      </c>
      <c r="B161" s="2" t="s">
        <v>233</v>
      </c>
      <c r="C161" s="2" t="s">
        <v>129</v>
      </c>
      <c r="D161" s="2">
        <v>1.0</v>
      </c>
      <c r="E161" s="2">
        <v>10.0</v>
      </c>
      <c r="J161" s="2"/>
      <c r="K161" s="2"/>
      <c r="O161" s="2"/>
      <c r="P161" s="2"/>
      <c r="Q161" s="2"/>
      <c r="R161" s="2"/>
      <c r="AH161" s="2"/>
      <c r="AP161" s="2"/>
      <c r="BC161" s="2"/>
      <c r="BD161" s="2">
        <v>15.0</v>
      </c>
      <c r="BG161" s="2"/>
      <c r="BH161" s="2"/>
      <c r="BI161" s="2"/>
      <c r="BQ161" s="2"/>
      <c r="BR161" s="2">
        <v>3.0</v>
      </c>
      <c r="CK161" s="2">
        <v>7.0</v>
      </c>
      <c r="CQ161" s="15">
        <f t="shared" si="11"/>
        <v>25</v>
      </c>
      <c r="CS161" s="2"/>
      <c r="CT161" s="2"/>
    </row>
    <row r="162">
      <c r="A162" s="35">
        <v>45333.0</v>
      </c>
      <c r="B162" s="2" t="s">
        <v>233</v>
      </c>
      <c r="C162" s="2" t="s">
        <v>129</v>
      </c>
      <c r="D162" s="2">
        <v>1.0</v>
      </c>
      <c r="E162" s="2">
        <v>11.0</v>
      </c>
      <c r="J162" s="2"/>
      <c r="K162" s="2"/>
      <c r="O162" s="2"/>
      <c r="P162" s="2"/>
      <c r="Q162" s="2"/>
      <c r="R162" s="2"/>
      <c r="AH162" s="2"/>
      <c r="AP162" s="2"/>
      <c r="BG162" s="2"/>
      <c r="BH162" s="2"/>
      <c r="BI162" s="2"/>
      <c r="BQ162" s="2"/>
      <c r="BR162" s="2">
        <v>6.0</v>
      </c>
      <c r="BT162" s="2"/>
      <c r="BU162" s="2"/>
      <c r="BV162" s="2"/>
      <c r="BW162" s="2">
        <v>2.0</v>
      </c>
      <c r="CK162" s="2">
        <v>17.0</v>
      </c>
      <c r="CQ162" s="15">
        <f t="shared" si="11"/>
        <v>25</v>
      </c>
      <c r="CS162" s="2"/>
      <c r="CT162" s="2"/>
    </row>
    <row r="163">
      <c r="A163" s="33">
        <v>45332.0</v>
      </c>
      <c r="B163" s="2" t="s">
        <v>171</v>
      </c>
      <c r="C163" s="2" t="s">
        <v>28</v>
      </c>
      <c r="D163" s="2">
        <v>1.0</v>
      </c>
      <c r="E163" s="2">
        <v>0.0</v>
      </c>
      <c r="J163" s="2"/>
      <c r="K163" s="2">
        <v>2.0</v>
      </c>
      <c r="O163" s="2"/>
      <c r="P163" s="2">
        <v>1.0</v>
      </c>
      <c r="Q163" s="2"/>
      <c r="R163" s="2">
        <v>2.0</v>
      </c>
      <c r="AH163" s="2">
        <v>1.0</v>
      </c>
      <c r="AP163" s="2">
        <v>1.0</v>
      </c>
      <c r="BG163" s="2"/>
      <c r="BH163" s="2"/>
      <c r="BI163" s="2">
        <v>10.0</v>
      </c>
      <c r="BQ163" s="2"/>
      <c r="BR163" s="2">
        <v>8.0</v>
      </c>
      <c r="CQ163" s="15">
        <f t="shared" ref="CQ163:CQ165" si="12">sum(F163:CN163)</f>
        <v>25</v>
      </c>
      <c r="CS163" s="2" t="s">
        <v>247</v>
      </c>
      <c r="CT163" s="2" t="s">
        <v>248</v>
      </c>
    </row>
    <row r="164">
      <c r="A164" s="9">
        <v>45332.0</v>
      </c>
      <c r="B164" s="2" t="s">
        <v>171</v>
      </c>
      <c r="C164" s="2" t="s">
        <v>28</v>
      </c>
      <c r="D164" s="2">
        <v>1.0</v>
      </c>
      <c r="E164" s="2">
        <v>5.0</v>
      </c>
      <c r="BB164" s="2">
        <v>2.0</v>
      </c>
      <c r="BF164" s="2">
        <v>1.0</v>
      </c>
      <c r="BG164" s="2"/>
      <c r="BH164" s="2"/>
      <c r="BI164" s="2">
        <v>5.0</v>
      </c>
      <c r="BQ164" s="2"/>
      <c r="BR164" s="2">
        <v>14.0</v>
      </c>
      <c r="CI164" s="2">
        <v>3.0</v>
      </c>
      <c r="CQ164" s="15">
        <f t="shared" si="12"/>
        <v>25</v>
      </c>
      <c r="CS164" s="2" t="s">
        <v>247</v>
      </c>
      <c r="CT164" s="2" t="s">
        <v>249</v>
      </c>
    </row>
    <row r="165">
      <c r="A165" s="33">
        <v>45332.0</v>
      </c>
      <c r="B165" s="2" t="s">
        <v>171</v>
      </c>
      <c r="C165" s="2" t="s">
        <v>28</v>
      </c>
      <c r="D165" s="2">
        <v>1.0</v>
      </c>
      <c r="E165" s="2">
        <v>10.0</v>
      </c>
      <c r="J165" s="2"/>
      <c r="K165" s="2">
        <v>2.0</v>
      </c>
      <c r="Q165" s="2"/>
      <c r="R165" s="2">
        <v>7.0</v>
      </c>
      <c r="BG165" s="2"/>
      <c r="BH165" s="2"/>
      <c r="BI165" s="2">
        <v>5.0</v>
      </c>
      <c r="BQ165" s="2"/>
      <c r="BR165" s="2">
        <v>11.0</v>
      </c>
      <c r="CQ165" s="15">
        <f t="shared" si="12"/>
        <v>25</v>
      </c>
      <c r="CS165" s="2" t="s">
        <v>250</v>
      </c>
      <c r="CT165" s="2" t="s">
        <v>249</v>
      </c>
    </row>
    <row r="166">
      <c r="A166" s="9">
        <v>45332.0</v>
      </c>
      <c r="B166" s="2" t="s">
        <v>171</v>
      </c>
      <c r="C166" s="2" t="s">
        <v>28</v>
      </c>
      <c r="D166" s="2">
        <v>1.0</v>
      </c>
      <c r="E166" s="2">
        <v>15.0</v>
      </c>
      <c r="Q166" s="2"/>
      <c r="R166" s="2">
        <v>3.0</v>
      </c>
      <c r="AS166" s="2"/>
      <c r="AT166" s="2">
        <v>10.0</v>
      </c>
      <c r="BQ166" s="2"/>
      <c r="BR166" s="2">
        <v>1.0</v>
      </c>
      <c r="CJ166" s="2"/>
      <c r="CK166" s="2">
        <v>9.0</v>
      </c>
      <c r="CO166" s="2">
        <v>2.0</v>
      </c>
      <c r="CQ166" s="15">
        <f>sum(F166:CO166)</f>
        <v>25</v>
      </c>
      <c r="CS166" s="2" t="s">
        <v>251</v>
      </c>
      <c r="CT166" s="2" t="s">
        <v>252</v>
      </c>
    </row>
    <row r="167">
      <c r="A167" s="33">
        <v>45332.0</v>
      </c>
      <c r="B167" s="2" t="s">
        <v>171</v>
      </c>
      <c r="C167" s="2" t="s">
        <v>28</v>
      </c>
      <c r="D167" s="2">
        <v>1.0</v>
      </c>
      <c r="E167" s="2">
        <v>20.0</v>
      </c>
      <c r="J167" s="2"/>
      <c r="K167" s="2">
        <v>1.0</v>
      </c>
      <c r="Q167" s="2"/>
      <c r="R167" s="2">
        <v>1.0</v>
      </c>
      <c r="BG167" s="2"/>
      <c r="BH167" s="2"/>
      <c r="BI167" s="2">
        <v>3.0</v>
      </c>
      <c r="BQ167" s="2"/>
      <c r="BR167" s="2">
        <v>8.0</v>
      </c>
      <c r="CJ167" s="2"/>
      <c r="CK167" s="2">
        <v>12.0</v>
      </c>
      <c r="CQ167" s="15">
        <f t="shared" ref="CQ167:CQ216" si="13">sum(F167:CN167)</f>
        <v>25</v>
      </c>
      <c r="CS167" s="2" t="s">
        <v>251</v>
      </c>
      <c r="CT167" s="2" t="s">
        <v>248</v>
      </c>
    </row>
    <row r="168">
      <c r="A168" s="9">
        <v>45332.0</v>
      </c>
      <c r="B168" s="2" t="s">
        <v>171</v>
      </c>
      <c r="C168" s="2" t="s">
        <v>28</v>
      </c>
      <c r="D168" s="2">
        <v>1.0</v>
      </c>
      <c r="E168" s="2">
        <v>25.0</v>
      </c>
      <c r="J168" s="2"/>
      <c r="K168" s="2">
        <v>2.0</v>
      </c>
      <c r="AP168" s="2">
        <v>2.0</v>
      </c>
      <c r="BG168" s="2"/>
      <c r="BH168" s="2"/>
      <c r="BI168" s="2">
        <v>9.0</v>
      </c>
      <c r="BQ168" s="2"/>
      <c r="BR168" s="2">
        <v>7.0</v>
      </c>
      <c r="CI168" s="2">
        <v>5.0</v>
      </c>
      <c r="CQ168" s="15">
        <f t="shared" si="13"/>
        <v>25</v>
      </c>
      <c r="CS168" s="2" t="s">
        <v>251</v>
      </c>
      <c r="CT168" s="2" t="s">
        <v>248</v>
      </c>
    </row>
    <row r="169">
      <c r="A169" s="33">
        <v>45332.0</v>
      </c>
      <c r="B169" s="2" t="s">
        <v>171</v>
      </c>
      <c r="C169" s="2" t="s">
        <v>28</v>
      </c>
      <c r="D169" s="2">
        <v>1.0</v>
      </c>
      <c r="E169" s="2">
        <v>30.0</v>
      </c>
      <c r="J169" s="2"/>
      <c r="K169" s="2">
        <v>4.0</v>
      </c>
      <c r="CI169" s="2">
        <v>19.0</v>
      </c>
      <c r="CJ169" s="2">
        <v>2.0</v>
      </c>
      <c r="CQ169" s="15">
        <f t="shared" si="13"/>
        <v>25</v>
      </c>
      <c r="CS169" s="2" t="s">
        <v>251</v>
      </c>
      <c r="CT169" s="2" t="s">
        <v>252</v>
      </c>
    </row>
    <row r="170">
      <c r="A170" s="9">
        <v>45332.0</v>
      </c>
      <c r="B170" s="2" t="s">
        <v>171</v>
      </c>
      <c r="C170" s="2" t="s">
        <v>28</v>
      </c>
      <c r="D170" s="2">
        <v>1.0</v>
      </c>
      <c r="E170" s="2">
        <v>35.0</v>
      </c>
      <c r="J170" s="2"/>
      <c r="K170" s="2">
        <v>4.0</v>
      </c>
      <c r="Q170" s="2"/>
      <c r="R170" s="2">
        <v>1.0</v>
      </c>
      <c r="AS170" s="2"/>
      <c r="AT170" s="2">
        <v>1.0</v>
      </c>
      <c r="CI170" s="2">
        <v>19.0</v>
      </c>
      <c r="CQ170" s="15">
        <f t="shared" si="13"/>
        <v>25</v>
      </c>
      <c r="CS170" s="2" t="s">
        <v>251</v>
      </c>
      <c r="CT170" s="2" t="s">
        <v>248</v>
      </c>
    </row>
    <row r="171">
      <c r="A171" s="33">
        <v>45332.0</v>
      </c>
      <c r="B171" s="2" t="s">
        <v>171</v>
      </c>
      <c r="C171" s="2" t="s">
        <v>28</v>
      </c>
      <c r="D171" s="2">
        <v>1.0</v>
      </c>
      <c r="E171" s="2">
        <v>40.0</v>
      </c>
      <c r="CI171" s="2">
        <v>25.0</v>
      </c>
      <c r="CQ171" s="15">
        <f t="shared" si="13"/>
        <v>25</v>
      </c>
      <c r="CS171" s="2" t="s">
        <v>251</v>
      </c>
      <c r="CT171" s="2" t="s">
        <v>252</v>
      </c>
    </row>
    <row r="172">
      <c r="A172" s="33">
        <v>45332.0</v>
      </c>
      <c r="B172" s="2" t="s">
        <v>171</v>
      </c>
      <c r="C172" s="2" t="s">
        <v>190</v>
      </c>
      <c r="D172" s="2">
        <v>2.0</v>
      </c>
      <c r="E172" s="2">
        <v>0.0</v>
      </c>
      <c r="H172" s="2">
        <v>3.0</v>
      </c>
      <c r="J172" s="2"/>
      <c r="K172" s="2"/>
      <c r="M172" s="2"/>
      <c r="N172" s="2">
        <v>1.0</v>
      </c>
      <c r="P172" s="2">
        <v>3.0</v>
      </c>
      <c r="Q172" s="2"/>
      <c r="R172" s="2">
        <v>4.0</v>
      </c>
      <c r="AD172" s="2"/>
      <c r="AE172" s="2">
        <v>1.0</v>
      </c>
      <c r="AP172" s="2"/>
      <c r="AV172" s="2">
        <v>3.0</v>
      </c>
      <c r="BC172" s="2">
        <v>1.0</v>
      </c>
      <c r="BG172" s="2"/>
      <c r="BH172" s="2"/>
      <c r="BI172" s="2">
        <v>2.0</v>
      </c>
      <c r="BQ172" s="2"/>
      <c r="BR172" s="2"/>
      <c r="CK172" s="2">
        <v>5.0</v>
      </c>
      <c r="CL172" s="2">
        <v>2.0</v>
      </c>
      <c r="CQ172" s="15">
        <f t="shared" si="13"/>
        <v>25</v>
      </c>
      <c r="CS172" s="2" t="s">
        <v>247</v>
      </c>
      <c r="CT172" s="2" t="s">
        <v>253</v>
      </c>
    </row>
    <row r="173">
      <c r="A173" s="33">
        <v>45332.0</v>
      </c>
      <c r="B173" s="2" t="s">
        <v>171</v>
      </c>
      <c r="C173" s="2" t="s">
        <v>190</v>
      </c>
      <c r="D173" s="2">
        <v>2.0</v>
      </c>
      <c r="E173" s="2">
        <v>5.0</v>
      </c>
      <c r="J173" s="2"/>
      <c r="K173" s="2"/>
      <c r="P173" s="2">
        <v>1.0</v>
      </c>
      <c r="Q173" s="2"/>
      <c r="R173" s="2">
        <v>3.0</v>
      </c>
      <c r="Z173" s="2">
        <v>3.0</v>
      </c>
      <c r="AP173" s="2"/>
      <c r="AS173" s="2"/>
      <c r="AT173" s="2">
        <v>4.0</v>
      </c>
      <c r="AV173" s="2">
        <v>2.0</v>
      </c>
      <c r="AW173" s="2">
        <v>1.0</v>
      </c>
      <c r="BC173" s="2">
        <v>1.0</v>
      </c>
      <c r="BD173" s="2">
        <v>1.0</v>
      </c>
      <c r="BG173" s="2"/>
      <c r="BH173" s="2"/>
      <c r="BI173" s="2">
        <v>7.0</v>
      </c>
      <c r="BQ173" s="2"/>
      <c r="BR173" s="2"/>
      <c r="CK173" s="2">
        <v>1.0</v>
      </c>
      <c r="CL173" s="2">
        <v>1.0</v>
      </c>
      <c r="CQ173" s="15">
        <f t="shared" si="13"/>
        <v>25</v>
      </c>
      <c r="CS173" s="2" t="s">
        <v>247</v>
      </c>
      <c r="CT173" s="2" t="s">
        <v>254</v>
      </c>
    </row>
    <row r="174">
      <c r="A174" s="33">
        <v>45332.0</v>
      </c>
      <c r="B174" s="2" t="s">
        <v>171</v>
      </c>
      <c r="C174" s="2" t="s">
        <v>190</v>
      </c>
      <c r="D174" s="2">
        <v>2.0</v>
      </c>
      <c r="E174" s="2">
        <v>10.0</v>
      </c>
      <c r="J174" s="2"/>
      <c r="K174" s="2"/>
      <c r="Q174" s="2"/>
      <c r="R174" s="2">
        <v>2.0</v>
      </c>
      <c r="AP174" s="2"/>
      <c r="AS174" s="2"/>
      <c r="AT174" s="2">
        <v>1.0</v>
      </c>
      <c r="AV174" s="2">
        <v>2.0</v>
      </c>
      <c r="AW174" s="2">
        <v>1.0</v>
      </c>
      <c r="BC174" s="2">
        <v>4.0</v>
      </c>
      <c r="BG174" s="2"/>
      <c r="BH174" s="2"/>
      <c r="BI174" s="2">
        <v>11.0</v>
      </c>
      <c r="BQ174" s="2"/>
      <c r="BR174" s="2">
        <v>2.0</v>
      </c>
      <c r="CL174" s="2">
        <v>2.0</v>
      </c>
      <c r="CQ174" s="15">
        <f t="shared" si="13"/>
        <v>25</v>
      </c>
      <c r="CS174" s="2" t="s">
        <v>255</v>
      </c>
      <c r="CT174" s="2" t="s">
        <v>256</v>
      </c>
    </row>
    <row r="175">
      <c r="A175" s="33">
        <v>45332.0</v>
      </c>
      <c r="B175" s="2" t="s">
        <v>171</v>
      </c>
      <c r="C175" s="2" t="s">
        <v>190</v>
      </c>
      <c r="D175" s="2">
        <v>2.0</v>
      </c>
      <c r="E175" s="2">
        <v>15.0</v>
      </c>
      <c r="H175" s="2">
        <v>2.0</v>
      </c>
      <c r="J175" s="2"/>
      <c r="K175" s="2"/>
      <c r="Q175" s="2"/>
      <c r="R175" s="2">
        <v>2.0</v>
      </c>
      <c r="Z175" s="2">
        <v>2.0</v>
      </c>
      <c r="AP175" s="2"/>
      <c r="AV175" s="2">
        <v>5.0</v>
      </c>
      <c r="BC175" s="2">
        <v>3.0</v>
      </c>
      <c r="BG175" s="2"/>
      <c r="BH175" s="2"/>
      <c r="BI175" s="2">
        <v>11.0</v>
      </c>
      <c r="BQ175" s="2"/>
      <c r="BR175" s="2"/>
      <c r="CQ175" s="15">
        <f t="shared" si="13"/>
        <v>25</v>
      </c>
      <c r="CS175" s="2" t="s">
        <v>247</v>
      </c>
      <c r="CT175" s="2" t="s">
        <v>257</v>
      </c>
    </row>
    <row r="176">
      <c r="A176" s="33">
        <v>45332.0</v>
      </c>
      <c r="B176" s="2" t="s">
        <v>171</v>
      </c>
      <c r="C176" s="2" t="s">
        <v>190</v>
      </c>
      <c r="D176" s="2">
        <v>2.0</v>
      </c>
      <c r="E176" s="2">
        <v>20.0</v>
      </c>
      <c r="J176" s="2"/>
      <c r="K176" s="2"/>
      <c r="M176" s="2"/>
      <c r="N176" s="2">
        <v>1.0</v>
      </c>
      <c r="Q176" s="2"/>
      <c r="R176" s="2">
        <v>1.0</v>
      </c>
      <c r="AD176" s="2"/>
      <c r="AE176" s="2">
        <v>1.0</v>
      </c>
      <c r="AP176" s="2"/>
      <c r="AV176" s="2">
        <v>1.0</v>
      </c>
      <c r="BC176" s="2">
        <v>4.0</v>
      </c>
      <c r="BG176" s="2"/>
      <c r="BH176" s="2"/>
      <c r="BI176" s="2">
        <v>14.0</v>
      </c>
      <c r="BQ176" s="2"/>
      <c r="BR176" s="2">
        <v>1.0</v>
      </c>
      <c r="CL176" s="2">
        <v>2.0</v>
      </c>
      <c r="CQ176" s="15">
        <f t="shared" si="13"/>
        <v>25</v>
      </c>
      <c r="CS176" s="2" t="s">
        <v>251</v>
      </c>
      <c r="CT176" s="2" t="s">
        <v>256</v>
      </c>
    </row>
    <row r="177">
      <c r="A177" s="33">
        <v>45332.0</v>
      </c>
      <c r="B177" s="2" t="s">
        <v>171</v>
      </c>
      <c r="C177" s="2" t="s">
        <v>190</v>
      </c>
      <c r="D177" s="2">
        <v>2.0</v>
      </c>
      <c r="E177" s="2">
        <v>25.0</v>
      </c>
      <c r="J177" s="2"/>
      <c r="K177" s="2"/>
      <c r="Q177" s="2"/>
      <c r="R177" s="2">
        <v>2.0</v>
      </c>
      <c r="AP177" s="2"/>
      <c r="AV177" s="2">
        <v>4.0</v>
      </c>
      <c r="BC177" s="2">
        <v>4.0</v>
      </c>
      <c r="BG177" s="2"/>
      <c r="BH177" s="2"/>
      <c r="BI177" s="2">
        <v>12.0</v>
      </c>
      <c r="BQ177" s="2"/>
      <c r="BR177" s="2">
        <v>2.0</v>
      </c>
      <c r="CI177" s="2">
        <v>1.0</v>
      </c>
      <c r="CQ177" s="15">
        <f t="shared" si="13"/>
        <v>25</v>
      </c>
      <c r="CS177" s="2" t="s">
        <v>251</v>
      </c>
      <c r="CT177" s="2" t="s">
        <v>258</v>
      </c>
    </row>
    <row r="178">
      <c r="A178" s="33">
        <v>45332.0</v>
      </c>
      <c r="B178" s="2" t="s">
        <v>171</v>
      </c>
      <c r="C178" s="2" t="s">
        <v>190</v>
      </c>
      <c r="D178" s="2">
        <v>2.0</v>
      </c>
      <c r="E178" s="2">
        <v>30.0</v>
      </c>
      <c r="J178" s="2"/>
      <c r="K178" s="2"/>
      <c r="Q178" s="2"/>
      <c r="R178" s="2">
        <v>1.0</v>
      </c>
      <c r="Y178" s="2">
        <v>1.0</v>
      </c>
      <c r="AH178" s="2">
        <v>1.0</v>
      </c>
      <c r="AP178" s="2"/>
      <c r="AV178" s="2">
        <v>3.0</v>
      </c>
      <c r="BC178" s="2">
        <v>3.0</v>
      </c>
      <c r="BE178" s="2">
        <v>1.0</v>
      </c>
      <c r="BG178" s="2"/>
      <c r="BH178" s="2"/>
      <c r="BI178" s="2">
        <v>1.0</v>
      </c>
      <c r="BQ178" s="2"/>
      <c r="BR178" s="2">
        <v>7.0</v>
      </c>
      <c r="CK178" s="2">
        <v>7.0</v>
      </c>
      <c r="CQ178" s="15">
        <f t="shared" si="13"/>
        <v>25</v>
      </c>
      <c r="CS178" s="2" t="s">
        <v>251</v>
      </c>
      <c r="CT178" s="2" t="s">
        <v>257</v>
      </c>
    </row>
    <row r="179">
      <c r="A179" s="33">
        <v>45332.0</v>
      </c>
      <c r="B179" s="2" t="s">
        <v>171</v>
      </c>
      <c r="C179" s="2" t="s">
        <v>190</v>
      </c>
      <c r="D179" s="2">
        <v>2.0</v>
      </c>
      <c r="E179" s="2">
        <v>35.0</v>
      </c>
      <c r="F179" s="2">
        <v>1.0</v>
      </c>
      <c r="J179" s="2"/>
      <c r="K179" s="2">
        <v>1.0</v>
      </c>
      <c r="Q179" s="2"/>
      <c r="R179" s="2">
        <v>1.0</v>
      </c>
      <c r="AP179" s="2"/>
      <c r="AS179" s="2"/>
      <c r="AT179" s="2">
        <v>7.0</v>
      </c>
      <c r="AV179" s="2">
        <v>7.0</v>
      </c>
      <c r="BC179" s="2">
        <v>3.0</v>
      </c>
      <c r="BQ179" s="2"/>
      <c r="BR179" s="2"/>
      <c r="CI179" s="2">
        <v>4.0</v>
      </c>
      <c r="CK179" s="2">
        <v>1.0</v>
      </c>
      <c r="CQ179" s="15">
        <f t="shared" si="13"/>
        <v>25</v>
      </c>
      <c r="CS179" s="2" t="s">
        <v>251</v>
      </c>
      <c r="CT179" s="2" t="s">
        <v>257</v>
      </c>
    </row>
    <row r="180">
      <c r="A180" s="33">
        <v>45332.0</v>
      </c>
      <c r="B180" s="2" t="s">
        <v>171</v>
      </c>
      <c r="C180" s="2" t="s">
        <v>190</v>
      </c>
      <c r="D180" s="2">
        <v>2.0</v>
      </c>
      <c r="E180" s="2">
        <v>40.0</v>
      </c>
      <c r="J180" s="2"/>
      <c r="K180" s="2"/>
      <c r="Q180" s="2"/>
      <c r="R180" s="2"/>
      <c r="AP180" s="2"/>
      <c r="AV180" s="2">
        <v>4.0</v>
      </c>
      <c r="AW180" s="2">
        <v>2.0</v>
      </c>
      <c r="BG180" s="2"/>
      <c r="BH180" s="2"/>
      <c r="BI180" s="2">
        <v>2.0</v>
      </c>
      <c r="BQ180" s="2"/>
      <c r="BR180" s="2">
        <v>3.0</v>
      </c>
      <c r="CI180" s="2">
        <v>13.0</v>
      </c>
      <c r="CL180" s="2">
        <v>1.0</v>
      </c>
      <c r="CQ180" s="15">
        <f t="shared" si="13"/>
        <v>25</v>
      </c>
      <c r="CS180" s="2" t="s">
        <v>251</v>
      </c>
      <c r="CT180" s="2" t="s">
        <v>256</v>
      </c>
    </row>
    <row r="181">
      <c r="A181" s="9">
        <v>45332.0</v>
      </c>
      <c r="B181" s="2" t="s">
        <v>171</v>
      </c>
      <c r="C181" s="2" t="s">
        <v>28</v>
      </c>
      <c r="D181" s="2">
        <v>3.0</v>
      </c>
      <c r="E181" s="2">
        <v>0.0</v>
      </c>
      <c r="J181" s="2"/>
      <c r="K181" s="2">
        <v>6.0</v>
      </c>
      <c r="Q181" s="2"/>
      <c r="R181" s="2">
        <v>14.0</v>
      </c>
      <c r="AP181" s="2">
        <v>1.0</v>
      </c>
      <c r="BQ181" s="2"/>
      <c r="BR181" s="2">
        <v>4.0</v>
      </c>
      <c r="CQ181" s="15">
        <f t="shared" si="13"/>
        <v>25</v>
      </c>
      <c r="CS181" s="2" t="s">
        <v>247</v>
      </c>
      <c r="CT181" s="2" t="s">
        <v>248</v>
      </c>
    </row>
    <row r="182">
      <c r="A182" s="9">
        <v>45332.0</v>
      </c>
      <c r="B182" s="2" t="s">
        <v>171</v>
      </c>
      <c r="C182" s="2" t="s">
        <v>28</v>
      </c>
      <c r="D182" s="2">
        <v>3.0</v>
      </c>
      <c r="E182" s="2">
        <v>5.0</v>
      </c>
      <c r="J182" s="2"/>
      <c r="K182" s="2">
        <v>11.0</v>
      </c>
      <c r="Q182" s="2"/>
      <c r="R182" s="2">
        <v>4.0</v>
      </c>
      <c r="BQ182" s="2"/>
      <c r="BR182" s="2">
        <v>6.0</v>
      </c>
      <c r="CI182" s="2">
        <v>3.0</v>
      </c>
      <c r="CJ182" s="2">
        <v>1.0</v>
      </c>
      <c r="CQ182" s="15">
        <f t="shared" si="13"/>
        <v>25</v>
      </c>
      <c r="CS182" s="2" t="s">
        <v>247</v>
      </c>
      <c r="CT182" s="2" t="s">
        <v>249</v>
      </c>
    </row>
    <row r="183">
      <c r="A183" s="9">
        <v>45332.0</v>
      </c>
      <c r="B183" s="2" t="s">
        <v>171</v>
      </c>
      <c r="C183" s="2" t="s">
        <v>28</v>
      </c>
      <c r="D183" s="2">
        <v>3.0</v>
      </c>
      <c r="E183" s="2">
        <v>10.0</v>
      </c>
      <c r="J183" s="2"/>
      <c r="K183" s="2">
        <v>13.0</v>
      </c>
      <c r="BQ183" s="2"/>
      <c r="BR183" s="2">
        <v>6.0</v>
      </c>
      <c r="CJ183" s="2">
        <v>6.0</v>
      </c>
      <c r="CQ183" s="15">
        <f t="shared" si="13"/>
        <v>25</v>
      </c>
      <c r="CS183" s="2" t="s">
        <v>247</v>
      </c>
      <c r="CT183" s="2" t="s">
        <v>248</v>
      </c>
    </row>
    <row r="184">
      <c r="A184" s="9">
        <v>45332.0</v>
      </c>
      <c r="B184" s="2" t="s">
        <v>171</v>
      </c>
      <c r="C184" s="2" t="s">
        <v>28</v>
      </c>
      <c r="D184" s="2">
        <v>3.0</v>
      </c>
      <c r="E184" s="2">
        <v>15.0</v>
      </c>
      <c r="F184" s="2">
        <v>2.0</v>
      </c>
      <c r="J184" s="2"/>
      <c r="K184" s="2">
        <v>13.0</v>
      </c>
      <c r="Q184" s="2"/>
      <c r="R184" s="2">
        <v>1.0</v>
      </c>
      <c r="AP184" s="2">
        <v>2.0</v>
      </c>
      <c r="AW184" s="2">
        <v>2.0</v>
      </c>
      <c r="BG184" s="2"/>
      <c r="BH184" s="2"/>
      <c r="BI184" s="2">
        <v>2.0</v>
      </c>
      <c r="BQ184" s="2"/>
      <c r="BR184" s="2">
        <v>3.0</v>
      </c>
      <c r="CQ184" s="15">
        <f t="shared" si="13"/>
        <v>25</v>
      </c>
      <c r="CS184" s="2" t="s">
        <v>247</v>
      </c>
      <c r="CT184" s="2" t="s">
        <v>249</v>
      </c>
    </row>
    <row r="185">
      <c r="A185" s="9">
        <v>45332.0</v>
      </c>
      <c r="B185" s="2" t="s">
        <v>171</v>
      </c>
      <c r="C185" s="2" t="s">
        <v>28</v>
      </c>
      <c r="D185" s="2">
        <v>3.0</v>
      </c>
      <c r="E185" s="2">
        <v>20.0</v>
      </c>
      <c r="J185" s="2"/>
      <c r="K185" s="2">
        <v>13.0</v>
      </c>
      <c r="AJ185" s="2">
        <v>1.0</v>
      </c>
      <c r="AP185" s="2">
        <v>3.0</v>
      </c>
      <c r="BG185" s="2"/>
      <c r="BH185" s="2"/>
      <c r="BI185" s="2">
        <v>1.0</v>
      </c>
      <c r="BQ185" s="2"/>
      <c r="BR185" s="2">
        <v>5.0</v>
      </c>
      <c r="CJ185" s="2">
        <v>2.0</v>
      </c>
      <c r="CQ185" s="15">
        <f t="shared" si="13"/>
        <v>25</v>
      </c>
      <c r="CS185" s="2" t="s">
        <v>247</v>
      </c>
      <c r="CT185" s="2" t="s">
        <v>248</v>
      </c>
    </row>
    <row r="186">
      <c r="A186" s="9">
        <v>45332.0</v>
      </c>
      <c r="B186" s="2" t="s">
        <v>171</v>
      </c>
      <c r="C186" s="2" t="s">
        <v>28</v>
      </c>
      <c r="D186" s="2">
        <v>3.0</v>
      </c>
      <c r="E186" s="2">
        <v>25.0</v>
      </c>
      <c r="J186" s="2"/>
      <c r="K186" s="2">
        <v>4.0</v>
      </c>
      <c r="O186" s="2"/>
      <c r="P186" s="2">
        <v>1.0</v>
      </c>
      <c r="Q186" s="2"/>
      <c r="R186" s="2">
        <v>3.0</v>
      </c>
      <c r="AS186" s="2"/>
      <c r="AT186" s="2">
        <v>2.0</v>
      </c>
      <c r="BQ186" s="2"/>
      <c r="BR186" s="2">
        <v>12.0</v>
      </c>
      <c r="CL186" s="2">
        <v>3.0</v>
      </c>
      <c r="CQ186" s="15">
        <f t="shared" si="13"/>
        <v>25</v>
      </c>
      <c r="CS186" s="2" t="s">
        <v>251</v>
      </c>
      <c r="CT186" s="2" t="s">
        <v>248</v>
      </c>
    </row>
    <row r="187">
      <c r="A187" s="9">
        <v>45332.0</v>
      </c>
      <c r="B187" s="2" t="s">
        <v>171</v>
      </c>
      <c r="C187" s="2" t="s">
        <v>28</v>
      </c>
      <c r="D187" s="2">
        <v>3.0</v>
      </c>
      <c r="E187" s="2">
        <v>30.0</v>
      </c>
      <c r="J187" s="2"/>
      <c r="K187" s="2">
        <v>5.0</v>
      </c>
      <c r="Q187" s="2"/>
      <c r="R187" s="2">
        <v>3.0</v>
      </c>
      <c r="AS187" s="2"/>
      <c r="AT187" s="2">
        <v>7.0</v>
      </c>
      <c r="BA187" s="2">
        <v>1.0</v>
      </c>
      <c r="BQ187" s="2"/>
      <c r="BR187" s="2">
        <v>5.0</v>
      </c>
      <c r="CI187" s="2">
        <v>4.0</v>
      </c>
      <c r="CQ187" s="15">
        <f t="shared" si="13"/>
        <v>25</v>
      </c>
      <c r="CS187" s="2" t="s">
        <v>247</v>
      </c>
      <c r="CT187" s="2" t="s">
        <v>249</v>
      </c>
    </row>
    <row r="188">
      <c r="A188" s="9">
        <v>45332.0</v>
      </c>
      <c r="B188" s="2" t="s">
        <v>171</v>
      </c>
      <c r="C188" s="2" t="s">
        <v>28</v>
      </c>
      <c r="D188" s="2">
        <v>3.0</v>
      </c>
      <c r="E188" s="2">
        <v>35.0</v>
      </c>
      <c r="F188" s="2">
        <v>1.0</v>
      </c>
      <c r="J188" s="2"/>
      <c r="K188" s="2">
        <v>2.0</v>
      </c>
      <c r="Q188" s="2"/>
      <c r="R188" s="2">
        <v>5.0</v>
      </c>
      <c r="AJ188" s="2">
        <v>3.0</v>
      </c>
      <c r="AM188" s="2"/>
      <c r="AN188" s="2">
        <v>1.0</v>
      </c>
      <c r="AS188" s="2"/>
      <c r="AT188" s="2">
        <v>3.0</v>
      </c>
      <c r="AW188" s="2">
        <v>4.0</v>
      </c>
      <c r="BB188" s="2">
        <v>6.0</v>
      </c>
      <c r="CQ188" s="15">
        <f t="shared" si="13"/>
        <v>25</v>
      </c>
      <c r="CS188" s="2" t="s">
        <v>247</v>
      </c>
      <c r="CT188" s="2" t="s">
        <v>248</v>
      </c>
    </row>
    <row r="189">
      <c r="A189" s="9">
        <v>45332.0</v>
      </c>
      <c r="B189" s="2" t="s">
        <v>171</v>
      </c>
      <c r="C189" s="2" t="s">
        <v>28</v>
      </c>
      <c r="D189" s="2">
        <v>3.0</v>
      </c>
      <c r="E189" s="2">
        <v>40.0</v>
      </c>
      <c r="H189" s="2">
        <v>1.0</v>
      </c>
      <c r="J189" s="2"/>
      <c r="K189" s="2">
        <v>1.0</v>
      </c>
      <c r="AW189" s="2">
        <v>1.0</v>
      </c>
      <c r="BB189" s="2">
        <v>1.0</v>
      </c>
      <c r="BG189" s="2"/>
      <c r="BH189" s="2"/>
      <c r="BI189" s="2">
        <v>1.0</v>
      </c>
      <c r="BQ189" s="2"/>
      <c r="BR189" s="2">
        <v>1.0</v>
      </c>
      <c r="CK189" s="2">
        <v>10.0</v>
      </c>
      <c r="CL189" s="2">
        <v>9.0</v>
      </c>
      <c r="CQ189" s="15">
        <f t="shared" si="13"/>
        <v>25</v>
      </c>
      <c r="CS189" s="2" t="s">
        <v>251</v>
      </c>
      <c r="CT189" s="2" t="s">
        <v>252</v>
      </c>
    </row>
    <row r="190">
      <c r="A190" s="9">
        <v>45332.0</v>
      </c>
      <c r="B190" s="2" t="s">
        <v>171</v>
      </c>
      <c r="C190" s="2" t="s">
        <v>190</v>
      </c>
      <c r="D190" s="2">
        <v>4.0</v>
      </c>
      <c r="E190" s="2">
        <v>0.0</v>
      </c>
      <c r="J190" s="2"/>
      <c r="K190" s="2">
        <v>3.0</v>
      </c>
      <c r="Q190" s="2"/>
      <c r="R190" s="2">
        <v>3.0</v>
      </c>
      <c r="W190" s="2"/>
      <c r="Z190" s="2">
        <v>1.0</v>
      </c>
      <c r="AI190" s="2"/>
      <c r="AJ190" s="2"/>
      <c r="AV190" s="2">
        <v>10.0</v>
      </c>
      <c r="BC190" s="2">
        <v>2.0</v>
      </c>
      <c r="BK190" s="2"/>
      <c r="BL190" s="2"/>
      <c r="BQ190" s="2"/>
      <c r="CI190" s="2">
        <v>2.0</v>
      </c>
      <c r="CK190" s="2">
        <v>1.0</v>
      </c>
      <c r="CL190" s="2">
        <v>3.0</v>
      </c>
      <c r="CQ190" s="15">
        <f t="shared" si="13"/>
        <v>25</v>
      </c>
      <c r="CS190" s="2" t="s">
        <v>247</v>
      </c>
      <c r="CT190" s="2" t="s">
        <v>257</v>
      </c>
    </row>
    <row r="191">
      <c r="A191" s="9">
        <v>45332.0</v>
      </c>
      <c r="B191" s="2" t="s">
        <v>171</v>
      </c>
      <c r="C191" s="2" t="s">
        <v>190</v>
      </c>
      <c r="D191" s="2">
        <v>4.0</v>
      </c>
      <c r="E191" s="2">
        <v>5.0</v>
      </c>
      <c r="J191" s="2"/>
      <c r="K191" s="2">
        <v>12.0</v>
      </c>
      <c r="W191" s="2"/>
      <c r="AI191" s="2"/>
      <c r="AJ191" s="2"/>
      <c r="BC191" s="2">
        <v>1.0</v>
      </c>
      <c r="BD191" s="2">
        <v>2.0</v>
      </c>
      <c r="BG191" s="2"/>
      <c r="BH191" s="2"/>
      <c r="BI191" s="2">
        <v>1.0</v>
      </c>
      <c r="BK191" s="2"/>
      <c r="BL191" s="2"/>
      <c r="BQ191" s="2"/>
      <c r="CI191" s="2">
        <v>6.0</v>
      </c>
      <c r="CK191" s="2">
        <v>2.0</v>
      </c>
      <c r="CL191" s="2">
        <v>1.0</v>
      </c>
      <c r="CQ191" s="15">
        <f t="shared" si="13"/>
        <v>25</v>
      </c>
      <c r="CS191" s="2" t="s">
        <v>247</v>
      </c>
      <c r="CT191" s="2" t="s">
        <v>257</v>
      </c>
    </row>
    <row r="192">
      <c r="A192" s="9">
        <v>45332.0</v>
      </c>
      <c r="B192" s="2" t="s">
        <v>171</v>
      </c>
      <c r="C192" s="2" t="s">
        <v>190</v>
      </c>
      <c r="D192" s="2">
        <v>4.0</v>
      </c>
      <c r="E192" s="2">
        <v>10.0</v>
      </c>
      <c r="F192" s="2">
        <v>1.0</v>
      </c>
      <c r="J192" s="2"/>
      <c r="K192" s="2">
        <v>5.0</v>
      </c>
      <c r="W192" s="2"/>
      <c r="AI192" s="2"/>
      <c r="AJ192" s="2"/>
      <c r="AV192" s="2">
        <v>2.0</v>
      </c>
      <c r="BC192" s="2">
        <v>1.0</v>
      </c>
      <c r="BK192" s="2"/>
      <c r="BL192" s="2"/>
      <c r="BQ192" s="2"/>
      <c r="CI192" s="2">
        <v>10.0</v>
      </c>
      <c r="CK192" s="2">
        <v>2.0</v>
      </c>
      <c r="CL192" s="2">
        <v>4.0</v>
      </c>
      <c r="CQ192" s="15">
        <f t="shared" si="13"/>
        <v>25</v>
      </c>
      <c r="CS192" s="2" t="s">
        <v>247</v>
      </c>
      <c r="CT192" s="2" t="s">
        <v>259</v>
      </c>
    </row>
    <row r="193">
      <c r="A193" s="9">
        <v>45332.0</v>
      </c>
      <c r="B193" s="2" t="s">
        <v>171</v>
      </c>
      <c r="C193" s="2" t="s">
        <v>190</v>
      </c>
      <c r="D193" s="2">
        <v>4.0</v>
      </c>
      <c r="E193" s="2">
        <v>15.0</v>
      </c>
      <c r="H193" s="2">
        <v>3.0</v>
      </c>
      <c r="J193" s="2"/>
      <c r="K193" s="2">
        <v>7.0</v>
      </c>
      <c r="W193" s="2"/>
      <c r="AI193" s="2"/>
      <c r="AJ193" s="2"/>
      <c r="AW193" s="2">
        <v>1.0</v>
      </c>
      <c r="BK193" s="2"/>
      <c r="BL193" s="2"/>
      <c r="BN193" s="2">
        <v>1.0</v>
      </c>
      <c r="BQ193" s="2"/>
      <c r="BR193" s="2">
        <v>1.0</v>
      </c>
      <c r="CI193" s="2">
        <v>9.0</v>
      </c>
      <c r="CK193" s="2"/>
      <c r="CL193" s="2">
        <v>3.0</v>
      </c>
      <c r="CQ193" s="15">
        <f t="shared" si="13"/>
        <v>25</v>
      </c>
      <c r="CS193" s="2" t="s">
        <v>251</v>
      </c>
      <c r="CT193" s="2" t="s">
        <v>257</v>
      </c>
    </row>
    <row r="194">
      <c r="A194" s="9">
        <v>45332.0</v>
      </c>
      <c r="B194" s="2" t="s">
        <v>171</v>
      </c>
      <c r="C194" s="2" t="s">
        <v>190</v>
      </c>
      <c r="D194" s="2">
        <v>4.0</v>
      </c>
      <c r="E194" s="2">
        <v>20.0</v>
      </c>
      <c r="J194" s="2"/>
      <c r="K194" s="2">
        <v>6.0</v>
      </c>
      <c r="W194" s="2"/>
      <c r="AI194" s="2"/>
      <c r="AJ194" s="2"/>
      <c r="AS194" s="2"/>
      <c r="AT194" s="2">
        <v>1.0</v>
      </c>
      <c r="AV194" s="2">
        <v>5.0</v>
      </c>
      <c r="AW194" s="2">
        <v>1.0</v>
      </c>
      <c r="BK194" s="2"/>
      <c r="BL194" s="2"/>
      <c r="BQ194" s="2"/>
      <c r="CI194" s="2">
        <v>10.0</v>
      </c>
      <c r="CK194" s="2"/>
      <c r="CL194" s="2">
        <v>2.0</v>
      </c>
      <c r="CQ194" s="15">
        <f t="shared" si="13"/>
        <v>25</v>
      </c>
      <c r="CS194" s="2" t="s">
        <v>247</v>
      </c>
      <c r="CT194" s="2" t="s">
        <v>259</v>
      </c>
    </row>
    <row r="195">
      <c r="A195" s="9">
        <v>45332.0</v>
      </c>
      <c r="B195" s="2" t="s">
        <v>171</v>
      </c>
      <c r="C195" s="2" t="s">
        <v>190</v>
      </c>
      <c r="D195" s="2">
        <v>4.0</v>
      </c>
      <c r="E195" s="2">
        <v>25.0</v>
      </c>
      <c r="H195" s="2">
        <v>1.0</v>
      </c>
      <c r="J195" s="2"/>
      <c r="K195" s="2">
        <v>10.0</v>
      </c>
      <c r="W195" s="2"/>
      <c r="AI195" s="2"/>
      <c r="AJ195" s="2"/>
      <c r="AV195" s="2">
        <v>3.0</v>
      </c>
      <c r="BC195" s="2">
        <v>3.0</v>
      </c>
      <c r="BK195" s="2"/>
      <c r="BL195" s="2"/>
      <c r="BQ195" s="2"/>
      <c r="CI195" s="2">
        <v>1.0</v>
      </c>
      <c r="CK195" s="2">
        <v>1.0</v>
      </c>
      <c r="CL195" s="2">
        <v>6.0</v>
      </c>
      <c r="CQ195" s="15">
        <f t="shared" si="13"/>
        <v>25</v>
      </c>
      <c r="CS195" s="2" t="s">
        <v>247</v>
      </c>
      <c r="CT195" s="2" t="s">
        <v>257</v>
      </c>
    </row>
    <row r="196">
      <c r="A196" s="9">
        <v>45332.0</v>
      </c>
      <c r="B196" s="2" t="s">
        <v>171</v>
      </c>
      <c r="C196" s="2" t="s">
        <v>190</v>
      </c>
      <c r="D196" s="2">
        <v>4.0</v>
      </c>
      <c r="E196" s="2">
        <v>30.0</v>
      </c>
      <c r="J196" s="2"/>
      <c r="K196" s="2">
        <v>5.0</v>
      </c>
      <c r="W196" s="2"/>
      <c r="AI196" s="2"/>
      <c r="AJ196" s="2"/>
      <c r="AV196" s="2">
        <v>12.0</v>
      </c>
      <c r="BG196" s="2"/>
      <c r="BH196" s="2"/>
      <c r="BI196" s="2">
        <v>7.0</v>
      </c>
      <c r="BK196" s="2"/>
      <c r="BL196" s="2"/>
      <c r="BQ196" s="2"/>
      <c r="CB196" s="2">
        <v>1.0</v>
      </c>
      <c r="CI196" s="2"/>
      <c r="CK196" s="2"/>
      <c r="CQ196" s="15">
        <f t="shared" si="13"/>
        <v>25</v>
      </c>
      <c r="CS196" s="2" t="s">
        <v>247</v>
      </c>
      <c r="CT196" s="2" t="s">
        <v>256</v>
      </c>
    </row>
    <row r="197">
      <c r="A197" s="9">
        <v>45332.0</v>
      </c>
      <c r="B197" s="2" t="s">
        <v>171</v>
      </c>
      <c r="C197" s="2" t="s">
        <v>190</v>
      </c>
      <c r="D197" s="2">
        <v>4.0</v>
      </c>
      <c r="E197" s="2">
        <v>35.0</v>
      </c>
      <c r="J197" s="2"/>
      <c r="K197" s="2">
        <v>12.0</v>
      </c>
      <c r="P197" s="2">
        <v>1.0</v>
      </c>
      <c r="Q197" s="2"/>
      <c r="W197" s="2"/>
      <c r="AI197" s="2"/>
      <c r="AJ197" s="2"/>
      <c r="AS197" s="2"/>
      <c r="AT197" s="2">
        <v>8.0</v>
      </c>
      <c r="BC197" s="2">
        <v>1.0</v>
      </c>
      <c r="BK197" s="2"/>
      <c r="BL197" s="2"/>
      <c r="BQ197" s="2"/>
      <c r="BR197" s="2">
        <v>3.0</v>
      </c>
      <c r="CI197" s="2"/>
      <c r="CK197" s="2"/>
      <c r="CQ197" s="15">
        <f t="shared" si="13"/>
        <v>25</v>
      </c>
      <c r="CS197" s="2" t="s">
        <v>251</v>
      </c>
      <c r="CT197" s="2" t="s">
        <v>260</v>
      </c>
    </row>
    <row r="198">
      <c r="A198" s="9">
        <v>45332.0</v>
      </c>
      <c r="B198" s="2" t="s">
        <v>171</v>
      </c>
      <c r="C198" s="2" t="s">
        <v>190</v>
      </c>
      <c r="D198" s="2">
        <v>4.0</v>
      </c>
      <c r="E198" s="2">
        <v>40.0</v>
      </c>
      <c r="J198" s="2"/>
      <c r="K198" s="2">
        <v>5.0</v>
      </c>
      <c r="Q198" s="2">
        <v>2.0</v>
      </c>
      <c r="R198" s="2">
        <v>3.0</v>
      </c>
      <c r="W198" s="2"/>
      <c r="AI198" s="2"/>
      <c r="AJ198" s="2"/>
      <c r="AS198" s="2"/>
      <c r="AT198" s="2">
        <v>6.0</v>
      </c>
      <c r="BC198" s="2">
        <v>2.0</v>
      </c>
      <c r="BK198" s="2"/>
      <c r="BL198" s="2"/>
      <c r="BQ198" s="2"/>
      <c r="BR198" s="2">
        <v>1.0</v>
      </c>
      <c r="CI198" s="2">
        <v>5.0</v>
      </c>
      <c r="CK198" s="2"/>
      <c r="CQ198" s="15">
        <f t="shared" si="13"/>
        <v>24</v>
      </c>
      <c r="CS198" s="2" t="s">
        <v>251</v>
      </c>
      <c r="CT198" s="2" t="s">
        <v>258</v>
      </c>
    </row>
    <row r="199">
      <c r="A199" s="9">
        <v>45332.0</v>
      </c>
      <c r="B199" s="2" t="s">
        <v>57</v>
      </c>
      <c r="C199" s="2" t="s">
        <v>35</v>
      </c>
      <c r="D199" s="2">
        <v>1.0</v>
      </c>
      <c r="E199" s="2">
        <v>2.0</v>
      </c>
      <c r="W199" s="2">
        <v>2.0</v>
      </c>
      <c r="AI199" s="2">
        <v>5.0</v>
      </c>
      <c r="AJ199" s="2">
        <v>2.0</v>
      </c>
      <c r="BK199" s="2">
        <v>1.0</v>
      </c>
      <c r="BL199" s="2">
        <v>3.0</v>
      </c>
      <c r="BQ199" s="2">
        <v>2.0</v>
      </c>
      <c r="CI199" s="2">
        <v>2.0</v>
      </c>
      <c r="CK199" s="2">
        <v>8.0</v>
      </c>
      <c r="CQ199" s="15">
        <f t="shared" si="13"/>
        <v>25</v>
      </c>
    </row>
    <row r="200">
      <c r="A200" s="9">
        <v>45332.0</v>
      </c>
      <c r="B200" s="2" t="s">
        <v>57</v>
      </c>
      <c r="C200" s="2" t="s">
        <v>35</v>
      </c>
      <c r="D200" s="2">
        <v>1.0</v>
      </c>
      <c r="E200" s="2">
        <v>4.0</v>
      </c>
      <c r="W200" s="2">
        <v>4.0</v>
      </c>
      <c r="AI200" s="2">
        <v>2.0</v>
      </c>
      <c r="AP200" s="2">
        <v>3.0</v>
      </c>
      <c r="AV200" s="2">
        <v>1.0</v>
      </c>
      <c r="AW200" s="2">
        <v>1.0</v>
      </c>
      <c r="BK200" s="2">
        <v>2.0</v>
      </c>
      <c r="BL200" s="2">
        <v>1.0</v>
      </c>
      <c r="BP200" s="2">
        <v>1.0</v>
      </c>
      <c r="BQ200" s="2">
        <v>2.0</v>
      </c>
      <c r="CK200" s="2">
        <v>8.0</v>
      </c>
      <c r="CQ200" s="15">
        <f t="shared" si="13"/>
        <v>25</v>
      </c>
    </row>
    <row r="201">
      <c r="A201" s="9">
        <v>45332.0</v>
      </c>
      <c r="B201" s="2" t="s">
        <v>57</v>
      </c>
      <c r="C201" s="2" t="s">
        <v>35</v>
      </c>
      <c r="D201" s="2">
        <v>1.0</v>
      </c>
      <c r="E201" s="2">
        <v>6.0</v>
      </c>
      <c r="W201" s="2">
        <v>3.0</v>
      </c>
      <c r="AJ201" s="2">
        <v>1.0</v>
      </c>
      <c r="AV201" s="2">
        <v>5.0</v>
      </c>
      <c r="BG201" s="2"/>
      <c r="BH201" s="2"/>
      <c r="BI201" s="2">
        <v>1.0</v>
      </c>
      <c r="BK201" s="2">
        <v>4.0</v>
      </c>
      <c r="BL201" s="2">
        <v>3.0</v>
      </c>
      <c r="BP201" s="2">
        <v>2.0</v>
      </c>
      <c r="BR201" s="2">
        <v>3.0</v>
      </c>
      <c r="CK201" s="2">
        <v>3.0</v>
      </c>
      <c r="CQ201" s="15">
        <f t="shared" si="13"/>
        <v>25</v>
      </c>
    </row>
    <row r="202">
      <c r="A202" s="9">
        <v>45332.0</v>
      </c>
      <c r="B202" s="2" t="s">
        <v>57</v>
      </c>
      <c r="C202" s="2" t="s">
        <v>35</v>
      </c>
      <c r="D202" s="2">
        <v>1.0</v>
      </c>
      <c r="E202" s="2">
        <v>8.0</v>
      </c>
      <c r="X202" s="2">
        <v>4.0</v>
      </c>
      <c r="AB202" s="2">
        <v>1.0</v>
      </c>
      <c r="AC202" s="2"/>
      <c r="AV202" s="2">
        <v>2.0</v>
      </c>
      <c r="AW202" s="2">
        <v>4.0</v>
      </c>
      <c r="BG202" s="2"/>
      <c r="BH202" s="2"/>
      <c r="BI202" s="2">
        <v>1.0</v>
      </c>
      <c r="BK202" s="2">
        <v>5.0</v>
      </c>
      <c r="BP202" s="2">
        <v>2.0</v>
      </c>
      <c r="CK202" s="2">
        <v>3.0</v>
      </c>
      <c r="CN202" s="2">
        <v>3.0</v>
      </c>
      <c r="CQ202" s="15">
        <f t="shared" si="13"/>
        <v>25</v>
      </c>
    </row>
    <row r="203">
      <c r="A203" s="9">
        <v>45332.0</v>
      </c>
      <c r="B203" s="2" t="s">
        <v>57</v>
      </c>
      <c r="C203" s="2" t="s">
        <v>35</v>
      </c>
      <c r="D203" s="2">
        <v>1.0</v>
      </c>
      <c r="E203" s="2">
        <v>10.0</v>
      </c>
      <c r="Q203" s="2"/>
      <c r="R203" s="2">
        <v>1.0</v>
      </c>
      <c r="AB203" s="2">
        <v>4.0</v>
      </c>
      <c r="AC203" s="2"/>
      <c r="AI203" s="2">
        <v>4.0</v>
      </c>
      <c r="AJ203" s="2">
        <v>1.0</v>
      </c>
      <c r="AV203" s="2">
        <v>3.0</v>
      </c>
      <c r="BG203" s="2"/>
      <c r="BH203" s="2"/>
      <c r="BI203" s="2">
        <v>5.0</v>
      </c>
      <c r="BK203" s="2">
        <v>1.0</v>
      </c>
      <c r="BQ203" s="2">
        <v>2.0</v>
      </c>
      <c r="BR203" s="2">
        <v>1.0</v>
      </c>
      <c r="CI203" s="2">
        <v>1.0</v>
      </c>
      <c r="CK203" s="2">
        <v>2.0</v>
      </c>
      <c r="CQ203" s="15">
        <f t="shared" si="13"/>
        <v>25</v>
      </c>
    </row>
    <row r="204">
      <c r="A204" s="9">
        <v>45332.0</v>
      </c>
      <c r="B204" s="2" t="s">
        <v>57</v>
      </c>
      <c r="C204" s="2" t="s">
        <v>35</v>
      </c>
      <c r="D204" s="2">
        <v>1.0</v>
      </c>
      <c r="E204" s="2">
        <v>12.0</v>
      </c>
      <c r="AI204" s="2">
        <v>3.0</v>
      </c>
      <c r="BK204" s="2">
        <v>7.0</v>
      </c>
      <c r="BL204" s="2">
        <v>6.0</v>
      </c>
      <c r="CI204" s="2">
        <v>7.0</v>
      </c>
      <c r="CK204" s="2">
        <v>2.0</v>
      </c>
      <c r="CQ204" s="15">
        <f t="shared" si="13"/>
        <v>25</v>
      </c>
    </row>
    <row r="205">
      <c r="A205" s="9">
        <v>45332.0</v>
      </c>
      <c r="B205" s="2" t="s">
        <v>57</v>
      </c>
      <c r="C205" s="2" t="s">
        <v>35</v>
      </c>
      <c r="D205" s="2">
        <v>1.0</v>
      </c>
      <c r="E205" s="2">
        <v>16.0</v>
      </c>
      <c r="AI205" s="2">
        <v>1.0</v>
      </c>
      <c r="BG205" s="2"/>
      <c r="BH205" s="2"/>
      <c r="BI205" s="2">
        <v>3.0</v>
      </c>
      <c r="BK205" s="2">
        <v>5.0</v>
      </c>
      <c r="BL205" s="2">
        <v>5.0</v>
      </c>
      <c r="BM205" s="2">
        <v>2.0</v>
      </c>
      <c r="CI205" s="2">
        <v>6.0</v>
      </c>
      <c r="CK205" s="2">
        <v>3.0</v>
      </c>
      <c r="CQ205" s="15">
        <f t="shared" si="13"/>
        <v>25</v>
      </c>
    </row>
    <row r="206">
      <c r="A206" s="9">
        <v>45332.0</v>
      </c>
      <c r="B206" s="2" t="s">
        <v>57</v>
      </c>
      <c r="C206" s="2" t="s">
        <v>35</v>
      </c>
      <c r="D206" s="2">
        <v>1.0</v>
      </c>
      <c r="E206" s="2">
        <v>18.0</v>
      </c>
      <c r="X206" s="2">
        <v>2.0</v>
      </c>
      <c r="BG206" s="2"/>
      <c r="BH206" s="2"/>
      <c r="BI206" s="2">
        <v>5.0</v>
      </c>
      <c r="BK206" s="2">
        <v>2.0</v>
      </c>
      <c r="BM206" s="2">
        <v>1.0</v>
      </c>
      <c r="BR206" s="2">
        <v>2.0</v>
      </c>
      <c r="CI206" s="2">
        <v>5.0</v>
      </c>
      <c r="CK206" s="2">
        <v>4.0</v>
      </c>
      <c r="CL206" s="2">
        <v>4.0</v>
      </c>
      <c r="CQ206" s="15">
        <f t="shared" si="13"/>
        <v>25</v>
      </c>
    </row>
    <row r="207">
      <c r="A207" s="9">
        <v>45332.0</v>
      </c>
      <c r="B207" s="2" t="s">
        <v>57</v>
      </c>
      <c r="C207" s="2" t="s">
        <v>35</v>
      </c>
      <c r="D207" s="2">
        <v>1.0</v>
      </c>
      <c r="E207" s="2">
        <v>20.0</v>
      </c>
      <c r="X207" s="2">
        <v>4.0</v>
      </c>
      <c r="BR207" s="2">
        <v>2.0</v>
      </c>
      <c r="CK207" s="2">
        <v>3.0</v>
      </c>
      <c r="CL207" s="2">
        <v>16.0</v>
      </c>
      <c r="CQ207" s="15">
        <f t="shared" si="13"/>
        <v>25</v>
      </c>
    </row>
    <row r="208">
      <c r="A208" s="9">
        <v>45332.0</v>
      </c>
      <c r="B208" s="2" t="s">
        <v>57</v>
      </c>
      <c r="C208" s="2" t="s">
        <v>35</v>
      </c>
      <c r="D208" s="2">
        <v>2.0</v>
      </c>
      <c r="E208" s="2">
        <v>18.0</v>
      </c>
      <c r="CK208" s="2">
        <v>25.0</v>
      </c>
      <c r="CQ208" s="15">
        <f t="shared" si="13"/>
        <v>25</v>
      </c>
    </row>
    <row r="209">
      <c r="A209" s="9">
        <v>45332.0</v>
      </c>
      <c r="B209" s="2" t="s">
        <v>57</v>
      </c>
      <c r="C209" s="2" t="s">
        <v>35</v>
      </c>
      <c r="D209" s="2">
        <v>2.0</v>
      </c>
      <c r="E209" s="2">
        <v>16.0</v>
      </c>
      <c r="CI209" s="2">
        <v>14.0</v>
      </c>
      <c r="CK209" s="2">
        <v>6.0</v>
      </c>
      <c r="CM209" s="2">
        <v>5.0</v>
      </c>
      <c r="CQ209" s="15">
        <f t="shared" si="13"/>
        <v>25</v>
      </c>
    </row>
    <row r="210">
      <c r="A210" s="9">
        <v>45332.0</v>
      </c>
      <c r="B210" s="2" t="s">
        <v>57</v>
      </c>
      <c r="C210" s="2" t="s">
        <v>35</v>
      </c>
      <c r="D210" s="2">
        <v>2.0</v>
      </c>
      <c r="E210" s="2">
        <v>14.0</v>
      </c>
      <c r="BK210" s="2">
        <v>5.0</v>
      </c>
      <c r="BL210" s="2">
        <v>8.0</v>
      </c>
      <c r="CI210" s="2">
        <v>12.0</v>
      </c>
      <c r="CQ210" s="15">
        <f t="shared" si="13"/>
        <v>25</v>
      </c>
    </row>
    <row r="211">
      <c r="A211" s="9">
        <v>45332.0</v>
      </c>
      <c r="B211" s="2" t="s">
        <v>57</v>
      </c>
      <c r="C211" s="2" t="s">
        <v>35</v>
      </c>
      <c r="D211" s="2">
        <v>2.0</v>
      </c>
      <c r="E211" s="2">
        <v>12.0</v>
      </c>
      <c r="W211" s="2">
        <v>9.0</v>
      </c>
      <c r="AB211" s="2">
        <v>1.0</v>
      </c>
      <c r="AC211" s="2"/>
      <c r="AI211" s="2">
        <v>1.0</v>
      </c>
      <c r="BK211" s="2">
        <v>4.0</v>
      </c>
      <c r="CI211" s="2">
        <v>1.0</v>
      </c>
      <c r="CK211" s="2">
        <v>9.0</v>
      </c>
      <c r="CQ211" s="15">
        <f t="shared" si="13"/>
        <v>25</v>
      </c>
    </row>
    <row r="212">
      <c r="A212" s="9">
        <v>45332.0</v>
      </c>
      <c r="B212" s="2" t="s">
        <v>57</v>
      </c>
      <c r="C212" s="2" t="s">
        <v>35</v>
      </c>
      <c r="D212" s="2">
        <v>2.0</v>
      </c>
      <c r="E212" s="2">
        <v>10.0</v>
      </c>
      <c r="AV212" s="2">
        <v>1.0</v>
      </c>
      <c r="BG212" s="2"/>
      <c r="BH212" s="2"/>
      <c r="BI212" s="2">
        <v>5.0</v>
      </c>
      <c r="BK212" s="2">
        <v>17.0</v>
      </c>
      <c r="CI212" s="2">
        <v>2.0</v>
      </c>
      <c r="CQ212" s="15">
        <f t="shared" si="13"/>
        <v>25</v>
      </c>
    </row>
    <row r="213">
      <c r="A213" s="9">
        <v>45332.0</v>
      </c>
      <c r="B213" s="2" t="s">
        <v>57</v>
      </c>
      <c r="C213" s="2" t="s">
        <v>35</v>
      </c>
      <c r="D213" s="2">
        <v>2.0</v>
      </c>
      <c r="E213" s="2">
        <v>8.0</v>
      </c>
      <c r="W213" s="2">
        <v>3.0</v>
      </c>
      <c r="BG213" s="2"/>
      <c r="BH213" s="2"/>
      <c r="BI213" s="2">
        <v>1.0</v>
      </c>
      <c r="BK213" s="2">
        <v>17.0</v>
      </c>
      <c r="BL213" s="2">
        <v>3.0</v>
      </c>
      <c r="CI213" s="2">
        <v>1.0</v>
      </c>
      <c r="CQ213" s="15">
        <f t="shared" si="13"/>
        <v>25</v>
      </c>
    </row>
    <row r="214">
      <c r="A214" s="9">
        <v>45332.0</v>
      </c>
      <c r="B214" s="2" t="s">
        <v>57</v>
      </c>
      <c r="C214" s="2" t="s">
        <v>35</v>
      </c>
      <c r="D214" s="2">
        <v>2.0</v>
      </c>
      <c r="E214" s="2">
        <v>6.0</v>
      </c>
      <c r="W214" s="2">
        <v>1.0</v>
      </c>
      <c r="AI214" s="2">
        <v>1.0</v>
      </c>
      <c r="AV214" s="2">
        <v>1.0</v>
      </c>
      <c r="BF214" s="2">
        <v>1.0</v>
      </c>
      <c r="BG214" s="2"/>
      <c r="BH214" s="2"/>
      <c r="BI214" s="2">
        <v>7.0</v>
      </c>
      <c r="BK214" s="2">
        <v>3.0</v>
      </c>
      <c r="BL214" s="2">
        <v>1.0</v>
      </c>
      <c r="BQ214" s="2">
        <v>3.0</v>
      </c>
      <c r="CI214" s="2">
        <v>1.0</v>
      </c>
      <c r="CK214" s="2">
        <v>6.0</v>
      </c>
      <c r="CQ214" s="15">
        <f t="shared" si="13"/>
        <v>25</v>
      </c>
    </row>
    <row r="215">
      <c r="A215" s="9">
        <v>45332.0</v>
      </c>
      <c r="B215" s="2" t="s">
        <v>57</v>
      </c>
      <c r="C215" s="2" t="s">
        <v>35</v>
      </c>
      <c r="D215" s="2">
        <v>2.0</v>
      </c>
      <c r="E215" s="2">
        <v>4.0</v>
      </c>
      <c r="W215" s="2">
        <v>3.0</v>
      </c>
      <c r="AB215" s="2">
        <v>1.0</v>
      </c>
      <c r="AC215" s="2"/>
      <c r="AI215" s="2">
        <v>2.0</v>
      </c>
      <c r="BK215" s="2">
        <v>4.0</v>
      </c>
      <c r="BL215" s="2">
        <v>6.0</v>
      </c>
      <c r="BQ215" s="2">
        <v>7.0</v>
      </c>
      <c r="CI215" s="2">
        <v>2.0</v>
      </c>
      <c r="CQ215" s="15">
        <f t="shared" si="13"/>
        <v>25</v>
      </c>
    </row>
    <row r="216">
      <c r="A216" s="9">
        <v>45332.0</v>
      </c>
      <c r="B216" s="2" t="s">
        <v>57</v>
      </c>
      <c r="C216" s="2" t="s">
        <v>35</v>
      </c>
      <c r="D216" s="2">
        <v>2.0</v>
      </c>
      <c r="E216" s="2">
        <v>2.0</v>
      </c>
      <c r="Q216" s="2"/>
      <c r="R216" s="2">
        <v>3.0</v>
      </c>
      <c r="W216" s="2">
        <v>3.0</v>
      </c>
      <c r="AI216" s="2">
        <v>3.0</v>
      </c>
      <c r="BK216" s="2">
        <v>6.0</v>
      </c>
      <c r="BL216" s="2">
        <v>4.0</v>
      </c>
      <c r="BQ216" s="2">
        <v>3.0</v>
      </c>
      <c r="CK216" s="2">
        <v>3.0</v>
      </c>
      <c r="CQ216" s="15">
        <f t="shared" si="13"/>
        <v>25</v>
      </c>
    </row>
    <row r="217">
      <c r="A217" s="9">
        <v>45332.0</v>
      </c>
      <c r="B217" s="2" t="s">
        <v>57</v>
      </c>
      <c r="C217" s="2" t="s">
        <v>79</v>
      </c>
      <c r="D217" s="2">
        <v>3.0</v>
      </c>
      <c r="E217" s="2">
        <v>20.0</v>
      </c>
      <c r="BM217" s="2">
        <v>2.0</v>
      </c>
      <c r="CG217" s="2">
        <v>1.0</v>
      </c>
      <c r="CK217" s="2">
        <v>24.0</v>
      </c>
      <c r="CM217" s="2"/>
      <c r="CQ217" s="2">
        <v>25.0</v>
      </c>
    </row>
    <row r="218">
      <c r="A218" s="9">
        <v>45332.0</v>
      </c>
      <c r="B218" s="2" t="s">
        <v>57</v>
      </c>
      <c r="C218" s="2" t="s">
        <v>79</v>
      </c>
      <c r="D218" s="2">
        <v>3.0</v>
      </c>
      <c r="E218" s="2">
        <v>18.0</v>
      </c>
      <c r="CG218" s="2"/>
      <c r="CK218" s="2">
        <v>2.0</v>
      </c>
      <c r="CM218" s="2">
        <v>9.0</v>
      </c>
      <c r="CO218" s="2">
        <v>7.0</v>
      </c>
      <c r="CQ218" s="2">
        <v>25.0</v>
      </c>
    </row>
    <row r="219">
      <c r="A219" s="9">
        <v>45332.0</v>
      </c>
      <c r="B219" s="2" t="s">
        <v>57</v>
      </c>
      <c r="C219" s="2" t="s">
        <v>79</v>
      </c>
      <c r="D219" s="2">
        <v>3.0</v>
      </c>
      <c r="E219" s="2">
        <v>16.0</v>
      </c>
      <c r="M219" s="2"/>
      <c r="N219" s="2">
        <v>2.0</v>
      </c>
      <c r="AV219" s="2">
        <v>1.0</v>
      </c>
      <c r="BH219" s="2">
        <v>1.0</v>
      </c>
      <c r="BI219" s="2">
        <v>8.0</v>
      </c>
      <c r="BJ219" s="2">
        <v>4.0</v>
      </c>
      <c r="CG219" s="2"/>
      <c r="CI219" s="2">
        <v>5.0</v>
      </c>
      <c r="CK219" s="2">
        <v>2.0</v>
      </c>
      <c r="CM219" s="2">
        <v>1.0</v>
      </c>
      <c r="CQ219" s="2">
        <v>24.0</v>
      </c>
    </row>
    <row r="220">
      <c r="A220" s="9">
        <v>45332.0</v>
      </c>
      <c r="B220" s="2" t="s">
        <v>57</v>
      </c>
      <c r="C220" s="2" t="s">
        <v>79</v>
      </c>
      <c r="D220" s="2">
        <v>3.0</v>
      </c>
      <c r="E220" s="2">
        <v>14.0</v>
      </c>
      <c r="BI220" s="2">
        <v>1.0</v>
      </c>
      <c r="BJ220" s="2">
        <v>10.0</v>
      </c>
      <c r="CG220" s="2"/>
      <c r="CI220" s="2">
        <v>6.0</v>
      </c>
      <c r="CK220" s="2">
        <v>8.0</v>
      </c>
      <c r="CM220" s="2"/>
      <c r="CQ220" s="2">
        <v>25.0</v>
      </c>
    </row>
    <row r="221">
      <c r="A221" s="9">
        <v>45332.0</v>
      </c>
      <c r="B221" s="2" t="s">
        <v>57</v>
      </c>
      <c r="C221" s="2" t="s">
        <v>79</v>
      </c>
      <c r="D221" s="2">
        <v>3.0</v>
      </c>
      <c r="E221" s="2">
        <v>12.0</v>
      </c>
      <c r="W221" s="2">
        <v>5.0</v>
      </c>
      <c r="BI221" s="2">
        <v>2.0</v>
      </c>
      <c r="BJ221" s="2">
        <v>9.0</v>
      </c>
      <c r="BY221" s="2">
        <v>1.0</v>
      </c>
      <c r="CG221" s="2"/>
      <c r="CI221" s="2">
        <v>7.0</v>
      </c>
      <c r="CK221" s="2"/>
      <c r="CM221" s="2"/>
      <c r="CN221" s="2">
        <v>1.0</v>
      </c>
      <c r="CQ221" s="2">
        <v>25.0</v>
      </c>
    </row>
    <row r="222">
      <c r="A222" s="9">
        <v>45332.0</v>
      </c>
      <c r="B222" s="2" t="s">
        <v>57</v>
      </c>
      <c r="C222" s="2" t="s">
        <v>79</v>
      </c>
      <c r="D222" s="2">
        <v>3.0</v>
      </c>
      <c r="E222" s="2">
        <v>10.0</v>
      </c>
      <c r="AB222" s="2">
        <v>2.0</v>
      </c>
      <c r="AC222" s="2"/>
      <c r="AV222" s="2">
        <v>1.0</v>
      </c>
      <c r="BI222" s="2">
        <v>4.0</v>
      </c>
      <c r="BJ222" s="2">
        <v>12.0</v>
      </c>
      <c r="CG222" s="2"/>
      <c r="CK222" s="2">
        <v>6.0</v>
      </c>
      <c r="CM222" s="2"/>
      <c r="CQ222" s="2">
        <v>25.0</v>
      </c>
    </row>
    <row r="223">
      <c r="A223" s="9">
        <v>45332.0</v>
      </c>
      <c r="B223" s="2" t="s">
        <v>57</v>
      </c>
      <c r="C223" s="2" t="s">
        <v>79</v>
      </c>
      <c r="D223" s="2">
        <v>3.0</v>
      </c>
      <c r="E223" s="2">
        <v>8.0</v>
      </c>
      <c r="AB223" s="2">
        <v>2.0</v>
      </c>
      <c r="AC223" s="2"/>
      <c r="AT223" s="2">
        <v>1.0</v>
      </c>
      <c r="AV223" s="2">
        <v>1.0</v>
      </c>
      <c r="BI223" s="2">
        <v>8.0</v>
      </c>
      <c r="BJ223" s="2">
        <v>6.0</v>
      </c>
      <c r="CG223" s="2"/>
      <c r="CI223" s="2">
        <v>1.0</v>
      </c>
      <c r="CK223" s="2">
        <v>4.0</v>
      </c>
      <c r="CM223" s="2"/>
      <c r="CN223" s="2">
        <v>2.0</v>
      </c>
      <c r="CQ223" s="2">
        <v>25.0</v>
      </c>
    </row>
    <row r="224">
      <c r="A224" s="9">
        <v>45332.0</v>
      </c>
      <c r="B224" s="2" t="s">
        <v>57</v>
      </c>
      <c r="C224" s="2" t="s">
        <v>79</v>
      </c>
      <c r="D224" s="2">
        <v>3.0</v>
      </c>
      <c r="E224" s="2">
        <v>6.0</v>
      </c>
      <c r="X224" s="2">
        <v>1.0</v>
      </c>
      <c r="AB224" s="2">
        <v>4.0</v>
      </c>
      <c r="AC224" s="2"/>
      <c r="AH224" s="2">
        <v>1.0</v>
      </c>
      <c r="AV224" s="2">
        <v>2.0</v>
      </c>
      <c r="BJ224" s="2">
        <v>5.0</v>
      </c>
      <c r="BQ224" s="2">
        <v>2.0</v>
      </c>
      <c r="CG224" s="2"/>
      <c r="CK224" s="2">
        <v>4.0</v>
      </c>
      <c r="CM224" s="2"/>
      <c r="CN224" s="2">
        <v>6.0</v>
      </c>
      <c r="CQ224" s="2">
        <v>25.0</v>
      </c>
    </row>
    <row r="225">
      <c r="A225" s="9">
        <v>45332.0</v>
      </c>
      <c r="B225" s="2" t="s">
        <v>57</v>
      </c>
      <c r="C225" s="2" t="s">
        <v>79</v>
      </c>
      <c r="D225" s="2">
        <v>3.0</v>
      </c>
      <c r="E225" s="2">
        <v>4.0</v>
      </c>
      <c r="W225" s="2">
        <v>2.0</v>
      </c>
      <c r="AV225" s="2">
        <v>1.0</v>
      </c>
      <c r="BI225" s="2">
        <v>2.0</v>
      </c>
      <c r="BJ225" s="2">
        <v>8.0</v>
      </c>
      <c r="BM225" s="2">
        <v>1.0</v>
      </c>
      <c r="BQ225" s="2">
        <v>8.0</v>
      </c>
      <c r="CG225" s="2"/>
      <c r="CI225" s="2">
        <v>1.0</v>
      </c>
      <c r="CK225" s="2">
        <v>2.0</v>
      </c>
      <c r="CM225" s="2"/>
      <c r="CQ225" s="2">
        <v>25.0</v>
      </c>
    </row>
    <row r="226">
      <c r="A226" s="9">
        <v>45332.0</v>
      </c>
      <c r="B226" s="2" t="s">
        <v>57</v>
      </c>
      <c r="C226" s="2" t="s">
        <v>79</v>
      </c>
      <c r="D226" s="2">
        <v>3.0</v>
      </c>
      <c r="E226" s="2">
        <v>2.0</v>
      </c>
      <c r="W226" s="2">
        <v>12.0</v>
      </c>
      <c r="AB226" s="2">
        <v>1.0</v>
      </c>
      <c r="AC226" s="2"/>
      <c r="AH226" s="2">
        <v>1.0</v>
      </c>
      <c r="AV226" s="2">
        <v>1.0</v>
      </c>
      <c r="BI226" s="2">
        <v>2.0</v>
      </c>
      <c r="BP226" s="2">
        <v>1.0</v>
      </c>
      <c r="BQ226" s="2">
        <v>5.0</v>
      </c>
      <c r="CG226" s="2"/>
      <c r="CK226" s="2">
        <v>2.0</v>
      </c>
      <c r="CM226" s="2"/>
      <c r="CQ226" s="2">
        <v>25.0</v>
      </c>
    </row>
    <row r="227">
      <c r="A227" s="9">
        <v>45332.0</v>
      </c>
      <c r="B227" s="2" t="s">
        <v>57</v>
      </c>
      <c r="C227" s="2" t="s">
        <v>79</v>
      </c>
      <c r="D227" s="2">
        <v>4.0</v>
      </c>
      <c r="E227" s="2">
        <v>2.0</v>
      </c>
      <c r="W227" s="2">
        <v>6.0</v>
      </c>
      <c r="AV227" s="2">
        <v>5.0</v>
      </c>
      <c r="BJ227" s="2">
        <v>7.0</v>
      </c>
      <c r="BQ227" s="2">
        <v>6.0</v>
      </c>
      <c r="CG227" s="2"/>
      <c r="CK227" s="2">
        <v>1.0</v>
      </c>
      <c r="CM227" s="2"/>
      <c r="CQ227" s="2">
        <v>25.0</v>
      </c>
    </row>
    <row r="228">
      <c r="A228" s="9">
        <v>45332.0</v>
      </c>
      <c r="B228" s="2" t="s">
        <v>57</v>
      </c>
      <c r="C228" s="2" t="s">
        <v>79</v>
      </c>
      <c r="D228" s="2">
        <v>4.0</v>
      </c>
      <c r="E228" s="2">
        <v>4.0</v>
      </c>
      <c r="P228" s="2">
        <v>1.0</v>
      </c>
      <c r="X228" s="2">
        <v>2.0</v>
      </c>
      <c r="AB228" s="2">
        <v>2.0</v>
      </c>
      <c r="AC228" s="2"/>
      <c r="AV228" s="2">
        <v>7.0</v>
      </c>
      <c r="BI228" s="2">
        <v>2.0</v>
      </c>
      <c r="BJ228" s="2">
        <v>10.0</v>
      </c>
      <c r="CG228" s="2"/>
      <c r="CK228" s="2">
        <v>1.0</v>
      </c>
      <c r="CM228" s="2"/>
      <c r="CQ228" s="2">
        <v>25.0</v>
      </c>
    </row>
    <row r="229">
      <c r="A229" s="9">
        <v>45332.0</v>
      </c>
      <c r="B229" s="2" t="s">
        <v>57</v>
      </c>
      <c r="C229" s="2" t="s">
        <v>79</v>
      </c>
      <c r="D229" s="2">
        <v>4.0</v>
      </c>
      <c r="E229" s="2">
        <v>6.0</v>
      </c>
      <c r="W229" s="2">
        <v>4.0</v>
      </c>
      <c r="AB229" s="2">
        <v>6.0</v>
      </c>
      <c r="AC229" s="2"/>
      <c r="AV229" s="2">
        <v>6.0</v>
      </c>
      <c r="BI229" s="2">
        <v>1.0</v>
      </c>
      <c r="BJ229" s="2">
        <v>7.0</v>
      </c>
      <c r="BQ229" s="2">
        <v>1.0</v>
      </c>
      <c r="CG229" s="2"/>
      <c r="CK229" s="2">
        <v>1.0</v>
      </c>
      <c r="CM229" s="2"/>
      <c r="CQ229" s="2">
        <v>26.0</v>
      </c>
    </row>
    <row r="230">
      <c r="A230" s="9">
        <v>45332.0</v>
      </c>
      <c r="B230" s="2" t="s">
        <v>57</v>
      </c>
      <c r="C230" s="2" t="s">
        <v>79</v>
      </c>
      <c r="D230" s="2">
        <v>4.0</v>
      </c>
      <c r="E230" s="2">
        <v>8.0</v>
      </c>
      <c r="W230" s="2">
        <v>1.0</v>
      </c>
      <c r="AB230" s="2">
        <v>1.0</v>
      </c>
      <c r="AC230" s="2"/>
      <c r="AH230" s="2">
        <v>1.0</v>
      </c>
      <c r="AV230" s="2">
        <v>3.0</v>
      </c>
      <c r="BI230" s="2">
        <v>1.0</v>
      </c>
      <c r="BJ230" s="2">
        <v>13.0</v>
      </c>
      <c r="CG230" s="2"/>
      <c r="CK230" s="2">
        <v>5.0</v>
      </c>
      <c r="CM230" s="2"/>
      <c r="CQ230" s="2">
        <v>25.0</v>
      </c>
    </row>
    <row r="231">
      <c r="A231" s="9">
        <v>45332.0</v>
      </c>
      <c r="B231" s="2" t="s">
        <v>57</v>
      </c>
      <c r="C231" s="2" t="s">
        <v>79</v>
      </c>
      <c r="D231" s="2">
        <v>4.0</v>
      </c>
      <c r="E231" s="2">
        <v>10.0</v>
      </c>
      <c r="AB231" s="2">
        <v>3.0</v>
      </c>
      <c r="AC231" s="2"/>
      <c r="AV231" s="2">
        <v>4.0</v>
      </c>
      <c r="BJ231" s="2">
        <v>13.0</v>
      </c>
      <c r="BQ231" s="2">
        <v>2.0</v>
      </c>
      <c r="CG231" s="2"/>
      <c r="CK231" s="2">
        <v>3.0</v>
      </c>
      <c r="CM231" s="2"/>
      <c r="CQ231" s="2">
        <v>25.0</v>
      </c>
    </row>
    <row r="232">
      <c r="A232" s="9">
        <v>45332.0</v>
      </c>
      <c r="B232" s="2" t="s">
        <v>57</v>
      </c>
      <c r="C232" s="2" t="s">
        <v>79</v>
      </c>
      <c r="D232" s="2">
        <v>4.0</v>
      </c>
      <c r="E232" s="2">
        <v>12.0</v>
      </c>
      <c r="M232" s="2"/>
      <c r="N232" s="2">
        <v>1.0</v>
      </c>
      <c r="W232" s="2">
        <v>2.0</v>
      </c>
      <c r="AB232" s="2">
        <v>1.0</v>
      </c>
      <c r="AC232" s="2"/>
      <c r="AV232" s="2">
        <v>2.0</v>
      </c>
      <c r="BJ232" s="2">
        <v>15.0</v>
      </c>
      <c r="CG232" s="2"/>
      <c r="CK232" s="2"/>
      <c r="CL232" s="2">
        <v>4.0</v>
      </c>
      <c r="CM232" s="2"/>
      <c r="CQ232" s="2">
        <v>26.0</v>
      </c>
    </row>
    <row r="233">
      <c r="A233" s="9">
        <v>45332.0</v>
      </c>
      <c r="B233" s="2" t="s">
        <v>57</v>
      </c>
      <c r="C233" s="2" t="s">
        <v>79</v>
      </c>
      <c r="D233" s="2">
        <v>4.0</v>
      </c>
      <c r="E233" s="2">
        <v>14.0</v>
      </c>
      <c r="AB233" s="2">
        <v>2.0</v>
      </c>
      <c r="AC233" s="2"/>
      <c r="AV233" s="2">
        <v>3.0</v>
      </c>
      <c r="BI233" s="2">
        <v>6.0</v>
      </c>
      <c r="BJ233" s="2">
        <v>4.0</v>
      </c>
      <c r="BQ233" s="2">
        <v>3.0</v>
      </c>
      <c r="CG233" s="2"/>
      <c r="CI233" s="2">
        <v>7.0</v>
      </c>
      <c r="CK233" s="2"/>
      <c r="CM233" s="2"/>
      <c r="CQ233" s="2">
        <v>25.0</v>
      </c>
    </row>
    <row r="234">
      <c r="A234" s="9">
        <v>45332.0</v>
      </c>
      <c r="B234" s="2" t="s">
        <v>57</v>
      </c>
      <c r="C234" s="2" t="s">
        <v>79</v>
      </c>
      <c r="D234" s="2">
        <v>4.0</v>
      </c>
      <c r="E234" s="2">
        <v>16.0</v>
      </c>
      <c r="K234" s="2">
        <v>7.0</v>
      </c>
      <c r="AH234" s="2">
        <v>7.0</v>
      </c>
      <c r="CG234" s="2"/>
      <c r="CI234" s="2">
        <v>2.0</v>
      </c>
      <c r="CK234" s="2"/>
      <c r="CM234" s="2"/>
      <c r="CO234" s="2">
        <v>9.0</v>
      </c>
      <c r="CQ234" s="2">
        <v>25.0</v>
      </c>
    </row>
    <row r="235">
      <c r="A235" s="9">
        <v>45332.0</v>
      </c>
      <c r="B235" s="2" t="s">
        <v>57</v>
      </c>
      <c r="C235" s="2" t="s">
        <v>79</v>
      </c>
      <c r="D235" s="2">
        <v>4.0</v>
      </c>
      <c r="E235" s="2">
        <v>18.0</v>
      </c>
      <c r="K235" s="2">
        <v>4.0</v>
      </c>
      <c r="CG235" s="2"/>
      <c r="CK235" s="2">
        <v>8.0</v>
      </c>
      <c r="CM235" s="2"/>
      <c r="CO235" s="2">
        <v>13.0</v>
      </c>
      <c r="CQ235" s="2">
        <v>25.0</v>
      </c>
    </row>
    <row r="236">
      <c r="A236" s="9">
        <v>45332.0</v>
      </c>
      <c r="B236" s="2" t="s">
        <v>57</v>
      </c>
      <c r="C236" s="2" t="s">
        <v>79</v>
      </c>
      <c r="D236" s="2">
        <v>4.0</v>
      </c>
      <c r="E236" s="2">
        <v>20.0</v>
      </c>
      <c r="CG236" s="2">
        <v>2.0</v>
      </c>
      <c r="CK236" s="2">
        <v>21.0</v>
      </c>
      <c r="CL236" s="2">
        <v>2.0</v>
      </c>
      <c r="CM236" s="2"/>
      <c r="CQ236" s="2">
        <v>25.0</v>
      </c>
    </row>
    <row r="237">
      <c r="A237" s="9">
        <v>45346.0</v>
      </c>
      <c r="B237" s="2" t="s">
        <v>57</v>
      </c>
      <c r="C237" s="2" t="s">
        <v>261</v>
      </c>
      <c r="D237" s="2">
        <v>1.0</v>
      </c>
      <c r="E237" s="2">
        <v>2.0</v>
      </c>
      <c r="CG237" s="2">
        <v>4.0</v>
      </c>
      <c r="CK237" s="2">
        <v>20.0</v>
      </c>
      <c r="CM237" s="2">
        <v>1.0</v>
      </c>
      <c r="CQ237" s="15">
        <f t="shared" ref="CQ237:CQ276" si="14">sum(F237:CN237)</f>
        <v>25</v>
      </c>
    </row>
    <row r="238">
      <c r="A238" s="9">
        <v>45346.0</v>
      </c>
      <c r="B238" s="2" t="s">
        <v>57</v>
      </c>
      <c r="C238" s="2" t="s">
        <v>261</v>
      </c>
      <c r="D238" s="2">
        <v>1.0</v>
      </c>
      <c r="E238" s="2">
        <v>4.0</v>
      </c>
      <c r="W238" s="2">
        <v>2.0</v>
      </c>
      <c r="BG238" s="2"/>
      <c r="BH238" s="2"/>
      <c r="BI238" s="2">
        <v>4.0</v>
      </c>
      <c r="BR238" s="2">
        <v>9.0</v>
      </c>
      <c r="CK238" s="2">
        <v>5.0</v>
      </c>
      <c r="CO238" s="2">
        <v>5.0</v>
      </c>
      <c r="CQ238" s="15">
        <f t="shared" si="14"/>
        <v>20</v>
      </c>
    </row>
    <row r="239">
      <c r="A239" s="9">
        <v>45346.0</v>
      </c>
      <c r="B239" s="2" t="s">
        <v>57</v>
      </c>
      <c r="C239" s="2" t="s">
        <v>261</v>
      </c>
      <c r="D239" s="2">
        <v>1.0</v>
      </c>
      <c r="E239" s="2">
        <v>6.0</v>
      </c>
      <c r="AV239" s="2">
        <v>1.0</v>
      </c>
      <c r="BG239" s="2"/>
      <c r="BH239" s="2">
        <v>3.0</v>
      </c>
      <c r="BI239" s="2">
        <v>12.0</v>
      </c>
      <c r="BJ239" s="2">
        <v>7.0</v>
      </c>
      <c r="BP239" s="2">
        <v>1.0</v>
      </c>
      <c r="CI239" s="2">
        <v>4.0</v>
      </c>
      <c r="CQ239" s="15">
        <f t="shared" si="14"/>
        <v>28</v>
      </c>
    </row>
    <row r="240">
      <c r="A240" s="9">
        <v>45346.0</v>
      </c>
      <c r="B240" s="2" t="s">
        <v>57</v>
      </c>
      <c r="C240" s="2" t="s">
        <v>261</v>
      </c>
      <c r="D240" s="2">
        <v>1.0</v>
      </c>
      <c r="E240" s="2">
        <v>8.0</v>
      </c>
      <c r="AV240" s="2">
        <v>2.0</v>
      </c>
      <c r="BG240" s="2"/>
      <c r="BH240" s="2"/>
      <c r="BI240" s="2">
        <v>2.0</v>
      </c>
      <c r="BJ240" s="2">
        <v>10.0</v>
      </c>
      <c r="CI240" s="2">
        <v>5.0</v>
      </c>
      <c r="CK240" s="2">
        <v>4.0</v>
      </c>
      <c r="CQ240" s="15">
        <f t="shared" si="14"/>
        <v>23</v>
      </c>
    </row>
    <row r="241">
      <c r="A241" s="9">
        <v>45346.0</v>
      </c>
      <c r="B241" s="2" t="s">
        <v>57</v>
      </c>
      <c r="C241" s="2" t="s">
        <v>261</v>
      </c>
      <c r="D241" s="2">
        <v>1.0</v>
      </c>
      <c r="E241" s="2">
        <v>10.0</v>
      </c>
      <c r="W241" s="2">
        <v>7.0</v>
      </c>
      <c r="AB241" s="2">
        <v>2.0</v>
      </c>
      <c r="AC241" s="2"/>
      <c r="AV241" s="2">
        <v>4.0</v>
      </c>
      <c r="BJ241" s="2">
        <v>2.0</v>
      </c>
      <c r="CI241" s="2">
        <v>3.0</v>
      </c>
      <c r="CK241" s="2">
        <v>3.0</v>
      </c>
      <c r="CQ241" s="15">
        <f t="shared" si="14"/>
        <v>21</v>
      </c>
    </row>
    <row r="242">
      <c r="A242" s="9">
        <v>45346.0</v>
      </c>
      <c r="B242" s="2" t="s">
        <v>57</v>
      </c>
      <c r="C242" s="2" t="s">
        <v>261</v>
      </c>
      <c r="D242" s="2">
        <v>1.0</v>
      </c>
      <c r="E242" s="2">
        <v>12.0</v>
      </c>
      <c r="R242" s="2">
        <v>2.0</v>
      </c>
      <c r="AB242" s="2">
        <v>1.0</v>
      </c>
      <c r="AC242" s="2"/>
      <c r="AH242" s="2"/>
      <c r="AI242" s="2">
        <v>1.0</v>
      </c>
      <c r="AV242" s="2">
        <v>3.0</v>
      </c>
      <c r="BJ242" s="2">
        <v>9.0</v>
      </c>
      <c r="BP242" s="2">
        <v>4.0</v>
      </c>
      <c r="CI242" s="2">
        <v>3.0</v>
      </c>
      <c r="CK242" s="2">
        <v>2.0</v>
      </c>
      <c r="CO242" s="2">
        <v>1.0</v>
      </c>
      <c r="CQ242" s="15">
        <f t="shared" si="14"/>
        <v>25</v>
      </c>
    </row>
    <row r="243">
      <c r="A243" s="9">
        <v>45346.0</v>
      </c>
      <c r="B243" s="2" t="s">
        <v>57</v>
      </c>
      <c r="C243" s="2" t="s">
        <v>261</v>
      </c>
      <c r="D243" s="2">
        <v>1.0</v>
      </c>
      <c r="E243" s="2">
        <v>14.0</v>
      </c>
      <c r="AB243" s="2">
        <v>2.0</v>
      </c>
      <c r="AC243" s="2"/>
      <c r="AV243" s="2">
        <v>1.0</v>
      </c>
      <c r="BI243" s="2">
        <v>5.0</v>
      </c>
      <c r="BJ243" s="2">
        <v>5.0</v>
      </c>
      <c r="BQ243" s="2">
        <v>1.0</v>
      </c>
      <c r="CI243" s="2">
        <v>4.0</v>
      </c>
      <c r="CK243" s="2">
        <v>6.0</v>
      </c>
      <c r="CQ243" s="15">
        <f t="shared" si="14"/>
        <v>24</v>
      </c>
    </row>
    <row r="244">
      <c r="A244" s="9">
        <v>45346.0</v>
      </c>
      <c r="B244" s="2" t="s">
        <v>57</v>
      </c>
      <c r="C244" s="2" t="s">
        <v>261</v>
      </c>
      <c r="D244" s="2">
        <v>1.0</v>
      </c>
      <c r="E244" s="2">
        <v>16.0</v>
      </c>
      <c r="R244" s="2">
        <v>1.0</v>
      </c>
      <c r="W244" s="2">
        <v>1.0</v>
      </c>
      <c r="AV244" s="2">
        <v>2.0</v>
      </c>
      <c r="BI244" s="2">
        <v>2.0</v>
      </c>
      <c r="BJ244" s="2">
        <v>1.0</v>
      </c>
      <c r="BQ244" s="2">
        <v>11.0</v>
      </c>
      <c r="CK244" s="2">
        <v>5.0</v>
      </c>
      <c r="CN244" s="2">
        <v>2.0</v>
      </c>
      <c r="CQ244" s="15">
        <f t="shared" si="14"/>
        <v>25</v>
      </c>
    </row>
    <row r="245">
      <c r="A245" s="9">
        <v>45346.0</v>
      </c>
      <c r="B245" s="2" t="s">
        <v>57</v>
      </c>
      <c r="C245" s="2" t="s">
        <v>261</v>
      </c>
      <c r="D245" s="2">
        <v>1.0</v>
      </c>
      <c r="E245" s="2">
        <v>18.0</v>
      </c>
      <c r="M245" s="2"/>
      <c r="N245" s="2">
        <v>1.0</v>
      </c>
      <c r="P245" s="2">
        <v>1.0</v>
      </c>
      <c r="W245" s="2">
        <v>6.0</v>
      </c>
      <c r="AB245" s="2">
        <v>1.0</v>
      </c>
      <c r="AC245" s="2"/>
      <c r="AH245" s="2"/>
      <c r="AI245" s="2">
        <v>1.0</v>
      </c>
      <c r="AV245" s="2">
        <v>3.0</v>
      </c>
      <c r="BJ245" s="2">
        <v>7.0</v>
      </c>
      <c r="BQ245" s="2">
        <v>3.0</v>
      </c>
      <c r="CK245" s="2">
        <v>1.0</v>
      </c>
      <c r="CQ245" s="15">
        <f t="shared" si="14"/>
        <v>24</v>
      </c>
    </row>
    <row r="246">
      <c r="A246" s="9">
        <v>45346.0</v>
      </c>
      <c r="B246" s="2" t="s">
        <v>57</v>
      </c>
      <c r="C246" s="2" t="s">
        <v>261</v>
      </c>
      <c r="D246" s="2">
        <v>1.0</v>
      </c>
      <c r="E246" s="2">
        <v>20.0</v>
      </c>
      <c r="R246" s="2">
        <v>1.0</v>
      </c>
      <c r="X246" s="2">
        <v>1.0</v>
      </c>
      <c r="AH246" s="2"/>
      <c r="AI246" s="2">
        <v>4.0</v>
      </c>
      <c r="AV246" s="2">
        <v>2.0</v>
      </c>
      <c r="BF246" s="2">
        <v>1.0</v>
      </c>
      <c r="BJ246" s="2">
        <v>1.0</v>
      </c>
      <c r="BP246" s="2">
        <v>3.0</v>
      </c>
      <c r="BQ246" s="2">
        <v>1.0</v>
      </c>
      <c r="CK246" s="2">
        <v>11.0</v>
      </c>
      <c r="CQ246" s="15">
        <f t="shared" si="14"/>
        <v>25</v>
      </c>
    </row>
    <row r="247">
      <c r="A247" s="9">
        <v>45346.0</v>
      </c>
      <c r="B247" s="2" t="s">
        <v>57</v>
      </c>
      <c r="C247" s="2" t="s">
        <v>261</v>
      </c>
      <c r="D247" s="2">
        <v>2.0</v>
      </c>
      <c r="E247" s="2">
        <v>2.0</v>
      </c>
      <c r="CM247" s="2">
        <v>25.0</v>
      </c>
      <c r="CQ247" s="15">
        <f t="shared" si="14"/>
        <v>25</v>
      </c>
    </row>
    <row r="248">
      <c r="A248" s="9">
        <v>45346.0</v>
      </c>
      <c r="B248" s="2" t="s">
        <v>57</v>
      </c>
      <c r="C248" s="2" t="s">
        <v>261</v>
      </c>
      <c r="D248" s="2">
        <v>2.0</v>
      </c>
      <c r="E248" s="2">
        <v>4.0</v>
      </c>
      <c r="AI248" s="2">
        <v>2.0</v>
      </c>
      <c r="BI248" s="2">
        <v>14.0</v>
      </c>
      <c r="BJ248" s="2">
        <v>2.0</v>
      </c>
      <c r="CI248" s="2">
        <v>3.0</v>
      </c>
      <c r="CO248" s="2">
        <v>5.0</v>
      </c>
      <c r="CQ248" s="15">
        <f t="shared" si="14"/>
        <v>21</v>
      </c>
    </row>
    <row r="249">
      <c r="A249" s="9">
        <v>45346.0</v>
      </c>
      <c r="B249" s="2" t="s">
        <v>57</v>
      </c>
      <c r="C249" s="2" t="s">
        <v>261</v>
      </c>
      <c r="D249" s="2">
        <v>2.0</v>
      </c>
      <c r="E249" s="2">
        <v>6.0</v>
      </c>
      <c r="M249" s="2"/>
      <c r="N249" s="2">
        <v>7.0</v>
      </c>
      <c r="AB249" s="2">
        <v>3.0</v>
      </c>
      <c r="AC249" s="2"/>
      <c r="AV249" s="2">
        <v>7.0</v>
      </c>
      <c r="BI249" s="2">
        <v>7.0</v>
      </c>
      <c r="CO249" s="2">
        <v>1.0</v>
      </c>
      <c r="CQ249" s="15">
        <f t="shared" si="14"/>
        <v>24</v>
      </c>
    </row>
    <row r="250">
      <c r="A250" s="9">
        <v>45346.0</v>
      </c>
      <c r="B250" s="2" t="s">
        <v>57</v>
      </c>
      <c r="C250" s="2" t="s">
        <v>261</v>
      </c>
      <c r="D250" s="2">
        <v>2.0</v>
      </c>
      <c r="E250" s="2">
        <v>8.0</v>
      </c>
      <c r="W250" s="2">
        <v>2.0</v>
      </c>
      <c r="X250" s="2">
        <v>4.0</v>
      </c>
      <c r="AI250" s="2">
        <v>1.0</v>
      </c>
      <c r="AV250" s="2">
        <v>4.0</v>
      </c>
      <c r="BF250" s="2">
        <v>1.0</v>
      </c>
      <c r="BI250" s="2">
        <v>1.0</v>
      </c>
      <c r="BJ250" s="2">
        <v>9.0</v>
      </c>
      <c r="BP250" s="2">
        <v>1.0</v>
      </c>
      <c r="CI250" s="2">
        <v>2.0</v>
      </c>
      <c r="CK250" s="2">
        <v>1.0</v>
      </c>
      <c r="CQ250" s="15">
        <f t="shared" si="14"/>
        <v>26</v>
      </c>
    </row>
    <row r="251">
      <c r="A251" s="9">
        <v>45346.0</v>
      </c>
      <c r="B251" s="2" t="s">
        <v>57</v>
      </c>
      <c r="C251" s="2" t="s">
        <v>261</v>
      </c>
      <c r="D251" s="2">
        <v>2.0</v>
      </c>
      <c r="E251" s="2">
        <v>10.0</v>
      </c>
      <c r="R251" s="2">
        <v>2.0</v>
      </c>
      <c r="X251" s="2">
        <v>1.0</v>
      </c>
      <c r="AB251" s="2">
        <v>1.0</v>
      </c>
      <c r="AC251" s="2"/>
      <c r="AI251" s="2">
        <v>1.0</v>
      </c>
      <c r="AV251" s="2">
        <v>6.0</v>
      </c>
      <c r="BI251" s="2">
        <v>1.0</v>
      </c>
      <c r="BJ251" s="2">
        <v>7.0</v>
      </c>
      <c r="CI251" s="2">
        <v>3.0</v>
      </c>
      <c r="CK251" s="2">
        <v>2.0</v>
      </c>
      <c r="CQ251" s="15">
        <f t="shared" si="14"/>
        <v>24</v>
      </c>
    </row>
    <row r="252">
      <c r="A252" s="9">
        <v>45346.0</v>
      </c>
      <c r="B252" s="2" t="s">
        <v>57</v>
      </c>
      <c r="C252" s="2" t="s">
        <v>261</v>
      </c>
      <c r="D252" s="2">
        <v>2.0</v>
      </c>
      <c r="E252" s="2">
        <v>12.0</v>
      </c>
      <c r="R252" s="2">
        <v>1.0</v>
      </c>
      <c r="X252" s="2">
        <v>2.0</v>
      </c>
      <c r="AI252" s="2">
        <v>4.0</v>
      </c>
      <c r="AV252" s="2">
        <v>1.0</v>
      </c>
      <c r="BG252" s="2"/>
      <c r="BH252" s="2">
        <v>1.0</v>
      </c>
      <c r="BI252" s="2">
        <v>11.0</v>
      </c>
      <c r="BJ252" s="2">
        <v>1.0</v>
      </c>
      <c r="CI252" s="2">
        <v>2.0</v>
      </c>
      <c r="CK252" s="2">
        <v>1.0</v>
      </c>
      <c r="CQ252" s="15">
        <f t="shared" si="14"/>
        <v>24</v>
      </c>
    </row>
    <row r="253">
      <c r="A253" s="9">
        <v>45346.0</v>
      </c>
      <c r="B253" s="2" t="s">
        <v>57</v>
      </c>
      <c r="C253" s="2" t="s">
        <v>261</v>
      </c>
      <c r="D253" s="2">
        <v>2.0</v>
      </c>
      <c r="E253" s="2">
        <v>14.0</v>
      </c>
      <c r="R253" s="2">
        <v>3.0</v>
      </c>
      <c r="W253" s="2">
        <v>1.0</v>
      </c>
      <c r="AB253" s="2">
        <v>2.0</v>
      </c>
      <c r="AC253" s="2"/>
      <c r="AO253" s="2">
        <v>1.0</v>
      </c>
      <c r="AV253" s="2">
        <v>10.0</v>
      </c>
      <c r="BI253" s="2">
        <v>4.0</v>
      </c>
      <c r="BJ253" s="2">
        <v>3.0</v>
      </c>
      <c r="BQ253" s="2">
        <v>1.0</v>
      </c>
      <c r="CQ253" s="15">
        <f t="shared" si="14"/>
        <v>25</v>
      </c>
    </row>
    <row r="254">
      <c r="A254" s="9">
        <v>45346.0</v>
      </c>
      <c r="B254" s="2" t="s">
        <v>57</v>
      </c>
      <c r="C254" s="2" t="s">
        <v>261</v>
      </c>
      <c r="D254" s="2">
        <v>2.0</v>
      </c>
      <c r="E254" s="2">
        <v>16.0</v>
      </c>
      <c r="R254" s="2">
        <v>3.0</v>
      </c>
      <c r="AB254" s="2">
        <v>1.0</v>
      </c>
      <c r="AC254" s="2"/>
      <c r="AI254" s="2">
        <v>2.0</v>
      </c>
      <c r="AV254" s="2">
        <v>4.0</v>
      </c>
      <c r="BG254" s="2"/>
      <c r="BH254" s="2">
        <v>1.0</v>
      </c>
      <c r="BJ254" s="2">
        <v>6.0</v>
      </c>
      <c r="BQ254" s="2">
        <v>1.0</v>
      </c>
      <c r="CK254" s="2">
        <v>6.0</v>
      </c>
      <c r="CN254" s="2">
        <v>1.0</v>
      </c>
      <c r="CQ254" s="15">
        <f t="shared" si="14"/>
        <v>25</v>
      </c>
    </row>
    <row r="255">
      <c r="A255" s="9">
        <v>45346.0</v>
      </c>
      <c r="B255" s="2" t="s">
        <v>57</v>
      </c>
      <c r="C255" s="2" t="s">
        <v>261</v>
      </c>
      <c r="D255" s="2">
        <v>2.0</v>
      </c>
      <c r="E255" s="2">
        <v>18.0</v>
      </c>
      <c r="AB255" s="2">
        <v>4.0</v>
      </c>
      <c r="AC255" s="2"/>
      <c r="AV255" s="2">
        <v>1.0</v>
      </c>
      <c r="BI255" s="2">
        <v>6.0</v>
      </c>
      <c r="BJ255" s="2">
        <v>10.0</v>
      </c>
      <c r="BO255" s="2">
        <v>2.0</v>
      </c>
      <c r="CK255" s="2"/>
      <c r="CQ255" s="15">
        <f t="shared" si="14"/>
        <v>23</v>
      </c>
    </row>
    <row r="256">
      <c r="A256" s="9">
        <v>45346.0</v>
      </c>
      <c r="B256" s="2" t="s">
        <v>57</v>
      </c>
      <c r="C256" s="2" t="s">
        <v>261</v>
      </c>
      <c r="D256" s="2">
        <v>2.0</v>
      </c>
      <c r="E256" s="2">
        <v>20.0</v>
      </c>
      <c r="F256" s="2">
        <v>2.0</v>
      </c>
      <c r="I256" s="2">
        <v>9.0</v>
      </c>
      <c r="AI256" s="2">
        <v>1.0</v>
      </c>
      <c r="AV256" s="2">
        <v>1.0</v>
      </c>
      <c r="BI256" s="2">
        <v>5.0</v>
      </c>
      <c r="BO256" s="2">
        <v>1.0</v>
      </c>
      <c r="BQ256" s="2">
        <v>2.0</v>
      </c>
      <c r="CK256" s="2">
        <v>4.0</v>
      </c>
      <c r="CQ256" s="15">
        <f t="shared" si="14"/>
        <v>25</v>
      </c>
    </row>
    <row r="257">
      <c r="A257" s="9">
        <v>45346.0</v>
      </c>
      <c r="B257" s="2" t="s">
        <v>57</v>
      </c>
      <c r="C257" s="2" t="s">
        <v>261</v>
      </c>
      <c r="D257" s="2">
        <v>3.0</v>
      </c>
      <c r="E257" s="2">
        <v>2.0</v>
      </c>
      <c r="M257" s="2"/>
      <c r="N257" s="2">
        <v>3.0</v>
      </c>
      <c r="W257" s="2">
        <v>1.0</v>
      </c>
      <c r="AB257" s="2">
        <v>1.0</v>
      </c>
      <c r="AC257" s="2"/>
      <c r="AI257" s="2">
        <v>1.0</v>
      </c>
      <c r="AJ257" s="2">
        <v>2.0</v>
      </c>
      <c r="AV257" s="2">
        <v>2.0</v>
      </c>
      <c r="BJ257" s="2">
        <v>6.0</v>
      </c>
      <c r="BP257" s="2">
        <v>1.0</v>
      </c>
      <c r="BQ257" s="2">
        <v>4.0</v>
      </c>
      <c r="CN257" s="2">
        <v>4.0</v>
      </c>
      <c r="CQ257" s="15">
        <f t="shared" si="14"/>
        <v>25</v>
      </c>
    </row>
    <row r="258">
      <c r="A258" s="9">
        <v>45346.0</v>
      </c>
      <c r="B258" s="2" t="s">
        <v>57</v>
      </c>
      <c r="C258" s="2" t="s">
        <v>261</v>
      </c>
      <c r="D258" s="2">
        <v>3.0</v>
      </c>
      <c r="E258" s="2">
        <v>4.0</v>
      </c>
      <c r="M258" s="2"/>
      <c r="N258" s="2">
        <v>3.0</v>
      </c>
      <c r="W258" s="2">
        <v>3.0</v>
      </c>
      <c r="AB258" s="2">
        <v>1.0</v>
      </c>
      <c r="AC258" s="2"/>
      <c r="AV258" s="2">
        <v>1.0</v>
      </c>
      <c r="BG258" s="2">
        <v>2.0</v>
      </c>
      <c r="BI258" s="2">
        <v>3.0</v>
      </c>
      <c r="BJ258" s="2">
        <v>9.0</v>
      </c>
      <c r="BP258" s="2">
        <v>1.0</v>
      </c>
      <c r="BQ258" s="2">
        <v>1.0</v>
      </c>
      <c r="CN258" s="2">
        <v>1.0</v>
      </c>
      <c r="CQ258" s="15">
        <f t="shared" si="14"/>
        <v>25</v>
      </c>
    </row>
    <row r="259">
      <c r="A259" s="9">
        <v>45346.0</v>
      </c>
      <c r="B259" s="2" t="s">
        <v>57</v>
      </c>
      <c r="C259" s="2" t="s">
        <v>261</v>
      </c>
      <c r="D259" s="2">
        <v>3.0</v>
      </c>
      <c r="E259" s="2">
        <v>6.0</v>
      </c>
      <c r="W259" s="2">
        <v>1.0</v>
      </c>
      <c r="AV259" s="2">
        <v>2.0</v>
      </c>
      <c r="BI259" s="2">
        <v>1.0</v>
      </c>
      <c r="BJ259" s="2">
        <v>12.0</v>
      </c>
      <c r="BQ259" s="2">
        <v>1.0</v>
      </c>
      <c r="CN259" s="2">
        <v>9.0</v>
      </c>
      <c r="CQ259" s="15">
        <f t="shared" si="14"/>
        <v>26</v>
      </c>
    </row>
    <row r="260">
      <c r="A260" s="9">
        <v>45346.0</v>
      </c>
      <c r="B260" s="2" t="s">
        <v>57</v>
      </c>
      <c r="C260" s="2" t="s">
        <v>261</v>
      </c>
      <c r="D260" s="2">
        <v>3.0</v>
      </c>
      <c r="E260" s="2">
        <v>8.0</v>
      </c>
      <c r="W260" s="2">
        <v>1.0</v>
      </c>
      <c r="AB260" s="2">
        <v>5.0</v>
      </c>
      <c r="AC260" s="2"/>
      <c r="AI260" s="2">
        <v>2.0</v>
      </c>
      <c r="AJ260" s="2">
        <v>1.0</v>
      </c>
      <c r="AS260" s="2">
        <v>1.0</v>
      </c>
      <c r="AW260" s="2">
        <v>1.0</v>
      </c>
      <c r="BE260" s="2">
        <v>2.0</v>
      </c>
      <c r="BI260" s="2">
        <v>1.0</v>
      </c>
      <c r="BJ260" s="2">
        <v>6.0</v>
      </c>
      <c r="BM260" s="2">
        <v>3.0</v>
      </c>
      <c r="BP260" s="2">
        <v>2.0</v>
      </c>
      <c r="CQ260" s="15">
        <f t="shared" si="14"/>
        <v>25</v>
      </c>
    </row>
    <row r="261">
      <c r="A261" s="9">
        <v>45346.0</v>
      </c>
      <c r="B261" s="2" t="s">
        <v>57</v>
      </c>
      <c r="C261" s="2" t="s">
        <v>261</v>
      </c>
      <c r="D261" s="2">
        <v>3.0</v>
      </c>
      <c r="E261" s="2">
        <v>10.0</v>
      </c>
      <c r="AB261" s="2">
        <v>2.0</v>
      </c>
      <c r="AC261" s="2"/>
      <c r="AI261" s="2">
        <v>1.0</v>
      </c>
      <c r="AV261" s="2">
        <v>2.0</v>
      </c>
      <c r="BI261" s="2">
        <v>5.0</v>
      </c>
      <c r="BJ261" s="2">
        <v>7.0</v>
      </c>
      <c r="BQ261" s="2">
        <v>4.0</v>
      </c>
      <c r="CQ261" s="15">
        <f t="shared" si="14"/>
        <v>21</v>
      </c>
    </row>
    <row r="262">
      <c r="A262" s="9">
        <v>45346.0</v>
      </c>
      <c r="B262" s="2" t="s">
        <v>57</v>
      </c>
      <c r="C262" s="2" t="s">
        <v>261</v>
      </c>
      <c r="D262" s="2">
        <v>3.0</v>
      </c>
      <c r="E262" s="2">
        <v>12.0</v>
      </c>
      <c r="W262" s="2">
        <v>2.0</v>
      </c>
      <c r="AB262" s="2">
        <v>1.0</v>
      </c>
      <c r="AC262" s="2"/>
      <c r="AV262" s="2">
        <v>5.0</v>
      </c>
      <c r="BG262" s="2"/>
      <c r="BH262" s="2">
        <v>1.0</v>
      </c>
      <c r="BJ262" s="2">
        <v>8.0</v>
      </c>
      <c r="CM262" s="2">
        <v>8.0</v>
      </c>
      <c r="CQ262" s="15">
        <f t="shared" si="14"/>
        <v>25</v>
      </c>
    </row>
    <row r="263">
      <c r="A263" s="9">
        <v>45346.0</v>
      </c>
      <c r="B263" s="2" t="s">
        <v>57</v>
      </c>
      <c r="C263" s="2" t="s">
        <v>261</v>
      </c>
      <c r="D263" s="2">
        <v>3.0</v>
      </c>
      <c r="E263" s="2">
        <v>14.0</v>
      </c>
      <c r="M263" s="2"/>
      <c r="N263" s="2">
        <v>2.0</v>
      </c>
      <c r="W263" s="2">
        <v>7.0</v>
      </c>
      <c r="AV263" s="2">
        <v>2.0</v>
      </c>
      <c r="BI263" s="2">
        <v>4.0</v>
      </c>
      <c r="BJ263" s="2">
        <v>2.0</v>
      </c>
      <c r="BQ263" s="2">
        <v>2.0</v>
      </c>
      <c r="CN263" s="2">
        <v>5.0</v>
      </c>
      <c r="CQ263" s="15">
        <f t="shared" si="14"/>
        <v>24</v>
      </c>
    </row>
    <row r="264">
      <c r="A264" s="9">
        <v>45346.0</v>
      </c>
      <c r="B264" s="2" t="s">
        <v>57</v>
      </c>
      <c r="C264" s="2" t="s">
        <v>261</v>
      </c>
      <c r="D264" s="2">
        <v>3.0</v>
      </c>
      <c r="E264" s="2">
        <v>16.0</v>
      </c>
      <c r="M264" s="2"/>
      <c r="N264" s="2">
        <v>3.0</v>
      </c>
      <c r="AI264" s="2">
        <v>3.0</v>
      </c>
      <c r="AV264" s="2">
        <v>4.0</v>
      </c>
      <c r="BI264" s="2">
        <v>6.0</v>
      </c>
      <c r="BJ264" s="2">
        <v>7.0</v>
      </c>
      <c r="CK264" s="2">
        <v>2.0</v>
      </c>
      <c r="CQ264" s="15">
        <f t="shared" si="14"/>
        <v>25</v>
      </c>
    </row>
    <row r="265">
      <c r="A265" s="9">
        <v>45346.0</v>
      </c>
      <c r="B265" s="2" t="s">
        <v>57</v>
      </c>
      <c r="C265" s="2" t="s">
        <v>261</v>
      </c>
      <c r="D265" s="2">
        <v>3.0</v>
      </c>
      <c r="E265" s="2">
        <v>18.0</v>
      </c>
      <c r="M265" s="2"/>
      <c r="N265" s="2">
        <v>4.0</v>
      </c>
      <c r="AB265" s="2">
        <v>1.0</v>
      </c>
      <c r="AC265" s="2"/>
      <c r="BI265" s="2">
        <v>13.0</v>
      </c>
      <c r="BJ265" s="2">
        <v>2.0</v>
      </c>
      <c r="CI265" s="2">
        <v>2.0</v>
      </c>
      <c r="CK265" s="2">
        <v>3.0</v>
      </c>
      <c r="CQ265" s="15">
        <f t="shared" si="14"/>
        <v>25</v>
      </c>
    </row>
    <row r="266">
      <c r="A266" s="9">
        <v>45346.0</v>
      </c>
      <c r="B266" s="2" t="s">
        <v>57</v>
      </c>
      <c r="C266" s="2" t="s">
        <v>261</v>
      </c>
      <c r="D266" s="2">
        <v>3.0</v>
      </c>
      <c r="E266" s="2">
        <v>20.0</v>
      </c>
      <c r="CK266" s="2">
        <v>5.0</v>
      </c>
      <c r="CQ266" s="15">
        <f t="shared" si="14"/>
        <v>5</v>
      </c>
    </row>
    <row r="267">
      <c r="A267" s="9">
        <v>45346.0</v>
      </c>
      <c r="B267" s="2" t="s">
        <v>57</v>
      </c>
      <c r="C267" s="2" t="s">
        <v>261</v>
      </c>
      <c r="D267" s="2">
        <v>4.0</v>
      </c>
      <c r="E267" s="2">
        <v>2.0</v>
      </c>
      <c r="W267" s="2">
        <v>9.0</v>
      </c>
      <c r="AB267" s="2">
        <v>4.0</v>
      </c>
      <c r="AC267" s="2"/>
      <c r="BE267" s="2">
        <v>1.0</v>
      </c>
      <c r="BJ267" s="2">
        <v>7.0</v>
      </c>
      <c r="BQ267" s="2">
        <v>4.0</v>
      </c>
      <c r="CQ267" s="15">
        <f t="shared" si="14"/>
        <v>25</v>
      </c>
    </row>
    <row r="268">
      <c r="A268" s="9">
        <v>45346.0</v>
      </c>
      <c r="B268" s="2" t="s">
        <v>57</v>
      </c>
      <c r="C268" s="2" t="s">
        <v>261</v>
      </c>
      <c r="D268" s="2">
        <v>4.0</v>
      </c>
      <c r="E268" s="2">
        <v>4.0</v>
      </c>
      <c r="F268" s="2">
        <v>1.0</v>
      </c>
      <c r="M268" s="2"/>
      <c r="N268" s="2">
        <v>1.0</v>
      </c>
      <c r="W268" s="2">
        <v>2.0</v>
      </c>
      <c r="AB268" s="2">
        <v>2.0</v>
      </c>
      <c r="AC268" s="2"/>
      <c r="AV268" s="2">
        <v>3.0</v>
      </c>
      <c r="BG268" s="2">
        <v>1.0</v>
      </c>
      <c r="BI268" s="2">
        <v>2.0</v>
      </c>
      <c r="BJ268" s="2">
        <v>6.0</v>
      </c>
      <c r="BQ268" s="2">
        <v>5.0</v>
      </c>
      <c r="CI268" s="2">
        <v>1.0</v>
      </c>
      <c r="CK268" s="2">
        <v>1.0</v>
      </c>
      <c r="CQ268" s="15">
        <f t="shared" si="14"/>
        <v>25</v>
      </c>
    </row>
    <row r="269">
      <c r="A269" s="9">
        <v>45346.0</v>
      </c>
      <c r="B269" s="2" t="s">
        <v>57</v>
      </c>
      <c r="C269" s="2" t="s">
        <v>261</v>
      </c>
      <c r="D269" s="2">
        <v>4.0</v>
      </c>
      <c r="E269" s="2">
        <v>6.0</v>
      </c>
      <c r="AB269" s="2">
        <v>8.0</v>
      </c>
      <c r="AC269" s="2"/>
      <c r="AV269" s="2">
        <v>5.0</v>
      </c>
      <c r="BF269" s="2">
        <v>1.0</v>
      </c>
      <c r="BI269" s="2">
        <v>3.0</v>
      </c>
      <c r="BJ269" s="2">
        <v>3.0</v>
      </c>
      <c r="BQ269" s="2">
        <v>3.0</v>
      </c>
      <c r="CK269" s="2">
        <v>2.0</v>
      </c>
      <c r="CQ269" s="15">
        <f t="shared" si="14"/>
        <v>25</v>
      </c>
    </row>
    <row r="270">
      <c r="A270" s="9">
        <v>45346.0</v>
      </c>
      <c r="B270" s="2" t="s">
        <v>57</v>
      </c>
      <c r="C270" s="2" t="s">
        <v>261</v>
      </c>
      <c r="D270" s="2">
        <v>4.0</v>
      </c>
      <c r="E270" s="2">
        <v>8.0</v>
      </c>
      <c r="X270" s="2">
        <v>1.0</v>
      </c>
      <c r="AB270" s="2">
        <v>2.0</v>
      </c>
      <c r="AC270" s="2"/>
      <c r="AV270" s="2">
        <v>8.0</v>
      </c>
      <c r="BI270" s="2">
        <v>3.0</v>
      </c>
      <c r="BJ270" s="2">
        <v>6.0</v>
      </c>
      <c r="BQ270" s="2">
        <v>5.0</v>
      </c>
      <c r="CQ270" s="15">
        <f t="shared" si="14"/>
        <v>25</v>
      </c>
    </row>
    <row r="271">
      <c r="A271" s="9">
        <v>45346.0</v>
      </c>
      <c r="B271" s="2" t="s">
        <v>57</v>
      </c>
      <c r="C271" s="2" t="s">
        <v>261</v>
      </c>
      <c r="D271" s="2">
        <v>4.0</v>
      </c>
      <c r="E271" s="2">
        <v>10.0</v>
      </c>
      <c r="AB271" s="2">
        <v>1.0</v>
      </c>
      <c r="AC271" s="2"/>
      <c r="AV271" s="2">
        <v>4.0</v>
      </c>
      <c r="BI271" s="2">
        <v>4.0</v>
      </c>
      <c r="BJ271" s="2">
        <v>13.0</v>
      </c>
      <c r="CK271" s="2">
        <v>3.0</v>
      </c>
      <c r="CQ271" s="15">
        <f t="shared" si="14"/>
        <v>25</v>
      </c>
    </row>
    <row r="272">
      <c r="A272" s="9">
        <v>45346.0</v>
      </c>
      <c r="B272" s="2" t="s">
        <v>57</v>
      </c>
      <c r="C272" s="2" t="s">
        <v>261</v>
      </c>
      <c r="D272" s="2">
        <v>4.0</v>
      </c>
      <c r="E272" s="2">
        <v>12.0</v>
      </c>
      <c r="AV272" s="2">
        <v>2.0</v>
      </c>
      <c r="BJ272" s="2">
        <v>13.0</v>
      </c>
      <c r="BQ272" s="2">
        <v>1.0</v>
      </c>
      <c r="CK272" s="2">
        <v>9.0</v>
      </c>
      <c r="CQ272" s="15">
        <f t="shared" si="14"/>
        <v>25</v>
      </c>
    </row>
    <row r="273">
      <c r="A273" s="9">
        <v>45346.0</v>
      </c>
      <c r="B273" s="2" t="s">
        <v>57</v>
      </c>
      <c r="C273" s="2" t="s">
        <v>261</v>
      </c>
      <c r="D273" s="2">
        <v>4.0</v>
      </c>
      <c r="E273" s="2">
        <v>14.0</v>
      </c>
      <c r="AB273" s="2">
        <v>1.0</v>
      </c>
      <c r="AC273" s="2"/>
      <c r="AV273" s="2">
        <v>6.0</v>
      </c>
      <c r="BI273" s="2">
        <v>1.0</v>
      </c>
      <c r="BJ273" s="2">
        <v>8.0</v>
      </c>
      <c r="CK273" s="2">
        <v>8.0</v>
      </c>
      <c r="CQ273" s="15">
        <f t="shared" si="14"/>
        <v>24</v>
      </c>
    </row>
    <row r="274">
      <c r="A274" s="9">
        <v>45346.0</v>
      </c>
      <c r="B274" s="2" t="s">
        <v>57</v>
      </c>
      <c r="C274" s="2" t="s">
        <v>261</v>
      </c>
      <c r="D274" s="2">
        <v>4.0</v>
      </c>
      <c r="E274" s="2">
        <v>16.0</v>
      </c>
      <c r="BI274" s="2">
        <v>12.0</v>
      </c>
      <c r="BJ274" s="2">
        <v>7.0</v>
      </c>
      <c r="CI274" s="2">
        <v>1.0</v>
      </c>
      <c r="CK274" s="2">
        <v>4.0</v>
      </c>
      <c r="CQ274" s="15">
        <f t="shared" si="14"/>
        <v>24</v>
      </c>
    </row>
    <row r="275">
      <c r="A275" s="9">
        <v>45346.0</v>
      </c>
      <c r="B275" s="2" t="s">
        <v>57</v>
      </c>
      <c r="C275" s="2" t="s">
        <v>261</v>
      </c>
      <c r="D275" s="2">
        <v>4.0</v>
      </c>
      <c r="E275" s="2">
        <v>18.0</v>
      </c>
      <c r="K275" s="2">
        <v>3.0</v>
      </c>
      <c r="CK275" s="2">
        <v>10.0</v>
      </c>
      <c r="CO275" s="2">
        <v>12.0</v>
      </c>
      <c r="CQ275" s="15">
        <f t="shared" si="14"/>
        <v>13</v>
      </c>
    </row>
    <row r="276">
      <c r="A276" s="9">
        <v>45346.0</v>
      </c>
      <c r="B276" s="2" t="s">
        <v>57</v>
      </c>
      <c r="C276" s="2" t="s">
        <v>261</v>
      </c>
      <c r="D276" s="2">
        <v>4.0</v>
      </c>
      <c r="E276" s="2">
        <v>20.0</v>
      </c>
      <c r="BH276" s="2">
        <v>2.0</v>
      </c>
      <c r="CK276" s="2">
        <v>12.0</v>
      </c>
      <c r="CO276" s="2">
        <v>11.0</v>
      </c>
      <c r="CQ276" s="15">
        <f t="shared" si="14"/>
        <v>14</v>
      </c>
    </row>
    <row r="277">
      <c r="A277" s="9">
        <v>45346.0</v>
      </c>
      <c r="B277" s="2" t="s">
        <v>237</v>
      </c>
      <c r="C277" s="2" t="s">
        <v>129</v>
      </c>
      <c r="D277" s="2">
        <v>4.0</v>
      </c>
      <c r="E277" s="2">
        <v>2.0</v>
      </c>
      <c r="R277" s="2"/>
      <c r="AK277" s="2"/>
      <c r="AL277" s="2">
        <v>2.0</v>
      </c>
      <c r="AQ277" s="2">
        <v>1.0</v>
      </c>
      <c r="AR277" s="2"/>
      <c r="AT277" s="2">
        <v>2.0</v>
      </c>
      <c r="AV277" s="2">
        <v>1.0</v>
      </c>
      <c r="AY277" s="2">
        <v>15.0</v>
      </c>
      <c r="BD277" s="2"/>
      <c r="BK277" s="2">
        <v>2.0</v>
      </c>
      <c r="BL277" s="2"/>
      <c r="CK277" s="2">
        <v>2.0</v>
      </c>
      <c r="CQ277" s="15">
        <f t="shared" ref="CQ277:CQ287" si="15">sum(F277:CO277)</f>
        <v>25</v>
      </c>
    </row>
    <row r="278">
      <c r="A278" s="9">
        <v>45346.0</v>
      </c>
      <c r="B278" s="2" t="s">
        <v>237</v>
      </c>
      <c r="C278" s="2" t="s">
        <v>129</v>
      </c>
      <c r="D278" s="2">
        <v>4.0</v>
      </c>
      <c r="E278" s="2">
        <v>3.0</v>
      </c>
      <c r="R278" s="2">
        <v>1.0</v>
      </c>
      <c r="AY278" s="2"/>
      <c r="BD278" s="2"/>
      <c r="BK278" s="2">
        <v>24.0</v>
      </c>
      <c r="BL278" s="2"/>
      <c r="CK278" s="2"/>
      <c r="CQ278" s="15">
        <f t="shared" si="15"/>
        <v>25</v>
      </c>
    </row>
    <row r="279">
      <c r="A279" s="9">
        <v>45346.0</v>
      </c>
      <c r="B279" s="2" t="s">
        <v>237</v>
      </c>
      <c r="C279" s="2" t="s">
        <v>129</v>
      </c>
      <c r="D279" s="2">
        <v>4.0</v>
      </c>
      <c r="E279" s="2">
        <v>4.0</v>
      </c>
      <c r="R279" s="2"/>
      <c r="AB279" s="2">
        <v>1.0</v>
      </c>
      <c r="AC279" s="2"/>
      <c r="AW279" s="2">
        <v>1.0</v>
      </c>
      <c r="AY279" s="2"/>
      <c r="BD279" s="2"/>
      <c r="BI279" s="2">
        <v>11.0</v>
      </c>
      <c r="BK279" s="2">
        <v>11.0</v>
      </c>
      <c r="BL279" s="2"/>
      <c r="CK279" s="2">
        <v>1.0</v>
      </c>
      <c r="CQ279" s="15">
        <f t="shared" si="15"/>
        <v>25</v>
      </c>
    </row>
    <row r="280">
      <c r="A280" s="9">
        <v>45346.0</v>
      </c>
      <c r="B280" s="2" t="s">
        <v>237</v>
      </c>
      <c r="C280" s="2" t="s">
        <v>129</v>
      </c>
      <c r="D280" s="2">
        <v>4.0</v>
      </c>
      <c r="E280" s="2">
        <v>5.0</v>
      </c>
      <c r="R280" s="2"/>
      <c r="AB280" s="2"/>
      <c r="AC280" s="2"/>
      <c r="AQ280" s="2">
        <v>4.0</v>
      </c>
      <c r="AR280" s="2"/>
      <c r="AT280" s="2">
        <v>1.0</v>
      </c>
      <c r="AY280" s="2"/>
      <c r="BD280" s="2"/>
      <c r="BE280" s="2">
        <v>2.0</v>
      </c>
      <c r="BI280" s="2">
        <v>11.0</v>
      </c>
      <c r="BK280" s="2">
        <v>3.0</v>
      </c>
      <c r="BL280" s="2"/>
      <c r="BR280" s="2">
        <v>1.0</v>
      </c>
      <c r="CK280" s="2">
        <v>3.0</v>
      </c>
      <c r="CQ280" s="15">
        <f t="shared" si="15"/>
        <v>25</v>
      </c>
    </row>
    <row r="281">
      <c r="A281" s="9">
        <v>45346.0</v>
      </c>
      <c r="B281" s="2" t="s">
        <v>237</v>
      </c>
      <c r="C281" s="2" t="s">
        <v>129</v>
      </c>
      <c r="D281" s="2">
        <v>4.0</v>
      </c>
      <c r="E281" s="2">
        <v>6.0</v>
      </c>
      <c r="R281" s="2"/>
      <c r="AV281" s="2">
        <v>1.0</v>
      </c>
      <c r="AY281" s="2"/>
      <c r="BD281" s="2"/>
      <c r="BI281" s="2">
        <v>22.0</v>
      </c>
      <c r="BK281" s="2"/>
      <c r="BL281" s="2"/>
      <c r="CK281" s="2">
        <v>2.0</v>
      </c>
      <c r="CQ281" s="15">
        <f t="shared" si="15"/>
        <v>25</v>
      </c>
    </row>
    <row r="282">
      <c r="A282" s="9">
        <v>45346.0</v>
      </c>
      <c r="B282" s="2" t="s">
        <v>237</v>
      </c>
      <c r="C282" s="2" t="s">
        <v>129</v>
      </c>
      <c r="D282" s="2">
        <v>4.0</v>
      </c>
      <c r="E282" s="2">
        <v>7.0</v>
      </c>
      <c r="R282" s="2"/>
      <c r="AV282" s="2">
        <v>4.0</v>
      </c>
      <c r="AY282" s="2"/>
      <c r="BD282" s="2"/>
      <c r="BI282" s="2">
        <v>19.0</v>
      </c>
      <c r="BK282" s="2"/>
      <c r="BL282" s="2"/>
      <c r="CI282" s="2">
        <v>2.0</v>
      </c>
      <c r="CK282" s="2"/>
      <c r="CQ282" s="15">
        <f t="shared" si="15"/>
        <v>25</v>
      </c>
    </row>
    <row r="283">
      <c r="A283" s="9">
        <v>45346.0</v>
      </c>
      <c r="B283" s="2" t="s">
        <v>237</v>
      </c>
      <c r="C283" s="2" t="s">
        <v>129</v>
      </c>
      <c r="D283" s="2">
        <v>4.0</v>
      </c>
      <c r="E283" s="2">
        <v>8.0</v>
      </c>
      <c r="R283" s="2"/>
      <c r="AT283" s="2">
        <v>1.0</v>
      </c>
      <c r="AV283" s="2">
        <v>4.0</v>
      </c>
      <c r="AY283" s="2"/>
      <c r="BD283" s="2"/>
      <c r="BI283" s="2">
        <v>15.0</v>
      </c>
      <c r="BK283" s="2">
        <v>2.0</v>
      </c>
      <c r="BL283" s="2"/>
      <c r="BT283" s="2"/>
      <c r="BU283" s="2"/>
      <c r="BV283" s="2"/>
      <c r="BW283" s="2">
        <v>1.0</v>
      </c>
      <c r="CI283" s="2">
        <v>2.0</v>
      </c>
      <c r="CK283" s="2"/>
      <c r="CQ283" s="15">
        <f t="shared" si="15"/>
        <v>25</v>
      </c>
    </row>
    <row r="284">
      <c r="A284" s="9">
        <v>45346.0</v>
      </c>
      <c r="B284" s="2" t="s">
        <v>237</v>
      </c>
      <c r="C284" s="2" t="s">
        <v>129</v>
      </c>
      <c r="D284" s="2">
        <v>4.0</v>
      </c>
      <c r="E284" s="2">
        <v>9.0</v>
      </c>
      <c r="R284" s="2"/>
      <c r="AV284" s="2">
        <v>9.0</v>
      </c>
      <c r="AY284" s="2"/>
      <c r="BD284" s="2"/>
      <c r="BI284" s="2">
        <v>8.0</v>
      </c>
      <c r="BK284" s="2"/>
      <c r="BL284" s="2"/>
      <c r="CI284" s="2">
        <v>8.0</v>
      </c>
      <c r="CK284" s="2"/>
      <c r="CQ284" s="15">
        <f t="shared" si="15"/>
        <v>25</v>
      </c>
    </row>
    <row r="285">
      <c r="A285" s="9">
        <v>45346.0</v>
      </c>
      <c r="B285" s="2" t="s">
        <v>237</v>
      </c>
      <c r="C285" s="2" t="s">
        <v>129</v>
      </c>
      <c r="D285" s="2">
        <v>4.0</v>
      </c>
      <c r="E285" s="2">
        <v>10.0</v>
      </c>
      <c r="R285" s="2"/>
      <c r="AV285" s="2">
        <v>5.0</v>
      </c>
      <c r="AY285" s="2"/>
      <c r="BD285" s="2"/>
      <c r="BI285" s="2">
        <v>12.0</v>
      </c>
      <c r="BK285" s="2"/>
      <c r="BL285" s="2"/>
      <c r="CI285" s="2">
        <v>8.0</v>
      </c>
      <c r="CK285" s="2"/>
      <c r="CQ285" s="15">
        <f t="shared" si="15"/>
        <v>25</v>
      </c>
    </row>
    <row r="286">
      <c r="A286" s="9">
        <v>45346.0</v>
      </c>
      <c r="B286" s="2" t="s">
        <v>237</v>
      </c>
      <c r="C286" s="2" t="s">
        <v>129</v>
      </c>
      <c r="D286" s="2">
        <v>4.0</v>
      </c>
      <c r="E286" s="2">
        <v>11.0</v>
      </c>
      <c r="R286" s="2"/>
      <c r="AY286" s="2"/>
      <c r="BD286" s="2"/>
      <c r="BK286" s="2"/>
      <c r="BL286" s="2"/>
      <c r="BR286" s="2">
        <v>15.0</v>
      </c>
      <c r="BT286" s="2"/>
      <c r="BU286" s="2"/>
      <c r="BV286" s="2"/>
      <c r="BW286" s="2">
        <v>2.0</v>
      </c>
      <c r="CI286" s="2">
        <v>3.0</v>
      </c>
      <c r="CK286" s="2">
        <v>5.0</v>
      </c>
      <c r="CQ286" s="15">
        <f t="shared" si="15"/>
        <v>25</v>
      </c>
    </row>
    <row r="287">
      <c r="A287" s="9">
        <v>45346.0</v>
      </c>
      <c r="B287" s="2" t="s">
        <v>237</v>
      </c>
      <c r="C287" s="2" t="s">
        <v>129</v>
      </c>
      <c r="D287" s="2">
        <v>4.0</v>
      </c>
      <c r="E287" s="2">
        <v>12.0</v>
      </c>
      <c r="R287" s="2"/>
      <c r="AY287" s="2"/>
      <c r="BD287" s="2"/>
      <c r="BK287" s="2"/>
      <c r="BL287" s="2"/>
      <c r="CI287" s="2">
        <v>10.0</v>
      </c>
      <c r="CK287" s="2"/>
      <c r="CM287" s="2">
        <v>15.0</v>
      </c>
      <c r="CQ287" s="15">
        <f t="shared" si="15"/>
        <v>25</v>
      </c>
    </row>
    <row r="288">
      <c r="A288" s="9">
        <v>45346.0</v>
      </c>
      <c r="B288" s="2" t="s">
        <v>237</v>
      </c>
      <c r="C288" s="2" t="s">
        <v>117</v>
      </c>
      <c r="D288" s="2">
        <v>3.0</v>
      </c>
      <c r="E288" s="2">
        <v>3.0</v>
      </c>
      <c r="R288" s="2">
        <v>3.0</v>
      </c>
      <c r="AY288" s="2">
        <v>1.0</v>
      </c>
      <c r="BD288" s="2">
        <v>2.0</v>
      </c>
      <c r="BK288" s="2">
        <v>10.0</v>
      </c>
      <c r="BL288" s="2">
        <v>4.0</v>
      </c>
      <c r="CK288" s="2">
        <v>5.0</v>
      </c>
      <c r="CQ288" s="15">
        <f t="shared" ref="CQ288:CQ346" si="16">sum(F288:CN288)</f>
        <v>25</v>
      </c>
    </row>
    <row r="289">
      <c r="A289" s="9">
        <v>45346.0</v>
      </c>
      <c r="B289" s="2" t="s">
        <v>237</v>
      </c>
      <c r="C289" s="2" t="s">
        <v>117</v>
      </c>
      <c r="D289" s="2">
        <v>3.0</v>
      </c>
      <c r="E289" s="2">
        <v>4.0</v>
      </c>
      <c r="R289" s="2">
        <v>4.0</v>
      </c>
      <c r="T289" s="2"/>
      <c r="U289" s="2">
        <v>1.0</v>
      </c>
      <c r="AW289" s="2">
        <v>1.0</v>
      </c>
      <c r="BD289" s="2">
        <v>2.0</v>
      </c>
      <c r="BE289" s="2">
        <v>4.0</v>
      </c>
      <c r="BI289" s="2">
        <v>6.0</v>
      </c>
      <c r="BK289" s="2">
        <v>2.0</v>
      </c>
      <c r="BR289" s="2">
        <v>3.0</v>
      </c>
      <c r="CK289" s="2">
        <v>2.0</v>
      </c>
      <c r="CQ289" s="15">
        <f t="shared" si="16"/>
        <v>25</v>
      </c>
    </row>
    <row r="290">
      <c r="A290" s="9">
        <v>45346.0</v>
      </c>
      <c r="B290" s="2" t="s">
        <v>237</v>
      </c>
      <c r="C290" s="2" t="s">
        <v>117</v>
      </c>
      <c r="D290" s="2">
        <v>3.0</v>
      </c>
      <c r="E290" s="2">
        <v>5.0</v>
      </c>
      <c r="R290" s="2">
        <v>1.0</v>
      </c>
      <c r="BI290" s="2">
        <v>10.0</v>
      </c>
      <c r="BK290" s="2">
        <v>4.0</v>
      </c>
      <c r="CI290" s="2">
        <v>10.0</v>
      </c>
      <c r="CQ290" s="15">
        <f t="shared" si="16"/>
        <v>25</v>
      </c>
    </row>
    <row r="291">
      <c r="A291" s="9">
        <v>45346.0</v>
      </c>
      <c r="B291" s="2" t="s">
        <v>237</v>
      </c>
      <c r="C291" s="2" t="s">
        <v>117</v>
      </c>
      <c r="D291" s="2">
        <v>3.0</v>
      </c>
      <c r="E291" s="2">
        <v>6.0</v>
      </c>
      <c r="BI291" s="2">
        <v>19.0</v>
      </c>
      <c r="CI291" s="2">
        <v>6.0</v>
      </c>
      <c r="CQ291" s="15">
        <f t="shared" si="16"/>
        <v>25</v>
      </c>
    </row>
    <row r="292">
      <c r="A292" s="9">
        <v>45346.0</v>
      </c>
      <c r="B292" s="2" t="s">
        <v>237</v>
      </c>
      <c r="C292" s="2" t="s">
        <v>117</v>
      </c>
      <c r="D292" s="2">
        <v>3.0</v>
      </c>
      <c r="E292" s="2">
        <v>7.0</v>
      </c>
      <c r="BI292" s="2">
        <v>10.0</v>
      </c>
      <c r="CK292" s="2">
        <v>15.0</v>
      </c>
      <c r="CQ292" s="15">
        <f t="shared" si="16"/>
        <v>25</v>
      </c>
    </row>
    <row r="293">
      <c r="A293" s="9">
        <v>45346.0</v>
      </c>
      <c r="B293" s="2" t="s">
        <v>237</v>
      </c>
      <c r="C293" s="2" t="s">
        <v>117</v>
      </c>
      <c r="D293" s="2">
        <v>3.0</v>
      </c>
      <c r="E293" s="2">
        <v>8.0</v>
      </c>
      <c r="AQ293" s="2">
        <v>1.0</v>
      </c>
      <c r="AR293" s="2"/>
      <c r="BI293" s="2">
        <v>11.0</v>
      </c>
      <c r="CK293" s="2">
        <v>13.0</v>
      </c>
      <c r="CQ293" s="15">
        <f t="shared" si="16"/>
        <v>25</v>
      </c>
    </row>
    <row r="294">
      <c r="A294" s="9">
        <v>45346.0</v>
      </c>
      <c r="B294" s="2" t="s">
        <v>237</v>
      </c>
      <c r="C294" s="2" t="s">
        <v>117</v>
      </c>
      <c r="D294" s="2">
        <v>3.0</v>
      </c>
      <c r="E294" s="2">
        <v>9.0</v>
      </c>
      <c r="AV294" s="2">
        <v>1.0</v>
      </c>
      <c r="BD294" s="2">
        <v>4.0</v>
      </c>
      <c r="CK294" s="2">
        <v>21.0</v>
      </c>
      <c r="CQ294" s="15">
        <f t="shared" si="16"/>
        <v>26</v>
      </c>
    </row>
    <row r="295">
      <c r="A295" s="9">
        <v>45346.0</v>
      </c>
      <c r="B295" s="2" t="s">
        <v>237</v>
      </c>
      <c r="C295" s="2" t="s">
        <v>117</v>
      </c>
      <c r="D295" s="2">
        <v>3.0</v>
      </c>
      <c r="E295" s="2">
        <v>10.0</v>
      </c>
      <c r="BK295" s="2">
        <v>2.0</v>
      </c>
      <c r="BT295" s="2"/>
      <c r="BU295" s="2"/>
      <c r="BV295" s="2"/>
      <c r="BW295" s="2">
        <v>6.0</v>
      </c>
      <c r="CK295" s="2">
        <v>1.0</v>
      </c>
      <c r="CM295" s="2">
        <v>16.0</v>
      </c>
      <c r="CQ295" s="15">
        <f t="shared" si="16"/>
        <v>25</v>
      </c>
    </row>
    <row r="296">
      <c r="A296" s="9">
        <v>45346.0</v>
      </c>
      <c r="B296" s="2" t="s">
        <v>237</v>
      </c>
      <c r="C296" s="2" t="s">
        <v>117</v>
      </c>
      <c r="D296" s="2">
        <v>3.0</v>
      </c>
      <c r="E296" s="2">
        <v>11.0</v>
      </c>
      <c r="BD296" s="2">
        <v>1.0</v>
      </c>
      <c r="BT296" s="2"/>
      <c r="BU296" s="2"/>
      <c r="BV296" s="2"/>
      <c r="BW296" s="2">
        <v>4.0</v>
      </c>
      <c r="CG296" s="2">
        <v>1.0</v>
      </c>
      <c r="CI296" s="2">
        <v>19.0</v>
      </c>
      <c r="CQ296" s="15">
        <f t="shared" si="16"/>
        <v>25</v>
      </c>
    </row>
    <row r="297">
      <c r="A297" s="9">
        <v>45346.0</v>
      </c>
      <c r="B297" s="2" t="s">
        <v>237</v>
      </c>
      <c r="C297" s="2" t="s">
        <v>117</v>
      </c>
      <c r="D297" s="2">
        <v>3.0</v>
      </c>
      <c r="E297" s="2">
        <v>12.0</v>
      </c>
      <c r="BT297" s="2"/>
      <c r="BU297" s="2"/>
      <c r="BV297" s="2"/>
      <c r="BW297" s="2">
        <v>2.0</v>
      </c>
      <c r="CI297" s="2">
        <v>23.0</v>
      </c>
      <c r="CQ297" s="15">
        <f t="shared" si="16"/>
        <v>25</v>
      </c>
    </row>
    <row r="298">
      <c r="A298" s="9">
        <v>45346.0</v>
      </c>
      <c r="B298" s="2" t="s">
        <v>237</v>
      </c>
      <c r="C298" s="2" t="s">
        <v>97</v>
      </c>
      <c r="D298" s="2">
        <v>2.0</v>
      </c>
      <c r="E298" s="2">
        <v>3.0</v>
      </c>
      <c r="R298" s="2">
        <v>3.0</v>
      </c>
      <c r="AV298" s="2">
        <v>1.0</v>
      </c>
      <c r="BE298" s="2">
        <v>1.0</v>
      </c>
      <c r="BK298" s="2">
        <v>11.0</v>
      </c>
      <c r="BL298" s="2">
        <v>5.0</v>
      </c>
      <c r="CK298" s="2">
        <v>4.0</v>
      </c>
      <c r="CQ298" s="15">
        <f t="shared" si="16"/>
        <v>25</v>
      </c>
      <c r="CT298" s="2" t="s">
        <v>262</v>
      </c>
    </row>
    <row r="299">
      <c r="A299" s="9">
        <v>45346.0</v>
      </c>
      <c r="B299" s="2" t="s">
        <v>237</v>
      </c>
      <c r="C299" s="2" t="s">
        <v>97</v>
      </c>
      <c r="D299" s="2">
        <v>2.0</v>
      </c>
      <c r="E299" s="2">
        <v>4.0</v>
      </c>
      <c r="R299" s="2">
        <v>1.0</v>
      </c>
      <c r="BF299" s="2">
        <v>1.0</v>
      </c>
      <c r="BI299" s="2">
        <v>4.0</v>
      </c>
      <c r="BK299" s="2">
        <v>17.0</v>
      </c>
      <c r="CI299" s="2">
        <v>2.0</v>
      </c>
      <c r="CQ299" s="15">
        <f t="shared" si="16"/>
        <v>25</v>
      </c>
      <c r="CT299" s="2" t="s">
        <v>262</v>
      </c>
    </row>
    <row r="300">
      <c r="A300" s="9">
        <v>45346.0</v>
      </c>
      <c r="B300" s="2" t="s">
        <v>237</v>
      </c>
      <c r="C300" s="2" t="s">
        <v>97</v>
      </c>
      <c r="D300" s="2">
        <v>2.0</v>
      </c>
      <c r="E300" s="2">
        <v>5.0</v>
      </c>
      <c r="BF300" s="2">
        <v>1.0</v>
      </c>
      <c r="BI300" s="2">
        <v>22.0</v>
      </c>
      <c r="CI300" s="2">
        <v>2.0</v>
      </c>
      <c r="CQ300" s="15">
        <f t="shared" si="16"/>
        <v>25</v>
      </c>
      <c r="CT300" s="2" t="s">
        <v>262</v>
      </c>
    </row>
    <row r="301">
      <c r="A301" s="9">
        <v>45346.0</v>
      </c>
      <c r="B301" s="2" t="s">
        <v>237</v>
      </c>
      <c r="C301" s="2" t="s">
        <v>97</v>
      </c>
      <c r="D301" s="2">
        <v>2.0</v>
      </c>
      <c r="E301" s="2">
        <v>6.0</v>
      </c>
      <c r="BD301" s="2">
        <v>2.0</v>
      </c>
      <c r="BI301" s="2">
        <v>14.0</v>
      </c>
      <c r="BK301" s="2">
        <v>3.0</v>
      </c>
      <c r="BR301" s="2">
        <v>1.0</v>
      </c>
      <c r="CI301" s="2">
        <v>3.0</v>
      </c>
      <c r="CK301" s="2">
        <v>2.0</v>
      </c>
      <c r="CQ301" s="15">
        <f t="shared" si="16"/>
        <v>25</v>
      </c>
      <c r="CT301" s="2" t="s">
        <v>262</v>
      </c>
    </row>
    <row r="302">
      <c r="A302" s="9">
        <v>45346.0</v>
      </c>
      <c r="B302" s="2" t="s">
        <v>237</v>
      </c>
      <c r="C302" s="2" t="s">
        <v>97</v>
      </c>
      <c r="D302" s="2">
        <v>2.0</v>
      </c>
      <c r="E302" s="2">
        <v>7.0</v>
      </c>
      <c r="AJ302" s="2">
        <v>1.0</v>
      </c>
      <c r="BI302" s="2">
        <v>17.0</v>
      </c>
      <c r="BR302" s="2">
        <v>1.0</v>
      </c>
      <c r="CI302" s="2">
        <v>6.0</v>
      </c>
      <c r="CQ302" s="15">
        <f t="shared" si="16"/>
        <v>25</v>
      </c>
      <c r="CT302" s="2" t="s">
        <v>262</v>
      </c>
    </row>
    <row r="303">
      <c r="A303" s="9">
        <v>45346.0</v>
      </c>
      <c r="B303" s="2" t="s">
        <v>237</v>
      </c>
      <c r="C303" s="2" t="s">
        <v>97</v>
      </c>
      <c r="D303" s="2">
        <v>2.0</v>
      </c>
      <c r="E303" s="2">
        <v>8.0</v>
      </c>
      <c r="BI303" s="2">
        <v>5.0</v>
      </c>
      <c r="CI303" s="2">
        <v>20.0</v>
      </c>
      <c r="CQ303" s="15">
        <f t="shared" si="16"/>
        <v>25</v>
      </c>
      <c r="CT303" s="2" t="s">
        <v>262</v>
      </c>
    </row>
    <row r="304">
      <c r="A304" s="9">
        <v>45346.0</v>
      </c>
      <c r="B304" s="2" t="s">
        <v>237</v>
      </c>
      <c r="C304" s="2" t="s">
        <v>97</v>
      </c>
      <c r="D304" s="2">
        <v>2.0</v>
      </c>
      <c r="E304" s="2">
        <v>9.0</v>
      </c>
      <c r="BR304" s="2">
        <v>9.0</v>
      </c>
      <c r="CI304" s="2">
        <v>4.0</v>
      </c>
      <c r="CK304" s="2">
        <v>12.0</v>
      </c>
      <c r="CQ304" s="15">
        <f t="shared" si="16"/>
        <v>25</v>
      </c>
      <c r="CT304" s="2" t="s">
        <v>262</v>
      </c>
    </row>
    <row r="305">
      <c r="A305" s="9">
        <v>45346.0</v>
      </c>
      <c r="B305" s="2" t="s">
        <v>237</v>
      </c>
      <c r="C305" s="2" t="s">
        <v>97</v>
      </c>
      <c r="D305" s="2">
        <v>2.0</v>
      </c>
      <c r="E305" s="2">
        <v>10.0</v>
      </c>
      <c r="BD305" s="2">
        <v>14.0</v>
      </c>
      <c r="BR305" s="2">
        <v>4.0</v>
      </c>
      <c r="BT305" s="2"/>
      <c r="BU305" s="2"/>
      <c r="BV305" s="2"/>
      <c r="BW305" s="2">
        <v>2.0</v>
      </c>
      <c r="CK305" s="2">
        <v>5.0</v>
      </c>
      <c r="CQ305" s="15">
        <f t="shared" si="16"/>
        <v>25</v>
      </c>
      <c r="CT305" s="2" t="s">
        <v>262</v>
      </c>
    </row>
    <row r="306">
      <c r="A306" s="9">
        <v>45346.0</v>
      </c>
      <c r="B306" s="2" t="s">
        <v>237</v>
      </c>
      <c r="C306" s="2" t="s">
        <v>97</v>
      </c>
      <c r="D306" s="2">
        <v>2.0</v>
      </c>
      <c r="E306" s="2">
        <v>11.0</v>
      </c>
      <c r="BT306" s="2"/>
      <c r="BU306" s="2"/>
      <c r="BV306" s="2"/>
      <c r="BW306" s="2">
        <v>4.0</v>
      </c>
      <c r="CG306" s="2">
        <v>3.0</v>
      </c>
      <c r="CK306" s="2">
        <v>18.0</v>
      </c>
      <c r="CQ306" s="15">
        <f t="shared" si="16"/>
        <v>25</v>
      </c>
      <c r="CT306" s="2" t="s">
        <v>262</v>
      </c>
    </row>
    <row r="307">
      <c r="A307" s="9">
        <v>45346.0</v>
      </c>
      <c r="B307" s="2" t="s">
        <v>237</v>
      </c>
      <c r="C307" s="2" t="s">
        <v>97</v>
      </c>
      <c r="D307" s="2">
        <v>2.0</v>
      </c>
      <c r="E307" s="2">
        <v>12.0</v>
      </c>
      <c r="CG307" s="2">
        <v>1.0</v>
      </c>
      <c r="CK307" s="2">
        <v>24.0</v>
      </c>
      <c r="CQ307" s="15">
        <f t="shared" si="16"/>
        <v>25</v>
      </c>
      <c r="CT307" s="2" t="s">
        <v>262</v>
      </c>
    </row>
    <row r="308">
      <c r="A308" s="9">
        <v>45346.0</v>
      </c>
      <c r="B308" s="2" t="s">
        <v>237</v>
      </c>
      <c r="C308" s="2" t="s">
        <v>129</v>
      </c>
      <c r="D308" s="2">
        <v>1.0</v>
      </c>
      <c r="E308" s="2">
        <v>1.0</v>
      </c>
      <c r="R308" s="2"/>
      <c r="S308" s="2"/>
      <c r="AB308" s="2"/>
      <c r="AC308" s="2"/>
      <c r="AK308" s="2"/>
      <c r="AL308" s="2">
        <v>14.0</v>
      </c>
      <c r="AV308" s="2"/>
      <c r="AY308" s="2">
        <v>7.0</v>
      </c>
      <c r="BE308" s="2"/>
      <c r="BK308" s="2">
        <v>2.0</v>
      </c>
      <c r="BL308" s="2"/>
      <c r="CK308" s="2">
        <v>2.0</v>
      </c>
      <c r="CQ308" s="15">
        <f t="shared" si="16"/>
        <v>25</v>
      </c>
      <c r="CT308" s="2"/>
    </row>
    <row r="309">
      <c r="A309" s="9">
        <v>45346.0</v>
      </c>
      <c r="B309" s="2" t="s">
        <v>237</v>
      </c>
      <c r="C309" s="2" t="s">
        <v>129</v>
      </c>
      <c r="D309" s="2">
        <v>1.0</v>
      </c>
      <c r="E309" s="2">
        <v>2.0</v>
      </c>
      <c r="R309" s="2"/>
      <c r="S309" s="2">
        <v>1.0</v>
      </c>
      <c r="AB309" s="2"/>
      <c r="AC309" s="2"/>
      <c r="AI309" s="2">
        <v>1.0</v>
      </c>
      <c r="AK309" s="2"/>
      <c r="AL309" s="2">
        <v>2.0</v>
      </c>
      <c r="AV309" s="2"/>
      <c r="AY309" s="2">
        <v>6.0</v>
      </c>
      <c r="BE309" s="2"/>
      <c r="BK309" s="2">
        <v>11.0</v>
      </c>
      <c r="BL309" s="2"/>
      <c r="CK309" s="2">
        <v>4.0</v>
      </c>
      <c r="CQ309" s="15">
        <f t="shared" si="16"/>
        <v>25</v>
      </c>
      <c r="CT309" s="2"/>
    </row>
    <row r="310">
      <c r="A310" s="9">
        <v>45346.0</v>
      </c>
      <c r="B310" s="2" t="s">
        <v>237</v>
      </c>
      <c r="C310" s="2" t="s">
        <v>129</v>
      </c>
      <c r="D310" s="2">
        <v>1.0</v>
      </c>
      <c r="E310" s="2">
        <v>3.0</v>
      </c>
      <c r="R310" s="2"/>
      <c r="S310" s="2"/>
      <c r="AB310" s="2"/>
      <c r="AC310" s="2"/>
      <c r="AV310" s="2"/>
      <c r="BE310" s="2"/>
      <c r="BK310" s="2">
        <v>17.0</v>
      </c>
      <c r="BL310" s="2">
        <v>4.0</v>
      </c>
      <c r="CK310" s="2">
        <v>4.0</v>
      </c>
      <c r="CQ310" s="15">
        <f t="shared" si="16"/>
        <v>25</v>
      </c>
      <c r="CT310" s="2"/>
    </row>
    <row r="311">
      <c r="A311" s="9">
        <v>45346.0</v>
      </c>
      <c r="B311" s="2" t="s">
        <v>237</v>
      </c>
      <c r="C311" s="2" t="s">
        <v>129</v>
      </c>
      <c r="D311" s="2">
        <v>1.0</v>
      </c>
      <c r="E311" s="2">
        <v>4.0</v>
      </c>
      <c r="R311" s="2"/>
      <c r="S311" s="2"/>
      <c r="T311" s="2"/>
      <c r="U311" s="2">
        <v>1.0</v>
      </c>
      <c r="AB311" s="2"/>
      <c r="AC311" s="2"/>
      <c r="AV311" s="2"/>
      <c r="AW311" s="2">
        <v>1.0</v>
      </c>
      <c r="BE311" s="2">
        <v>3.0</v>
      </c>
      <c r="BI311" s="2">
        <v>8.0</v>
      </c>
      <c r="BK311" s="2">
        <v>6.0</v>
      </c>
      <c r="BL311" s="2">
        <v>5.0</v>
      </c>
      <c r="CK311" s="2">
        <v>1.0</v>
      </c>
      <c r="CQ311" s="15">
        <f t="shared" si="16"/>
        <v>25</v>
      </c>
      <c r="CT311" s="2"/>
    </row>
    <row r="312">
      <c r="A312" s="9">
        <v>45346.0</v>
      </c>
      <c r="B312" s="2" t="s">
        <v>237</v>
      </c>
      <c r="C312" s="2" t="s">
        <v>129</v>
      </c>
      <c r="D312" s="2">
        <v>1.0</v>
      </c>
      <c r="E312" s="2">
        <v>5.0</v>
      </c>
      <c r="R312" s="2">
        <v>1.0</v>
      </c>
      <c r="S312" s="2"/>
      <c r="AB312" s="2"/>
      <c r="AC312" s="2"/>
      <c r="AJ312" s="2">
        <v>1.0</v>
      </c>
      <c r="AV312" s="2"/>
      <c r="BE312" s="2">
        <v>1.0</v>
      </c>
      <c r="BI312" s="2">
        <v>8.0</v>
      </c>
      <c r="BK312" s="2">
        <v>12.0</v>
      </c>
      <c r="BL312" s="2"/>
      <c r="CK312" s="2">
        <v>2.0</v>
      </c>
      <c r="CQ312" s="15">
        <f t="shared" si="16"/>
        <v>25</v>
      </c>
      <c r="CT312" s="2"/>
    </row>
    <row r="313">
      <c r="A313" s="9">
        <v>45346.0</v>
      </c>
      <c r="B313" s="2" t="s">
        <v>237</v>
      </c>
      <c r="C313" s="2" t="s">
        <v>129</v>
      </c>
      <c r="D313" s="2">
        <v>1.0</v>
      </c>
      <c r="E313" s="2">
        <v>6.0</v>
      </c>
      <c r="P313" s="2">
        <v>1.0</v>
      </c>
      <c r="R313" s="2"/>
      <c r="S313" s="2"/>
      <c r="AB313" s="2"/>
      <c r="AC313" s="2"/>
      <c r="AV313" s="2"/>
      <c r="AW313" s="2">
        <v>6.0</v>
      </c>
      <c r="BE313" s="2"/>
      <c r="BI313" s="2">
        <v>15.0</v>
      </c>
      <c r="BK313" s="2"/>
      <c r="BL313" s="2"/>
      <c r="BR313" s="2">
        <v>3.0</v>
      </c>
      <c r="CK313" s="2"/>
      <c r="CQ313" s="15">
        <f t="shared" si="16"/>
        <v>25</v>
      </c>
      <c r="CT313" s="2"/>
    </row>
    <row r="314">
      <c r="A314" s="9">
        <v>45346.0</v>
      </c>
      <c r="B314" s="2" t="s">
        <v>237</v>
      </c>
      <c r="C314" s="2" t="s">
        <v>129</v>
      </c>
      <c r="D314" s="2">
        <v>1.0</v>
      </c>
      <c r="E314" s="2">
        <v>7.0</v>
      </c>
      <c r="R314" s="2"/>
      <c r="S314" s="2"/>
      <c r="AB314" s="2"/>
      <c r="AC314" s="2"/>
      <c r="AJ314" s="2">
        <v>1.0</v>
      </c>
      <c r="AV314" s="2">
        <v>10.0</v>
      </c>
      <c r="BE314" s="2"/>
      <c r="BI314" s="2">
        <v>2.0</v>
      </c>
      <c r="BK314" s="2">
        <v>12.0</v>
      </c>
      <c r="BL314" s="2"/>
      <c r="CK314" s="2"/>
      <c r="CQ314" s="15">
        <f t="shared" si="16"/>
        <v>25</v>
      </c>
      <c r="CT314" s="2"/>
    </row>
    <row r="315">
      <c r="A315" s="9">
        <v>45346.0</v>
      </c>
      <c r="B315" s="2" t="s">
        <v>237</v>
      </c>
      <c r="C315" s="2" t="s">
        <v>129</v>
      </c>
      <c r="D315" s="2">
        <v>1.0</v>
      </c>
      <c r="E315" s="2">
        <v>8.0</v>
      </c>
      <c r="R315" s="2"/>
      <c r="S315" s="2"/>
      <c r="AB315" s="2"/>
      <c r="AC315" s="2"/>
      <c r="AK315" s="2"/>
      <c r="AL315" s="2">
        <v>1.0</v>
      </c>
      <c r="AV315" s="2">
        <v>18.0</v>
      </c>
      <c r="BE315" s="2"/>
      <c r="BI315" s="2">
        <v>1.0</v>
      </c>
      <c r="BK315" s="2">
        <v>2.0</v>
      </c>
      <c r="BL315" s="2"/>
      <c r="CK315" s="2">
        <v>3.0</v>
      </c>
      <c r="CQ315" s="15">
        <f t="shared" si="16"/>
        <v>25</v>
      </c>
      <c r="CT315" s="2"/>
    </row>
    <row r="316">
      <c r="A316" s="9">
        <v>45346.0</v>
      </c>
      <c r="B316" s="2" t="s">
        <v>237</v>
      </c>
      <c r="C316" s="2" t="s">
        <v>129</v>
      </c>
      <c r="D316" s="2">
        <v>1.0</v>
      </c>
      <c r="E316" s="2">
        <v>9.0</v>
      </c>
      <c r="R316" s="2"/>
      <c r="S316" s="2"/>
      <c r="AB316" s="2"/>
      <c r="AC316" s="2"/>
      <c r="AV316" s="2">
        <v>22.0</v>
      </c>
      <c r="BE316" s="2"/>
      <c r="BI316" s="2">
        <v>2.0</v>
      </c>
      <c r="BK316" s="2"/>
      <c r="BL316" s="2"/>
      <c r="CK316" s="2">
        <v>1.0</v>
      </c>
      <c r="CQ316" s="15">
        <f t="shared" si="16"/>
        <v>25</v>
      </c>
      <c r="CT316" s="2"/>
    </row>
    <row r="317">
      <c r="A317" s="9">
        <v>45346.0</v>
      </c>
      <c r="B317" s="2" t="s">
        <v>237</v>
      </c>
      <c r="C317" s="2" t="s">
        <v>129</v>
      </c>
      <c r="D317" s="2">
        <v>1.0</v>
      </c>
      <c r="E317" s="2">
        <v>10.0</v>
      </c>
      <c r="R317" s="2"/>
      <c r="S317" s="2"/>
      <c r="AB317" s="2"/>
      <c r="AC317" s="2"/>
      <c r="AV317" s="2"/>
      <c r="BD317" s="2">
        <v>7.0</v>
      </c>
      <c r="BE317" s="2"/>
      <c r="BK317" s="2"/>
      <c r="BL317" s="2"/>
      <c r="BR317" s="2">
        <v>8.0</v>
      </c>
      <c r="BT317" s="2"/>
      <c r="BU317" s="2"/>
      <c r="BV317" s="2"/>
      <c r="BW317" s="2">
        <v>5.0</v>
      </c>
      <c r="CK317" s="2">
        <v>5.0</v>
      </c>
      <c r="CQ317" s="15">
        <f t="shared" si="16"/>
        <v>25</v>
      </c>
      <c r="CT317" s="2"/>
    </row>
    <row r="318">
      <c r="A318" s="9">
        <v>45346.0</v>
      </c>
      <c r="B318" s="2" t="s">
        <v>237</v>
      </c>
      <c r="C318" s="2" t="s">
        <v>129</v>
      </c>
      <c r="D318" s="2">
        <v>1.0</v>
      </c>
      <c r="E318" s="2">
        <v>11.0</v>
      </c>
      <c r="R318" s="2"/>
      <c r="S318" s="2"/>
      <c r="AB318" s="2"/>
      <c r="AC318" s="2"/>
      <c r="AV318" s="2"/>
      <c r="BE318" s="2"/>
      <c r="BK318" s="2"/>
      <c r="BL318" s="2"/>
      <c r="CG318" s="2">
        <v>2.0</v>
      </c>
      <c r="CK318" s="2">
        <v>23.0</v>
      </c>
      <c r="CQ318" s="15">
        <f t="shared" si="16"/>
        <v>25</v>
      </c>
      <c r="CT318" s="2"/>
    </row>
    <row r="319">
      <c r="A319" s="9">
        <v>45347.0</v>
      </c>
      <c r="B319" s="2" t="s">
        <v>237</v>
      </c>
      <c r="C319" s="2" t="s">
        <v>97</v>
      </c>
      <c r="D319" s="2">
        <v>3.0</v>
      </c>
      <c r="E319" s="2">
        <v>2.0</v>
      </c>
      <c r="R319" s="2">
        <v>3.0</v>
      </c>
      <c r="S319" s="2">
        <v>2.0</v>
      </c>
      <c r="AB319" s="2">
        <v>1.0</v>
      </c>
      <c r="AC319" s="2"/>
      <c r="AV319" s="2">
        <v>1.0</v>
      </c>
      <c r="BE319" s="2">
        <v>4.0</v>
      </c>
      <c r="BK319" s="2">
        <v>10.0</v>
      </c>
      <c r="BL319" s="2">
        <v>2.0</v>
      </c>
      <c r="CK319" s="2">
        <v>2.0</v>
      </c>
      <c r="CQ319" s="15">
        <f t="shared" si="16"/>
        <v>25</v>
      </c>
      <c r="CT319" s="2" t="s">
        <v>262</v>
      </c>
    </row>
    <row r="320">
      <c r="A320" s="9">
        <v>45347.0</v>
      </c>
      <c r="B320" s="2" t="s">
        <v>237</v>
      </c>
      <c r="C320" s="2" t="s">
        <v>97</v>
      </c>
      <c r="D320" s="2">
        <v>3.0</v>
      </c>
      <c r="E320" s="2">
        <v>3.0</v>
      </c>
      <c r="BI320" s="2">
        <v>2.0</v>
      </c>
      <c r="BK320" s="2">
        <v>23.0</v>
      </c>
      <c r="CQ320" s="15">
        <f t="shared" si="16"/>
        <v>25</v>
      </c>
      <c r="CT320" s="2" t="s">
        <v>262</v>
      </c>
    </row>
    <row r="321">
      <c r="A321" s="9">
        <v>45347.0</v>
      </c>
      <c r="B321" s="2" t="s">
        <v>237</v>
      </c>
      <c r="C321" s="2" t="s">
        <v>97</v>
      </c>
      <c r="D321" s="2">
        <v>3.0</v>
      </c>
      <c r="E321" s="2">
        <v>4.0</v>
      </c>
      <c r="BF321" s="2">
        <v>1.0</v>
      </c>
      <c r="BI321" s="2">
        <v>5.0</v>
      </c>
      <c r="BK321" s="2">
        <v>9.0</v>
      </c>
      <c r="BR321" s="2">
        <v>3.0</v>
      </c>
      <c r="CK321" s="2">
        <v>7.0</v>
      </c>
      <c r="CQ321" s="15">
        <f t="shared" si="16"/>
        <v>25</v>
      </c>
      <c r="CT321" s="2" t="s">
        <v>262</v>
      </c>
    </row>
    <row r="322">
      <c r="A322" s="9">
        <v>45347.0</v>
      </c>
      <c r="B322" s="2" t="s">
        <v>237</v>
      </c>
      <c r="C322" s="2" t="s">
        <v>97</v>
      </c>
      <c r="D322" s="2">
        <v>3.0</v>
      </c>
      <c r="E322" s="2">
        <v>5.0</v>
      </c>
      <c r="AK322" s="2"/>
      <c r="AL322" s="2">
        <v>1.0</v>
      </c>
      <c r="AQ322" s="2">
        <v>1.0</v>
      </c>
      <c r="AR322" s="2"/>
      <c r="BI322" s="2">
        <v>22.0</v>
      </c>
      <c r="BR322" s="2">
        <v>1.0</v>
      </c>
      <c r="CQ322" s="15">
        <f t="shared" si="16"/>
        <v>25</v>
      </c>
      <c r="CT322" s="2" t="s">
        <v>262</v>
      </c>
    </row>
    <row r="323">
      <c r="A323" s="9">
        <v>45347.0</v>
      </c>
      <c r="B323" s="2" t="s">
        <v>237</v>
      </c>
      <c r="C323" s="2" t="s">
        <v>97</v>
      </c>
      <c r="D323" s="2">
        <v>3.0</v>
      </c>
      <c r="E323" s="2">
        <v>6.0</v>
      </c>
      <c r="BF323" s="2">
        <v>1.0</v>
      </c>
      <c r="BI323" s="2">
        <v>14.0</v>
      </c>
      <c r="BR323" s="2">
        <v>10.0</v>
      </c>
      <c r="CQ323" s="15">
        <f t="shared" si="16"/>
        <v>25</v>
      </c>
      <c r="CT323" s="2" t="s">
        <v>262</v>
      </c>
    </row>
    <row r="324">
      <c r="A324" s="9">
        <v>45347.0</v>
      </c>
      <c r="B324" s="2" t="s">
        <v>237</v>
      </c>
      <c r="C324" s="2" t="s">
        <v>97</v>
      </c>
      <c r="D324" s="2">
        <v>3.0</v>
      </c>
      <c r="E324" s="2">
        <v>7.0</v>
      </c>
      <c r="BI324" s="2">
        <v>6.0</v>
      </c>
      <c r="BR324" s="2">
        <v>13.0</v>
      </c>
      <c r="BT324" s="2"/>
      <c r="BU324" s="2"/>
      <c r="BV324" s="2"/>
      <c r="BW324" s="2">
        <v>4.0</v>
      </c>
      <c r="CK324" s="2">
        <v>2.0</v>
      </c>
      <c r="CQ324" s="15">
        <f t="shared" si="16"/>
        <v>25</v>
      </c>
      <c r="CT324" s="2" t="s">
        <v>262</v>
      </c>
    </row>
    <row r="325">
      <c r="A325" s="9">
        <v>45347.0</v>
      </c>
      <c r="B325" s="2" t="s">
        <v>237</v>
      </c>
      <c r="C325" s="2" t="s">
        <v>97</v>
      </c>
      <c r="D325" s="2">
        <v>3.0</v>
      </c>
      <c r="E325" s="2">
        <v>8.0</v>
      </c>
      <c r="BI325" s="2">
        <v>3.0</v>
      </c>
      <c r="BR325" s="2">
        <v>21.0</v>
      </c>
      <c r="CK325" s="2">
        <v>1.0</v>
      </c>
      <c r="CQ325" s="15">
        <f t="shared" si="16"/>
        <v>25</v>
      </c>
      <c r="CT325" s="2" t="s">
        <v>262</v>
      </c>
    </row>
    <row r="326">
      <c r="A326" s="9">
        <v>45347.0</v>
      </c>
      <c r="B326" s="2" t="s">
        <v>237</v>
      </c>
      <c r="C326" s="2" t="s">
        <v>97</v>
      </c>
      <c r="D326" s="2">
        <v>3.0</v>
      </c>
      <c r="E326" s="2">
        <v>9.0</v>
      </c>
      <c r="BD326" s="2">
        <v>10.0</v>
      </c>
      <c r="BT326" s="2"/>
      <c r="BU326" s="2"/>
      <c r="BV326" s="2"/>
      <c r="BW326" s="2">
        <v>7.0</v>
      </c>
      <c r="CK326" s="2">
        <v>8.0</v>
      </c>
      <c r="CQ326" s="15">
        <f t="shared" si="16"/>
        <v>25</v>
      </c>
      <c r="CT326" s="2" t="s">
        <v>262</v>
      </c>
    </row>
    <row r="327">
      <c r="A327" s="9">
        <v>45347.0</v>
      </c>
      <c r="B327" s="2" t="s">
        <v>237</v>
      </c>
      <c r="C327" s="2" t="s">
        <v>97</v>
      </c>
      <c r="D327" s="2">
        <v>3.0</v>
      </c>
      <c r="E327" s="2">
        <v>10.0</v>
      </c>
      <c r="BD327" s="2">
        <v>1.0</v>
      </c>
      <c r="BT327" s="2"/>
      <c r="BU327" s="2"/>
      <c r="BV327" s="2"/>
      <c r="BW327" s="2">
        <v>14.0</v>
      </c>
      <c r="CK327" s="2">
        <v>10.0</v>
      </c>
      <c r="CQ327" s="15">
        <f t="shared" si="16"/>
        <v>25</v>
      </c>
      <c r="CT327" s="2" t="s">
        <v>262</v>
      </c>
    </row>
    <row r="328">
      <c r="A328" s="9">
        <v>45347.0</v>
      </c>
      <c r="B328" s="2" t="s">
        <v>237</v>
      </c>
      <c r="C328" s="2" t="s">
        <v>97</v>
      </c>
      <c r="D328" s="2">
        <v>3.0</v>
      </c>
      <c r="E328" s="2">
        <v>11.0</v>
      </c>
      <c r="BT328" s="2"/>
      <c r="BU328" s="2"/>
      <c r="BV328" s="2"/>
      <c r="BW328" s="2">
        <v>6.0</v>
      </c>
      <c r="CK328" s="2">
        <v>19.0</v>
      </c>
      <c r="CQ328" s="15">
        <f t="shared" si="16"/>
        <v>25</v>
      </c>
      <c r="CT328" s="2" t="s">
        <v>262</v>
      </c>
    </row>
    <row r="329">
      <c r="A329" s="9">
        <v>45347.0</v>
      </c>
      <c r="B329" s="2" t="s">
        <v>237</v>
      </c>
      <c r="C329" s="2" t="s">
        <v>117</v>
      </c>
      <c r="D329" s="2">
        <v>4.0</v>
      </c>
      <c r="E329" s="2">
        <v>3.0</v>
      </c>
      <c r="F329" s="2">
        <v>1.0</v>
      </c>
      <c r="R329" s="2">
        <v>2.0</v>
      </c>
      <c r="AB329" s="2">
        <v>1.0</v>
      </c>
      <c r="AC329" s="2"/>
      <c r="AW329" s="2">
        <v>1.0</v>
      </c>
      <c r="AY329" s="2">
        <v>1.0</v>
      </c>
      <c r="BD329" s="2">
        <v>1.0</v>
      </c>
      <c r="BE329" s="2">
        <v>9.0</v>
      </c>
      <c r="BI329" s="2">
        <v>3.0</v>
      </c>
      <c r="BK329" s="2">
        <v>2.0</v>
      </c>
      <c r="BR329" s="2">
        <v>2.0</v>
      </c>
      <c r="BT329" s="2"/>
      <c r="BU329" s="2"/>
      <c r="BV329" s="2"/>
      <c r="BW329" s="2">
        <v>1.0</v>
      </c>
      <c r="CM329" s="2">
        <v>1.0</v>
      </c>
      <c r="CQ329" s="15">
        <f t="shared" si="16"/>
        <v>25</v>
      </c>
    </row>
    <row r="330">
      <c r="A330" s="33">
        <v>45347.0</v>
      </c>
      <c r="B330" s="2" t="s">
        <v>237</v>
      </c>
      <c r="C330" s="2" t="s">
        <v>117</v>
      </c>
      <c r="D330" s="2">
        <v>4.0</v>
      </c>
      <c r="E330" s="2">
        <v>4.0</v>
      </c>
      <c r="R330" s="2">
        <v>1.0</v>
      </c>
      <c r="BI330" s="2">
        <v>21.0</v>
      </c>
      <c r="BK330" s="2">
        <v>2.0</v>
      </c>
      <c r="BR330" s="2">
        <v>1.0</v>
      </c>
      <c r="CQ330" s="15">
        <f t="shared" si="16"/>
        <v>25</v>
      </c>
    </row>
    <row r="331">
      <c r="A331" s="33">
        <v>45347.0</v>
      </c>
      <c r="B331" s="2" t="s">
        <v>237</v>
      </c>
      <c r="C331" s="2" t="s">
        <v>117</v>
      </c>
      <c r="D331" s="2">
        <v>4.0</v>
      </c>
      <c r="E331" s="2">
        <v>5.0</v>
      </c>
      <c r="R331" s="2">
        <v>2.0</v>
      </c>
      <c r="AQ331" s="2">
        <v>1.0</v>
      </c>
      <c r="AR331" s="2"/>
      <c r="AV331" s="2">
        <v>1.0</v>
      </c>
      <c r="BE331" s="2">
        <v>1.0</v>
      </c>
      <c r="BI331" s="2">
        <v>5.0</v>
      </c>
      <c r="BK331" s="2">
        <v>8.0</v>
      </c>
      <c r="BL331" s="2">
        <v>1.0</v>
      </c>
      <c r="CI331" s="2">
        <v>2.0</v>
      </c>
      <c r="CK331" s="2">
        <v>3.0</v>
      </c>
      <c r="CM331" s="2">
        <v>1.0</v>
      </c>
      <c r="CQ331" s="15">
        <f t="shared" si="16"/>
        <v>25</v>
      </c>
    </row>
    <row r="332">
      <c r="A332" s="33">
        <v>45347.0</v>
      </c>
      <c r="B332" s="2" t="s">
        <v>237</v>
      </c>
      <c r="C332" s="2" t="s">
        <v>117</v>
      </c>
      <c r="D332" s="2">
        <v>4.0</v>
      </c>
      <c r="E332" s="2">
        <v>6.0</v>
      </c>
      <c r="R332" s="2">
        <v>2.0</v>
      </c>
      <c r="T332" s="2"/>
      <c r="U332" s="2">
        <v>2.0</v>
      </c>
      <c r="AQ332" s="2">
        <v>5.0</v>
      </c>
      <c r="AR332" s="2"/>
      <c r="BI332" s="2">
        <v>12.0</v>
      </c>
      <c r="BR332" s="2">
        <v>3.0</v>
      </c>
      <c r="CM332" s="2">
        <v>1.0</v>
      </c>
      <c r="CQ332" s="15">
        <f t="shared" si="16"/>
        <v>25</v>
      </c>
    </row>
    <row r="333">
      <c r="A333" s="33">
        <v>45347.0</v>
      </c>
      <c r="B333" s="2" t="s">
        <v>237</v>
      </c>
      <c r="C333" s="2" t="s">
        <v>117</v>
      </c>
      <c r="D333" s="2">
        <v>4.0</v>
      </c>
      <c r="E333" s="2">
        <v>7.0</v>
      </c>
      <c r="BI333" s="2">
        <v>13.0</v>
      </c>
      <c r="BR333" s="2">
        <v>9.0</v>
      </c>
      <c r="CI333" s="2">
        <v>3.0</v>
      </c>
      <c r="CQ333" s="15">
        <f t="shared" si="16"/>
        <v>25</v>
      </c>
    </row>
    <row r="334">
      <c r="A334" s="33">
        <v>45347.0</v>
      </c>
      <c r="B334" s="2" t="s">
        <v>237</v>
      </c>
      <c r="C334" s="2" t="s">
        <v>117</v>
      </c>
      <c r="D334" s="2">
        <v>4.0</v>
      </c>
      <c r="E334" s="2">
        <v>8.0</v>
      </c>
      <c r="AY334" s="2">
        <v>1.0</v>
      </c>
      <c r="BI334" s="2">
        <v>4.0</v>
      </c>
      <c r="BR334" s="2">
        <v>20.0</v>
      </c>
      <c r="CQ334" s="15">
        <f t="shared" si="16"/>
        <v>25</v>
      </c>
    </row>
    <row r="335">
      <c r="A335" s="33">
        <v>45347.0</v>
      </c>
      <c r="B335" s="2" t="s">
        <v>237</v>
      </c>
      <c r="C335" s="2" t="s">
        <v>117</v>
      </c>
      <c r="D335" s="2">
        <v>4.0</v>
      </c>
      <c r="E335" s="2">
        <v>9.0</v>
      </c>
      <c r="P335" s="2">
        <v>1.0</v>
      </c>
      <c r="BD335" s="2">
        <v>1.0</v>
      </c>
      <c r="BR335" s="2">
        <v>14.0</v>
      </c>
      <c r="BT335" s="2"/>
      <c r="BU335" s="2"/>
      <c r="BV335" s="2"/>
      <c r="BW335" s="2">
        <v>6.0</v>
      </c>
      <c r="CK335" s="2">
        <v>3.0</v>
      </c>
      <c r="CQ335" s="15">
        <f t="shared" si="16"/>
        <v>25</v>
      </c>
    </row>
    <row r="336">
      <c r="A336" s="33">
        <v>45347.0</v>
      </c>
      <c r="B336" s="2" t="s">
        <v>237</v>
      </c>
      <c r="C336" s="2" t="s">
        <v>117</v>
      </c>
      <c r="D336" s="2">
        <v>4.0</v>
      </c>
      <c r="E336" s="2">
        <v>10.0</v>
      </c>
      <c r="BR336" s="2">
        <v>2.0</v>
      </c>
      <c r="BT336" s="2"/>
      <c r="BU336" s="2"/>
      <c r="BV336" s="2"/>
      <c r="BW336" s="2">
        <v>8.0</v>
      </c>
      <c r="CI336" s="2">
        <v>3.0</v>
      </c>
      <c r="CM336" s="2">
        <v>12.0</v>
      </c>
      <c r="CQ336" s="15">
        <f t="shared" si="16"/>
        <v>25</v>
      </c>
    </row>
    <row r="337">
      <c r="A337" s="33">
        <v>45347.0</v>
      </c>
      <c r="B337" s="2" t="s">
        <v>237</v>
      </c>
      <c r="C337" s="2" t="s">
        <v>117</v>
      </c>
      <c r="D337" s="2">
        <v>4.0</v>
      </c>
      <c r="E337" s="2">
        <v>11.0</v>
      </c>
      <c r="BT337" s="2"/>
      <c r="BU337" s="2"/>
      <c r="BV337" s="2"/>
      <c r="BW337" s="2">
        <v>5.0</v>
      </c>
      <c r="CG337" s="2">
        <v>2.0</v>
      </c>
      <c r="CK337" s="2">
        <v>18.0</v>
      </c>
      <c r="CQ337" s="15">
        <f t="shared" si="16"/>
        <v>25</v>
      </c>
    </row>
    <row r="338">
      <c r="A338" s="33">
        <v>45347.0</v>
      </c>
      <c r="B338" s="2" t="s">
        <v>237</v>
      </c>
      <c r="C338" s="2" t="s">
        <v>117</v>
      </c>
      <c r="D338" s="2">
        <v>4.0</v>
      </c>
      <c r="E338" s="2">
        <v>12.0</v>
      </c>
      <c r="BT338" s="2"/>
      <c r="BU338" s="2"/>
      <c r="BV338" s="2"/>
      <c r="BW338" s="2">
        <v>2.0</v>
      </c>
      <c r="CK338" s="2">
        <v>23.0</v>
      </c>
      <c r="CQ338" s="15">
        <f t="shared" si="16"/>
        <v>25</v>
      </c>
    </row>
    <row r="339">
      <c r="A339" s="9">
        <v>45346.0</v>
      </c>
      <c r="B339" s="2" t="s">
        <v>264</v>
      </c>
      <c r="C339" s="2" t="s">
        <v>199</v>
      </c>
      <c r="D339" s="2">
        <v>1.0</v>
      </c>
      <c r="E339" s="2">
        <v>40.0</v>
      </c>
      <c r="CI339" s="2">
        <v>10.0</v>
      </c>
      <c r="CK339" s="2">
        <v>8.0</v>
      </c>
      <c r="CL339" s="2">
        <v>7.0</v>
      </c>
      <c r="CQ339" s="15">
        <f t="shared" si="16"/>
        <v>25</v>
      </c>
      <c r="CS339" s="2" t="s">
        <v>251</v>
      </c>
      <c r="CT339" s="2">
        <v>0.0</v>
      </c>
    </row>
    <row r="340">
      <c r="A340" s="9">
        <v>45346.0</v>
      </c>
      <c r="B340" s="2" t="s">
        <v>264</v>
      </c>
      <c r="C340" s="2" t="s">
        <v>199</v>
      </c>
      <c r="D340" s="2">
        <v>1.0</v>
      </c>
      <c r="E340" s="2">
        <v>35.0</v>
      </c>
      <c r="J340" s="2">
        <v>2.0</v>
      </c>
      <c r="R340" s="2">
        <v>2.0</v>
      </c>
      <c r="AJ340" s="2">
        <v>2.0</v>
      </c>
      <c r="BI340" s="2">
        <v>1.0</v>
      </c>
      <c r="CI340" s="2">
        <v>16.0</v>
      </c>
      <c r="CK340" s="2">
        <v>2.0</v>
      </c>
      <c r="CQ340" s="15">
        <f t="shared" si="16"/>
        <v>25</v>
      </c>
      <c r="CS340" s="2" t="s">
        <v>251</v>
      </c>
      <c r="CT340" s="2">
        <v>0.0</v>
      </c>
    </row>
    <row r="341">
      <c r="A341" s="9">
        <v>45346.0</v>
      </c>
      <c r="B341" s="2" t="s">
        <v>264</v>
      </c>
      <c r="C341" s="2" t="s">
        <v>199</v>
      </c>
      <c r="D341" s="2">
        <v>1.0</v>
      </c>
      <c r="E341" s="2">
        <v>30.0</v>
      </c>
      <c r="J341" s="2">
        <v>5.0</v>
      </c>
      <c r="AT341" s="2">
        <v>1.0</v>
      </c>
      <c r="BH341" s="2">
        <v>1.0</v>
      </c>
      <c r="CI341" s="2">
        <v>18.0</v>
      </c>
      <c r="CQ341" s="15">
        <f t="shared" si="16"/>
        <v>25</v>
      </c>
      <c r="CS341" s="2" t="s">
        <v>251</v>
      </c>
      <c r="CT341" s="2">
        <v>1.0</v>
      </c>
    </row>
    <row r="342">
      <c r="A342" s="9">
        <v>45346.0</v>
      </c>
      <c r="B342" s="2" t="s">
        <v>264</v>
      </c>
      <c r="C342" s="2" t="s">
        <v>199</v>
      </c>
      <c r="D342" s="2">
        <v>1.0</v>
      </c>
      <c r="E342" s="2">
        <v>25.0</v>
      </c>
      <c r="J342" s="2">
        <v>3.0</v>
      </c>
      <c r="R342" s="2">
        <v>3.0</v>
      </c>
      <c r="AJ342" s="2">
        <v>6.0</v>
      </c>
      <c r="AO342" s="2">
        <v>1.0</v>
      </c>
      <c r="AT342" s="2">
        <v>3.0</v>
      </c>
      <c r="BI342" s="2">
        <v>4.0</v>
      </c>
      <c r="CI342" s="2">
        <v>1.0</v>
      </c>
      <c r="CK342" s="2">
        <v>4.0</v>
      </c>
      <c r="CQ342" s="15">
        <f t="shared" si="16"/>
        <v>25</v>
      </c>
      <c r="CS342" s="2" t="s">
        <v>251</v>
      </c>
      <c r="CT342" s="2">
        <v>1.0</v>
      </c>
    </row>
    <row r="343">
      <c r="A343" s="9">
        <v>45346.0</v>
      </c>
      <c r="B343" s="2" t="s">
        <v>264</v>
      </c>
      <c r="C343" s="2" t="s">
        <v>199</v>
      </c>
      <c r="D343" s="2">
        <v>1.0</v>
      </c>
      <c r="E343" s="2">
        <v>20.0</v>
      </c>
      <c r="J343" s="2">
        <v>5.0</v>
      </c>
      <c r="R343" s="2">
        <v>6.0</v>
      </c>
      <c r="AT343" s="2">
        <v>1.0</v>
      </c>
      <c r="BD343" s="2">
        <v>1.0</v>
      </c>
      <c r="BI343" s="2">
        <v>5.0</v>
      </c>
      <c r="BR343" s="2">
        <v>3.0</v>
      </c>
      <c r="CI343" s="2">
        <v>2.0</v>
      </c>
      <c r="CK343" s="2">
        <v>1.0</v>
      </c>
      <c r="CL343" s="2">
        <v>1.0</v>
      </c>
      <c r="CO343" s="2">
        <v>2.0</v>
      </c>
      <c r="CQ343" s="15">
        <f t="shared" si="16"/>
        <v>25</v>
      </c>
      <c r="CS343" s="2" t="s">
        <v>251</v>
      </c>
      <c r="CT343" s="2">
        <v>1.0</v>
      </c>
    </row>
    <row r="344">
      <c r="A344" s="9">
        <v>45346.0</v>
      </c>
      <c r="B344" s="2" t="s">
        <v>264</v>
      </c>
      <c r="C344" s="2" t="s">
        <v>199</v>
      </c>
      <c r="D344" s="2">
        <v>1.0</v>
      </c>
      <c r="E344" s="2">
        <v>15.0</v>
      </c>
      <c r="J344" s="2">
        <v>1.0</v>
      </c>
      <c r="R344" s="2">
        <v>4.0</v>
      </c>
      <c r="AT344" s="2">
        <v>2.0</v>
      </c>
      <c r="BI344" s="2">
        <v>1.0</v>
      </c>
      <c r="BM344" s="2">
        <v>1.0</v>
      </c>
      <c r="BR344" s="2">
        <v>4.0</v>
      </c>
      <c r="CI344" s="2">
        <v>7.0</v>
      </c>
      <c r="CL344" s="2">
        <v>6.0</v>
      </c>
      <c r="CQ344" s="15">
        <f t="shared" si="16"/>
        <v>26</v>
      </c>
      <c r="CS344" s="2" t="s">
        <v>251</v>
      </c>
      <c r="CT344" s="2">
        <v>1.0</v>
      </c>
    </row>
    <row r="345">
      <c r="A345" s="9">
        <v>45346.0</v>
      </c>
      <c r="B345" s="2" t="s">
        <v>264</v>
      </c>
      <c r="C345" s="2" t="s">
        <v>199</v>
      </c>
      <c r="D345" s="2">
        <v>1.0</v>
      </c>
      <c r="E345" s="2">
        <v>10.0</v>
      </c>
      <c r="R345" s="2">
        <v>1.0</v>
      </c>
      <c r="BF345" s="2">
        <v>1.0</v>
      </c>
      <c r="BI345" s="2">
        <v>12.0</v>
      </c>
      <c r="BR345" s="2">
        <v>6.0</v>
      </c>
      <c r="CN345" s="2">
        <v>2.0</v>
      </c>
      <c r="CQ345" s="15">
        <f t="shared" si="16"/>
        <v>22</v>
      </c>
      <c r="CS345" s="2" t="s">
        <v>247</v>
      </c>
      <c r="CT345" s="2">
        <v>1.0</v>
      </c>
    </row>
    <row r="346">
      <c r="A346" s="9">
        <v>45346.0</v>
      </c>
      <c r="B346" s="2" t="s">
        <v>264</v>
      </c>
      <c r="C346" s="2" t="s">
        <v>199</v>
      </c>
      <c r="D346" s="2">
        <v>1.0</v>
      </c>
      <c r="E346" s="2">
        <v>5.0</v>
      </c>
      <c r="R346" s="2">
        <v>1.0</v>
      </c>
      <c r="AM346" s="2">
        <v>2.0</v>
      </c>
      <c r="AW346" s="2">
        <v>2.0</v>
      </c>
      <c r="BI346" s="2">
        <v>20.0</v>
      </c>
      <c r="CQ346" s="15">
        <f t="shared" si="16"/>
        <v>25</v>
      </c>
      <c r="CS346" s="2" t="s">
        <v>247</v>
      </c>
      <c r="CT346" s="2">
        <v>1.0</v>
      </c>
    </row>
    <row r="347">
      <c r="A347" s="9">
        <v>45346.0</v>
      </c>
      <c r="B347" s="2" t="s">
        <v>264</v>
      </c>
      <c r="C347" s="2" t="s">
        <v>199</v>
      </c>
      <c r="D347" s="2">
        <v>1.0</v>
      </c>
      <c r="E347" s="2">
        <v>0.0</v>
      </c>
      <c r="AW347" s="2">
        <v>1.0</v>
      </c>
      <c r="BI347" s="2">
        <v>19.0</v>
      </c>
      <c r="BR347" s="2">
        <v>2.0</v>
      </c>
      <c r="CO347" s="2">
        <v>3.0</v>
      </c>
      <c r="CQ347" s="15">
        <f t="shared" ref="CQ347:CQ410" si="17">sum(F347:CP347)</f>
        <v>25</v>
      </c>
      <c r="CS347" s="2" t="s">
        <v>247</v>
      </c>
      <c r="CT347" s="2">
        <v>0.0</v>
      </c>
    </row>
    <row r="348">
      <c r="A348" s="9">
        <v>45346.0</v>
      </c>
      <c r="B348" s="2" t="s">
        <v>264</v>
      </c>
      <c r="C348" s="2" t="s">
        <v>199</v>
      </c>
      <c r="D348" s="2">
        <v>2.0</v>
      </c>
      <c r="E348" s="2">
        <v>40.0</v>
      </c>
      <c r="BF348" s="2">
        <v>1.0</v>
      </c>
      <c r="BR348" s="2">
        <v>3.0</v>
      </c>
      <c r="CI348" s="2">
        <v>13.0</v>
      </c>
      <c r="CK348" s="2">
        <v>2.0</v>
      </c>
      <c r="CL348" s="2">
        <v>5.0</v>
      </c>
      <c r="CQ348" s="15">
        <f t="shared" si="17"/>
        <v>24</v>
      </c>
      <c r="CS348" s="2" t="s">
        <v>251</v>
      </c>
      <c r="CT348" s="2">
        <v>0.0</v>
      </c>
    </row>
    <row r="349">
      <c r="A349" s="9">
        <v>45346.0</v>
      </c>
      <c r="B349" s="2" t="s">
        <v>264</v>
      </c>
      <c r="C349" s="2" t="s">
        <v>199</v>
      </c>
      <c r="D349" s="2">
        <v>2.0</v>
      </c>
      <c r="E349" s="2">
        <v>35.0</v>
      </c>
      <c r="AT349" s="2">
        <v>5.0</v>
      </c>
      <c r="AV349" s="2">
        <v>5.0</v>
      </c>
      <c r="BR349" s="2">
        <v>2.0</v>
      </c>
      <c r="CI349" s="2">
        <v>6.0</v>
      </c>
      <c r="CK349" s="2">
        <v>8.0</v>
      </c>
      <c r="CQ349" s="15">
        <f t="shared" si="17"/>
        <v>26</v>
      </c>
      <c r="CS349" s="2" t="s">
        <v>251</v>
      </c>
      <c r="CT349" s="2">
        <v>0.0</v>
      </c>
    </row>
    <row r="350">
      <c r="A350" s="9">
        <v>45346.0</v>
      </c>
      <c r="B350" s="2" t="s">
        <v>264</v>
      </c>
      <c r="C350" s="2" t="s">
        <v>199</v>
      </c>
      <c r="D350" s="2">
        <v>2.0</v>
      </c>
      <c r="E350" s="2">
        <v>30.0</v>
      </c>
      <c r="H350" s="2">
        <v>1.0</v>
      </c>
      <c r="J350" s="2">
        <v>1.0</v>
      </c>
      <c r="AT350" s="2">
        <v>7.0</v>
      </c>
      <c r="BC350" s="2">
        <v>1.0</v>
      </c>
      <c r="BR350" s="2">
        <v>14.0</v>
      </c>
      <c r="CL350" s="2">
        <v>1.0</v>
      </c>
      <c r="CQ350" s="15">
        <f t="shared" si="17"/>
        <v>25</v>
      </c>
      <c r="CS350" s="2" t="s">
        <v>251</v>
      </c>
      <c r="CT350" s="2">
        <v>10.0</v>
      </c>
    </row>
    <row r="351">
      <c r="A351" s="9">
        <v>45346.0</v>
      </c>
      <c r="B351" s="2" t="s">
        <v>264</v>
      </c>
      <c r="C351" s="2" t="s">
        <v>199</v>
      </c>
      <c r="D351" s="2">
        <v>2.0</v>
      </c>
      <c r="E351" s="2">
        <v>25.0</v>
      </c>
      <c r="J351" s="2">
        <v>1.0</v>
      </c>
      <c r="AV351" s="2">
        <v>4.0</v>
      </c>
      <c r="BI351" s="2">
        <v>3.0</v>
      </c>
      <c r="BR351" s="2">
        <v>11.0</v>
      </c>
      <c r="CI351" s="2">
        <v>1.0</v>
      </c>
      <c r="CK351" s="2">
        <v>3.0</v>
      </c>
      <c r="CL351" s="2">
        <v>3.0</v>
      </c>
      <c r="CQ351" s="15">
        <f t="shared" si="17"/>
        <v>26</v>
      </c>
      <c r="CS351" s="2" t="s">
        <v>251</v>
      </c>
      <c r="CT351" s="2">
        <v>0.0</v>
      </c>
    </row>
    <row r="352">
      <c r="A352" s="9">
        <v>45346.0</v>
      </c>
      <c r="B352" s="2" t="s">
        <v>264</v>
      </c>
      <c r="C352" s="2" t="s">
        <v>199</v>
      </c>
      <c r="D352" s="2">
        <v>2.0</v>
      </c>
      <c r="E352" s="2">
        <v>20.0</v>
      </c>
      <c r="R352" s="2">
        <v>1.0</v>
      </c>
      <c r="AT352" s="2">
        <v>2.0</v>
      </c>
      <c r="AV352" s="2">
        <v>2.0</v>
      </c>
      <c r="BC352" s="2">
        <v>1.0</v>
      </c>
      <c r="BI352" s="2">
        <v>7.0</v>
      </c>
      <c r="CI352" s="2">
        <v>1.0</v>
      </c>
      <c r="CK352" s="2">
        <v>6.0</v>
      </c>
      <c r="CL352" s="2">
        <v>4.0</v>
      </c>
      <c r="CQ352" s="15">
        <f t="shared" si="17"/>
        <v>24</v>
      </c>
      <c r="CS352" s="2" t="s">
        <v>251</v>
      </c>
      <c r="CT352" s="2">
        <v>0.0</v>
      </c>
    </row>
    <row r="353">
      <c r="A353" s="9">
        <v>45346.0</v>
      </c>
      <c r="B353" s="2" t="s">
        <v>264</v>
      </c>
      <c r="C353" s="2" t="s">
        <v>199</v>
      </c>
      <c r="D353" s="2">
        <v>2.0</v>
      </c>
      <c r="E353" s="2">
        <v>15.0</v>
      </c>
      <c r="R353" s="2">
        <v>1.0</v>
      </c>
      <c r="AT353" s="2">
        <v>1.0</v>
      </c>
      <c r="AW353" s="2">
        <v>2.0</v>
      </c>
      <c r="BC353" s="2">
        <v>2.0</v>
      </c>
      <c r="BI353" s="2">
        <v>9.0</v>
      </c>
      <c r="CK353" s="2">
        <v>9.0</v>
      </c>
      <c r="CL353" s="2">
        <v>2.0</v>
      </c>
      <c r="CQ353" s="15">
        <f t="shared" si="17"/>
        <v>26</v>
      </c>
      <c r="CS353" s="2" t="s">
        <v>251</v>
      </c>
      <c r="CT353" s="2">
        <v>10.0</v>
      </c>
    </row>
    <row r="354">
      <c r="A354" s="9">
        <v>45346.0</v>
      </c>
      <c r="B354" s="2" t="s">
        <v>264</v>
      </c>
      <c r="C354" s="2" t="s">
        <v>199</v>
      </c>
      <c r="D354" s="2">
        <v>2.0</v>
      </c>
      <c r="E354" s="2">
        <v>10.0</v>
      </c>
      <c r="R354" s="2">
        <v>1.0</v>
      </c>
      <c r="AT354" s="2">
        <v>1.0</v>
      </c>
      <c r="AV354" s="2">
        <v>3.0</v>
      </c>
      <c r="BC354" s="2">
        <v>2.0</v>
      </c>
      <c r="BI354" s="2">
        <v>11.0</v>
      </c>
      <c r="BR354" s="2">
        <v>2.0</v>
      </c>
      <c r="CI354" s="2">
        <v>1.0</v>
      </c>
      <c r="CK354" s="2">
        <v>2.0</v>
      </c>
      <c r="CL354" s="2">
        <v>3.0</v>
      </c>
      <c r="CQ354" s="15">
        <f t="shared" si="17"/>
        <v>26</v>
      </c>
      <c r="CS354" s="2" t="s">
        <v>247</v>
      </c>
      <c r="CT354" s="2">
        <v>1.0</v>
      </c>
    </row>
    <row r="355">
      <c r="A355" s="9">
        <v>45346.0</v>
      </c>
      <c r="B355" s="2" t="s">
        <v>264</v>
      </c>
      <c r="C355" s="2" t="s">
        <v>199</v>
      </c>
      <c r="D355" s="2">
        <v>2.0</v>
      </c>
      <c r="E355" s="2">
        <v>5.0</v>
      </c>
      <c r="R355" s="2">
        <v>3.0</v>
      </c>
      <c r="Z355" s="2">
        <v>1.0</v>
      </c>
      <c r="AJ355" s="2">
        <v>2.0</v>
      </c>
      <c r="AV355" s="2">
        <v>4.0</v>
      </c>
      <c r="BC355" s="2">
        <v>3.0</v>
      </c>
      <c r="BI355" s="2">
        <v>5.0</v>
      </c>
      <c r="BR355" s="2">
        <v>2.0</v>
      </c>
      <c r="CB355" s="2">
        <v>2.0</v>
      </c>
      <c r="CI355" s="2">
        <v>2.0</v>
      </c>
      <c r="CK355" s="2">
        <v>1.0</v>
      </c>
      <c r="CL355" s="2">
        <v>2.0</v>
      </c>
      <c r="CQ355" s="15">
        <f t="shared" si="17"/>
        <v>27</v>
      </c>
      <c r="CS355" s="2" t="s">
        <v>247</v>
      </c>
      <c r="CT355" s="2">
        <v>10.0</v>
      </c>
    </row>
    <row r="356">
      <c r="A356" s="9">
        <v>45346.0</v>
      </c>
      <c r="B356" s="2" t="s">
        <v>264</v>
      </c>
      <c r="C356" s="2" t="s">
        <v>199</v>
      </c>
      <c r="D356" s="2">
        <v>2.0</v>
      </c>
      <c r="E356" s="2">
        <v>0.0</v>
      </c>
      <c r="H356" s="2">
        <v>1.0</v>
      </c>
      <c r="J356" s="2">
        <v>1.0</v>
      </c>
      <c r="P356" s="2">
        <v>1.0</v>
      </c>
      <c r="AA356" s="2">
        <v>1.0</v>
      </c>
      <c r="AM356" s="2">
        <v>3.0</v>
      </c>
      <c r="AV356" s="2">
        <v>1.0</v>
      </c>
      <c r="AW356" s="2">
        <v>1.0</v>
      </c>
      <c r="BC356" s="2">
        <v>1.0</v>
      </c>
      <c r="BI356" s="2">
        <v>12.0</v>
      </c>
      <c r="BR356" s="2">
        <v>1.0</v>
      </c>
      <c r="CB356" s="2">
        <v>1.0</v>
      </c>
      <c r="CI356" s="2">
        <v>1.0</v>
      </c>
      <c r="CK356" s="2">
        <v>4.0</v>
      </c>
      <c r="CQ356" s="15">
        <f t="shared" si="17"/>
        <v>29</v>
      </c>
      <c r="CS356" s="2" t="s">
        <v>247</v>
      </c>
      <c r="CT356" s="2">
        <v>5.0</v>
      </c>
    </row>
    <row r="357">
      <c r="A357" s="9">
        <v>45346.0</v>
      </c>
      <c r="B357" s="2" t="s">
        <v>264</v>
      </c>
      <c r="C357" s="2" t="s">
        <v>199</v>
      </c>
      <c r="D357" s="2">
        <v>3.0</v>
      </c>
      <c r="E357" s="25">
        <v>40.0</v>
      </c>
      <c r="BD357" s="2">
        <v>1.0</v>
      </c>
      <c r="BI357" s="2">
        <v>1.0</v>
      </c>
      <c r="CI357" s="2">
        <v>21.0</v>
      </c>
      <c r="CK357" s="2">
        <v>1.0</v>
      </c>
      <c r="CO357" s="2">
        <v>1.0</v>
      </c>
      <c r="CQ357" s="15">
        <f t="shared" si="17"/>
        <v>25</v>
      </c>
      <c r="CS357" s="2" t="s">
        <v>247</v>
      </c>
      <c r="CT357" s="2">
        <v>5.0</v>
      </c>
    </row>
    <row r="358">
      <c r="A358" s="9">
        <v>45346.0</v>
      </c>
      <c r="B358" s="2" t="s">
        <v>264</v>
      </c>
      <c r="C358" s="2" t="s">
        <v>199</v>
      </c>
      <c r="D358" s="2">
        <v>3.0</v>
      </c>
      <c r="E358" s="25">
        <v>35.0</v>
      </c>
      <c r="P358" s="2">
        <v>1.0</v>
      </c>
      <c r="AP358" s="2">
        <v>1.0</v>
      </c>
      <c r="BC358" s="2">
        <v>3.0</v>
      </c>
      <c r="BF358" s="2">
        <v>1.0</v>
      </c>
      <c r="BR358" s="2">
        <v>19.0</v>
      </c>
      <c r="CQ358" s="15">
        <f t="shared" si="17"/>
        <v>25</v>
      </c>
      <c r="CS358" s="2" t="s">
        <v>251</v>
      </c>
      <c r="CT358" s="2">
        <v>5.0</v>
      </c>
    </row>
    <row r="359">
      <c r="A359" s="9">
        <v>45346.0</v>
      </c>
      <c r="B359" s="2" t="s">
        <v>264</v>
      </c>
      <c r="C359" s="2" t="s">
        <v>199</v>
      </c>
      <c r="D359" s="2">
        <v>3.0</v>
      </c>
      <c r="E359" s="25">
        <v>30.0</v>
      </c>
      <c r="P359" s="2">
        <v>1.0</v>
      </c>
      <c r="S359" s="2">
        <v>8.0</v>
      </c>
      <c r="AJ359" s="2">
        <v>8.0</v>
      </c>
      <c r="BI359" s="2">
        <v>3.0</v>
      </c>
      <c r="BR359" s="2">
        <v>2.0</v>
      </c>
      <c r="CI359" s="2">
        <v>2.0</v>
      </c>
      <c r="CJ359" s="2">
        <v>1.0</v>
      </c>
      <c r="CQ359" s="15">
        <f t="shared" si="17"/>
        <v>25</v>
      </c>
      <c r="CS359" s="2" t="s">
        <v>247</v>
      </c>
      <c r="CT359" s="2">
        <v>5.0</v>
      </c>
    </row>
    <row r="360">
      <c r="A360" s="9">
        <v>45346.0</v>
      </c>
      <c r="B360" s="2" t="s">
        <v>264</v>
      </c>
      <c r="C360" s="2" t="s">
        <v>199</v>
      </c>
      <c r="D360" s="2">
        <v>3.0</v>
      </c>
      <c r="E360" s="25">
        <v>25.0</v>
      </c>
      <c r="S360" s="2">
        <v>5.0</v>
      </c>
      <c r="Z360" s="2">
        <v>3.0</v>
      </c>
      <c r="AJ360" s="2">
        <v>1.0</v>
      </c>
      <c r="AT360" s="2">
        <v>1.0</v>
      </c>
      <c r="BC360" s="2">
        <v>3.0</v>
      </c>
      <c r="BR360" s="2">
        <v>10.0</v>
      </c>
      <c r="CB360" s="2">
        <v>1.0</v>
      </c>
      <c r="CI360" s="2">
        <v>1.0</v>
      </c>
      <c r="CQ360" s="15">
        <f t="shared" si="17"/>
        <v>25</v>
      </c>
      <c r="CS360" s="2" t="s">
        <v>247</v>
      </c>
      <c r="CT360" s="2">
        <v>1.0</v>
      </c>
    </row>
    <row r="361">
      <c r="A361" s="9">
        <v>45346.0</v>
      </c>
      <c r="B361" s="2" t="s">
        <v>264</v>
      </c>
      <c r="C361" s="2" t="s">
        <v>199</v>
      </c>
      <c r="D361" s="2">
        <v>3.0</v>
      </c>
      <c r="E361" s="25">
        <v>20.0</v>
      </c>
      <c r="H361" s="2">
        <v>3.0</v>
      </c>
      <c r="AJ361" s="2">
        <v>9.0</v>
      </c>
      <c r="BC361" s="2">
        <v>2.0</v>
      </c>
      <c r="BR361" s="2">
        <v>1.0</v>
      </c>
      <c r="CI361" s="2">
        <v>3.0</v>
      </c>
      <c r="CJ361" s="2">
        <v>5.0</v>
      </c>
      <c r="CN361" s="2">
        <v>2.0</v>
      </c>
      <c r="CQ361" s="15">
        <f t="shared" si="17"/>
        <v>25</v>
      </c>
      <c r="CS361" s="2" t="s">
        <v>247</v>
      </c>
      <c r="CT361" s="2">
        <v>10.0</v>
      </c>
    </row>
    <row r="362">
      <c r="A362" s="9">
        <v>45346.0</v>
      </c>
      <c r="B362" s="2" t="s">
        <v>264</v>
      </c>
      <c r="C362" s="2" t="s">
        <v>199</v>
      </c>
      <c r="D362" s="2">
        <v>3.0</v>
      </c>
      <c r="E362" s="25">
        <v>15.0</v>
      </c>
      <c r="P362" s="2">
        <v>2.0</v>
      </c>
      <c r="AJ362" s="2">
        <v>9.0</v>
      </c>
      <c r="BC362" s="2">
        <v>3.0</v>
      </c>
      <c r="BR362" s="2">
        <v>6.0</v>
      </c>
      <c r="BX362" s="2">
        <v>2.0</v>
      </c>
      <c r="CI362" s="2">
        <v>3.0</v>
      </c>
      <c r="CQ362" s="15">
        <f t="shared" si="17"/>
        <v>25</v>
      </c>
      <c r="CS362" s="2" t="s">
        <v>247</v>
      </c>
      <c r="CT362" s="2">
        <v>5.0</v>
      </c>
    </row>
    <row r="363">
      <c r="A363" s="9">
        <v>45346.0</v>
      </c>
      <c r="B363" s="2" t="s">
        <v>264</v>
      </c>
      <c r="C363" s="2" t="s">
        <v>199</v>
      </c>
      <c r="D363" s="2">
        <v>3.0</v>
      </c>
      <c r="E363" s="25">
        <v>10.0</v>
      </c>
      <c r="AJ363" s="2">
        <v>10.0</v>
      </c>
      <c r="BC363" s="2">
        <v>2.0</v>
      </c>
      <c r="BI363" s="2">
        <v>1.0</v>
      </c>
      <c r="BR363" s="2">
        <v>3.0</v>
      </c>
      <c r="BX363" s="2">
        <v>2.0</v>
      </c>
      <c r="CI363" s="2">
        <v>2.0</v>
      </c>
      <c r="CJ363" s="2">
        <v>3.0</v>
      </c>
      <c r="CN363" s="2">
        <v>2.0</v>
      </c>
      <c r="CQ363" s="15">
        <f t="shared" si="17"/>
        <v>25</v>
      </c>
      <c r="CS363" s="2" t="s">
        <v>247</v>
      </c>
      <c r="CT363" s="2">
        <v>1.0</v>
      </c>
    </row>
    <row r="364">
      <c r="A364" s="9">
        <v>45346.0</v>
      </c>
      <c r="B364" s="2" t="s">
        <v>264</v>
      </c>
      <c r="C364" s="2" t="s">
        <v>199</v>
      </c>
      <c r="D364" s="2">
        <v>3.0</v>
      </c>
      <c r="E364" s="25">
        <v>5.0</v>
      </c>
      <c r="F364" s="2">
        <v>1.0</v>
      </c>
      <c r="R364" s="2">
        <v>2.0</v>
      </c>
      <c r="AJ364" s="2">
        <v>7.0</v>
      </c>
      <c r="BC364" s="2">
        <v>9.0</v>
      </c>
      <c r="BI364" s="2">
        <v>2.0</v>
      </c>
      <c r="BR364" s="2">
        <v>1.0</v>
      </c>
      <c r="BX364" s="2">
        <v>1.0</v>
      </c>
      <c r="CJ364" s="2">
        <v>2.0</v>
      </c>
      <c r="CQ364" s="15">
        <f t="shared" si="17"/>
        <v>25</v>
      </c>
      <c r="CS364" s="2" t="s">
        <v>247</v>
      </c>
      <c r="CT364" s="2">
        <v>1.0</v>
      </c>
    </row>
    <row r="365">
      <c r="A365" s="9">
        <v>45346.0</v>
      </c>
      <c r="B365" s="2" t="s">
        <v>264</v>
      </c>
      <c r="C365" s="2" t="s">
        <v>199</v>
      </c>
      <c r="D365" s="2">
        <v>3.0</v>
      </c>
      <c r="E365" s="25">
        <v>0.0</v>
      </c>
      <c r="Z365" s="2">
        <v>1.0</v>
      </c>
      <c r="AJ365" s="2">
        <v>4.0</v>
      </c>
      <c r="AT365" s="2">
        <v>2.0</v>
      </c>
      <c r="AW365" s="2">
        <v>3.0</v>
      </c>
      <c r="BC365" s="2">
        <v>6.0</v>
      </c>
      <c r="BI365" s="2">
        <v>2.0</v>
      </c>
      <c r="BR365" s="2">
        <v>6.0</v>
      </c>
      <c r="CN365" s="2">
        <v>1.0</v>
      </c>
      <c r="CQ365" s="15">
        <f t="shared" si="17"/>
        <v>25</v>
      </c>
      <c r="CS365" s="2" t="s">
        <v>251</v>
      </c>
      <c r="CT365" s="2">
        <v>0.0</v>
      </c>
    </row>
    <row r="366">
      <c r="A366" s="9">
        <v>45346.0</v>
      </c>
      <c r="B366" s="2" t="s">
        <v>264</v>
      </c>
      <c r="C366" s="2" t="s">
        <v>199</v>
      </c>
      <c r="D366" s="2">
        <v>4.0</v>
      </c>
      <c r="E366" s="2">
        <v>0.0</v>
      </c>
      <c r="Z366" s="2">
        <v>3.0</v>
      </c>
      <c r="AM366" s="2">
        <v>6.0</v>
      </c>
      <c r="AQ366" s="2">
        <v>1.0</v>
      </c>
      <c r="AR366" s="2"/>
      <c r="AV366" s="2">
        <v>1.0</v>
      </c>
      <c r="BC366" s="2">
        <v>1.0</v>
      </c>
      <c r="BI366" s="2">
        <v>4.0</v>
      </c>
      <c r="BR366" s="2">
        <v>6.0</v>
      </c>
      <c r="CI366" s="2">
        <v>1.0</v>
      </c>
      <c r="CK366" s="2">
        <v>3.0</v>
      </c>
      <c r="CL366" s="2">
        <v>1.0</v>
      </c>
      <c r="CQ366" s="15">
        <f t="shared" si="17"/>
        <v>27</v>
      </c>
      <c r="CS366" s="2" t="s">
        <v>247</v>
      </c>
      <c r="CT366" s="2">
        <v>5.0</v>
      </c>
    </row>
    <row r="367">
      <c r="A367" s="9">
        <v>45346.0</v>
      </c>
      <c r="B367" s="2" t="s">
        <v>264</v>
      </c>
      <c r="C367" s="2" t="s">
        <v>199</v>
      </c>
      <c r="D367" s="2">
        <v>4.0</v>
      </c>
      <c r="E367" s="2">
        <v>5.0</v>
      </c>
      <c r="J367" s="2">
        <v>3.0</v>
      </c>
      <c r="AT367" s="2">
        <v>1.0</v>
      </c>
      <c r="AV367" s="2">
        <v>4.0</v>
      </c>
      <c r="AW367" s="2">
        <v>1.0</v>
      </c>
      <c r="BI367" s="2">
        <v>1.0</v>
      </c>
      <c r="BR367" s="2">
        <v>4.0</v>
      </c>
      <c r="CI367" s="2">
        <v>8.0</v>
      </c>
      <c r="CL367" s="2">
        <v>3.0</v>
      </c>
      <c r="CQ367" s="15">
        <f t="shared" si="17"/>
        <v>25</v>
      </c>
      <c r="CS367" s="2" t="s">
        <v>247</v>
      </c>
      <c r="CT367" s="2">
        <v>10.0</v>
      </c>
    </row>
    <row r="368">
      <c r="A368" s="9">
        <v>45346.0</v>
      </c>
      <c r="B368" s="2" t="s">
        <v>264</v>
      </c>
      <c r="C368" s="2" t="s">
        <v>199</v>
      </c>
      <c r="D368" s="2">
        <v>4.0</v>
      </c>
      <c r="E368" s="2">
        <v>10.0</v>
      </c>
      <c r="AT368" s="2">
        <v>2.0</v>
      </c>
      <c r="BC368" s="2">
        <v>1.0</v>
      </c>
      <c r="BR368" s="2">
        <v>4.0</v>
      </c>
      <c r="CI368" s="2">
        <v>10.0</v>
      </c>
      <c r="CL368" s="2">
        <v>4.0</v>
      </c>
      <c r="CQ368" s="15">
        <f t="shared" si="17"/>
        <v>21</v>
      </c>
      <c r="CS368" s="2" t="s">
        <v>247</v>
      </c>
      <c r="CT368" s="2">
        <v>10.0</v>
      </c>
    </row>
    <row r="369">
      <c r="A369" s="9">
        <v>45346.0</v>
      </c>
      <c r="B369" s="2" t="s">
        <v>264</v>
      </c>
      <c r="C369" s="2" t="s">
        <v>199</v>
      </c>
      <c r="D369" s="2">
        <v>4.0</v>
      </c>
      <c r="E369" s="2">
        <v>15.0</v>
      </c>
      <c r="H369" s="2">
        <v>1.0</v>
      </c>
      <c r="AM369" s="2">
        <v>5.0</v>
      </c>
      <c r="AT369" s="2">
        <v>1.0</v>
      </c>
      <c r="BC369" s="2">
        <v>1.0</v>
      </c>
      <c r="BI369" s="2">
        <v>3.0</v>
      </c>
      <c r="BR369" s="2">
        <v>4.0</v>
      </c>
      <c r="BV369" s="2">
        <v>2.0</v>
      </c>
      <c r="CI369" s="2">
        <v>2.0</v>
      </c>
      <c r="CK369" s="2">
        <v>5.0</v>
      </c>
      <c r="CL369" s="2">
        <v>2.0</v>
      </c>
      <c r="CQ369" s="15">
        <f t="shared" si="17"/>
        <v>26</v>
      </c>
      <c r="CS369" s="2" t="s">
        <v>247</v>
      </c>
      <c r="CT369" s="2">
        <v>10.0</v>
      </c>
    </row>
    <row r="370">
      <c r="A370" s="9">
        <v>45346.0</v>
      </c>
      <c r="B370" s="2" t="s">
        <v>264</v>
      </c>
      <c r="C370" s="2" t="s">
        <v>199</v>
      </c>
      <c r="D370" s="2">
        <v>4.0</v>
      </c>
      <c r="E370" s="2">
        <v>20.0</v>
      </c>
      <c r="H370" s="2">
        <v>2.0</v>
      </c>
      <c r="AM370" s="2">
        <v>5.0</v>
      </c>
      <c r="BC370" s="2">
        <v>4.0</v>
      </c>
      <c r="BI370" s="2">
        <v>1.0</v>
      </c>
      <c r="BR370" s="2">
        <v>8.0</v>
      </c>
      <c r="CI370" s="2">
        <v>3.0</v>
      </c>
      <c r="CL370" s="2">
        <v>1.0</v>
      </c>
      <c r="CQ370" s="15">
        <f t="shared" si="17"/>
        <v>24</v>
      </c>
      <c r="CS370" s="2" t="s">
        <v>247</v>
      </c>
      <c r="CT370" s="2">
        <v>5.0</v>
      </c>
    </row>
    <row r="371">
      <c r="A371" s="9">
        <v>45346.0</v>
      </c>
      <c r="B371" s="2" t="s">
        <v>264</v>
      </c>
      <c r="C371" s="2" t="s">
        <v>199</v>
      </c>
      <c r="D371" s="2">
        <v>4.0</v>
      </c>
      <c r="E371" s="2">
        <v>25.0</v>
      </c>
      <c r="AA371" s="2">
        <v>2.0</v>
      </c>
      <c r="AM371" s="2">
        <v>2.0</v>
      </c>
      <c r="BR371" s="2">
        <v>9.0</v>
      </c>
      <c r="BT371" s="2"/>
      <c r="BU371" s="2">
        <v>1.0</v>
      </c>
      <c r="CI371" s="2">
        <v>8.0</v>
      </c>
      <c r="CK371" s="2">
        <v>2.0</v>
      </c>
      <c r="CQ371" s="15">
        <f t="shared" si="17"/>
        <v>24</v>
      </c>
      <c r="CS371" s="2" t="s">
        <v>247</v>
      </c>
      <c r="CT371" s="2">
        <v>10.0</v>
      </c>
    </row>
    <row r="372">
      <c r="A372" s="9">
        <v>45346.0</v>
      </c>
      <c r="B372" s="2" t="s">
        <v>264</v>
      </c>
      <c r="C372" s="2" t="s">
        <v>199</v>
      </c>
      <c r="D372" s="2">
        <v>4.0</v>
      </c>
      <c r="E372" s="2">
        <v>30.0</v>
      </c>
      <c r="H372" s="2">
        <v>1.0</v>
      </c>
      <c r="R372" s="2">
        <v>1.0</v>
      </c>
      <c r="Z372" s="2">
        <v>2.0</v>
      </c>
      <c r="AM372" s="2">
        <v>6.0</v>
      </c>
      <c r="AV372" s="2">
        <v>1.0</v>
      </c>
      <c r="BR372" s="2">
        <v>4.0</v>
      </c>
      <c r="CI372" s="2">
        <v>3.0</v>
      </c>
      <c r="CK372" s="2">
        <v>1.0</v>
      </c>
      <c r="CL372" s="2">
        <v>4.0</v>
      </c>
      <c r="CQ372" s="15">
        <f t="shared" si="17"/>
        <v>23</v>
      </c>
      <c r="CS372" s="2" t="s">
        <v>247</v>
      </c>
      <c r="CT372" s="2">
        <v>5.0</v>
      </c>
    </row>
    <row r="373">
      <c r="A373" s="9">
        <v>45346.0</v>
      </c>
      <c r="B373" s="2" t="s">
        <v>264</v>
      </c>
      <c r="C373" s="2" t="s">
        <v>199</v>
      </c>
      <c r="D373" s="2">
        <v>4.0</v>
      </c>
      <c r="E373" s="2">
        <v>35.0</v>
      </c>
      <c r="H373" s="2">
        <v>1.0</v>
      </c>
      <c r="R373" s="2">
        <v>2.0</v>
      </c>
      <c r="AM373" s="2">
        <v>5.0</v>
      </c>
      <c r="AV373" s="2">
        <v>4.0</v>
      </c>
      <c r="BR373" s="2">
        <v>2.0</v>
      </c>
      <c r="CI373" s="2">
        <v>6.0</v>
      </c>
      <c r="CL373" s="2">
        <v>3.0</v>
      </c>
      <c r="CQ373" s="15">
        <f t="shared" si="17"/>
        <v>23</v>
      </c>
      <c r="CS373" s="2" t="s">
        <v>247</v>
      </c>
      <c r="CT373" s="2">
        <v>10.0</v>
      </c>
    </row>
    <row r="374">
      <c r="A374" s="9">
        <v>45346.0</v>
      </c>
      <c r="B374" s="2" t="s">
        <v>264</v>
      </c>
      <c r="C374" s="2" t="s">
        <v>199</v>
      </c>
      <c r="D374" s="2">
        <v>4.0</v>
      </c>
      <c r="E374" s="2">
        <v>40.0</v>
      </c>
      <c r="K374" s="2">
        <v>8.0</v>
      </c>
      <c r="AD374" s="2">
        <v>1.0</v>
      </c>
      <c r="AM374" s="2">
        <v>2.0</v>
      </c>
      <c r="AQ374" s="2">
        <v>4.0</v>
      </c>
      <c r="AR374" s="2"/>
      <c r="AT374" s="2">
        <v>1.0</v>
      </c>
      <c r="BC374" s="2">
        <v>1.0</v>
      </c>
      <c r="CI374" s="2">
        <v>2.0</v>
      </c>
      <c r="CK374" s="2">
        <v>1.0</v>
      </c>
      <c r="CL374" s="2">
        <v>5.0</v>
      </c>
      <c r="CQ374" s="15">
        <f t="shared" si="17"/>
        <v>25</v>
      </c>
      <c r="CS374" s="2" t="s">
        <v>247</v>
      </c>
      <c r="CT374" s="2">
        <v>5.0</v>
      </c>
    </row>
    <row r="375">
      <c r="A375" s="9">
        <v>45347.0</v>
      </c>
      <c r="B375" s="2" t="s">
        <v>264</v>
      </c>
      <c r="C375" s="2" t="s">
        <v>199</v>
      </c>
      <c r="D375" s="2">
        <v>1.0</v>
      </c>
      <c r="E375" s="2">
        <v>0.0</v>
      </c>
      <c r="AM375" s="2">
        <v>2.0</v>
      </c>
      <c r="BC375" s="2">
        <v>6.0</v>
      </c>
      <c r="BI375" s="2">
        <v>12.0</v>
      </c>
      <c r="BR375" s="2">
        <v>5.0</v>
      </c>
      <c r="CQ375" s="15">
        <f t="shared" si="17"/>
        <v>25</v>
      </c>
      <c r="CS375" s="2" t="s">
        <v>247</v>
      </c>
      <c r="CT375" s="2">
        <v>5.0</v>
      </c>
    </row>
    <row r="376">
      <c r="A376" s="9">
        <v>45347.0</v>
      </c>
      <c r="B376" s="2" t="s">
        <v>264</v>
      </c>
      <c r="C376" s="2" t="s">
        <v>199</v>
      </c>
      <c r="D376" s="2">
        <v>1.0</v>
      </c>
      <c r="E376" s="2">
        <v>5.0</v>
      </c>
      <c r="P376" s="2">
        <v>1.0</v>
      </c>
      <c r="R376" s="2">
        <v>3.0</v>
      </c>
      <c r="AM376" s="2">
        <v>1.0</v>
      </c>
      <c r="BC376" s="2">
        <v>10.0</v>
      </c>
      <c r="BF376" s="2">
        <v>1.0</v>
      </c>
      <c r="BI376" s="2">
        <v>5.0</v>
      </c>
      <c r="BR376" s="2">
        <v>1.0</v>
      </c>
      <c r="CJ376" s="2">
        <v>3.0</v>
      </c>
      <c r="CQ376" s="15">
        <f t="shared" si="17"/>
        <v>25</v>
      </c>
      <c r="CS376" s="2" t="s">
        <v>247</v>
      </c>
      <c r="CT376" s="2">
        <v>1.0</v>
      </c>
    </row>
    <row r="377">
      <c r="A377" s="9">
        <v>45347.0</v>
      </c>
      <c r="B377" s="2" t="s">
        <v>264</v>
      </c>
      <c r="C377" s="2" t="s">
        <v>199</v>
      </c>
      <c r="D377" s="2">
        <v>1.0</v>
      </c>
      <c r="E377" s="2">
        <v>10.0</v>
      </c>
      <c r="R377" s="2">
        <v>7.0</v>
      </c>
      <c r="AJ377" s="2">
        <v>2.0</v>
      </c>
      <c r="AM377" s="2">
        <v>2.0</v>
      </c>
      <c r="BC377" s="2">
        <v>6.0</v>
      </c>
      <c r="BF377" s="2">
        <v>1.0</v>
      </c>
      <c r="BI377" s="2">
        <v>5.0</v>
      </c>
      <c r="BR377" s="2">
        <v>2.0</v>
      </c>
      <c r="CQ377" s="15">
        <f t="shared" si="17"/>
        <v>25</v>
      </c>
      <c r="CS377" s="2" t="s">
        <v>247</v>
      </c>
      <c r="CT377" s="2">
        <v>5.0</v>
      </c>
    </row>
    <row r="378">
      <c r="A378" s="9">
        <v>45347.0</v>
      </c>
      <c r="B378" s="2" t="s">
        <v>264</v>
      </c>
      <c r="C378" s="2" t="s">
        <v>199</v>
      </c>
      <c r="D378" s="2">
        <v>1.0</v>
      </c>
      <c r="E378" s="2">
        <v>15.0</v>
      </c>
      <c r="P378" s="2">
        <v>2.0</v>
      </c>
      <c r="R378" s="2">
        <v>4.0</v>
      </c>
      <c r="AG378" s="2">
        <v>1.0</v>
      </c>
      <c r="AM378" s="2">
        <v>1.0</v>
      </c>
      <c r="AT378" s="2">
        <v>1.0</v>
      </c>
      <c r="BC378" s="2">
        <v>6.0</v>
      </c>
      <c r="BI378" s="2">
        <v>6.0</v>
      </c>
      <c r="BM378" s="2">
        <v>1.0</v>
      </c>
      <c r="BR378" s="2">
        <v>1.0</v>
      </c>
      <c r="CI378" s="2">
        <v>1.0</v>
      </c>
      <c r="CJ378" s="2">
        <v>1.0</v>
      </c>
      <c r="CQ378" s="15">
        <f t="shared" si="17"/>
        <v>25</v>
      </c>
      <c r="CS378" s="2" t="s">
        <v>251</v>
      </c>
      <c r="CT378" s="2">
        <v>5.0</v>
      </c>
    </row>
    <row r="379">
      <c r="A379" s="9">
        <v>45347.0</v>
      </c>
      <c r="B379" s="2" t="s">
        <v>264</v>
      </c>
      <c r="C379" s="2" t="s">
        <v>199</v>
      </c>
      <c r="D379" s="2">
        <v>1.0</v>
      </c>
      <c r="E379" s="2">
        <v>20.0</v>
      </c>
      <c r="P379" s="2">
        <v>2.0</v>
      </c>
      <c r="R379" s="2">
        <v>3.0</v>
      </c>
      <c r="BC379" s="2">
        <v>4.0</v>
      </c>
      <c r="BI379" s="2">
        <v>7.0</v>
      </c>
      <c r="BM379" s="2">
        <v>3.0</v>
      </c>
      <c r="BR379" s="2">
        <v>2.0</v>
      </c>
      <c r="CK379" s="2">
        <v>3.0</v>
      </c>
      <c r="CO379" s="2">
        <v>1.0</v>
      </c>
      <c r="CQ379" s="15">
        <f t="shared" si="17"/>
        <v>25</v>
      </c>
      <c r="CS379" s="2" t="s">
        <v>251</v>
      </c>
      <c r="CT379" s="2">
        <v>1.0</v>
      </c>
    </row>
    <row r="380">
      <c r="A380" s="9">
        <v>45347.0</v>
      </c>
      <c r="B380" s="2" t="s">
        <v>264</v>
      </c>
      <c r="C380" s="2" t="s">
        <v>199</v>
      </c>
      <c r="D380" s="2">
        <v>1.0</v>
      </c>
      <c r="E380" s="2">
        <v>25.0</v>
      </c>
      <c r="R380" s="2">
        <v>1.0</v>
      </c>
      <c r="AJ380" s="2">
        <v>1.0</v>
      </c>
      <c r="AM380" s="2">
        <v>1.0</v>
      </c>
      <c r="AT380" s="2">
        <v>1.0</v>
      </c>
      <c r="AV380" s="2">
        <v>5.0</v>
      </c>
      <c r="BI380" s="2">
        <v>1.0</v>
      </c>
      <c r="BR380" s="2">
        <v>11.0</v>
      </c>
      <c r="CI380" s="2">
        <v>1.0</v>
      </c>
      <c r="CK380" s="2">
        <v>1.0</v>
      </c>
      <c r="CQ380" s="15">
        <f t="shared" si="17"/>
        <v>23</v>
      </c>
      <c r="CS380" s="2" t="s">
        <v>251</v>
      </c>
      <c r="CT380" s="2">
        <v>10.0</v>
      </c>
    </row>
    <row r="381">
      <c r="A381" s="9">
        <v>45347.0</v>
      </c>
      <c r="B381" s="2" t="s">
        <v>264</v>
      </c>
      <c r="C381" s="2" t="s">
        <v>199</v>
      </c>
      <c r="D381" s="2">
        <v>1.0</v>
      </c>
      <c r="E381" s="2">
        <v>30.0</v>
      </c>
      <c r="R381" s="2">
        <v>2.0</v>
      </c>
      <c r="BC381" s="2">
        <v>1.0</v>
      </c>
      <c r="BR381" s="2">
        <v>18.0</v>
      </c>
      <c r="CI381" s="2">
        <v>4.0</v>
      </c>
      <c r="CJ381" s="2">
        <v>1.0</v>
      </c>
      <c r="CQ381" s="15">
        <f t="shared" si="17"/>
        <v>26</v>
      </c>
      <c r="CS381" s="2" t="s">
        <v>251</v>
      </c>
      <c r="CT381" s="2">
        <v>1.0</v>
      </c>
    </row>
    <row r="382">
      <c r="A382" s="9">
        <v>45347.0</v>
      </c>
      <c r="B382" s="2" t="s">
        <v>264</v>
      </c>
      <c r="C382" s="2" t="s">
        <v>199</v>
      </c>
      <c r="D382" s="2">
        <v>1.0</v>
      </c>
      <c r="E382" s="2">
        <v>35.0</v>
      </c>
      <c r="F382" s="2">
        <v>1.0</v>
      </c>
      <c r="AT382" s="2">
        <v>3.0</v>
      </c>
      <c r="BC382" s="2">
        <v>2.0</v>
      </c>
      <c r="BH382" s="2">
        <v>1.0</v>
      </c>
      <c r="BR382" s="2">
        <v>2.0</v>
      </c>
      <c r="CI382" s="2">
        <v>15.0</v>
      </c>
      <c r="CQ382" s="15">
        <f t="shared" si="17"/>
        <v>24</v>
      </c>
      <c r="CS382" s="2" t="s">
        <v>247</v>
      </c>
      <c r="CT382" s="2">
        <v>0.0</v>
      </c>
    </row>
    <row r="383">
      <c r="A383" s="9">
        <v>45347.0</v>
      </c>
      <c r="B383" s="2" t="s">
        <v>264</v>
      </c>
      <c r="C383" s="2" t="s">
        <v>199</v>
      </c>
      <c r="D383" s="2">
        <v>1.0</v>
      </c>
      <c r="E383" s="2">
        <v>40.0</v>
      </c>
      <c r="R383" s="2">
        <v>8.0</v>
      </c>
      <c r="AT383" s="2">
        <v>3.0</v>
      </c>
      <c r="BC383" s="2">
        <v>4.0</v>
      </c>
      <c r="BI383" s="2">
        <v>1.0</v>
      </c>
      <c r="BR383" s="2">
        <v>4.0</v>
      </c>
      <c r="CI383" s="2">
        <v>2.0</v>
      </c>
      <c r="CJ383" s="2">
        <v>1.0</v>
      </c>
      <c r="CL383" s="2">
        <v>2.0</v>
      </c>
      <c r="CO383" s="2">
        <v>1.0</v>
      </c>
      <c r="CQ383" s="15">
        <f t="shared" si="17"/>
        <v>26</v>
      </c>
      <c r="CS383" s="2" t="s">
        <v>251</v>
      </c>
      <c r="CT383" s="2">
        <v>0.0</v>
      </c>
    </row>
    <row r="384">
      <c r="A384" s="9">
        <v>45347.0</v>
      </c>
      <c r="B384" s="2" t="s">
        <v>264</v>
      </c>
      <c r="C384" s="2" t="s">
        <v>199</v>
      </c>
      <c r="D384" s="2">
        <v>2.0</v>
      </c>
      <c r="E384" s="2">
        <v>0.0</v>
      </c>
      <c r="H384" s="2">
        <v>2.0</v>
      </c>
      <c r="R384" s="2">
        <v>1.0</v>
      </c>
      <c r="AJ384" s="2">
        <v>1.0</v>
      </c>
      <c r="AV384" s="2">
        <v>5.0</v>
      </c>
      <c r="BC384" s="2">
        <v>1.0</v>
      </c>
      <c r="BI384" s="2">
        <v>3.0</v>
      </c>
      <c r="BR384" s="2">
        <v>5.0</v>
      </c>
      <c r="CI384" s="2">
        <v>1.0</v>
      </c>
      <c r="CL384" s="2">
        <v>6.0</v>
      </c>
      <c r="CQ384" s="15">
        <f t="shared" si="17"/>
        <v>25</v>
      </c>
      <c r="CS384" s="2" t="s">
        <v>251</v>
      </c>
      <c r="CT384" s="2">
        <v>0.0</v>
      </c>
    </row>
    <row r="385">
      <c r="A385" s="9">
        <v>45347.0</v>
      </c>
      <c r="B385" s="2" t="s">
        <v>264</v>
      </c>
      <c r="C385" s="2" t="s">
        <v>199</v>
      </c>
      <c r="D385" s="2">
        <v>2.0</v>
      </c>
      <c r="E385" s="2">
        <v>5.0</v>
      </c>
      <c r="R385" s="2">
        <v>1.0</v>
      </c>
      <c r="Z385" s="2">
        <v>2.0</v>
      </c>
      <c r="BC385" s="2">
        <v>1.0</v>
      </c>
      <c r="BI385" s="2">
        <v>2.0</v>
      </c>
      <c r="BR385" s="2">
        <v>12.0</v>
      </c>
      <c r="CL385" s="2">
        <v>4.0</v>
      </c>
      <c r="CQ385" s="15">
        <f t="shared" si="17"/>
        <v>22</v>
      </c>
      <c r="CS385" s="2" t="s">
        <v>247</v>
      </c>
      <c r="CT385" s="2">
        <v>10.0</v>
      </c>
    </row>
    <row r="386">
      <c r="A386" s="9">
        <v>45347.0</v>
      </c>
      <c r="B386" s="2" t="s">
        <v>264</v>
      </c>
      <c r="C386" s="2" t="s">
        <v>199</v>
      </c>
      <c r="D386" s="2">
        <v>2.0</v>
      </c>
      <c r="E386" s="2">
        <v>10.0</v>
      </c>
      <c r="R386" s="2">
        <v>1.0</v>
      </c>
      <c r="Z386" s="2">
        <v>1.0</v>
      </c>
      <c r="AV386" s="2">
        <v>5.0</v>
      </c>
      <c r="BA386" s="2">
        <v>1.0</v>
      </c>
      <c r="BI386" s="2">
        <v>6.0</v>
      </c>
      <c r="BR386" s="2">
        <v>4.0</v>
      </c>
      <c r="CI386" s="2">
        <v>3.0</v>
      </c>
      <c r="CL386" s="2">
        <v>3.0</v>
      </c>
      <c r="CQ386" s="15">
        <f t="shared" si="17"/>
        <v>24</v>
      </c>
      <c r="CS386" s="2" t="s">
        <v>251</v>
      </c>
      <c r="CT386" s="2">
        <v>10.0</v>
      </c>
    </row>
    <row r="387">
      <c r="A387" s="9">
        <v>45347.0</v>
      </c>
      <c r="B387" s="2" t="s">
        <v>264</v>
      </c>
      <c r="C387" s="2" t="s">
        <v>199</v>
      </c>
      <c r="D387" s="2">
        <v>2.0</v>
      </c>
      <c r="E387" s="2">
        <v>15.0</v>
      </c>
      <c r="H387" s="2">
        <v>1.0</v>
      </c>
      <c r="AT387" s="2">
        <v>1.0</v>
      </c>
      <c r="AV387" s="2">
        <v>2.0</v>
      </c>
      <c r="AW387" s="2">
        <v>1.0</v>
      </c>
      <c r="BC387" s="2">
        <v>1.0</v>
      </c>
      <c r="BI387" s="2">
        <v>6.0</v>
      </c>
      <c r="BR387" s="2">
        <v>9.0</v>
      </c>
      <c r="CI387" s="2">
        <v>1.0</v>
      </c>
      <c r="CK387" s="2">
        <v>1.0</v>
      </c>
      <c r="CL387" s="2">
        <v>2.0</v>
      </c>
      <c r="CQ387" s="15">
        <f t="shared" si="17"/>
        <v>25</v>
      </c>
      <c r="CS387" s="2" t="s">
        <v>251</v>
      </c>
      <c r="CT387" s="2">
        <v>5.0</v>
      </c>
    </row>
    <row r="388">
      <c r="A388" s="9">
        <v>45347.0</v>
      </c>
      <c r="B388" s="2" t="s">
        <v>264</v>
      </c>
      <c r="C388" s="2" t="s">
        <v>199</v>
      </c>
      <c r="D388" s="2">
        <v>2.0</v>
      </c>
      <c r="E388" s="2">
        <v>20.0</v>
      </c>
      <c r="H388" s="2">
        <v>2.0</v>
      </c>
      <c r="AJ388" s="2">
        <v>1.0</v>
      </c>
      <c r="BA388" s="2">
        <v>1.0</v>
      </c>
      <c r="BC388" s="2">
        <v>1.0</v>
      </c>
      <c r="BI388" s="2">
        <v>4.0</v>
      </c>
      <c r="BR388" s="2">
        <v>10.0</v>
      </c>
      <c r="CI388" s="2">
        <v>3.0</v>
      </c>
      <c r="CK388" s="2">
        <v>2.0</v>
      </c>
      <c r="CL388" s="2">
        <v>2.0</v>
      </c>
      <c r="CQ388" s="15">
        <f t="shared" si="17"/>
        <v>26</v>
      </c>
      <c r="CS388" s="2" t="s">
        <v>251</v>
      </c>
      <c r="CT388" s="2">
        <v>10.0</v>
      </c>
    </row>
    <row r="389">
      <c r="A389" s="9">
        <v>45347.0</v>
      </c>
      <c r="B389" s="2" t="s">
        <v>264</v>
      </c>
      <c r="C389" s="2" t="s">
        <v>199</v>
      </c>
      <c r="D389" s="2">
        <v>2.0</v>
      </c>
      <c r="E389" s="2">
        <v>25.0</v>
      </c>
      <c r="R389" s="2">
        <v>4.0</v>
      </c>
      <c r="AA389" s="2">
        <v>1.0</v>
      </c>
      <c r="AH389" s="2">
        <v>1.0</v>
      </c>
      <c r="BA389" s="2">
        <v>1.0</v>
      </c>
      <c r="BC389" s="2">
        <v>1.0</v>
      </c>
      <c r="BI389" s="2">
        <v>1.0</v>
      </c>
      <c r="BM389" s="2">
        <v>1.0</v>
      </c>
      <c r="BR389" s="2">
        <v>6.0</v>
      </c>
      <c r="CI389" s="2">
        <v>5.0</v>
      </c>
      <c r="CK389" s="2">
        <v>2.0</v>
      </c>
      <c r="CQ389" s="15">
        <f t="shared" si="17"/>
        <v>23</v>
      </c>
      <c r="CS389" s="2" t="s">
        <v>247</v>
      </c>
      <c r="CT389" s="2">
        <v>5.0</v>
      </c>
    </row>
    <row r="390">
      <c r="A390" s="9">
        <v>45347.0</v>
      </c>
      <c r="B390" s="2" t="s">
        <v>264</v>
      </c>
      <c r="C390" s="2" t="s">
        <v>199</v>
      </c>
      <c r="D390" s="2">
        <v>2.0</v>
      </c>
      <c r="E390" s="2">
        <v>30.0</v>
      </c>
      <c r="R390" s="2">
        <v>2.0</v>
      </c>
      <c r="AT390" s="2">
        <v>1.0</v>
      </c>
      <c r="BC390" s="2">
        <v>1.0</v>
      </c>
      <c r="BI390" s="2">
        <v>1.0</v>
      </c>
      <c r="BM390" s="2">
        <v>3.0</v>
      </c>
      <c r="BR390" s="2">
        <v>10.0</v>
      </c>
      <c r="CI390" s="2">
        <v>1.0</v>
      </c>
      <c r="CK390" s="2">
        <v>2.0</v>
      </c>
      <c r="CL390" s="2">
        <v>4.0</v>
      </c>
      <c r="CQ390" s="15">
        <f t="shared" si="17"/>
        <v>25</v>
      </c>
      <c r="CS390" s="2" t="s">
        <v>247</v>
      </c>
      <c r="CT390" s="2">
        <v>5.0</v>
      </c>
    </row>
    <row r="391">
      <c r="A391" s="9">
        <v>45347.0</v>
      </c>
      <c r="B391" s="2" t="s">
        <v>264</v>
      </c>
      <c r="C391" s="2" t="s">
        <v>199</v>
      </c>
      <c r="D391" s="2">
        <v>2.0</v>
      </c>
      <c r="E391" s="2">
        <v>35.0</v>
      </c>
      <c r="R391" s="2">
        <v>1.0</v>
      </c>
      <c r="AT391" s="2">
        <v>6.0</v>
      </c>
      <c r="AV391" s="2">
        <v>3.0</v>
      </c>
      <c r="BC391" s="2">
        <v>2.0</v>
      </c>
      <c r="BR391" s="2">
        <v>9.0</v>
      </c>
      <c r="CL391" s="2">
        <v>5.0</v>
      </c>
      <c r="CQ391" s="15">
        <f t="shared" si="17"/>
        <v>26</v>
      </c>
      <c r="CS391" s="2" t="s">
        <v>247</v>
      </c>
      <c r="CT391" s="2">
        <v>5.0</v>
      </c>
    </row>
    <row r="392">
      <c r="A392" s="9">
        <v>45347.0</v>
      </c>
      <c r="B392" s="2" t="s">
        <v>264</v>
      </c>
      <c r="C392" s="2" t="s">
        <v>199</v>
      </c>
      <c r="D392" s="2">
        <v>2.0</v>
      </c>
      <c r="E392" s="2">
        <v>40.0</v>
      </c>
      <c r="F392" s="2">
        <v>1.0</v>
      </c>
      <c r="AT392" s="2">
        <v>2.0</v>
      </c>
      <c r="BC392" s="2">
        <v>2.0</v>
      </c>
      <c r="BR392" s="2">
        <v>5.0</v>
      </c>
      <c r="CI392" s="2">
        <v>5.0</v>
      </c>
      <c r="CK392" s="2">
        <v>4.0</v>
      </c>
      <c r="CL392" s="2">
        <v>3.0</v>
      </c>
      <c r="CQ392" s="15">
        <f t="shared" si="17"/>
        <v>22</v>
      </c>
      <c r="CS392" s="2" t="s">
        <v>247</v>
      </c>
      <c r="CT392" s="2">
        <v>1.0</v>
      </c>
    </row>
    <row r="393">
      <c r="A393" s="9">
        <v>45347.0</v>
      </c>
      <c r="B393" s="2" t="s">
        <v>264</v>
      </c>
      <c r="C393" s="2" t="s">
        <v>199</v>
      </c>
      <c r="D393" s="2">
        <v>3.0</v>
      </c>
      <c r="E393" s="2">
        <v>0.0</v>
      </c>
      <c r="P393" s="2">
        <v>1.0</v>
      </c>
      <c r="AJ393" s="2">
        <v>3.0</v>
      </c>
      <c r="AM393" s="2">
        <v>1.0</v>
      </c>
      <c r="AT393" s="2">
        <v>1.0</v>
      </c>
      <c r="AV393" s="2">
        <v>4.0</v>
      </c>
      <c r="BC393" s="2">
        <v>1.0</v>
      </c>
      <c r="BI393" s="2">
        <v>10.0</v>
      </c>
      <c r="BR393" s="2">
        <v>1.0</v>
      </c>
      <c r="CB393" s="2">
        <v>1.0</v>
      </c>
      <c r="CJ393" s="2">
        <v>2.0</v>
      </c>
      <c r="CN393" s="2">
        <v>1.0</v>
      </c>
      <c r="CQ393" s="15">
        <f t="shared" si="17"/>
        <v>26</v>
      </c>
      <c r="CS393" s="2" t="s">
        <v>247</v>
      </c>
      <c r="CT393" s="2">
        <v>1.0</v>
      </c>
    </row>
    <row r="394">
      <c r="A394" s="9">
        <v>45347.0</v>
      </c>
      <c r="B394" s="2" t="s">
        <v>264</v>
      </c>
      <c r="C394" s="2" t="s">
        <v>199</v>
      </c>
      <c r="D394" s="2">
        <v>3.0</v>
      </c>
      <c r="E394" s="2">
        <v>5.0</v>
      </c>
      <c r="P394" s="2">
        <v>1.0</v>
      </c>
      <c r="R394" s="2">
        <v>2.0</v>
      </c>
      <c r="AT394" s="2">
        <v>5.0</v>
      </c>
      <c r="AV394" s="2">
        <v>3.0</v>
      </c>
      <c r="BI394" s="2">
        <v>10.0</v>
      </c>
      <c r="BR394" s="2">
        <v>1.0</v>
      </c>
      <c r="CL394" s="2">
        <v>1.0</v>
      </c>
      <c r="CQ394" s="15">
        <f t="shared" si="17"/>
        <v>23</v>
      </c>
      <c r="CS394" s="2" t="s">
        <v>247</v>
      </c>
      <c r="CT394" s="2">
        <v>0.0</v>
      </c>
    </row>
    <row r="395">
      <c r="A395" s="9">
        <v>45347.0</v>
      </c>
      <c r="B395" s="2" t="s">
        <v>264</v>
      </c>
      <c r="C395" s="2" t="s">
        <v>199</v>
      </c>
      <c r="D395" s="2">
        <v>3.0</v>
      </c>
      <c r="E395" s="2">
        <v>10.0</v>
      </c>
      <c r="R395" s="2">
        <v>5.0</v>
      </c>
      <c r="Z395" s="2">
        <v>3.0</v>
      </c>
      <c r="AT395" s="2">
        <v>1.0</v>
      </c>
      <c r="AV395" s="2">
        <v>4.0</v>
      </c>
      <c r="BI395" s="2">
        <v>7.0</v>
      </c>
      <c r="BR395" s="2">
        <v>2.0</v>
      </c>
      <c r="CJ395" s="2">
        <v>3.0</v>
      </c>
      <c r="CQ395" s="15">
        <f t="shared" si="17"/>
        <v>25</v>
      </c>
      <c r="CS395" s="2" t="s">
        <v>247</v>
      </c>
      <c r="CT395" s="2">
        <v>1.0</v>
      </c>
    </row>
    <row r="396">
      <c r="A396" s="9">
        <v>45347.0</v>
      </c>
      <c r="B396" s="2" t="s">
        <v>264</v>
      </c>
      <c r="C396" s="2" t="s">
        <v>199</v>
      </c>
      <c r="D396" s="2">
        <v>3.0</v>
      </c>
      <c r="E396" s="2">
        <v>15.0</v>
      </c>
      <c r="P396" s="2">
        <v>1.0</v>
      </c>
      <c r="R396" s="2">
        <v>1.0</v>
      </c>
      <c r="T396" s="2"/>
      <c r="U396" s="2">
        <v>1.0</v>
      </c>
      <c r="AV396" s="2">
        <v>4.0</v>
      </c>
      <c r="BC396" s="2">
        <v>3.0</v>
      </c>
      <c r="BF396" s="2">
        <v>1.0</v>
      </c>
      <c r="BI396" s="2">
        <v>10.0</v>
      </c>
      <c r="BR396" s="2">
        <v>1.0</v>
      </c>
      <c r="CI396" s="2">
        <v>1.0</v>
      </c>
      <c r="CJ396" s="2">
        <v>1.0</v>
      </c>
      <c r="CL396" s="2">
        <v>1.0</v>
      </c>
      <c r="CQ396" s="15">
        <f t="shared" si="17"/>
        <v>25</v>
      </c>
      <c r="CS396" s="2" t="s">
        <v>247</v>
      </c>
      <c r="CT396" s="2">
        <v>1.0</v>
      </c>
    </row>
    <row r="397">
      <c r="A397" s="9">
        <v>45347.0</v>
      </c>
      <c r="B397" s="2" t="s">
        <v>264</v>
      </c>
      <c r="C397" s="2" t="s">
        <v>199</v>
      </c>
      <c r="D397" s="2">
        <v>3.0</v>
      </c>
      <c r="E397" s="2">
        <v>20.0</v>
      </c>
      <c r="F397" s="2">
        <v>1.0</v>
      </c>
      <c r="R397" s="2">
        <v>1.0</v>
      </c>
      <c r="AM397" s="2">
        <v>1.0</v>
      </c>
      <c r="AT397" s="2">
        <v>1.0</v>
      </c>
      <c r="AV397" s="2">
        <v>3.0</v>
      </c>
      <c r="BC397" s="2">
        <v>2.0</v>
      </c>
      <c r="BI397" s="2">
        <v>8.0</v>
      </c>
      <c r="BR397" s="2">
        <v>5.0</v>
      </c>
      <c r="CJ397" s="2">
        <v>2.0</v>
      </c>
      <c r="CO397" s="2">
        <v>2.0</v>
      </c>
      <c r="CQ397" s="15">
        <f t="shared" si="17"/>
        <v>26</v>
      </c>
      <c r="CS397" s="2" t="s">
        <v>247</v>
      </c>
      <c r="CT397" s="2">
        <v>5.0</v>
      </c>
    </row>
    <row r="398">
      <c r="A398" s="9">
        <v>45347.0</v>
      </c>
      <c r="B398" s="2" t="s">
        <v>264</v>
      </c>
      <c r="C398" s="2" t="s">
        <v>199</v>
      </c>
      <c r="D398" s="2">
        <v>3.0</v>
      </c>
      <c r="E398" s="2">
        <v>25.0</v>
      </c>
      <c r="P398" s="2">
        <v>1.0</v>
      </c>
      <c r="R398" s="2">
        <v>1.0</v>
      </c>
      <c r="Z398" s="2">
        <v>1.0</v>
      </c>
      <c r="AT398" s="2">
        <v>3.0</v>
      </c>
      <c r="BC398" s="2">
        <v>2.0</v>
      </c>
      <c r="BI398" s="2">
        <v>9.0</v>
      </c>
      <c r="CI398" s="2">
        <v>8.0</v>
      </c>
      <c r="CQ398" s="15">
        <f t="shared" si="17"/>
        <v>25</v>
      </c>
      <c r="CS398" s="2" t="s">
        <v>247</v>
      </c>
      <c r="CT398" s="2">
        <v>5.0</v>
      </c>
    </row>
    <row r="399">
      <c r="A399" s="9">
        <v>45347.0</v>
      </c>
      <c r="B399" s="2" t="s">
        <v>264</v>
      </c>
      <c r="C399" s="2" t="s">
        <v>199</v>
      </c>
      <c r="D399" s="2">
        <v>3.0</v>
      </c>
      <c r="E399" s="2">
        <v>30.0</v>
      </c>
      <c r="R399" s="2">
        <v>2.0</v>
      </c>
      <c r="AJ399" s="2">
        <v>1.0</v>
      </c>
      <c r="AM399" s="2">
        <v>1.0</v>
      </c>
      <c r="AT399" s="2">
        <v>2.0</v>
      </c>
      <c r="AV399" s="2">
        <v>2.0</v>
      </c>
      <c r="BC399" s="2">
        <v>3.0</v>
      </c>
      <c r="BI399" s="2">
        <v>7.0</v>
      </c>
      <c r="BR399" s="2">
        <v>5.0</v>
      </c>
      <c r="CI399" s="2">
        <v>1.0</v>
      </c>
      <c r="CL399" s="2">
        <v>1.0</v>
      </c>
      <c r="CQ399" s="15">
        <f t="shared" si="17"/>
        <v>25</v>
      </c>
      <c r="CS399" s="2" t="s">
        <v>247</v>
      </c>
      <c r="CT399" s="2">
        <v>5.0</v>
      </c>
    </row>
    <row r="400">
      <c r="A400" s="9">
        <v>45347.0</v>
      </c>
      <c r="B400" s="2" t="s">
        <v>264</v>
      </c>
      <c r="C400" s="2" t="s">
        <v>199</v>
      </c>
      <c r="D400" s="2">
        <v>3.0</v>
      </c>
      <c r="E400" s="2">
        <v>35.0</v>
      </c>
      <c r="F400" s="2">
        <v>1.0</v>
      </c>
      <c r="J400" s="2">
        <v>1.0</v>
      </c>
      <c r="P400" s="2">
        <v>1.0</v>
      </c>
      <c r="R400" s="2">
        <v>1.0</v>
      </c>
      <c r="AM400" s="2">
        <v>1.0</v>
      </c>
      <c r="AT400" s="2">
        <v>1.0</v>
      </c>
      <c r="BC400" s="2">
        <v>5.0</v>
      </c>
      <c r="BF400" s="2">
        <v>1.0</v>
      </c>
      <c r="BI400" s="2">
        <v>3.0</v>
      </c>
      <c r="BM400" s="2">
        <v>1.0</v>
      </c>
      <c r="BR400" s="2">
        <v>7.0</v>
      </c>
      <c r="BT400" s="2">
        <v>1.0</v>
      </c>
      <c r="CJ400" s="2">
        <v>1.0</v>
      </c>
      <c r="CQ400" s="15">
        <f t="shared" si="17"/>
        <v>25</v>
      </c>
      <c r="CS400" s="2" t="s">
        <v>251</v>
      </c>
      <c r="CT400" s="2">
        <v>5.0</v>
      </c>
    </row>
    <row r="401">
      <c r="A401" s="9">
        <v>45347.0</v>
      </c>
      <c r="B401" s="2" t="s">
        <v>264</v>
      </c>
      <c r="C401" s="2" t="s">
        <v>199</v>
      </c>
      <c r="D401" s="2">
        <v>3.0</v>
      </c>
      <c r="E401" s="2">
        <v>40.0</v>
      </c>
      <c r="R401" s="2">
        <v>1.0</v>
      </c>
      <c r="AJ401" s="2">
        <v>1.0</v>
      </c>
      <c r="AT401" s="2">
        <v>4.0</v>
      </c>
      <c r="AW401" s="2">
        <v>1.0</v>
      </c>
      <c r="BF401" s="2">
        <v>1.0</v>
      </c>
      <c r="BR401" s="2">
        <v>2.0</v>
      </c>
      <c r="CI401" s="2">
        <v>15.0</v>
      </c>
      <c r="CQ401" s="15">
        <f t="shared" si="17"/>
        <v>25</v>
      </c>
      <c r="CS401" s="2" t="s">
        <v>251</v>
      </c>
      <c r="CT401" s="2">
        <v>0.0</v>
      </c>
    </row>
    <row r="402">
      <c r="A402" s="9">
        <v>45347.0</v>
      </c>
      <c r="B402" s="2" t="s">
        <v>264</v>
      </c>
      <c r="C402" s="2" t="s">
        <v>199</v>
      </c>
      <c r="D402" s="2">
        <v>4.0</v>
      </c>
      <c r="E402" s="2">
        <v>0.0</v>
      </c>
      <c r="Z402" s="2">
        <v>1.0</v>
      </c>
      <c r="AJ402" s="2">
        <v>3.0</v>
      </c>
      <c r="AV402" s="2">
        <v>4.0</v>
      </c>
      <c r="BI402" s="2">
        <v>2.0</v>
      </c>
      <c r="BR402" s="2">
        <v>7.0</v>
      </c>
      <c r="CJ402" s="2">
        <v>1.0</v>
      </c>
      <c r="CL402" s="2">
        <v>8.0</v>
      </c>
      <c r="CQ402" s="15">
        <f t="shared" si="17"/>
        <v>26</v>
      </c>
      <c r="CS402" s="2" t="s">
        <v>247</v>
      </c>
      <c r="CT402" s="2">
        <v>5.0</v>
      </c>
    </row>
    <row r="403">
      <c r="A403" s="9">
        <v>45347.0</v>
      </c>
      <c r="B403" s="2" t="s">
        <v>264</v>
      </c>
      <c r="C403" s="2" t="s">
        <v>199</v>
      </c>
      <c r="D403" s="2">
        <v>4.0</v>
      </c>
      <c r="E403" s="2">
        <v>5.0</v>
      </c>
      <c r="R403" s="2">
        <v>2.0</v>
      </c>
      <c r="AV403" s="2">
        <v>1.0</v>
      </c>
      <c r="BI403" s="2">
        <v>2.0</v>
      </c>
      <c r="BR403" s="2">
        <v>3.0</v>
      </c>
      <c r="CI403" s="2">
        <v>7.0</v>
      </c>
      <c r="CJ403" s="2">
        <v>2.0</v>
      </c>
      <c r="CK403" s="2">
        <v>2.0</v>
      </c>
      <c r="CL403" s="2">
        <v>6.0</v>
      </c>
      <c r="CQ403" s="15">
        <f t="shared" si="17"/>
        <v>25</v>
      </c>
      <c r="CS403" s="2" t="s">
        <v>247</v>
      </c>
      <c r="CT403" s="2">
        <v>10.0</v>
      </c>
    </row>
    <row r="404">
      <c r="A404" s="9">
        <v>45347.0</v>
      </c>
      <c r="B404" s="2" t="s">
        <v>264</v>
      </c>
      <c r="C404" s="2" t="s">
        <v>199</v>
      </c>
      <c r="D404" s="2">
        <v>4.0</v>
      </c>
      <c r="E404" s="2">
        <v>10.0</v>
      </c>
      <c r="R404" s="2">
        <v>3.0</v>
      </c>
      <c r="Z404" s="2">
        <v>3.0</v>
      </c>
      <c r="AJ404" s="2">
        <v>2.0</v>
      </c>
      <c r="AV404" s="2">
        <v>1.0</v>
      </c>
      <c r="BC404" s="2">
        <v>1.0</v>
      </c>
      <c r="BR404" s="2">
        <v>7.0</v>
      </c>
      <c r="CK404" s="2">
        <v>2.0</v>
      </c>
      <c r="CL404" s="2">
        <v>6.0</v>
      </c>
      <c r="CQ404" s="15">
        <f t="shared" si="17"/>
        <v>25</v>
      </c>
      <c r="CS404" s="2" t="s">
        <v>247</v>
      </c>
      <c r="CT404" s="2">
        <v>10.0</v>
      </c>
    </row>
    <row r="405">
      <c r="A405" s="9">
        <v>45347.0</v>
      </c>
      <c r="B405" s="2" t="s">
        <v>264</v>
      </c>
      <c r="C405" s="2" t="s">
        <v>199</v>
      </c>
      <c r="D405" s="2">
        <v>4.0</v>
      </c>
      <c r="E405" s="2">
        <v>15.0</v>
      </c>
      <c r="AJ405" s="2">
        <v>6.0</v>
      </c>
      <c r="AV405" s="2">
        <v>6.0</v>
      </c>
      <c r="BR405" s="2">
        <v>1.0</v>
      </c>
      <c r="BX405" s="2">
        <v>3.0</v>
      </c>
      <c r="CI405" s="2">
        <v>2.0</v>
      </c>
      <c r="CJ405" s="2">
        <v>4.0</v>
      </c>
      <c r="CP405" s="2">
        <v>1.0</v>
      </c>
      <c r="CQ405" s="15">
        <f t="shared" si="17"/>
        <v>23</v>
      </c>
      <c r="CS405" s="2" t="s">
        <v>247</v>
      </c>
      <c r="CT405" s="2">
        <v>1.0</v>
      </c>
    </row>
    <row r="406">
      <c r="A406" s="9">
        <v>45347.0</v>
      </c>
      <c r="B406" s="2" t="s">
        <v>264</v>
      </c>
      <c r="C406" s="2" t="s">
        <v>199</v>
      </c>
      <c r="D406" s="2">
        <v>4.0</v>
      </c>
      <c r="E406" s="2">
        <v>20.0</v>
      </c>
      <c r="R406" s="2">
        <v>2.0</v>
      </c>
      <c r="AJ406" s="2">
        <v>1.0</v>
      </c>
      <c r="BC406" s="2">
        <v>3.0</v>
      </c>
      <c r="BR406" s="2">
        <v>5.0</v>
      </c>
      <c r="CI406" s="2">
        <v>6.0</v>
      </c>
      <c r="CJ406" s="2">
        <v>3.0</v>
      </c>
      <c r="CL406" s="2">
        <v>4.0</v>
      </c>
      <c r="CQ406" s="15">
        <f t="shared" si="17"/>
        <v>24</v>
      </c>
      <c r="CS406" s="2" t="s">
        <v>247</v>
      </c>
      <c r="CT406" s="2">
        <v>10.0</v>
      </c>
    </row>
    <row r="407">
      <c r="A407" s="9">
        <v>45347.0</v>
      </c>
      <c r="B407" s="2" t="s">
        <v>264</v>
      </c>
      <c r="C407" s="2" t="s">
        <v>199</v>
      </c>
      <c r="D407" s="2">
        <v>4.0</v>
      </c>
      <c r="E407" s="2">
        <v>25.0</v>
      </c>
      <c r="R407" s="2">
        <v>1.0</v>
      </c>
      <c r="AJ407" s="2">
        <v>8.0</v>
      </c>
      <c r="AV407" s="2">
        <v>3.0</v>
      </c>
      <c r="BR407" s="2">
        <v>2.0</v>
      </c>
      <c r="CI407" s="2">
        <v>11.0</v>
      </c>
      <c r="CQ407" s="15">
        <f t="shared" si="17"/>
        <v>25</v>
      </c>
      <c r="CS407" s="2" t="s">
        <v>247</v>
      </c>
      <c r="CT407" s="2">
        <v>10.0</v>
      </c>
    </row>
    <row r="408">
      <c r="A408" s="9">
        <v>45347.0</v>
      </c>
      <c r="B408" s="2" t="s">
        <v>264</v>
      </c>
      <c r="C408" s="2" t="s">
        <v>199</v>
      </c>
      <c r="D408" s="2">
        <v>4.0</v>
      </c>
      <c r="E408" s="2">
        <v>30.0</v>
      </c>
      <c r="R408" s="2">
        <v>3.0</v>
      </c>
      <c r="AJ408" s="2">
        <v>2.0</v>
      </c>
      <c r="AV408" s="2">
        <v>2.0</v>
      </c>
      <c r="BC408" s="2">
        <v>4.0</v>
      </c>
      <c r="BR408" s="2">
        <v>1.0</v>
      </c>
      <c r="CB408" s="2">
        <v>1.0</v>
      </c>
      <c r="CI408" s="2">
        <v>3.0</v>
      </c>
      <c r="CJ408" s="2">
        <v>2.0</v>
      </c>
      <c r="CL408" s="2">
        <v>7.0</v>
      </c>
      <c r="CQ408" s="15">
        <f t="shared" si="17"/>
        <v>25</v>
      </c>
      <c r="CS408" s="2" t="s">
        <v>247</v>
      </c>
      <c r="CT408" s="2">
        <v>10.0</v>
      </c>
    </row>
    <row r="409">
      <c r="A409" s="9">
        <v>45347.0</v>
      </c>
      <c r="B409" s="2" t="s">
        <v>264</v>
      </c>
      <c r="C409" s="2" t="s">
        <v>199</v>
      </c>
      <c r="D409" s="2">
        <v>4.0</v>
      </c>
      <c r="E409" s="2">
        <v>35.0</v>
      </c>
      <c r="R409" s="2">
        <v>3.0</v>
      </c>
      <c r="W409" s="2">
        <v>1.0</v>
      </c>
      <c r="AJ409" s="2">
        <v>1.0</v>
      </c>
      <c r="AV409" s="2">
        <v>13.0</v>
      </c>
      <c r="AW409" s="2">
        <v>2.0</v>
      </c>
      <c r="BF409" s="2">
        <v>1.0</v>
      </c>
      <c r="CI409" s="2">
        <v>1.0</v>
      </c>
      <c r="CL409" s="2">
        <v>3.0</v>
      </c>
      <c r="CQ409" s="15">
        <f t="shared" si="17"/>
        <v>25</v>
      </c>
      <c r="CS409" s="2" t="s">
        <v>251</v>
      </c>
      <c r="CT409" s="2">
        <v>5.0</v>
      </c>
    </row>
    <row r="410">
      <c r="A410" s="9">
        <v>45347.0</v>
      </c>
      <c r="B410" s="2" t="s">
        <v>264</v>
      </c>
      <c r="C410" s="2" t="s">
        <v>199</v>
      </c>
      <c r="D410" s="2">
        <v>4.0</v>
      </c>
      <c r="E410" s="2">
        <v>40.0</v>
      </c>
      <c r="J410" s="2">
        <v>8.0</v>
      </c>
      <c r="R410" s="2">
        <v>1.0</v>
      </c>
      <c r="CI410" s="2">
        <v>9.0</v>
      </c>
      <c r="CJ410" s="2">
        <v>4.0</v>
      </c>
      <c r="CL410" s="2">
        <v>3.0</v>
      </c>
      <c r="CQ410" s="15">
        <f t="shared" si="17"/>
        <v>25</v>
      </c>
      <c r="CS410" s="2" t="s">
        <v>251</v>
      </c>
      <c r="CT410" s="2">
        <v>5.0</v>
      </c>
    </row>
    <row r="411">
      <c r="A411" s="9">
        <v>45347.0</v>
      </c>
      <c r="B411" s="2" t="s">
        <v>146</v>
      </c>
      <c r="C411" s="2" t="s">
        <v>51</v>
      </c>
      <c r="D411" s="2">
        <v>1.0</v>
      </c>
      <c r="E411" s="2">
        <v>2.0</v>
      </c>
      <c r="AK411" s="2"/>
      <c r="AL411" s="2">
        <v>3.0</v>
      </c>
      <c r="BE411" s="2">
        <v>1.0</v>
      </c>
      <c r="BK411" s="2">
        <v>19.0</v>
      </c>
      <c r="BL411" s="2">
        <v>1.0</v>
      </c>
      <c r="CQ411" s="15">
        <f t="shared" ref="CQ411:CQ450" si="18">sum(F411:CN411)</f>
        <v>24</v>
      </c>
    </row>
    <row r="412">
      <c r="A412" s="9">
        <v>45347.0</v>
      </c>
      <c r="B412" s="2" t="s">
        <v>146</v>
      </c>
      <c r="C412" s="2" t="s">
        <v>51</v>
      </c>
      <c r="D412" s="2">
        <v>1.0</v>
      </c>
      <c r="E412" s="2">
        <v>3.0</v>
      </c>
      <c r="AB412" s="2">
        <v>1.0</v>
      </c>
      <c r="AC412" s="2"/>
      <c r="AK412" s="2"/>
      <c r="AL412" s="2">
        <v>1.0</v>
      </c>
      <c r="BE412" s="2">
        <v>1.0</v>
      </c>
      <c r="BF412" s="2">
        <v>1.0</v>
      </c>
      <c r="BI412" s="2">
        <v>17.0</v>
      </c>
      <c r="BK412" s="2">
        <v>4.0</v>
      </c>
      <c r="CK412" s="2">
        <v>1.0</v>
      </c>
      <c r="CQ412" s="15">
        <f t="shared" si="18"/>
        <v>26</v>
      </c>
    </row>
    <row r="413">
      <c r="A413" s="9">
        <v>45347.0</v>
      </c>
      <c r="B413" s="2" t="s">
        <v>146</v>
      </c>
      <c r="C413" s="2" t="s">
        <v>51</v>
      </c>
      <c r="D413" s="2">
        <v>1.0</v>
      </c>
      <c r="E413" s="2">
        <v>4.0</v>
      </c>
      <c r="P413" s="2">
        <v>1.0</v>
      </c>
      <c r="BE413" s="2">
        <v>1.0</v>
      </c>
      <c r="BI413" s="2">
        <v>22.0</v>
      </c>
      <c r="CK413" s="2">
        <v>1.0</v>
      </c>
      <c r="CQ413" s="15">
        <f t="shared" si="18"/>
        <v>25</v>
      </c>
    </row>
    <row r="414">
      <c r="A414" s="9">
        <v>45347.0</v>
      </c>
      <c r="B414" s="2" t="s">
        <v>146</v>
      </c>
      <c r="C414" s="2" t="s">
        <v>51</v>
      </c>
      <c r="D414" s="2">
        <v>1.0</v>
      </c>
      <c r="E414" s="2">
        <v>5.0</v>
      </c>
      <c r="BI414" s="2">
        <v>23.0</v>
      </c>
      <c r="CK414" s="2">
        <v>2.0</v>
      </c>
      <c r="CQ414" s="15">
        <f t="shared" si="18"/>
        <v>25</v>
      </c>
    </row>
    <row r="415">
      <c r="A415" s="9">
        <v>45347.0</v>
      </c>
      <c r="B415" s="2" t="s">
        <v>146</v>
      </c>
      <c r="C415" s="2" t="s">
        <v>51</v>
      </c>
      <c r="D415" s="2">
        <v>1.0</v>
      </c>
      <c r="E415" s="2">
        <v>6.0</v>
      </c>
      <c r="AV415" s="2">
        <v>7.0</v>
      </c>
      <c r="BI415" s="2">
        <v>10.0</v>
      </c>
      <c r="BK415" s="2">
        <v>5.0</v>
      </c>
      <c r="CM415" s="2">
        <v>3.0</v>
      </c>
      <c r="CQ415" s="15">
        <f t="shared" si="18"/>
        <v>25</v>
      </c>
    </row>
    <row r="416">
      <c r="A416" s="9">
        <v>45347.0</v>
      </c>
      <c r="B416" s="2" t="s">
        <v>146</v>
      </c>
      <c r="C416" s="2" t="s">
        <v>51</v>
      </c>
      <c r="D416" s="2">
        <v>1.0</v>
      </c>
      <c r="E416" s="2">
        <v>7.0</v>
      </c>
      <c r="AV416" s="2">
        <v>16.0</v>
      </c>
      <c r="BI416" s="2">
        <v>8.0</v>
      </c>
      <c r="CI416" s="2">
        <v>1.0</v>
      </c>
      <c r="CQ416" s="15">
        <f t="shared" si="18"/>
        <v>25</v>
      </c>
    </row>
    <row r="417">
      <c r="A417" s="9">
        <v>45347.0</v>
      </c>
      <c r="B417" s="2" t="s">
        <v>146</v>
      </c>
      <c r="C417" s="2" t="s">
        <v>51</v>
      </c>
      <c r="D417" s="2">
        <v>1.0</v>
      </c>
      <c r="E417" s="2">
        <v>8.0</v>
      </c>
      <c r="AV417" s="2">
        <v>11.0</v>
      </c>
      <c r="BI417" s="2">
        <v>9.0</v>
      </c>
      <c r="CI417" s="2">
        <v>5.0</v>
      </c>
      <c r="CQ417" s="15">
        <f t="shared" si="18"/>
        <v>25</v>
      </c>
    </row>
    <row r="418">
      <c r="A418" s="9">
        <v>45347.0</v>
      </c>
      <c r="B418" s="2" t="s">
        <v>146</v>
      </c>
      <c r="C418" s="2" t="s">
        <v>51</v>
      </c>
      <c r="D418" s="2">
        <v>1.0</v>
      </c>
      <c r="E418" s="2">
        <v>9.0</v>
      </c>
      <c r="BD418" s="2">
        <v>13.0</v>
      </c>
      <c r="BR418" s="2">
        <v>12.0</v>
      </c>
      <c r="CQ418" s="15">
        <f t="shared" si="18"/>
        <v>25</v>
      </c>
    </row>
    <row r="419">
      <c r="A419" s="9">
        <v>45347.0</v>
      </c>
      <c r="B419" s="2" t="s">
        <v>146</v>
      </c>
      <c r="C419" s="2" t="s">
        <v>51</v>
      </c>
      <c r="D419" s="2">
        <v>1.0</v>
      </c>
      <c r="E419" s="2">
        <v>10.0</v>
      </c>
      <c r="S419" s="2">
        <v>4.0</v>
      </c>
      <c r="AV419" s="2">
        <v>3.0</v>
      </c>
      <c r="BF419" s="2">
        <v>1.0</v>
      </c>
      <c r="BI419" s="2">
        <v>2.0</v>
      </c>
      <c r="BR419" s="2">
        <v>3.0</v>
      </c>
      <c r="BW419" s="2">
        <v>2.0</v>
      </c>
      <c r="CI419" s="2">
        <v>5.0</v>
      </c>
      <c r="CK419" s="2">
        <v>3.0</v>
      </c>
      <c r="CM419" s="2">
        <v>2.0</v>
      </c>
      <c r="CQ419" s="15">
        <f t="shared" si="18"/>
        <v>25</v>
      </c>
    </row>
    <row r="420">
      <c r="A420" s="9">
        <v>45347.0</v>
      </c>
      <c r="B420" s="2" t="s">
        <v>146</v>
      </c>
      <c r="C420" s="2" t="s">
        <v>51</v>
      </c>
      <c r="D420" s="2">
        <v>1.0</v>
      </c>
      <c r="E420" s="2">
        <v>11.0</v>
      </c>
      <c r="P420" s="2">
        <v>2.0</v>
      </c>
      <c r="BI420" s="2">
        <v>3.0</v>
      </c>
      <c r="BR420" s="2">
        <v>5.0</v>
      </c>
      <c r="BW420" s="2">
        <v>5.0</v>
      </c>
      <c r="CK420" s="2">
        <v>10.0</v>
      </c>
      <c r="CQ420" s="15">
        <f t="shared" si="18"/>
        <v>25</v>
      </c>
    </row>
    <row r="421">
      <c r="A421" s="9">
        <v>45347.0</v>
      </c>
      <c r="B421" s="2" t="s">
        <v>146</v>
      </c>
      <c r="C421" s="2" t="s">
        <v>51</v>
      </c>
      <c r="D421" s="2">
        <v>1.0</v>
      </c>
      <c r="E421" s="2">
        <v>12.0</v>
      </c>
      <c r="BR421" s="2">
        <v>5.0</v>
      </c>
      <c r="CG421" s="2">
        <v>1.0</v>
      </c>
      <c r="CK421" s="2">
        <v>19.0</v>
      </c>
      <c r="CQ421" s="15">
        <f t="shared" si="18"/>
        <v>25</v>
      </c>
    </row>
    <row r="422">
      <c r="A422" s="9">
        <v>45347.0</v>
      </c>
      <c r="B422" s="2" t="s">
        <v>146</v>
      </c>
      <c r="C422" s="2" t="s">
        <v>51</v>
      </c>
      <c r="D422" s="2">
        <v>2.0</v>
      </c>
      <c r="E422" s="2">
        <v>2.0</v>
      </c>
      <c r="AK422" s="2"/>
      <c r="AL422" s="2">
        <v>5.0</v>
      </c>
      <c r="AY422" s="2">
        <v>12.0</v>
      </c>
      <c r="BK422" s="2">
        <v>7.0</v>
      </c>
      <c r="CK422" s="2">
        <v>1.0</v>
      </c>
      <c r="CQ422" s="15">
        <f t="shared" si="18"/>
        <v>25</v>
      </c>
    </row>
    <row r="423">
      <c r="A423" s="9">
        <v>45347.0</v>
      </c>
      <c r="B423" s="2" t="s">
        <v>146</v>
      </c>
      <c r="C423" s="2" t="s">
        <v>51</v>
      </c>
      <c r="D423" s="2">
        <v>2.0</v>
      </c>
      <c r="E423" s="2">
        <v>3.0</v>
      </c>
      <c r="P423" s="2">
        <v>1.0</v>
      </c>
      <c r="AB423" s="2">
        <v>7.0</v>
      </c>
      <c r="AC423" s="2"/>
      <c r="AK423" s="2"/>
      <c r="AL423" s="2">
        <v>2.0</v>
      </c>
      <c r="BK423" s="2">
        <v>13.0</v>
      </c>
      <c r="CK423" s="2">
        <v>2.0</v>
      </c>
      <c r="CQ423" s="15">
        <f t="shared" si="18"/>
        <v>25</v>
      </c>
    </row>
    <row r="424">
      <c r="A424" s="9">
        <v>45347.0</v>
      </c>
      <c r="B424" s="2" t="s">
        <v>146</v>
      </c>
      <c r="C424" s="2" t="s">
        <v>51</v>
      </c>
      <c r="D424" s="2">
        <v>2.0</v>
      </c>
      <c r="E424" s="2">
        <v>4.0</v>
      </c>
      <c r="R424" s="2">
        <v>1.0</v>
      </c>
      <c r="BE424" s="2">
        <v>1.0</v>
      </c>
      <c r="BK424" s="2">
        <v>12.0</v>
      </c>
      <c r="BL424" s="2">
        <v>8.0</v>
      </c>
      <c r="CK424" s="2">
        <v>3.0</v>
      </c>
      <c r="CQ424" s="15">
        <f t="shared" si="18"/>
        <v>25</v>
      </c>
    </row>
    <row r="425">
      <c r="A425" s="9">
        <v>45347.0</v>
      </c>
      <c r="B425" s="2" t="s">
        <v>146</v>
      </c>
      <c r="C425" s="2" t="s">
        <v>51</v>
      </c>
      <c r="D425" s="2">
        <v>2.0</v>
      </c>
      <c r="E425" s="2">
        <v>5.0</v>
      </c>
      <c r="BI425" s="2">
        <v>21.0</v>
      </c>
      <c r="BK425" s="2">
        <v>4.0</v>
      </c>
      <c r="CQ425" s="15">
        <f t="shared" si="18"/>
        <v>25</v>
      </c>
    </row>
    <row r="426">
      <c r="A426" s="9">
        <v>45347.0</v>
      </c>
      <c r="B426" s="2" t="s">
        <v>146</v>
      </c>
      <c r="C426" s="2" t="s">
        <v>51</v>
      </c>
      <c r="D426" s="2">
        <v>2.0</v>
      </c>
      <c r="E426" s="2">
        <v>6.0</v>
      </c>
      <c r="BI426" s="2">
        <v>22.0</v>
      </c>
      <c r="BK426" s="2">
        <v>3.0</v>
      </c>
      <c r="CQ426" s="15">
        <f t="shared" si="18"/>
        <v>25</v>
      </c>
    </row>
    <row r="427">
      <c r="A427" s="9">
        <v>45347.0</v>
      </c>
      <c r="B427" s="2" t="s">
        <v>146</v>
      </c>
      <c r="C427" s="2" t="s">
        <v>51</v>
      </c>
      <c r="D427" s="2">
        <v>2.0</v>
      </c>
      <c r="E427" s="2">
        <v>7.0</v>
      </c>
      <c r="AK427" s="2"/>
      <c r="AL427" s="2">
        <v>1.0</v>
      </c>
      <c r="AV427" s="2">
        <v>3.0</v>
      </c>
      <c r="BI427" s="2">
        <v>16.0</v>
      </c>
      <c r="BK427" s="2">
        <v>1.0</v>
      </c>
      <c r="CI427" s="2">
        <v>4.0</v>
      </c>
      <c r="CQ427" s="15">
        <f t="shared" si="18"/>
        <v>25</v>
      </c>
    </row>
    <row r="428">
      <c r="A428" s="9">
        <v>45347.0</v>
      </c>
      <c r="B428" s="2" t="s">
        <v>146</v>
      </c>
      <c r="C428" s="2" t="s">
        <v>51</v>
      </c>
      <c r="D428" s="2">
        <v>2.0</v>
      </c>
      <c r="E428" s="2">
        <v>8.0</v>
      </c>
      <c r="AV428" s="2">
        <v>16.0</v>
      </c>
      <c r="BI428" s="2">
        <v>7.0</v>
      </c>
      <c r="BK428" s="2">
        <v>2.0</v>
      </c>
      <c r="CQ428" s="15">
        <f t="shared" si="18"/>
        <v>25</v>
      </c>
    </row>
    <row r="429">
      <c r="A429" s="9">
        <v>45347.0</v>
      </c>
      <c r="B429" s="2" t="s">
        <v>146</v>
      </c>
      <c r="C429" s="2" t="s">
        <v>51</v>
      </c>
      <c r="D429" s="2">
        <v>2.0</v>
      </c>
      <c r="E429" s="2">
        <v>9.0</v>
      </c>
      <c r="AV429" s="2">
        <v>21.0</v>
      </c>
      <c r="BI429" s="2">
        <v>3.0</v>
      </c>
      <c r="CI429" s="2">
        <v>1.0</v>
      </c>
      <c r="CQ429" s="15">
        <f t="shared" si="18"/>
        <v>25</v>
      </c>
    </row>
    <row r="430">
      <c r="A430" s="9">
        <v>45347.0</v>
      </c>
      <c r="B430" s="2" t="s">
        <v>146</v>
      </c>
      <c r="C430" s="2" t="s">
        <v>51</v>
      </c>
      <c r="D430" s="2">
        <v>2.0</v>
      </c>
      <c r="E430" s="2">
        <v>10.0</v>
      </c>
      <c r="AV430" s="2">
        <v>1.0</v>
      </c>
      <c r="BR430" s="2">
        <v>15.0</v>
      </c>
      <c r="CK430" s="2">
        <v>9.0</v>
      </c>
      <c r="CM430" s="2">
        <v>1.0</v>
      </c>
      <c r="CQ430" s="15">
        <f t="shared" si="18"/>
        <v>26</v>
      </c>
    </row>
    <row r="431">
      <c r="A431" s="9">
        <v>45347.0</v>
      </c>
      <c r="B431" s="2" t="s">
        <v>146</v>
      </c>
      <c r="C431" s="2" t="s">
        <v>51</v>
      </c>
      <c r="D431" s="2">
        <v>2.0</v>
      </c>
      <c r="E431" s="2">
        <v>11.0</v>
      </c>
      <c r="CK431" s="2">
        <v>15.0</v>
      </c>
      <c r="CM431" s="2">
        <v>10.0</v>
      </c>
      <c r="CQ431" s="15">
        <f t="shared" si="18"/>
        <v>25</v>
      </c>
    </row>
    <row r="432">
      <c r="A432" s="9">
        <v>45347.0</v>
      </c>
      <c r="B432" s="2" t="s">
        <v>146</v>
      </c>
      <c r="C432" s="2" t="s">
        <v>51</v>
      </c>
      <c r="D432" s="2">
        <v>2.0</v>
      </c>
      <c r="E432" s="2">
        <v>12.0</v>
      </c>
      <c r="CK432" s="2">
        <v>25.0</v>
      </c>
      <c r="CQ432" s="15">
        <f t="shared" si="18"/>
        <v>25</v>
      </c>
    </row>
    <row r="433">
      <c r="A433" s="6">
        <v>45353.0</v>
      </c>
      <c r="B433" s="2" t="s">
        <v>57</v>
      </c>
      <c r="C433" s="2" t="s">
        <v>65</v>
      </c>
      <c r="D433" s="2">
        <v>1.0</v>
      </c>
      <c r="E433" s="2">
        <v>2.0</v>
      </c>
      <c r="W433" s="2"/>
      <c r="AV433" s="2">
        <v>5.0</v>
      </c>
      <c r="AW433" s="2"/>
      <c r="BI433" s="2">
        <v>2.0</v>
      </c>
      <c r="BK433" s="2">
        <v>1.0</v>
      </c>
      <c r="BP433" s="2">
        <v>2.0</v>
      </c>
      <c r="BR433" s="2">
        <v>4.0</v>
      </c>
      <c r="CK433" s="2">
        <v>11.0</v>
      </c>
      <c r="CQ433" s="15">
        <f t="shared" si="18"/>
        <v>25</v>
      </c>
    </row>
    <row r="434">
      <c r="A434" s="6">
        <v>45353.0</v>
      </c>
      <c r="B434" s="2" t="s">
        <v>57</v>
      </c>
      <c r="C434" s="2" t="s">
        <v>65</v>
      </c>
      <c r="D434" s="2">
        <v>1.0</v>
      </c>
      <c r="E434" s="2">
        <v>4.0</v>
      </c>
      <c r="W434" s="2"/>
      <c r="AV434" s="2">
        <v>2.0</v>
      </c>
      <c r="AW434" s="2"/>
      <c r="BI434" s="2">
        <v>5.0</v>
      </c>
      <c r="BK434" s="2">
        <v>9.0</v>
      </c>
      <c r="BP434" s="2">
        <v>1.0</v>
      </c>
      <c r="BR434" s="2">
        <v>2.0</v>
      </c>
      <c r="CI434" s="2">
        <v>1.0</v>
      </c>
      <c r="CK434" s="2">
        <v>5.0</v>
      </c>
      <c r="CQ434" s="15">
        <f t="shared" si="18"/>
        <v>25</v>
      </c>
    </row>
    <row r="435">
      <c r="A435" s="6">
        <v>45353.0</v>
      </c>
      <c r="B435" s="2" t="s">
        <v>57</v>
      </c>
      <c r="C435" s="2" t="s">
        <v>65</v>
      </c>
      <c r="D435" s="2">
        <v>1.0</v>
      </c>
      <c r="E435" s="2">
        <v>6.0</v>
      </c>
      <c r="W435" s="2">
        <v>6.0</v>
      </c>
      <c r="AW435" s="2"/>
      <c r="BK435" s="2">
        <v>12.0</v>
      </c>
      <c r="BP435" s="2">
        <v>3.0</v>
      </c>
      <c r="BR435" s="2"/>
      <c r="CK435" s="2">
        <v>4.0</v>
      </c>
      <c r="CQ435" s="15">
        <f t="shared" si="18"/>
        <v>25</v>
      </c>
    </row>
    <row r="436">
      <c r="A436" s="6">
        <v>45353.0</v>
      </c>
      <c r="B436" s="2" t="s">
        <v>57</v>
      </c>
      <c r="C436" s="2" t="s">
        <v>65</v>
      </c>
      <c r="D436" s="2">
        <v>1.0</v>
      </c>
      <c r="E436" s="2">
        <v>8.0</v>
      </c>
      <c r="W436" s="2">
        <v>1.0</v>
      </c>
      <c r="AC436" s="2">
        <v>2.0</v>
      </c>
      <c r="AV436" s="2">
        <v>2.0</v>
      </c>
      <c r="AW436" s="2"/>
      <c r="BE436" s="2">
        <v>1.0</v>
      </c>
      <c r="BK436" s="2">
        <v>13.0</v>
      </c>
      <c r="BP436" s="2"/>
      <c r="BR436" s="2">
        <v>1.0</v>
      </c>
      <c r="CK436" s="2">
        <v>5.0</v>
      </c>
      <c r="CQ436" s="15">
        <f t="shared" si="18"/>
        <v>25</v>
      </c>
    </row>
    <row r="437">
      <c r="A437" s="6">
        <v>45353.0</v>
      </c>
      <c r="B437" s="2" t="s">
        <v>57</v>
      </c>
      <c r="C437" s="2" t="s">
        <v>65</v>
      </c>
      <c r="D437" s="2">
        <v>1.0</v>
      </c>
      <c r="E437" s="2">
        <v>10.0</v>
      </c>
      <c r="W437" s="2"/>
      <c r="AC437" s="2">
        <v>2.0</v>
      </c>
      <c r="AV437" s="2">
        <v>1.0</v>
      </c>
      <c r="AW437" s="2"/>
      <c r="BE437" s="2">
        <v>1.0</v>
      </c>
      <c r="BI437" s="2">
        <v>8.0</v>
      </c>
      <c r="BK437" s="2">
        <v>7.0</v>
      </c>
      <c r="BP437" s="2"/>
      <c r="BR437" s="2"/>
      <c r="CI437" s="2">
        <v>4.0</v>
      </c>
      <c r="CK437" s="2">
        <v>2.0</v>
      </c>
      <c r="CQ437" s="15">
        <f t="shared" si="18"/>
        <v>25</v>
      </c>
    </row>
    <row r="438">
      <c r="A438" s="6">
        <v>45353.0</v>
      </c>
      <c r="B438" s="2" t="s">
        <v>57</v>
      </c>
      <c r="C438" s="2" t="s">
        <v>65</v>
      </c>
      <c r="D438" s="2">
        <v>1.0</v>
      </c>
      <c r="E438" s="2">
        <v>12.0</v>
      </c>
      <c r="W438" s="2"/>
      <c r="X438" s="2">
        <v>2.0</v>
      </c>
      <c r="AC438" s="2"/>
      <c r="AV438" s="2">
        <v>2.0</v>
      </c>
      <c r="AW438" s="2"/>
      <c r="BE438" s="2"/>
      <c r="BF438" s="2">
        <v>3.0</v>
      </c>
      <c r="BI438" s="2">
        <v>3.0</v>
      </c>
      <c r="BK438" s="2">
        <v>10.0</v>
      </c>
      <c r="BP438" s="2"/>
      <c r="BR438" s="2"/>
      <c r="CI438" s="2">
        <v>3.0</v>
      </c>
      <c r="CK438" s="2">
        <v>2.0</v>
      </c>
      <c r="CQ438" s="15">
        <f t="shared" si="18"/>
        <v>25</v>
      </c>
    </row>
    <row r="439">
      <c r="A439" s="6">
        <v>45353.0</v>
      </c>
      <c r="B439" s="2" t="s">
        <v>57</v>
      </c>
      <c r="C439" s="2" t="s">
        <v>65</v>
      </c>
      <c r="D439" s="2">
        <v>1.0</v>
      </c>
      <c r="E439" s="2">
        <v>14.0</v>
      </c>
      <c r="W439" s="2"/>
      <c r="AC439" s="2">
        <v>4.0</v>
      </c>
      <c r="AV439" s="2"/>
      <c r="AW439" s="2"/>
      <c r="BE439" s="2"/>
      <c r="BI439" s="2"/>
      <c r="BK439" s="2">
        <v>11.0</v>
      </c>
      <c r="BP439" s="2"/>
      <c r="BR439" s="2"/>
      <c r="CI439" s="2">
        <v>10.0</v>
      </c>
      <c r="CK439" s="2"/>
      <c r="CQ439" s="15">
        <f t="shared" si="18"/>
        <v>25</v>
      </c>
    </row>
    <row r="440">
      <c r="A440" s="6">
        <v>45353.0</v>
      </c>
      <c r="B440" s="2" t="s">
        <v>57</v>
      </c>
      <c r="C440" s="2" t="s">
        <v>65</v>
      </c>
      <c r="D440" s="2">
        <v>1.0</v>
      </c>
      <c r="E440" s="2">
        <v>16.0</v>
      </c>
      <c r="W440" s="2"/>
      <c r="AC440" s="2"/>
      <c r="AV440" s="2">
        <v>1.0</v>
      </c>
      <c r="AW440" s="2"/>
      <c r="BE440" s="2"/>
      <c r="BI440" s="2">
        <v>7.0</v>
      </c>
      <c r="BK440" s="2">
        <v>6.0</v>
      </c>
      <c r="BP440" s="2"/>
      <c r="BR440" s="2"/>
      <c r="CI440" s="2">
        <v>11.0</v>
      </c>
      <c r="CQ440" s="15">
        <f t="shared" si="18"/>
        <v>25</v>
      </c>
    </row>
    <row r="441">
      <c r="A441" s="6">
        <v>45353.0</v>
      </c>
      <c r="B441" s="2" t="s">
        <v>57</v>
      </c>
      <c r="C441" s="2" t="s">
        <v>65</v>
      </c>
      <c r="D441" s="2">
        <v>1.0</v>
      </c>
      <c r="E441" s="2">
        <v>18.0</v>
      </c>
      <c r="K441" s="2">
        <v>4.0</v>
      </c>
      <c r="W441" s="2"/>
      <c r="AC441" s="2"/>
      <c r="AV441" s="2"/>
      <c r="AW441" s="2"/>
      <c r="BE441" s="2"/>
      <c r="BI441" s="2">
        <v>8.0</v>
      </c>
      <c r="BK441" s="2"/>
      <c r="BP441" s="2"/>
      <c r="BR441" s="2">
        <v>1.0</v>
      </c>
      <c r="CI441" s="2"/>
      <c r="CK441" s="2">
        <v>7.0</v>
      </c>
      <c r="CM441" s="2">
        <v>5.0</v>
      </c>
      <c r="CQ441" s="15">
        <f t="shared" si="18"/>
        <v>25</v>
      </c>
    </row>
    <row r="442">
      <c r="A442" s="6">
        <v>45353.0</v>
      </c>
      <c r="B442" s="2" t="s">
        <v>57</v>
      </c>
      <c r="C442" s="2" t="s">
        <v>65</v>
      </c>
      <c r="D442" s="2">
        <v>1.0</v>
      </c>
      <c r="E442" s="2">
        <v>20.0</v>
      </c>
      <c r="W442" s="2"/>
      <c r="AC442" s="2"/>
      <c r="AV442" s="2"/>
      <c r="AW442" s="2"/>
      <c r="BE442" s="2"/>
      <c r="BI442" s="2"/>
      <c r="BK442" s="2"/>
      <c r="BP442" s="2"/>
      <c r="BR442" s="2"/>
      <c r="CE442" s="2">
        <v>1.0</v>
      </c>
      <c r="CI442" s="2"/>
      <c r="CK442" s="2">
        <v>24.0</v>
      </c>
      <c r="CQ442" s="15">
        <f t="shared" si="18"/>
        <v>25</v>
      </c>
    </row>
    <row r="443">
      <c r="A443" s="6">
        <v>45353.0</v>
      </c>
      <c r="B443" s="2" t="s">
        <v>57</v>
      </c>
      <c r="C443" s="2" t="s">
        <v>65</v>
      </c>
      <c r="D443" s="2">
        <v>2.0</v>
      </c>
      <c r="E443" s="2">
        <v>2.0</v>
      </c>
      <c r="W443" s="2">
        <v>4.0</v>
      </c>
      <c r="X443" s="2">
        <v>6.0</v>
      </c>
      <c r="AC443" s="2"/>
      <c r="AV443" s="2"/>
      <c r="AW443" s="2"/>
      <c r="BE443" s="2"/>
      <c r="BI443" s="2"/>
      <c r="BK443" s="2"/>
      <c r="BP443" s="2"/>
      <c r="BR443" s="2">
        <v>3.0</v>
      </c>
      <c r="CE443" s="2"/>
      <c r="CI443" s="2"/>
      <c r="CK443" s="2">
        <v>12.0</v>
      </c>
      <c r="CQ443" s="15">
        <f t="shared" si="18"/>
        <v>25</v>
      </c>
    </row>
    <row r="444">
      <c r="A444" s="6">
        <v>45353.0</v>
      </c>
      <c r="B444" s="2" t="s">
        <v>57</v>
      </c>
      <c r="C444" s="2" t="s">
        <v>65</v>
      </c>
      <c r="D444" s="2">
        <v>2.0</v>
      </c>
      <c r="E444" s="2">
        <v>4.0</v>
      </c>
      <c r="W444" s="2">
        <v>7.0</v>
      </c>
      <c r="AC444" s="2"/>
      <c r="AV444" s="2"/>
      <c r="AW444" s="2"/>
      <c r="BE444" s="2"/>
      <c r="BI444" s="2">
        <v>4.0</v>
      </c>
      <c r="BK444" s="2">
        <v>4.0</v>
      </c>
      <c r="BP444" s="2">
        <v>2.0</v>
      </c>
      <c r="BR444" s="2"/>
      <c r="CE444" s="2"/>
      <c r="CI444" s="2"/>
      <c r="CK444" s="2">
        <v>8.0</v>
      </c>
      <c r="CQ444" s="15">
        <f t="shared" si="18"/>
        <v>25</v>
      </c>
    </row>
    <row r="445">
      <c r="A445" s="6">
        <v>45353.0</v>
      </c>
      <c r="B445" s="2" t="s">
        <v>57</v>
      </c>
      <c r="C445" s="2" t="s">
        <v>65</v>
      </c>
      <c r="D445" s="2">
        <v>2.0</v>
      </c>
      <c r="E445" s="2">
        <v>6.0</v>
      </c>
      <c r="W445" s="2">
        <v>4.0</v>
      </c>
      <c r="AC445" s="2"/>
      <c r="AV445" s="2">
        <v>10.0</v>
      </c>
      <c r="BE445" s="2"/>
      <c r="BI445" s="2">
        <v>1.0</v>
      </c>
      <c r="BK445" s="2">
        <v>10.0</v>
      </c>
      <c r="BP445" s="2"/>
      <c r="BR445" s="2"/>
      <c r="CE445" s="2"/>
      <c r="CI445" s="2"/>
      <c r="CK445" s="2"/>
      <c r="CQ445" s="15">
        <f t="shared" si="18"/>
        <v>25</v>
      </c>
    </row>
    <row r="446">
      <c r="A446" s="6">
        <v>45353.0</v>
      </c>
      <c r="B446" s="2" t="s">
        <v>57</v>
      </c>
      <c r="C446" s="2" t="s">
        <v>65</v>
      </c>
      <c r="D446" s="2">
        <v>2.0</v>
      </c>
      <c r="E446" s="2">
        <v>8.0</v>
      </c>
      <c r="R446" s="2">
        <v>6.0</v>
      </c>
      <c r="W446" s="2">
        <v>3.0</v>
      </c>
      <c r="AC446" s="2"/>
      <c r="AV446" s="2">
        <v>1.0</v>
      </c>
      <c r="AW446" s="2"/>
      <c r="BA446" s="2">
        <v>2.0</v>
      </c>
      <c r="BE446" s="2">
        <v>6.0</v>
      </c>
      <c r="BI446" s="2">
        <v>2.0</v>
      </c>
      <c r="BK446" s="2">
        <v>4.0</v>
      </c>
      <c r="BP446" s="2"/>
      <c r="BR446" s="2"/>
      <c r="CE446" s="2"/>
      <c r="CI446" s="2"/>
      <c r="CK446" s="2">
        <v>1.0</v>
      </c>
      <c r="CQ446" s="15">
        <f t="shared" si="18"/>
        <v>25</v>
      </c>
    </row>
    <row r="447">
      <c r="A447" s="6">
        <v>45353.0</v>
      </c>
      <c r="B447" s="2" t="s">
        <v>57</v>
      </c>
      <c r="C447" s="2" t="s">
        <v>65</v>
      </c>
      <c r="D447" s="2">
        <v>2.0</v>
      </c>
      <c r="E447" s="2">
        <v>10.0</v>
      </c>
      <c r="R447" s="2">
        <v>1.0</v>
      </c>
      <c r="W447" s="2">
        <v>4.0</v>
      </c>
      <c r="AC447" s="2">
        <v>2.0</v>
      </c>
      <c r="AV447" s="2">
        <v>1.0</v>
      </c>
      <c r="AW447" s="2"/>
      <c r="BE447" s="2"/>
      <c r="BI447" s="2">
        <v>5.0</v>
      </c>
      <c r="BK447" s="2">
        <v>9.0</v>
      </c>
      <c r="BP447" s="2"/>
      <c r="BR447" s="2">
        <v>2.0</v>
      </c>
      <c r="CE447" s="2"/>
      <c r="CI447" s="2">
        <v>1.0</v>
      </c>
      <c r="CK447" s="2"/>
      <c r="CQ447" s="15">
        <f t="shared" si="18"/>
        <v>25</v>
      </c>
    </row>
    <row r="448">
      <c r="A448" s="6">
        <v>45353.0</v>
      </c>
      <c r="B448" s="2" t="s">
        <v>57</v>
      </c>
      <c r="C448" s="2" t="s">
        <v>65</v>
      </c>
      <c r="D448" s="2">
        <v>2.0</v>
      </c>
      <c r="E448" s="2">
        <v>12.0</v>
      </c>
      <c r="R448" s="2"/>
      <c r="W448" s="2"/>
      <c r="AC448" s="2"/>
      <c r="AV448" s="2">
        <v>5.0</v>
      </c>
      <c r="AW448" s="2"/>
      <c r="BE448" s="2"/>
      <c r="BI448" s="2">
        <v>4.0</v>
      </c>
      <c r="BK448" s="2">
        <v>9.0</v>
      </c>
      <c r="BP448" s="2"/>
      <c r="BR448" s="2">
        <v>4.0</v>
      </c>
      <c r="CE448" s="2"/>
      <c r="CI448" s="2">
        <v>3.0</v>
      </c>
      <c r="CK448" s="2"/>
      <c r="CQ448" s="15">
        <f t="shared" si="18"/>
        <v>25</v>
      </c>
    </row>
    <row r="449">
      <c r="A449" s="6">
        <v>45353.0</v>
      </c>
      <c r="B449" s="2" t="s">
        <v>57</v>
      </c>
      <c r="C449" s="2" t="s">
        <v>65</v>
      </c>
      <c r="D449" s="2">
        <v>2.0</v>
      </c>
      <c r="E449" s="2">
        <v>14.0</v>
      </c>
      <c r="R449" s="2"/>
      <c r="W449" s="2"/>
      <c r="AC449" s="2"/>
      <c r="AV449" s="2"/>
      <c r="AW449" s="2"/>
      <c r="BE449" s="2"/>
      <c r="BI449" s="2">
        <v>2.0</v>
      </c>
      <c r="BK449" s="2">
        <v>15.0</v>
      </c>
      <c r="BP449" s="2"/>
      <c r="BR449" s="2">
        <v>6.0</v>
      </c>
      <c r="CE449" s="2"/>
      <c r="CI449" s="2"/>
      <c r="CK449" s="2"/>
      <c r="CM449" s="2">
        <v>2.0</v>
      </c>
      <c r="CQ449" s="15">
        <f t="shared" si="18"/>
        <v>25</v>
      </c>
    </row>
    <row r="450">
      <c r="A450" s="6">
        <v>45353.0</v>
      </c>
      <c r="B450" s="2" t="s">
        <v>57</v>
      </c>
      <c r="C450" s="2" t="s">
        <v>65</v>
      </c>
      <c r="D450" s="2">
        <v>2.0</v>
      </c>
      <c r="E450" s="2">
        <v>16.0</v>
      </c>
      <c r="R450" s="2"/>
      <c r="W450" s="2"/>
      <c r="AC450" s="2"/>
      <c r="AV450" s="2"/>
      <c r="AW450" s="2"/>
      <c r="BE450" s="2"/>
      <c r="BI450" s="2">
        <v>1.0</v>
      </c>
      <c r="BK450" s="2">
        <v>10.0</v>
      </c>
      <c r="BP450" s="2"/>
      <c r="BR450" s="2">
        <v>5.0</v>
      </c>
      <c r="CE450" s="2"/>
      <c r="CI450" s="2">
        <v>9.0</v>
      </c>
      <c r="CK450" s="2"/>
      <c r="CQ450" s="15">
        <f t="shared" si="18"/>
        <v>25</v>
      </c>
    </row>
    <row r="451">
      <c r="A451" s="6">
        <v>45353.0</v>
      </c>
      <c r="B451" s="2" t="s">
        <v>57</v>
      </c>
      <c r="C451" s="2" t="s">
        <v>65</v>
      </c>
      <c r="D451" s="2">
        <v>2.0</v>
      </c>
      <c r="E451" s="2">
        <v>18.0</v>
      </c>
      <c r="R451" s="2"/>
      <c r="W451" s="2"/>
      <c r="AC451" s="2"/>
      <c r="AJ451" s="2">
        <v>2.0</v>
      </c>
      <c r="AV451" s="2"/>
      <c r="AW451" s="2"/>
      <c r="BE451" s="2"/>
      <c r="BI451" s="2">
        <v>11.0</v>
      </c>
      <c r="BK451" s="2">
        <v>3.0</v>
      </c>
      <c r="BP451" s="2"/>
      <c r="BR451" s="2">
        <v>5.0</v>
      </c>
      <c r="CE451" s="2"/>
      <c r="CI451" s="2">
        <v>3.0</v>
      </c>
      <c r="CK451" s="2">
        <v>1.0</v>
      </c>
      <c r="CQ451" s="15">
        <f t="shared" ref="CQ451:CQ455" si="19">sum(F451:CP451)</f>
        <v>25</v>
      </c>
    </row>
    <row r="452">
      <c r="A452" s="6">
        <v>45353.0</v>
      </c>
      <c r="B452" s="2" t="s">
        <v>57</v>
      </c>
      <c r="C452" s="2" t="s">
        <v>65</v>
      </c>
      <c r="D452" s="2">
        <v>2.0</v>
      </c>
      <c r="E452" s="2">
        <v>20.0</v>
      </c>
      <c r="R452" s="2"/>
      <c r="W452" s="2"/>
      <c r="AC452" s="2"/>
      <c r="AV452" s="2"/>
      <c r="AW452" s="2"/>
      <c r="BE452" s="2"/>
      <c r="BI452" s="2"/>
      <c r="BK452" s="2"/>
      <c r="BP452" s="2"/>
      <c r="BR452" s="2"/>
      <c r="CE452" s="2">
        <v>1.0</v>
      </c>
      <c r="CI452" s="2"/>
      <c r="CK452" s="2">
        <v>24.0</v>
      </c>
      <c r="CQ452" s="15">
        <f t="shared" si="19"/>
        <v>25</v>
      </c>
    </row>
    <row r="453">
      <c r="A453" s="6">
        <v>45353.0</v>
      </c>
      <c r="B453" s="2" t="s">
        <v>57</v>
      </c>
      <c r="C453" s="2" t="s">
        <v>65</v>
      </c>
      <c r="D453" s="2">
        <v>3.0</v>
      </c>
      <c r="E453" s="2">
        <v>2.0</v>
      </c>
      <c r="R453" s="2"/>
      <c r="W453" s="2">
        <v>3.0</v>
      </c>
      <c r="AB453" s="2">
        <v>2.0</v>
      </c>
      <c r="AC453" s="2"/>
      <c r="AV453" s="2">
        <v>5.0</v>
      </c>
      <c r="AW453" s="2"/>
      <c r="BE453" s="2"/>
      <c r="BI453" s="2"/>
      <c r="BK453" s="2">
        <v>6.0</v>
      </c>
      <c r="BP453" s="2">
        <v>1.0</v>
      </c>
      <c r="BQ453" s="2">
        <v>3.0</v>
      </c>
      <c r="BR453" s="2"/>
      <c r="CE453" s="2"/>
      <c r="CI453" s="2"/>
      <c r="CK453" s="2">
        <v>5.0</v>
      </c>
      <c r="CQ453" s="15">
        <f t="shared" si="19"/>
        <v>25</v>
      </c>
    </row>
    <row r="454">
      <c r="A454" s="6">
        <v>45353.0</v>
      </c>
      <c r="B454" s="2" t="s">
        <v>57</v>
      </c>
      <c r="C454" s="2" t="s">
        <v>65</v>
      </c>
      <c r="D454" s="2">
        <v>3.0</v>
      </c>
      <c r="E454" s="2">
        <v>4.0</v>
      </c>
      <c r="R454" s="2"/>
      <c r="W454" s="2"/>
      <c r="AC454" s="2"/>
      <c r="AV454" s="2">
        <v>1.0</v>
      </c>
      <c r="AW454" s="2"/>
      <c r="BE454" s="2"/>
      <c r="BI454" s="2">
        <v>5.0</v>
      </c>
      <c r="BK454" s="2">
        <v>8.0</v>
      </c>
      <c r="BP454" s="2">
        <v>3.0</v>
      </c>
      <c r="BR454" s="2"/>
      <c r="CE454" s="2"/>
      <c r="CI454" s="2">
        <v>1.0</v>
      </c>
      <c r="CK454" s="2">
        <v>6.0</v>
      </c>
      <c r="CO454" s="2">
        <v>1.0</v>
      </c>
      <c r="CQ454" s="15">
        <f t="shared" si="19"/>
        <v>25</v>
      </c>
    </row>
    <row r="455">
      <c r="A455" s="6">
        <v>45353.0</v>
      </c>
      <c r="B455" s="2" t="s">
        <v>57</v>
      </c>
      <c r="C455" s="2" t="s">
        <v>65</v>
      </c>
      <c r="D455" s="2">
        <v>3.0</v>
      </c>
      <c r="E455" s="2">
        <v>6.0</v>
      </c>
      <c r="R455" s="2"/>
      <c r="W455" s="2"/>
      <c r="AC455" s="2"/>
      <c r="AV455" s="2">
        <v>1.0</v>
      </c>
      <c r="AW455" s="2"/>
      <c r="BE455" s="2"/>
      <c r="BI455" s="2">
        <v>7.0</v>
      </c>
      <c r="BK455" s="2">
        <v>2.0</v>
      </c>
      <c r="BP455" s="2">
        <v>4.0</v>
      </c>
      <c r="BQ455" s="2">
        <v>2.0</v>
      </c>
      <c r="BR455" s="2"/>
      <c r="CE455" s="2"/>
      <c r="CI455" s="2"/>
      <c r="CK455" s="2">
        <v>6.0</v>
      </c>
      <c r="CN455" s="2">
        <v>1.0</v>
      </c>
      <c r="CO455" s="2">
        <v>2.0</v>
      </c>
      <c r="CQ455" s="15">
        <f t="shared" si="19"/>
        <v>25</v>
      </c>
    </row>
    <row r="456">
      <c r="A456" s="6">
        <v>45353.0</v>
      </c>
      <c r="B456" s="2" t="s">
        <v>57</v>
      </c>
      <c r="C456" s="2" t="s">
        <v>65</v>
      </c>
      <c r="D456" s="2">
        <v>3.0</v>
      </c>
      <c r="E456" s="2">
        <v>8.0</v>
      </c>
      <c r="R456" s="2"/>
      <c r="W456" s="2"/>
      <c r="AB456" s="2">
        <v>2.0</v>
      </c>
      <c r="AC456" s="2"/>
      <c r="AG456" s="2">
        <v>1.0</v>
      </c>
      <c r="AV456" s="2"/>
      <c r="AW456" s="2"/>
      <c r="BE456" s="2"/>
      <c r="BI456" s="2">
        <v>4.0</v>
      </c>
      <c r="BK456" s="2">
        <v>2.0</v>
      </c>
      <c r="BP456" s="2"/>
      <c r="BQ456" s="2">
        <v>3.0</v>
      </c>
      <c r="BR456" s="2">
        <v>1.0</v>
      </c>
      <c r="CE456" s="2"/>
      <c r="CI456" s="2"/>
      <c r="CK456" s="2">
        <v>1.0</v>
      </c>
      <c r="CN456" s="2">
        <v>11.0</v>
      </c>
      <c r="CQ456" s="15">
        <f t="shared" ref="CQ456:CQ462" si="20">sum(F456:CN456)</f>
        <v>25</v>
      </c>
    </row>
    <row r="457">
      <c r="A457" s="6">
        <v>45353.0</v>
      </c>
      <c r="B457" s="2" t="s">
        <v>57</v>
      </c>
      <c r="C457" s="2" t="s">
        <v>65</v>
      </c>
      <c r="D457" s="2">
        <v>3.0</v>
      </c>
      <c r="E457" s="2">
        <v>10.0</v>
      </c>
      <c r="R457" s="2"/>
      <c r="W457" s="2"/>
      <c r="AB457" s="2">
        <v>2.0</v>
      </c>
      <c r="AC457" s="2"/>
      <c r="AV457" s="2"/>
      <c r="AW457" s="2"/>
      <c r="BE457" s="2"/>
      <c r="BI457" s="2">
        <v>3.0</v>
      </c>
      <c r="BK457" s="2">
        <v>5.0</v>
      </c>
      <c r="BP457" s="2"/>
      <c r="BR457" s="2"/>
      <c r="CE457" s="2"/>
      <c r="CI457" s="2"/>
      <c r="CK457" s="2">
        <v>15.0</v>
      </c>
      <c r="CQ457" s="15">
        <f t="shared" si="20"/>
        <v>25</v>
      </c>
    </row>
    <row r="458">
      <c r="A458" s="6">
        <v>45353.0</v>
      </c>
      <c r="B458" s="2" t="s">
        <v>57</v>
      </c>
      <c r="C458" s="2" t="s">
        <v>65</v>
      </c>
      <c r="D458" s="2">
        <v>3.0</v>
      </c>
      <c r="E458" s="2">
        <v>12.0</v>
      </c>
      <c r="R458" s="2"/>
      <c r="W458" s="2"/>
      <c r="X458" s="2">
        <v>3.0</v>
      </c>
      <c r="AB458" s="2">
        <v>4.0</v>
      </c>
      <c r="AC458" s="2"/>
      <c r="AG458" s="2">
        <v>4.0</v>
      </c>
      <c r="AV458" s="2"/>
      <c r="AW458" s="2"/>
      <c r="BE458" s="2"/>
      <c r="BI458" s="2"/>
      <c r="BK458" s="2">
        <v>7.0</v>
      </c>
      <c r="BP458" s="2"/>
      <c r="BR458" s="2"/>
      <c r="CE458" s="2"/>
      <c r="CI458" s="2"/>
      <c r="CK458" s="2">
        <v>7.0</v>
      </c>
      <c r="CQ458" s="15">
        <f t="shared" si="20"/>
        <v>25</v>
      </c>
    </row>
    <row r="459">
      <c r="A459" s="6">
        <v>45353.0</v>
      </c>
      <c r="B459" s="2" t="s">
        <v>57</v>
      </c>
      <c r="C459" s="2" t="s">
        <v>65</v>
      </c>
      <c r="D459" s="2">
        <v>3.0</v>
      </c>
      <c r="E459" s="2">
        <v>14.0</v>
      </c>
      <c r="R459" s="2"/>
      <c r="W459" s="2"/>
      <c r="X459" s="2">
        <v>1.0</v>
      </c>
      <c r="AB459" s="2"/>
      <c r="AC459" s="2"/>
      <c r="AG459" s="2">
        <v>1.0</v>
      </c>
      <c r="AV459" s="2"/>
      <c r="AW459" s="2"/>
      <c r="BE459" s="2"/>
      <c r="BI459" s="2">
        <v>2.0</v>
      </c>
      <c r="BK459" s="2">
        <v>4.0</v>
      </c>
      <c r="BP459" s="2"/>
      <c r="BR459" s="2"/>
      <c r="CE459" s="2"/>
      <c r="CI459" s="2"/>
      <c r="CK459" s="2">
        <v>17.0</v>
      </c>
      <c r="CQ459" s="15">
        <f t="shared" si="20"/>
        <v>25</v>
      </c>
    </row>
    <row r="460">
      <c r="A460" s="6">
        <v>45353.0</v>
      </c>
      <c r="B460" s="2" t="s">
        <v>57</v>
      </c>
      <c r="C460" s="2" t="s">
        <v>65</v>
      </c>
      <c r="D460" s="2">
        <v>3.0</v>
      </c>
      <c r="E460" s="2">
        <v>16.0</v>
      </c>
      <c r="R460" s="2"/>
      <c r="W460" s="2"/>
      <c r="AB460" s="2"/>
      <c r="AC460" s="2"/>
      <c r="AV460" s="2">
        <v>1.0</v>
      </c>
      <c r="AW460" s="2"/>
      <c r="BE460" s="2"/>
      <c r="BH460" s="2">
        <v>3.0</v>
      </c>
      <c r="BI460" s="2"/>
      <c r="BK460" s="2">
        <v>10.0</v>
      </c>
      <c r="BP460" s="2"/>
      <c r="BR460" s="2"/>
      <c r="CE460" s="2"/>
      <c r="CI460" s="2">
        <v>9.0</v>
      </c>
      <c r="CK460" s="2">
        <v>2.0</v>
      </c>
      <c r="CQ460" s="15">
        <f t="shared" si="20"/>
        <v>25</v>
      </c>
    </row>
    <row r="461">
      <c r="A461" s="6">
        <v>45353.0</v>
      </c>
      <c r="B461" s="2" t="s">
        <v>57</v>
      </c>
      <c r="C461" s="2" t="s">
        <v>65</v>
      </c>
      <c r="D461" s="2">
        <v>3.0</v>
      </c>
      <c r="E461" s="2">
        <v>18.0</v>
      </c>
      <c r="R461" s="2"/>
      <c r="W461" s="2"/>
      <c r="AB461" s="2"/>
      <c r="AC461" s="2"/>
      <c r="AV461" s="2">
        <v>1.0</v>
      </c>
      <c r="AW461" s="2"/>
      <c r="BE461" s="2"/>
      <c r="BI461" s="2">
        <v>15.0</v>
      </c>
      <c r="BK461" s="2">
        <v>4.0</v>
      </c>
      <c r="BP461" s="2"/>
      <c r="BR461" s="2"/>
      <c r="CE461" s="2"/>
      <c r="CI461" s="2">
        <v>5.0</v>
      </c>
      <c r="CK461" s="2"/>
      <c r="CQ461" s="15">
        <f t="shared" si="20"/>
        <v>25</v>
      </c>
    </row>
    <row r="462">
      <c r="A462" s="6">
        <v>45353.0</v>
      </c>
      <c r="B462" s="2" t="s">
        <v>57</v>
      </c>
      <c r="C462" s="2" t="s">
        <v>65</v>
      </c>
      <c r="D462" s="2">
        <v>3.0</v>
      </c>
      <c r="E462" s="2">
        <v>20.0</v>
      </c>
      <c r="R462" s="2">
        <v>4.0</v>
      </c>
      <c r="W462" s="2"/>
      <c r="AB462" s="2"/>
      <c r="AC462" s="2"/>
      <c r="AV462" s="2"/>
      <c r="AW462" s="2"/>
      <c r="BE462" s="2"/>
      <c r="BI462" s="2"/>
      <c r="BK462" s="2"/>
      <c r="BP462" s="2"/>
      <c r="BR462" s="2"/>
      <c r="CE462" s="2"/>
      <c r="CI462" s="2"/>
      <c r="CK462" s="2">
        <v>21.0</v>
      </c>
      <c r="CQ462" s="15">
        <f t="shared" si="20"/>
        <v>25</v>
      </c>
    </row>
    <row r="463">
      <c r="A463" s="6">
        <v>45353.0</v>
      </c>
      <c r="B463" s="2" t="s">
        <v>57</v>
      </c>
      <c r="C463" s="2" t="s">
        <v>65</v>
      </c>
      <c r="D463" s="2">
        <v>4.0</v>
      </c>
      <c r="E463" s="2">
        <v>2.0</v>
      </c>
      <c r="R463" s="2"/>
      <c r="W463" s="2">
        <v>8.0</v>
      </c>
      <c r="AB463" s="2">
        <v>2.0</v>
      </c>
      <c r="AC463" s="2"/>
      <c r="AV463" s="2">
        <v>4.0</v>
      </c>
      <c r="AW463" s="2"/>
      <c r="BE463" s="2"/>
      <c r="BG463" s="2">
        <v>1.0</v>
      </c>
      <c r="BI463" s="2">
        <v>1.0</v>
      </c>
      <c r="BK463" s="2">
        <v>3.0</v>
      </c>
      <c r="BP463" s="2">
        <v>5.0</v>
      </c>
      <c r="BR463" s="2"/>
      <c r="CE463" s="2"/>
      <c r="CI463" s="2"/>
      <c r="CK463" s="2"/>
      <c r="CO463" s="2">
        <v>1.0</v>
      </c>
      <c r="CQ463" s="15">
        <f>sum(F463:CO463)</f>
        <v>25</v>
      </c>
    </row>
    <row r="464">
      <c r="A464" s="6">
        <v>45353.0</v>
      </c>
      <c r="B464" s="2" t="s">
        <v>57</v>
      </c>
      <c r="C464" s="2" t="s">
        <v>65</v>
      </c>
      <c r="D464" s="2">
        <v>4.0</v>
      </c>
      <c r="E464" s="2">
        <v>4.0</v>
      </c>
      <c r="P464" s="2">
        <v>1.0</v>
      </c>
      <c r="R464" s="2"/>
      <c r="W464" s="2"/>
      <c r="AB464" s="2">
        <v>2.0</v>
      </c>
      <c r="AC464" s="2"/>
      <c r="AV464" s="2">
        <v>3.0</v>
      </c>
      <c r="AW464" s="2"/>
      <c r="BE464" s="2"/>
      <c r="BH464" s="2">
        <v>2.0</v>
      </c>
      <c r="BI464" s="2">
        <v>2.0</v>
      </c>
      <c r="BK464" s="2">
        <v>11.0</v>
      </c>
      <c r="BM464" s="2">
        <v>1.0</v>
      </c>
      <c r="BP464" s="2"/>
      <c r="BR464" s="2"/>
      <c r="CE464" s="2"/>
      <c r="CI464" s="2"/>
      <c r="CK464" s="2">
        <v>3.0</v>
      </c>
      <c r="CQ464" s="15">
        <f>sum(F464:CN464)</f>
        <v>25</v>
      </c>
    </row>
    <row r="465">
      <c r="A465" s="6">
        <v>45353.0</v>
      </c>
      <c r="B465" s="2" t="s">
        <v>57</v>
      </c>
      <c r="C465" s="2" t="s">
        <v>65</v>
      </c>
      <c r="D465" s="2">
        <v>4.0</v>
      </c>
      <c r="E465" s="2">
        <v>6.0</v>
      </c>
      <c r="R465" s="2"/>
      <c r="W465" s="2"/>
      <c r="AB465" s="2">
        <v>1.0</v>
      </c>
      <c r="AC465" s="2"/>
      <c r="AV465" s="2">
        <v>2.0</v>
      </c>
      <c r="AW465" s="2"/>
      <c r="BE465" s="2"/>
      <c r="BG465" s="2">
        <v>1.0</v>
      </c>
      <c r="BI465" s="2"/>
      <c r="BK465" s="2">
        <v>12.0</v>
      </c>
      <c r="BP465" s="2"/>
      <c r="BR465" s="2">
        <v>1.0</v>
      </c>
      <c r="CE465" s="2"/>
      <c r="CI465" s="2"/>
      <c r="CK465" s="2">
        <v>6.0</v>
      </c>
      <c r="CO465" s="2">
        <v>2.0</v>
      </c>
      <c r="CQ465" s="15">
        <f t="shared" ref="CQ465:CQ472" si="21">sum(F465:CO465)</f>
        <v>25</v>
      </c>
    </row>
    <row r="466">
      <c r="A466" s="6">
        <v>45353.0</v>
      </c>
      <c r="B466" s="2" t="s">
        <v>57</v>
      </c>
      <c r="C466" s="2" t="s">
        <v>65</v>
      </c>
      <c r="D466" s="2">
        <v>4.0</v>
      </c>
      <c r="E466" s="2">
        <v>8.0</v>
      </c>
      <c r="R466" s="2">
        <v>1.0</v>
      </c>
      <c r="W466" s="2"/>
      <c r="AB466" s="2">
        <v>1.0</v>
      </c>
      <c r="AC466" s="2"/>
      <c r="AS466" s="2">
        <v>1.0</v>
      </c>
      <c r="AV466" s="2">
        <v>2.0</v>
      </c>
      <c r="AW466" s="2">
        <v>1.0</v>
      </c>
      <c r="BE466" s="2"/>
      <c r="BI466" s="2">
        <v>2.0</v>
      </c>
      <c r="BK466" s="2">
        <v>10.0</v>
      </c>
      <c r="BP466" s="2"/>
      <c r="BQ466" s="2">
        <v>5.0</v>
      </c>
      <c r="BR466" s="2"/>
      <c r="CE466" s="2"/>
      <c r="CI466" s="2"/>
      <c r="CK466" s="2">
        <v>2.0</v>
      </c>
      <c r="CQ466" s="15">
        <f t="shared" si="21"/>
        <v>25</v>
      </c>
    </row>
    <row r="467">
      <c r="A467" s="6">
        <v>45353.0</v>
      </c>
      <c r="B467" s="2" t="s">
        <v>57</v>
      </c>
      <c r="C467" s="2" t="s">
        <v>65</v>
      </c>
      <c r="D467" s="2">
        <v>4.0</v>
      </c>
      <c r="E467" s="2">
        <v>10.0</v>
      </c>
      <c r="R467" s="2"/>
      <c r="W467" s="2"/>
      <c r="AB467" s="2">
        <v>1.0</v>
      </c>
      <c r="AC467" s="2"/>
      <c r="AS467" s="2">
        <v>3.0</v>
      </c>
      <c r="AV467" s="2">
        <v>2.0</v>
      </c>
      <c r="AW467" s="2"/>
      <c r="BE467" s="2"/>
      <c r="BI467" s="2">
        <v>3.0</v>
      </c>
      <c r="BK467" s="2">
        <v>7.0</v>
      </c>
      <c r="BM467" s="2">
        <v>1.0</v>
      </c>
      <c r="BP467" s="2"/>
      <c r="BQ467" s="2">
        <v>1.0</v>
      </c>
      <c r="BR467" s="2"/>
      <c r="CE467" s="2"/>
      <c r="CI467" s="2"/>
      <c r="CK467" s="2">
        <v>7.0</v>
      </c>
      <c r="CQ467" s="15">
        <f t="shared" si="21"/>
        <v>25</v>
      </c>
    </row>
    <row r="468">
      <c r="A468" s="6">
        <v>45353.0</v>
      </c>
      <c r="B468" s="2" t="s">
        <v>57</v>
      </c>
      <c r="C468" s="2" t="s">
        <v>65</v>
      </c>
      <c r="D468" s="2">
        <v>4.0</v>
      </c>
      <c r="E468" s="2">
        <v>12.0</v>
      </c>
      <c r="R468" s="2"/>
      <c r="W468" s="2"/>
      <c r="AB468" s="2"/>
      <c r="AC468" s="2"/>
      <c r="AS468" s="2"/>
      <c r="AV468" s="2">
        <v>7.0</v>
      </c>
      <c r="AW468" s="2"/>
      <c r="BE468" s="2"/>
      <c r="BH468" s="2">
        <v>2.0</v>
      </c>
      <c r="BI468" s="2">
        <v>1.0</v>
      </c>
      <c r="BK468" s="2">
        <v>9.0</v>
      </c>
      <c r="BM468" s="2"/>
      <c r="BP468" s="2"/>
      <c r="BQ468" s="2"/>
      <c r="BR468" s="2"/>
      <c r="CE468" s="2"/>
      <c r="CI468" s="2"/>
      <c r="CK468" s="2">
        <v>6.0</v>
      </c>
      <c r="CQ468" s="15">
        <f t="shared" si="21"/>
        <v>25</v>
      </c>
    </row>
    <row r="469">
      <c r="A469" s="6">
        <v>45353.0</v>
      </c>
      <c r="B469" s="2" t="s">
        <v>57</v>
      </c>
      <c r="C469" s="2" t="s">
        <v>65</v>
      </c>
      <c r="D469" s="2">
        <v>4.0</v>
      </c>
      <c r="E469" s="2">
        <v>14.0</v>
      </c>
      <c r="R469" s="2"/>
      <c r="W469" s="2">
        <v>3.0</v>
      </c>
      <c r="AB469" s="2"/>
      <c r="AC469" s="2"/>
      <c r="AS469" s="2"/>
      <c r="AV469" s="2">
        <v>1.0</v>
      </c>
      <c r="AW469" s="2"/>
      <c r="BE469" s="2"/>
      <c r="BI469" s="2">
        <v>1.0</v>
      </c>
      <c r="BK469" s="2">
        <v>11.0</v>
      </c>
      <c r="BM469" s="2"/>
      <c r="BP469" s="2"/>
      <c r="BQ469" s="2"/>
      <c r="BR469" s="2"/>
      <c r="CE469" s="2"/>
      <c r="CI469" s="2">
        <v>1.0</v>
      </c>
      <c r="CK469" s="2">
        <v>8.0</v>
      </c>
      <c r="CQ469" s="15">
        <f t="shared" si="21"/>
        <v>25</v>
      </c>
    </row>
    <row r="470">
      <c r="A470" s="6">
        <v>45353.0</v>
      </c>
      <c r="B470" s="2" t="s">
        <v>57</v>
      </c>
      <c r="C470" s="2" t="s">
        <v>65</v>
      </c>
      <c r="D470" s="2">
        <v>4.0</v>
      </c>
      <c r="E470" s="2">
        <v>16.0</v>
      </c>
      <c r="R470" s="2"/>
      <c r="W470" s="2"/>
      <c r="AB470" s="2"/>
      <c r="AC470" s="2"/>
      <c r="AS470" s="2"/>
      <c r="AV470" s="2">
        <v>1.0</v>
      </c>
      <c r="AW470" s="2"/>
      <c r="BE470" s="2"/>
      <c r="BI470" s="2">
        <v>15.0</v>
      </c>
      <c r="BK470" s="2">
        <v>4.0</v>
      </c>
      <c r="BM470" s="2"/>
      <c r="BP470" s="2"/>
      <c r="BQ470" s="2"/>
      <c r="BR470" s="2"/>
      <c r="CE470" s="2"/>
      <c r="CI470" s="2">
        <v>1.0</v>
      </c>
      <c r="CK470" s="2">
        <v>1.0</v>
      </c>
      <c r="CM470" s="2">
        <v>3.0</v>
      </c>
      <c r="CQ470" s="15">
        <f t="shared" si="21"/>
        <v>25</v>
      </c>
    </row>
    <row r="471">
      <c r="A471" s="6">
        <v>45353.0</v>
      </c>
      <c r="B471" s="2" t="s">
        <v>57</v>
      </c>
      <c r="C471" s="2" t="s">
        <v>65</v>
      </c>
      <c r="D471" s="2">
        <v>4.0</v>
      </c>
      <c r="E471" s="2">
        <v>18.0</v>
      </c>
      <c r="R471" s="2"/>
      <c r="W471" s="2"/>
      <c r="AB471" s="2"/>
      <c r="AC471" s="2"/>
      <c r="AG471" s="2">
        <v>7.0</v>
      </c>
      <c r="AS471" s="2"/>
      <c r="AV471" s="2"/>
      <c r="AW471" s="2"/>
      <c r="BE471" s="2"/>
      <c r="BI471" s="2">
        <v>6.0</v>
      </c>
      <c r="BK471" s="2"/>
      <c r="BM471" s="2">
        <v>1.0</v>
      </c>
      <c r="BP471" s="2"/>
      <c r="BQ471" s="2"/>
      <c r="BR471" s="2">
        <v>1.0</v>
      </c>
      <c r="CE471" s="2"/>
      <c r="CI471" s="2"/>
      <c r="CK471" s="2">
        <v>1.0</v>
      </c>
      <c r="CO471" s="2">
        <v>9.0</v>
      </c>
      <c r="CQ471" s="15">
        <f t="shared" si="21"/>
        <v>25</v>
      </c>
    </row>
    <row r="472">
      <c r="A472" s="6">
        <v>45353.0</v>
      </c>
      <c r="B472" s="2" t="s">
        <v>57</v>
      </c>
      <c r="C472" s="2" t="s">
        <v>65</v>
      </c>
      <c r="D472" s="2">
        <v>4.0</v>
      </c>
      <c r="E472" s="2">
        <v>20.0</v>
      </c>
      <c r="R472" s="2"/>
      <c r="W472" s="2"/>
      <c r="AB472" s="2"/>
      <c r="AC472" s="2"/>
      <c r="AS472" s="2"/>
      <c r="AV472" s="2"/>
      <c r="AW472" s="2"/>
      <c r="BE472" s="2"/>
      <c r="BI472" s="2"/>
      <c r="BK472" s="2"/>
      <c r="BM472" s="2"/>
      <c r="BP472" s="2"/>
      <c r="BQ472" s="2"/>
      <c r="BR472" s="2"/>
      <c r="CE472" s="2"/>
      <c r="CI472" s="2"/>
      <c r="CK472" s="2">
        <v>21.0</v>
      </c>
      <c r="CO472" s="2">
        <v>4.0</v>
      </c>
      <c r="CQ472" s="15">
        <f t="shared" si="21"/>
        <v>25</v>
      </c>
    </row>
    <row r="473">
      <c r="A473" s="6">
        <v>45360.0</v>
      </c>
      <c r="B473" s="2" t="s">
        <v>57</v>
      </c>
      <c r="C473" s="2" t="s">
        <v>69</v>
      </c>
      <c r="D473" s="2">
        <v>1.0</v>
      </c>
      <c r="E473" s="2">
        <v>2.0</v>
      </c>
      <c r="W473" s="2">
        <v>3.0</v>
      </c>
      <c r="AW473" s="2">
        <v>4.0</v>
      </c>
      <c r="BK473" s="2">
        <v>2.0</v>
      </c>
      <c r="BP473" s="2">
        <v>1.0</v>
      </c>
      <c r="BR473" s="2">
        <v>2.0</v>
      </c>
      <c r="CK473" s="2">
        <v>13.0</v>
      </c>
      <c r="CQ473" s="15">
        <f t="shared" ref="CQ473:CQ486" si="22">sum(F473:CN473)</f>
        <v>25</v>
      </c>
    </row>
    <row r="474">
      <c r="A474" s="6">
        <v>45360.0</v>
      </c>
      <c r="B474" s="2" t="s">
        <v>57</v>
      </c>
      <c r="C474" s="2" t="s">
        <v>69</v>
      </c>
      <c r="D474" s="2">
        <v>1.0</v>
      </c>
      <c r="E474" s="2">
        <v>4.0</v>
      </c>
      <c r="AV474" s="2">
        <v>2.0</v>
      </c>
      <c r="AW474" s="2">
        <v>2.0</v>
      </c>
      <c r="BK474" s="2">
        <v>3.0</v>
      </c>
      <c r="BR474" s="2">
        <v>5.0</v>
      </c>
      <c r="CK474" s="2">
        <v>12.0</v>
      </c>
      <c r="CN474" s="2">
        <v>1.0</v>
      </c>
      <c r="CQ474" s="15">
        <f t="shared" si="22"/>
        <v>25</v>
      </c>
    </row>
    <row r="475">
      <c r="A475" s="6">
        <v>45360.0</v>
      </c>
      <c r="B475" s="2" t="s">
        <v>57</v>
      </c>
      <c r="C475" s="2" t="s">
        <v>69</v>
      </c>
      <c r="D475" s="2">
        <v>1.0</v>
      </c>
      <c r="E475" s="2">
        <v>6.0</v>
      </c>
      <c r="I475" s="2">
        <v>6.0</v>
      </c>
      <c r="BK475" s="2">
        <v>7.0</v>
      </c>
      <c r="BP475" s="2">
        <v>1.0</v>
      </c>
      <c r="BR475" s="2">
        <v>6.0</v>
      </c>
      <c r="CK475" s="2">
        <v>5.0</v>
      </c>
      <c r="CQ475" s="15">
        <f t="shared" si="22"/>
        <v>25</v>
      </c>
    </row>
    <row r="476">
      <c r="A476" s="6">
        <v>45360.0</v>
      </c>
      <c r="B476" s="2" t="s">
        <v>57</v>
      </c>
      <c r="C476" s="2" t="s">
        <v>69</v>
      </c>
      <c r="D476" s="2">
        <v>1.0</v>
      </c>
      <c r="E476" s="2">
        <v>8.0</v>
      </c>
      <c r="CK476" s="2">
        <v>25.0</v>
      </c>
      <c r="CQ476" s="15">
        <f t="shared" si="22"/>
        <v>25</v>
      </c>
    </row>
    <row r="477">
      <c r="A477" s="6">
        <v>45360.0</v>
      </c>
      <c r="B477" s="2" t="s">
        <v>57</v>
      </c>
      <c r="C477" s="2" t="s">
        <v>69</v>
      </c>
      <c r="D477" s="2">
        <v>1.0</v>
      </c>
      <c r="E477" s="2">
        <v>10.0</v>
      </c>
      <c r="CK477" s="2">
        <v>25.0</v>
      </c>
      <c r="CQ477" s="15">
        <f t="shared" si="22"/>
        <v>25</v>
      </c>
    </row>
    <row r="478">
      <c r="A478" s="6">
        <v>45360.0</v>
      </c>
      <c r="B478" s="2" t="s">
        <v>57</v>
      </c>
      <c r="C478" s="2" t="s">
        <v>69</v>
      </c>
      <c r="D478" s="2">
        <v>1.0</v>
      </c>
      <c r="E478" s="2">
        <v>12.0</v>
      </c>
      <c r="BI478" s="2">
        <v>6.0</v>
      </c>
      <c r="BK478" s="2">
        <v>11.0</v>
      </c>
      <c r="CI478" s="2">
        <v>8.0</v>
      </c>
      <c r="CQ478" s="15">
        <f t="shared" si="22"/>
        <v>25</v>
      </c>
    </row>
    <row r="479">
      <c r="A479" s="6">
        <v>45360.0</v>
      </c>
      <c r="B479" s="2" t="s">
        <v>57</v>
      </c>
      <c r="C479" s="2" t="s">
        <v>69</v>
      </c>
      <c r="D479" s="2">
        <v>1.0</v>
      </c>
      <c r="E479" s="2">
        <v>14.0</v>
      </c>
      <c r="BI479" s="2">
        <v>1.0</v>
      </c>
      <c r="BK479" s="2">
        <v>15.0</v>
      </c>
      <c r="CI479" s="2">
        <v>8.0</v>
      </c>
      <c r="CQ479" s="15">
        <f t="shared" si="22"/>
        <v>24</v>
      </c>
    </row>
    <row r="480">
      <c r="A480" s="6">
        <v>45360.0</v>
      </c>
      <c r="B480" s="2" t="s">
        <v>57</v>
      </c>
      <c r="C480" s="2" t="s">
        <v>69</v>
      </c>
      <c r="D480" s="2">
        <v>1.0</v>
      </c>
      <c r="E480" s="2">
        <v>16.0</v>
      </c>
      <c r="BI480" s="2">
        <v>4.0</v>
      </c>
      <c r="BK480" s="2">
        <v>13.0</v>
      </c>
      <c r="CI480" s="2">
        <v>8.0</v>
      </c>
      <c r="CQ480" s="15">
        <f t="shared" si="22"/>
        <v>25</v>
      </c>
    </row>
    <row r="481">
      <c r="A481" s="6">
        <v>45360.0</v>
      </c>
      <c r="B481" s="2" t="s">
        <v>57</v>
      </c>
      <c r="C481" s="2" t="s">
        <v>69</v>
      </c>
      <c r="D481" s="2">
        <v>1.0</v>
      </c>
      <c r="E481" s="2">
        <v>18.0</v>
      </c>
      <c r="AH481" s="2">
        <v>2.0</v>
      </c>
      <c r="AJ481" s="2">
        <v>1.0</v>
      </c>
      <c r="BI481" s="2">
        <v>15.0</v>
      </c>
      <c r="BK481" s="2">
        <v>3.0</v>
      </c>
      <c r="BR481" s="2">
        <v>2.0</v>
      </c>
      <c r="CK481" s="2">
        <v>2.0</v>
      </c>
      <c r="CQ481" s="15">
        <f t="shared" si="22"/>
        <v>25</v>
      </c>
    </row>
    <row r="482">
      <c r="A482" s="6">
        <v>45360.0</v>
      </c>
      <c r="B482" s="2" t="s">
        <v>57</v>
      </c>
      <c r="C482" s="2" t="s">
        <v>69</v>
      </c>
      <c r="D482" s="2">
        <v>1.0</v>
      </c>
      <c r="E482" s="2">
        <v>20.0</v>
      </c>
      <c r="CK482" s="2">
        <v>25.0</v>
      </c>
      <c r="CQ482" s="15">
        <f t="shared" si="22"/>
        <v>25</v>
      </c>
    </row>
    <row r="483">
      <c r="A483" s="6">
        <v>45360.0</v>
      </c>
      <c r="B483" s="2" t="s">
        <v>57</v>
      </c>
      <c r="C483" s="2" t="s">
        <v>69</v>
      </c>
      <c r="D483" s="2">
        <v>2.0</v>
      </c>
      <c r="E483" s="2">
        <v>2.0</v>
      </c>
      <c r="W483" s="2">
        <v>1.0</v>
      </c>
      <c r="AB483" s="2">
        <v>1.0</v>
      </c>
      <c r="AC483" s="2"/>
      <c r="AV483" s="2">
        <v>7.0</v>
      </c>
      <c r="BP483" s="2">
        <v>1.0</v>
      </c>
      <c r="BR483" s="2">
        <v>8.0</v>
      </c>
      <c r="CK483" s="2">
        <v>7.0</v>
      </c>
      <c r="CQ483" s="15">
        <f t="shared" si="22"/>
        <v>25</v>
      </c>
    </row>
    <row r="484">
      <c r="A484" s="6">
        <v>45360.0</v>
      </c>
      <c r="B484" s="2" t="s">
        <v>57</v>
      </c>
      <c r="C484" s="2" t="s">
        <v>69</v>
      </c>
      <c r="D484" s="2">
        <v>2.0</v>
      </c>
      <c r="E484" s="2">
        <v>4.0</v>
      </c>
      <c r="I484" s="2">
        <v>1.0</v>
      </c>
      <c r="AW484" s="2">
        <v>4.0</v>
      </c>
      <c r="BP484" s="2">
        <v>3.0</v>
      </c>
      <c r="BR484" s="2">
        <v>5.0</v>
      </c>
      <c r="CK484" s="2">
        <v>10.0</v>
      </c>
      <c r="CN484" s="2">
        <v>2.0</v>
      </c>
      <c r="CQ484" s="15">
        <f t="shared" si="22"/>
        <v>25</v>
      </c>
    </row>
    <row r="485">
      <c r="A485" s="6">
        <v>45360.0</v>
      </c>
      <c r="B485" s="2" t="s">
        <v>57</v>
      </c>
      <c r="C485" s="2" t="s">
        <v>69</v>
      </c>
      <c r="D485" s="2">
        <v>2.0</v>
      </c>
      <c r="E485" s="2">
        <v>6.0</v>
      </c>
      <c r="AB485" s="2">
        <v>1.0</v>
      </c>
      <c r="AC485" s="2"/>
      <c r="AH485" s="2">
        <v>1.0</v>
      </c>
      <c r="BI485" s="2">
        <v>6.0</v>
      </c>
      <c r="BK485" s="2">
        <v>7.0</v>
      </c>
      <c r="BP485" s="2">
        <v>3.0</v>
      </c>
      <c r="BR485" s="2">
        <v>3.0</v>
      </c>
      <c r="CK485" s="2">
        <v>4.0</v>
      </c>
      <c r="CQ485" s="15">
        <f t="shared" si="22"/>
        <v>25</v>
      </c>
    </row>
    <row r="486">
      <c r="A486" s="6">
        <v>45360.0</v>
      </c>
      <c r="B486" s="2" t="s">
        <v>57</v>
      </c>
      <c r="C486" s="2" t="s">
        <v>69</v>
      </c>
      <c r="D486" s="2">
        <v>2.0</v>
      </c>
      <c r="E486" s="2">
        <v>8.0</v>
      </c>
      <c r="R486" s="2">
        <v>2.0</v>
      </c>
      <c r="W486" s="2">
        <v>1.0</v>
      </c>
      <c r="AH486" s="2">
        <v>2.0</v>
      </c>
      <c r="AV486" s="2">
        <v>2.0</v>
      </c>
      <c r="BI486" s="2">
        <v>2.0</v>
      </c>
      <c r="BK486" s="2">
        <v>2.0</v>
      </c>
      <c r="BR486" s="2">
        <v>3.0</v>
      </c>
      <c r="CK486" s="2">
        <v>11.0</v>
      </c>
      <c r="CQ486" s="15">
        <f t="shared" si="22"/>
        <v>25</v>
      </c>
    </row>
    <row r="487">
      <c r="A487" s="6">
        <v>45360.0</v>
      </c>
      <c r="B487" s="2" t="s">
        <v>57</v>
      </c>
      <c r="C487" s="2" t="s">
        <v>69</v>
      </c>
      <c r="D487" s="2">
        <v>2.0</v>
      </c>
      <c r="E487" s="2">
        <v>10.0</v>
      </c>
      <c r="AB487" s="2">
        <v>3.0</v>
      </c>
      <c r="AC487" s="2"/>
      <c r="AH487" s="2">
        <v>1.0</v>
      </c>
      <c r="AV487" s="2">
        <v>1.0</v>
      </c>
      <c r="BI487" s="2">
        <v>4.0</v>
      </c>
      <c r="BK487" s="2">
        <v>6.0</v>
      </c>
      <c r="CI487" s="2">
        <v>4.0</v>
      </c>
      <c r="CK487" s="2">
        <v>3.0</v>
      </c>
      <c r="CN487" s="2">
        <v>1.0</v>
      </c>
      <c r="CO487" s="2">
        <v>2.0</v>
      </c>
      <c r="CQ487" s="15">
        <f>sum(F487:CO487)</f>
        <v>25</v>
      </c>
    </row>
    <row r="488">
      <c r="A488" s="6">
        <v>45360.0</v>
      </c>
      <c r="B488" s="2" t="s">
        <v>57</v>
      </c>
      <c r="C488" s="2" t="s">
        <v>69</v>
      </c>
      <c r="D488" s="2">
        <v>2.0</v>
      </c>
      <c r="E488" s="2">
        <v>12.0</v>
      </c>
      <c r="AB488" s="2">
        <v>1.0</v>
      </c>
      <c r="AC488" s="2"/>
      <c r="BK488" s="2">
        <v>17.0</v>
      </c>
      <c r="BR488" s="2">
        <v>1.0</v>
      </c>
      <c r="CI488" s="2">
        <v>6.0</v>
      </c>
      <c r="CQ488" s="15">
        <f t="shared" ref="CQ488:CQ491" si="23">sum(F488:CN488)</f>
        <v>25</v>
      </c>
    </row>
    <row r="489">
      <c r="A489" s="6">
        <v>45360.0</v>
      </c>
      <c r="B489" s="2" t="s">
        <v>57</v>
      </c>
      <c r="C489" s="2" t="s">
        <v>69</v>
      </c>
      <c r="D489" s="2">
        <v>2.0</v>
      </c>
      <c r="E489" s="2">
        <v>14.0</v>
      </c>
      <c r="CI489" s="2">
        <v>5.0</v>
      </c>
      <c r="CK489" s="2">
        <v>20.0</v>
      </c>
      <c r="CQ489" s="15">
        <f t="shared" si="23"/>
        <v>25</v>
      </c>
    </row>
    <row r="490">
      <c r="A490" s="6">
        <v>45360.0</v>
      </c>
      <c r="B490" s="2" t="s">
        <v>57</v>
      </c>
      <c r="C490" s="2" t="s">
        <v>69</v>
      </c>
      <c r="D490" s="2">
        <v>2.0</v>
      </c>
      <c r="E490" s="2">
        <v>16.0</v>
      </c>
      <c r="AB490" s="2">
        <v>1.0</v>
      </c>
      <c r="AC490" s="2"/>
      <c r="BI490" s="2">
        <v>4.0</v>
      </c>
      <c r="BK490" s="2">
        <v>14.0</v>
      </c>
      <c r="CI490" s="2">
        <v>6.0</v>
      </c>
      <c r="CQ490" s="15">
        <f t="shared" si="23"/>
        <v>25</v>
      </c>
    </row>
    <row r="491">
      <c r="A491" s="6">
        <v>45360.0</v>
      </c>
      <c r="B491" s="2" t="s">
        <v>57</v>
      </c>
      <c r="C491" s="2" t="s">
        <v>69</v>
      </c>
      <c r="D491" s="2">
        <v>2.0</v>
      </c>
      <c r="E491" s="2">
        <v>18.0</v>
      </c>
      <c r="M491" s="2"/>
      <c r="N491" s="2">
        <v>13.0</v>
      </c>
      <c r="R491" s="2">
        <v>1.0</v>
      </c>
      <c r="AB491" s="2">
        <v>1.0</v>
      </c>
      <c r="AC491" s="2"/>
      <c r="BI491" s="2">
        <v>5.0</v>
      </c>
      <c r="BR491" s="2">
        <v>1.0</v>
      </c>
      <c r="CI491" s="2">
        <v>4.0</v>
      </c>
      <c r="CQ491" s="15">
        <f t="shared" si="23"/>
        <v>25</v>
      </c>
    </row>
    <row r="492">
      <c r="A492" s="6">
        <v>45360.0</v>
      </c>
      <c r="B492" s="2" t="s">
        <v>57</v>
      </c>
      <c r="C492" s="2" t="s">
        <v>69</v>
      </c>
      <c r="D492" s="2">
        <v>2.0</v>
      </c>
      <c r="E492" s="2">
        <v>20.0</v>
      </c>
      <c r="AH492" s="2">
        <v>4.0</v>
      </c>
      <c r="BI492" s="2">
        <v>3.0</v>
      </c>
      <c r="BK492" s="2">
        <v>1.0</v>
      </c>
      <c r="CK492" s="2">
        <v>17.0</v>
      </c>
      <c r="CQ492" s="15">
        <f t="shared" ref="CQ492:CQ530" si="24">sum(F492:CO492)</f>
        <v>25</v>
      </c>
    </row>
    <row r="493">
      <c r="A493" s="6">
        <v>45360.0</v>
      </c>
      <c r="B493" s="2" t="s">
        <v>57</v>
      </c>
      <c r="C493" s="2" t="s">
        <v>69</v>
      </c>
      <c r="D493" s="2">
        <v>3.0</v>
      </c>
      <c r="E493" s="2">
        <v>2.0</v>
      </c>
      <c r="M493" s="2"/>
      <c r="N493" s="2">
        <v>1.0</v>
      </c>
      <c r="W493" s="2">
        <v>4.0</v>
      </c>
      <c r="AV493" s="2">
        <v>1.0</v>
      </c>
      <c r="BK493" s="2">
        <v>2.0</v>
      </c>
      <c r="BR493" s="2">
        <v>1.0</v>
      </c>
      <c r="CK493" s="2">
        <v>2.0</v>
      </c>
      <c r="CN493" s="2">
        <v>14.0</v>
      </c>
      <c r="CQ493" s="15">
        <f t="shared" si="24"/>
        <v>25</v>
      </c>
    </row>
    <row r="494">
      <c r="A494" s="6">
        <v>45360.0</v>
      </c>
      <c r="B494" s="2" t="s">
        <v>57</v>
      </c>
      <c r="C494" s="2" t="s">
        <v>69</v>
      </c>
      <c r="D494" s="2">
        <v>3.0</v>
      </c>
      <c r="E494" s="2">
        <v>4.0</v>
      </c>
      <c r="W494" s="2">
        <v>3.0</v>
      </c>
      <c r="AB494" s="2">
        <v>1.0</v>
      </c>
      <c r="AC494" s="2"/>
      <c r="AH494" s="2">
        <v>1.0</v>
      </c>
      <c r="AV494" s="2">
        <v>4.0</v>
      </c>
      <c r="BK494" s="2">
        <v>9.0</v>
      </c>
      <c r="BP494" s="2">
        <v>2.0</v>
      </c>
      <c r="BQ494" s="2">
        <v>2.0</v>
      </c>
      <c r="CK494" s="2">
        <v>3.0</v>
      </c>
      <c r="CQ494" s="15">
        <f t="shared" si="24"/>
        <v>25</v>
      </c>
    </row>
    <row r="495">
      <c r="A495" s="6">
        <v>45360.0</v>
      </c>
      <c r="B495" s="2" t="s">
        <v>57</v>
      </c>
      <c r="C495" s="2" t="s">
        <v>69</v>
      </c>
      <c r="D495" s="2">
        <v>3.0</v>
      </c>
      <c r="E495" s="2">
        <v>6.0</v>
      </c>
      <c r="W495" s="2">
        <v>7.0</v>
      </c>
      <c r="AV495" s="2">
        <v>2.0</v>
      </c>
      <c r="BF495" s="2">
        <v>1.0</v>
      </c>
      <c r="BI495" s="2">
        <v>1.0</v>
      </c>
      <c r="BK495" s="2">
        <v>8.0</v>
      </c>
      <c r="BM495" s="2">
        <v>2.0</v>
      </c>
      <c r="BQ495" s="2">
        <v>1.0</v>
      </c>
      <c r="CN495" s="2">
        <v>3.0</v>
      </c>
      <c r="CQ495" s="15">
        <f t="shared" si="24"/>
        <v>25</v>
      </c>
    </row>
    <row r="496">
      <c r="A496" s="6">
        <v>45360.0</v>
      </c>
      <c r="B496" s="2" t="s">
        <v>57</v>
      </c>
      <c r="C496" s="2" t="s">
        <v>69</v>
      </c>
      <c r="D496" s="2">
        <v>3.0</v>
      </c>
      <c r="E496" s="2">
        <v>8.0</v>
      </c>
      <c r="W496" s="2">
        <v>2.0</v>
      </c>
      <c r="AH496" s="2">
        <v>1.0</v>
      </c>
      <c r="BI496" s="2">
        <v>1.0</v>
      </c>
      <c r="BK496" s="2">
        <v>13.0</v>
      </c>
      <c r="BQ496" s="2">
        <v>2.0</v>
      </c>
      <c r="BR496" s="2">
        <v>4.0</v>
      </c>
      <c r="CK496" s="2">
        <v>1.0</v>
      </c>
      <c r="CN496" s="2">
        <v>1.0</v>
      </c>
      <c r="CQ496" s="15">
        <f t="shared" si="24"/>
        <v>25</v>
      </c>
    </row>
    <row r="497">
      <c r="A497" s="6">
        <v>45360.0</v>
      </c>
      <c r="B497" s="2" t="s">
        <v>57</v>
      </c>
      <c r="C497" s="2" t="s">
        <v>69</v>
      </c>
      <c r="D497" s="2">
        <v>3.0</v>
      </c>
      <c r="E497" s="2">
        <v>10.0</v>
      </c>
      <c r="AV497" s="2">
        <v>5.0</v>
      </c>
      <c r="BF497" s="2">
        <v>1.0</v>
      </c>
      <c r="BI497" s="2">
        <v>15.0</v>
      </c>
      <c r="BM497" s="2">
        <v>1.0</v>
      </c>
      <c r="BY497" s="2">
        <v>2.0</v>
      </c>
      <c r="CK497" s="2">
        <v>1.0</v>
      </c>
      <c r="CQ497" s="15">
        <f t="shared" si="24"/>
        <v>25</v>
      </c>
    </row>
    <row r="498">
      <c r="A498" s="6">
        <v>45360.0</v>
      </c>
      <c r="B498" s="2" t="s">
        <v>57</v>
      </c>
      <c r="C498" s="2" t="s">
        <v>69</v>
      </c>
      <c r="D498" s="2">
        <v>3.0</v>
      </c>
      <c r="E498" s="2">
        <v>12.0</v>
      </c>
      <c r="F498" s="2">
        <v>1.0</v>
      </c>
      <c r="W498" s="2">
        <v>9.0</v>
      </c>
      <c r="AV498" s="2">
        <v>1.0</v>
      </c>
      <c r="BI498" s="2">
        <v>2.0</v>
      </c>
      <c r="BK498" s="2">
        <v>6.0</v>
      </c>
      <c r="BQ498" s="2">
        <v>1.0</v>
      </c>
      <c r="CN498" s="2">
        <v>5.0</v>
      </c>
      <c r="CQ498" s="15">
        <f t="shared" si="24"/>
        <v>25</v>
      </c>
    </row>
    <row r="499">
      <c r="A499" s="6">
        <v>45360.0</v>
      </c>
      <c r="B499" s="2" t="s">
        <v>57</v>
      </c>
      <c r="C499" s="2" t="s">
        <v>69</v>
      </c>
      <c r="D499" s="2">
        <v>3.0</v>
      </c>
      <c r="E499" s="2">
        <v>14.0</v>
      </c>
      <c r="W499" s="2">
        <v>1.0</v>
      </c>
      <c r="AB499" s="2">
        <v>2.0</v>
      </c>
      <c r="AC499" s="2"/>
      <c r="AV499" s="2">
        <v>1.0</v>
      </c>
      <c r="BF499" s="2">
        <v>1.0</v>
      </c>
      <c r="BI499" s="2">
        <v>10.0</v>
      </c>
      <c r="BK499" s="2">
        <v>6.0</v>
      </c>
      <c r="CI499" s="2">
        <v>3.0</v>
      </c>
      <c r="CM499" s="2">
        <v>1.0</v>
      </c>
      <c r="CQ499" s="15">
        <f t="shared" si="24"/>
        <v>25</v>
      </c>
    </row>
    <row r="500">
      <c r="A500" s="6">
        <v>45360.0</v>
      </c>
      <c r="B500" s="2" t="s">
        <v>57</v>
      </c>
      <c r="C500" s="2" t="s">
        <v>69</v>
      </c>
      <c r="D500" s="2">
        <v>3.0</v>
      </c>
      <c r="E500" s="2">
        <v>16.0</v>
      </c>
      <c r="M500" s="2"/>
      <c r="N500" s="2">
        <v>1.0</v>
      </c>
      <c r="AH500" s="2">
        <v>4.0</v>
      </c>
      <c r="BI500" s="2">
        <v>4.0</v>
      </c>
      <c r="BJ500" s="2">
        <v>10.0</v>
      </c>
      <c r="CI500" s="2">
        <v>1.0</v>
      </c>
      <c r="CK500" s="2">
        <v>5.0</v>
      </c>
      <c r="CQ500" s="15">
        <f t="shared" si="24"/>
        <v>25</v>
      </c>
    </row>
    <row r="501">
      <c r="A501" s="6">
        <v>45360.0</v>
      </c>
      <c r="B501" s="2" t="s">
        <v>57</v>
      </c>
      <c r="C501" s="2" t="s">
        <v>69</v>
      </c>
      <c r="D501" s="2">
        <v>3.0</v>
      </c>
      <c r="E501" s="2">
        <v>18.0</v>
      </c>
      <c r="M501" s="2"/>
      <c r="N501" s="2">
        <v>2.0</v>
      </c>
      <c r="AB501" s="2">
        <v>1.0</v>
      </c>
      <c r="AC501" s="2"/>
      <c r="AH501" s="2">
        <v>7.0</v>
      </c>
      <c r="BI501" s="2">
        <v>3.0</v>
      </c>
      <c r="BQ501" s="2">
        <v>3.0</v>
      </c>
      <c r="CM501" s="2">
        <v>2.0</v>
      </c>
      <c r="CO501" s="2">
        <v>8.0</v>
      </c>
      <c r="CQ501" s="15">
        <f t="shared" si="24"/>
        <v>26</v>
      </c>
    </row>
    <row r="502">
      <c r="A502" s="6">
        <v>45360.0</v>
      </c>
      <c r="B502" s="2" t="s">
        <v>57</v>
      </c>
      <c r="C502" s="2" t="s">
        <v>69</v>
      </c>
      <c r="D502" s="2">
        <v>3.0</v>
      </c>
      <c r="E502" s="2">
        <v>20.0</v>
      </c>
      <c r="CK502" s="2">
        <v>21.0</v>
      </c>
      <c r="CN502" s="2">
        <v>4.0</v>
      </c>
      <c r="CQ502" s="15">
        <f t="shared" si="24"/>
        <v>25</v>
      </c>
    </row>
    <row r="503">
      <c r="A503" s="6">
        <v>45360.0</v>
      </c>
      <c r="B503" s="2" t="s">
        <v>57</v>
      </c>
      <c r="C503" s="2" t="s">
        <v>69</v>
      </c>
      <c r="D503" s="2">
        <v>4.0</v>
      </c>
      <c r="E503" s="2">
        <v>2.0</v>
      </c>
      <c r="W503" s="2">
        <v>4.0</v>
      </c>
      <c r="AH503" s="2">
        <v>1.0</v>
      </c>
      <c r="AV503" s="2">
        <v>5.0</v>
      </c>
      <c r="BK503" s="2">
        <v>13.0</v>
      </c>
      <c r="CK503" s="2">
        <v>2.0</v>
      </c>
      <c r="CQ503" s="15">
        <f t="shared" si="24"/>
        <v>25</v>
      </c>
    </row>
    <row r="504">
      <c r="A504" s="6">
        <v>45360.0</v>
      </c>
      <c r="B504" s="2" t="s">
        <v>57</v>
      </c>
      <c r="C504" s="2" t="s">
        <v>69</v>
      </c>
      <c r="D504" s="2">
        <v>4.0</v>
      </c>
      <c r="E504" s="2">
        <v>4.0</v>
      </c>
      <c r="W504" s="2">
        <v>1.0</v>
      </c>
      <c r="X504" s="2">
        <v>5.0</v>
      </c>
      <c r="AB504" s="2">
        <v>1.0</v>
      </c>
      <c r="AC504" s="2"/>
      <c r="AH504" s="2">
        <v>2.0</v>
      </c>
      <c r="AJ504" s="2">
        <v>2.0</v>
      </c>
      <c r="AV504" s="2">
        <v>4.0</v>
      </c>
      <c r="BK504" s="2">
        <v>8.0</v>
      </c>
      <c r="BQ504" s="2">
        <v>2.0</v>
      </c>
      <c r="CQ504" s="15">
        <f t="shared" si="24"/>
        <v>25</v>
      </c>
    </row>
    <row r="505">
      <c r="A505" s="6">
        <v>45360.0</v>
      </c>
      <c r="B505" s="2" t="s">
        <v>57</v>
      </c>
      <c r="C505" s="2" t="s">
        <v>69</v>
      </c>
      <c r="D505" s="2">
        <v>4.0</v>
      </c>
      <c r="E505" s="2">
        <v>6.0</v>
      </c>
      <c r="X505" s="2">
        <v>2.0</v>
      </c>
      <c r="AB505" s="2">
        <v>2.0</v>
      </c>
      <c r="AC505" s="2"/>
      <c r="AV505" s="2">
        <v>2.0</v>
      </c>
      <c r="BK505" s="2">
        <v>15.0</v>
      </c>
      <c r="BP505" s="2">
        <v>3.0</v>
      </c>
      <c r="BQ505" s="2">
        <v>1.0</v>
      </c>
      <c r="CQ505" s="15">
        <f t="shared" si="24"/>
        <v>25</v>
      </c>
    </row>
    <row r="506">
      <c r="A506" s="6">
        <v>45360.0</v>
      </c>
      <c r="B506" s="2" t="s">
        <v>57</v>
      </c>
      <c r="C506" s="2" t="s">
        <v>69</v>
      </c>
      <c r="D506" s="2">
        <v>4.0</v>
      </c>
      <c r="E506" s="2">
        <v>8.0</v>
      </c>
      <c r="M506" s="2"/>
      <c r="N506" s="2">
        <v>1.0</v>
      </c>
      <c r="W506" s="2">
        <v>2.0</v>
      </c>
      <c r="AH506" s="2">
        <v>2.0</v>
      </c>
      <c r="BK506" s="2">
        <v>10.0</v>
      </c>
      <c r="BM506" s="2">
        <v>1.0</v>
      </c>
      <c r="BR506" s="2">
        <v>8.0</v>
      </c>
      <c r="CK506" s="2">
        <v>1.0</v>
      </c>
      <c r="CN506" s="2">
        <v>1.0</v>
      </c>
      <c r="CQ506" s="15">
        <f t="shared" si="24"/>
        <v>26</v>
      </c>
    </row>
    <row r="507">
      <c r="A507" s="6">
        <v>45360.0</v>
      </c>
      <c r="B507" s="2" t="s">
        <v>57</v>
      </c>
      <c r="C507" s="2" t="s">
        <v>69</v>
      </c>
      <c r="D507" s="2">
        <v>4.0</v>
      </c>
      <c r="E507" s="2">
        <v>10.0</v>
      </c>
      <c r="AB507" s="2">
        <v>3.0</v>
      </c>
      <c r="AC507" s="2"/>
      <c r="AH507" s="2">
        <v>1.0</v>
      </c>
      <c r="AV507" s="2">
        <v>8.0</v>
      </c>
      <c r="BI507" s="2">
        <v>4.0</v>
      </c>
      <c r="BK507" s="2">
        <v>9.0</v>
      </c>
      <c r="CQ507" s="15">
        <f t="shared" si="24"/>
        <v>25</v>
      </c>
    </row>
    <row r="508">
      <c r="A508" s="6">
        <v>45360.0</v>
      </c>
      <c r="B508" s="2" t="s">
        <v>57</v>
      </c>
      <c r="C508" s="2" t="s">
        <v>69</v>
      </c>
      <c r="D508" s="2">
        <v>4.0</v>
      </c>
      <c r="E508" s="2">
        <v>12.0</v>
      </c>
      <c r="W508" s="2">
        <v>1.0</v>
      </c>
      <c r="AH508" s="2">
        <v>1.0</v>
      </c>
      <c r="AV508" s="2">
        <v>3.0</v>
      </c>
      <c r="BF508" s="2">
        <v>1.0</v>
      </c>
      <c r="BI508" s="2">
        <v>5.0</v>
      </c>
      <c r="BK508" s="2">
        <v>9.0</v>
      </c>
      <c r="BM508" s="2">
        <v>1.0</v>
      </c>
      <c r="CK508" s="2">
        <v>4.0</v>
      </c>
      <c r="CQ508" s="15">
        <f t="shared" si="24"/>
        <v>25</v>
      </c>
    </row>
    <row r="509">
      <c r="A509" s="6">
        <v>45360.0</v>
      </c>
      <c r="B509" s="2" t="s">
        <v>57</v>
      </c>
      <c r="C509" s="2" t="s">
        <v>69</v>
      </c>
      <c r="D509" s="2">
        <v>4.0</v>
      </c>
      <c r="E509" s="2">
        <v>14.0</v>
      </c>
      <c r="AH509" s="2">
        <v>1.0</v>
      </c>
      <c r="AV509" s="2">
        <v>1.0</v>
      </c>
      <c r="BI509" s="2">
        <v>1.0</v>
      </c>
      <c r="BK509" s="2">
        <v>10.0</v>
      </c>
      <c r="BM509" s="2">
        <v>3.0</v>
      </c>
      <c r="CK509" s="2">
        <v>7.0</v>
      </c>
      <c r="CN509" s="2">
        <v>2.0</v>
      </c>
      <c r="CQ509" s="15">
        <f t="shared" si="24"/>
        <v>25</v>
      </c>
    </row>
    <row r="510">
      <c r="A510" s="6">
        <v>45360.0</v>
      </c>
      <c r="B510" s="2" t="s">
        <v>57</v>
      </c>
      <c r="C510" s="2" t="s">
        <v>69</v>
      </c>
      <c r="D510" s="2">
        <v>4.0</v>
      </c>
      <c r="E510" s="2">
        <v>16.0</v>
      </c>
      <c r="AH510" s="2">
        <v>2.0</v>
      </c>
      <c r="AN510" s="2">
        <v>2.0</v>
      </c>
      <c r="BI510" s="2">
        <v>6.0</v>
      </c>
      <c r="BK510" s="2">
        <v>6.0</v>
      </c>
      <c r="BM510" s="2">
        <v>1.0</v>
      </c>
      <c r="CI510" s="2">
        <v>3.0</v>
      </c>
      <c r="CK510" s="2">
        <v>5.0</v>
      </c>
      <c r="CM510" s="2">
        <v>1.0</v>
      </c>
      <c r="CQ510" s="15">
        <f t="shared" si="24"/>
        <v>26</v>
      </c>
    </row>
    <row r="511">
      <c r="A511" s="6">
        <v>45360.0</v>
      </c>
      <c r="B511" s="2" t="s">
        <v>57</v>
      </c>
      <c r="C511" s="2" t="s">
        <v>69</v>
      </c>
      <c r="D511" s="2">
        <v>4.0</v>
      </c>
      <c r="E511" s="2">
        <v>18.0</v>
      </c>
      <c r="AB511" s="2">
        <v>1.0</v>
      </c>
      <c r="AC511" s="2"/>
      <c r="BI511" s="2">
        <v>19.0</v>
      </c>
      <c r="BK511" s="2">
        <v>3.0</v>
      </c>
      <c r="CI511" s="2">
        <v>1.0</v>
      </c>
      <c r="CM511" s="2">
        <v>1.0</v>
      </c>
      <c r="CQ511" s="15">
        <f t="shared" si="24"/>
        <v>25</v>
      </c>
    </row>
    <row r="512">
      <c r="A512" s="6">
        <v>45360.0</v>
      </c>
      <c r="B512" s="2" t="s">
        <v>57</v>
      </c>
      <c r="C512" s="2" t="s">
        <v>69</v>
      </c>
      <c r="D512" s="2">
        <v>4.0</v>
      </c>
      <c r="E512" s="2">
        <v>20.0</v>
      </c>
      <c r="CG512" s="2">
        <v>8.0</v>
      </c>
      <c r="CK512" s="2">
        <v>16.0</v>
      </c>
      <c r="CN512" s="2">
        <v>1.0</v>
      </c>
      <c r="CQ512" s="15">
        <f t="shared" si="24"/>
        <v>25</v>
      </c>
    </row>
    <row r="513">
      <c r="A513" s="6">
        <v>45377.0</v>
      </c>
      <c r="B513" s="2" t="s">
        <v>264</v>
      </c>
      <c r="C513" s="2" t="s">
        <v>199</v>
      </c>
      <c r="D513" s="2">
        <v>1.0</v>
      </c>
      <c r="E513" s="2">
        <v>0.0</v>
      </c>
      <c r="AT513" s="2">
        <v>2.0</v>
      </c>
      <c r="AV513" s="2">
        <v>3.0</v>
      </c>
      <c r="BC513" s="2">
        <v>1.0</v>
      </c>
      <c r="BI513" s="2">
        <v>7.0</v>
      </c>
      <c r="BR513" s="2">
        <v>9.0</v>
      </c>
      <c r="CN513" s="2">
        <v>1.0</v>
      </c>
      <c r="CQ513" s="15">
        <f t="shared" si="24"/>
        <v>23</v>
      </c>
      <c r="CS513" s="2" t="s">
        <v>247</v>
      </c>
      <c r="CT513" s="2">
        <v>0.0</v>
      </c>
    </row>
    <row r="514">
      <c r="A514" s="6">
        <v>45377.0</v>
      </c>
      <c r="B514" s="2" t="s">
        <v>264</v>
      </c>
      <c r="C514" s="2" t="s">
        <v>199</v>
      </c>
      <c r="D514" s="2">
        <v>1.0</v>
      </c>
      <c r="E514" s="2">
        <v>5.0</v>
      </c>
      <c r="F514" s="2">
        <v>2.0</v>
      </c>
      <c r="R514" s="2">
        <v>4.0</v>
      </c>
      <c r="AV514" s="2">
        <v>2.0</v>
      </c>
      <c r="BI514" s="2">
        <v>6.0</v>
      </c>
      <c r="BR514" s="2">
        <v>6.0</v>
      </c>
      <c r="CL514" s="2">
        <v>5.0</v>
      </c>
      <c r="CQ514" s="15">
        <f t="shared" si="24"/>
        <v>25</v>
      </c>
      <c r="CS514" s="2" t="s">
        <v>247</v>
      </c>
      <c r="CT514" s="2">
        <v>1.0</v>
      </c>
    </row>
    <row r="515">
      <c r="A515" s="6">
        <v>45377.0</v>
      </c>
      <c r="B515" s="2" t="s">
        <v>264</v>
      </c>
      <c r="C515" s="2" t="s">
        <v>199</v>
      </c>
      <c r="D515" s="2">
        <v>1.0</v>
      </c>
      <c r="E515" s="2">
        <v>10.0</v>
      </c>
      <c r="F515" s="2">
        <v>5.0</v>
      </c>
      <c r="AT515" s="2">
        <v>1.0</v>
      </c>
      <c r="AW515" s="2">
        <v>1.0</v>
      </c>
      <c r="BI515" s="2">
        <v>5.0</v>
      </c>
      <c r="BR515" s="2">
        <v>9.0</v>
      </c>
      <c r="CB515" s="2">
        <v>2.0</v>
      </c>
      <c r="CI515" s="2">
        <v>1.0</v>
      </c>
      <c r="CJ515" s="2">
        <v>1.0</v>
      </c>
      <c r="CQ515" s="15">
        <f t="shared" si="24"/>
        <v>25</v>
      </c>
      <c r="CS515" s="2" t="s">
        <v>247</v>
      </c>
      <c r="CT515" s="2">
        <v>5.0</v>
      </c>
    </row>
    <row r="516">
      <c r="A516" s="6">
        <v>45377.0</v>
      </c>
      <c r="B516" s="2" t="s">
        <v>264</v>
      </c>
      <c r="C516" s="2" t="s">
        <v>199</v>
      </c>
      <c r="D516" s="2">
        <v>1.0</v>
      </c>
      <c r="E516" s="2">
        <v>15.0</v>
      </c>
      <c r="R516" s="2">
        <v>3.0</v>
      </c>
      <c r="T516" s="2">
        <v>6.0</v>
      </c>
      <c r="AT516" s="2">
        <v>1.0</v>
      </c>
      <c r="AV516" s="2">
        <v>2.0</v>
      </c>
      <c r="BC516" s="2">
        <v>3.0</v>
      </c>
      <c r="BI516" s="2">
        <v>7.0</v>
      </c>
      <c r="BR516" s="2">
        <v>3.0</v>
      </c>
      <c r="CL516" s="2">
        <v>1.0</v>
      </c>
      <c r="CQ516" s="15">
        <f t="shared" si="24"/>
        <v>26</v>
      </c>
      <c r="CS516" s="2" t="s">
        <v>251</v>
      </c>
      <c r="CT516" s="2">
        <v>1.0</v>
      </c>
    </row>
    <row r="517">
      <c r="A517" s="6">
        <v>45377.0</v>
      </c>
      <c r="B517" s="2" t="s">
        <v>264</v>
      </c>
      <c r="C517" s="2" t="s">
        <v>199</v>
      </c>
      <c r="D517" s="2">
        <v>1.0</v>
      </c>
      <c r="E517" s="2">
        <v>20.0</v>
      </c>
      <c r="R517" s="2">
        <v>4.0</v>
      </c>
      <c r="BC517" s="2">
        <v>1.0</v>
      </c>
      <c r="BR517" s="2">
        <v>9.0</v>
      </c>
      <c r="BW517" s="2">
        <v>7.0</v>
      </c>
      <c r="CK517" s="2">
        <v>4.0</v>
      </c>
      <c r="CQ517" s="15">
        <f t="shared" si="24"/>
        <v>25</v>
      </c>
      <c r="CS517" s="2" t="s">
        <v>247</v>
      </c>
      <c r="CT517" s="2">
        <v>5.0</v>
      </c>
    </row>
    <row r="518">
      <c r="A518" s="6">
        <v>45377.0</v>
      </c>
      <c r="B518" s="2" t="s">
        <v>264</v>
      </c>
      <c r="C518" s="2" t="s">
        <v>199</v>
      </c>
      <c r="D518" s="2">
        <v>1.0</v>
      </c>
      <c r="E518" s="2">
        <v>25.0</v>
      </c>
      <c r="R518" s="2">
        <v>6.0</v>
      </c>
      <c r="Z518" s="2">
        <v>1.0</v>
      </c>
      <c r="AQ518" s="2">
        <v>1.0</v>
      </c>
      <c r="AR518" s="2"/>
      <c r="AV518" s="2">
        <v>1.0</v>
      </c>
      <c r="BC518" s="2">
        <v>1.0</v>
      </c>
      <c r="BI518" s="2">
        <v>4.0</v>
      </c>
      <c r="BR518" s="2">
        <v>8.0</v>
      </c>
      <c r="CI518" s="2">
        <v>3.0</v>
      </c>
      <c r="CQ518" s="15">
        <f t="shared" si="24"/>
        <v>25</v>
      </c>
      <c r="CS518" s="2" t="s">
        <v>247</v>
      </c>
      <c r="CT518" s="2">
        <v>0.0</v>
      </c>
    </row>
    <row r="519">
      <c r="A519" s="6">
        <v>45377.0</v>
      </c>
      <c r="B519" s="2" t="s">
        <v>264</v>
      </c>
      <c r="C519" s="2" t="s">
        <v>199</v>
      </c>
      <c r="D519" s="2">
        <v>1.0</v>
      </c>
      <c r="E519" s="2">
        <v>30.0</v>
      </c>
      <c r="R519" s="2">
        <v>6.0</v>
      </c>
      <c r="AV519" s="2">
        <v>4.0</v>
      </c>
      <c r="BR519" s="2">
        <v>5.0</v>
      </c>
      <c r="CI519" s="2">
        <v>8.0</v>
      </c>
      <c r="CJ519" s="2">
        <v>1.0</v>
      </c>
      <c r="CL519" s="2">
        <v>1.0</v>
      </c>
      <c r="CQ519" s="15">
        <f t="shared" si="24"/>
        <v>25</v>
      </c>
      <c r="CS519" s="2" t="s">
        <v>251</v>
      </c>
      <c r="CT519" s="2">
        <v>1.0</v>
      </c>
    </row>
    <row r="520">
      <c r="A520" s="6">
        <v>45377.0</v>
      </c>
      <c r="B520" s="2" t="s">
        <v>264</v>
      </c>
      <c r="C520" s="2" t="s">
        <v>199</v>
      </c>
      <c r="D520" s="2">
        <v>1.0</v>
      </c>
      <c r="E520" s="2">
        <v>35.0</v>
      </c>
      <c r="R520" s="2">
        <v>2.0</v>
      </c>
      <c r="AT520" s="2">
        <v>1.0</v>
      </c>
      <c r="AV520" s="2">
        <v>1.0</v>
      </c>
      <c r="BC520" s="2">
        <v>3.0</v>
      </c>
      <c r="BR520" s="2">
        <v>6.0</v>
      </c>
      <c r="CI520" s="2">
        <v>12.0</v>
      </c>
      <c r="CQ520" s="15">
        <f t="shared" si="24"/>
        <v>25</v>
      </c>
      <c r="CS520" s="2" t="s">
        <v>251</v>
      </c>
      <c r="CT520" s="2">
        <v>0.0</v>
      </c>
    </row>
    <row r="521">
      <c r="A521" s="6">
        <v>45377.0</v>
      </c>
      <c r="B521" s="2" t="s">
        <v>264</v>
      </c>
      <c r="C521" s="2" t="s">
        <v>199</v>
      </c>
      <c r="D521" s="2">
        <v>1.0</v>
      </c>
      <c r="E521" s="2">
        <v>40.0</v>
      </c>
      <c r="CI521" s="2">
        <v>20.0</v>
      </c>
      <c r="CL521" s="2">
        <v>5.0</v>
      </c>
      <c r="CQ521" s="15">
        <f t="shared" si="24"/>
        <v>25</v>
      </c>
      <c r="CS521" s="2" t="s">
        <v>251</v>
      </c>
      <c r="CT521" s="2">
        <v>0.0</v>
      </c>
    </row>
    <row r="522">
      <c r="A522" s="6">
        <v>45377.0</v>
      </c>
      <c r="B522" s="2" t="s">
        <v>264</v>
      </c>
      <c r="C522" s="2" t="s">
        <v>199</v>
      </c>
      <c r="D522" s="2">
        <v>3.0</v>
      </c>
      <c r="E522" s="2">
        <v>0.0</v>
      </c>
      <c r="R522" s="2">
        <v>12.0</v>
      </c>
      <c r="Z522" s="2">
        <v>1.0</v>
      </c>
      <c r="AJ522" s="2">
        <v>4.0</v>
      </c>
      <c r="BI522" s="2">
        <v>5.0</v>
      </c>
      <c r="BR522" s="2">
        <v>3.0</v>
      </c>
      <c r="CJ522" s="2">
        <v>1.0</v>
      </c>
      <c r="CQ522" s="15">
        <f t="shared" si="24"/>
        <v>26</v>
      </c>
      <c r="CS522" s="2" t="s">
        <v>247</v>
      </c>
      <c r="CT522" s="2">
        <v>5.0</v>
      </c>
    </row>
    <row r="523">
      <c r="A523" s="6">
        <v>45377.0</v>
      </c>
      <c r="B523" s="2" t="s">
        <v>264</v>
      </c>
      <c r="C523" s="2" t="s">
        <v>199</v>
      </c>
      <c r="D523" s="2">
        <v>3.0</v>
      </c>
      <c r="E523" s="2">
        <v>5.0</v>
      </c>
      <c r="AV523" s="2">
        <v>6.0</v>
      </c>
      <c r="BF523" s="2">
        <v>1.0</v>
      </c>
      <c r="BI523" s="2">
        <v>1.0</v>
      </c>
      <c r="BN523" s="2">
        <v>2.0</v>
      </c>
      <c r="BR523" s="2">
        <v>15.0</v>
      </c>
      <c r="CQ523" s="15">
        <f t="shared" si="24"/>
        <v>25</v>
      </c>
      <c r="CS523" s="2" t="s">
        <v>247</v>
      </c>
      <c r="CT523" s="2">
        <v>10.0</v>
      </c>
    </row>
    <row r="524">
      <c r="A524" s="6">
        <v>45377.0</v>
      </c>
      <c r="B524" s="2" t="s">
        <v>264</v>
      </c>
      <c r="C524" s="2" t="s">
        <v>199</v>
      </c>
      <c r="D524" s="2">
        <v>3.0</v>
      </c>
      <c r="E524" s="2">
        <v>10.0</v>
      </c>
      <c r="R524" s="2">
        <v>2.0</v>
      </c>
      <c r="AM524" s="2">
        <v>7.0</v>
      </c>
      <c r="AV524" s="2">
        <v>4.0</v>
      </c>
      <c r="BC524" s="2">
        <v>1.0</v>
      </c>
      <c r="BI524" s="2">
        <v>1.0</v>
      </c>
      <c r="BR524" s="2">
        <v>8.0</v>
      </c>
      <c r="CI524" s="2">
        <v>1.0</v>
      </c>
      <c r="CJ524" s="2">
        <v>1.0</v>
      </c>
      <c r="CQ524" s="15">
        <f t="shared" si="24"/>
        <v>25</v>
      </c>
      <c r="CS524" s="2" t="s">
        <v>247</v>
      </c>
      <c r="CT524" s="2">
        <v>1.0</v>
      </c>
    </row>
    <row r="525">
      <c r="A525" s="6">
        <v>45377.0</v>
      </c>
      <c r="B525" s="2" t="s">
        <v>264</v>
      </c>
      <c r="C525" s="2" t="s">
        <v>199</v>
      </c>
      <c r="D525" s="2">
        <v>3.0</v>
      </c>
      <c r="E525" s="2">
        <v>15.0</v>
      </c>
      <c r="M525" s="2"/>
      <c r="N525" s="2">
        <v>1.0</v>
      </c>
      <c r="R525" s="2">
        <v>1.0</v>
      </c>
      <c r="AJ525" s="2">
        <v>1.0</v>
      </c>
      <c r="AM525" s="2">
        <v>2.0</v>
      </c>
      <c r="AV525" s="2">
        <v>4.0</v>
      </c>
      <c r="BC525" s="2">
        <v>3.0</v>
      </c>
      <c r="BR525" s="2">
        <v>3.0</v>
      </c>
      <c r="CI525" s="2">
        <v>9.0</v>
      </c>
      <c r="CJ525" s="2">
        <v>1.0</v>
      </c>
      <c r="CQ525" s="15">
        <f t="shared" si="24"/>
        <v>25</v>
      </c>
      <c r="CS525" s="2" t="s">
        <v>247</v>
      </c>
      <c r="CT525" s="2">
        <v>10.0</v>
      </c>
    </row>
    <row r="526">
      <c r="A526" s="6">
        <v>45377.0</v>
      </c>
      <c r="B526" s="2" t="s">
        <v>264</v>
      </c>
      <c r="C526" s="2" t="s">
        <v>199</v>
      </c>
      <c r="D526" s="2">
        <v>3.0</v>
      </c>
      <c r="E526" s="2">
        <v>20.0</v>
      </c>
      <c r="R526" s="2">
        <v>4.0</v>
      </c>
      <c r="AJ526" s="2">
        <v>2.0</v>
      </c>
      <c r="AM526" s="2">
        <v>3.0</v>
      </c>
      <c r="AV526" s="2">
        <v>2.0</v>
      </c>
      <c r="BR526" s="2">
        <v>3.0</v>
      </c>
      <c r="CI526" s="2">
        <v>10.0</v>
      </c>
      <c r="CQ526" s="15">
        <f t="shared" si="24"/>
        <v>24</v>
      </c>
      <c r="CS526" s="2" t="s">
        <v>251</v>
      </c>
      <c r="CT526" s="2">
        <v>0.0</v>
      </c>
    </row>
    <row r="527">
      <c r="A527" s="6">
        <v>45377.0</v>
      </c>
      <c r="B527" s="2" t="s">
        <v>264</v>
      </c>
      <c r="C527" s="2" t="s">
        <v>199</v>
      </c>
      <c r="D527" s="2">
        <v>3.0</v>
      </c>
      <c r="E527" s="2">
        <v>25.0</v>
      </c>
      <c r="AJ527" s="2">
        <v>7.0</v>
      </c>
      <c r="AQ527" s="2">
        <v>2.0</v>
      </c>
      <c r="AR527" s="2"/>
      <c r="AV527" s="2">
        <v>1.0</v>
      </c>
      <c r="BR527" s="2">
        <v>1.0</v>
      </c>
      <c r="CI527" s="2">
        <v>13.0</v>
      </c>
      <c r="CJ527" s="2">
        <v>1.0</v>
      </c>
      <c r="CQ527" s="15">
        <f t="shared" si="24"/>
        <v>25</v>
      </c>
      <c r="CS527" s="2" t="s">
        <v>251</v>
      </c>
      <c r="CT527" s="2">
        <v>0.0</v>
      </c>
    </row>
    <row r="528">
      <c r="A528" s="6">
        <v>45377.0</v>
      </c>
      <c r="B528" s="2" t="s">
        <v>264</v>
      </c>
      <c r="C528" s="2" t="s">
        <v>199</v>
      </c>
      <c r="D528" s="2">
        <v>3.0</v>
      </c>
      <c r="E528" s="2">
        <v>30.0</v>
      </c>
      <c r="R528" s="2">
        <v>4.0</v>
      </c>
      <c r="AG528" s="2">
        <v>1.0</v>
      </c>
      <c r="AJ528" s="2">
        <v>5.0</v>
      </c>
      <c r="AM528" s="2">
        <v>2.0</v>
      </c>
      <c r="AV528" s="2">
        <v>4.0</v>
      </c>
      <c r="BI528" s="2">
        <v>3.0</v>
      </c>
      <c r="CI528" s="2">
        <v>6.0</v>
      </c>
      <c r="CQ528" s="15">
        <f t="shared" si="24"/>
        <v>25</v>
      </c>
      <c r="CS528" s="2" t="s">
        <v>247</v>
      </c>
      <c r="CT528" s="2">
        <v>10.0</v>
      </c>
    </row>
    <row r="529">
      <c r="A529" s="6">
        <v>45377.0</v>
      </c>
      <c r="B529" s="2" t="s">
        <v>264</v>
      </c>
      <c r="C529" s="2" t="s">
        <v>199</v>
      </c>
      <c r="D529" s="2">
        <v>3.0</v>
      </c>
      <c r="E529" s="2">
        <v>35.0</v>
      </c>
      <c r="F529" s="2">
        <v>1.0</v>
      </c>
      <c r="AG529" s="2">
        <v>1.0</v>
      </c>
      <c r="AM529" s="2">
        <v>1.0</v>
      </c>
      <c r="AV529" s="2">
        <v>2.0</v>
      </c>
      <c r="BC529" s="2">
        <v>2.0</v>
      </c>
      <c r="BI529" s="2">
        <v>2.0</v>
      </c>
      <c r="BR529" s="2">
        <v>7.0</v>
      </c>
      <c r="CI529" s="2">
        <v>5.0</v>
      </c>
      <c r="CJ529" s="2">
        <v>1.0</v>
      </c>
      <c r="CL529" s="2">
        <v>3.0</v>
      </c>
      <c r="CQ529" s="15">
        <f t="shared" si="24"/>
        <v>25</v>
      </c>
      <c r="CS529" s="2" t="s">
        <v>251</v>
      </c>
      <c r="CT529" s="2">
        <v>0.0</v>
      </c>
    </row>
    <row r="530">
      <c r="A530" s="6">
        <v>45377.0</v>
      </c>
      <c r="B530" s="2" t="s">
        <v>264</v>
      </c>
      <c r="C530" s="2" t="s">
        <v>199</v>
      </c>
      <c r="D530" s="2">
        <v>3.0</v>
      </c>
      <c r="E530" s="2">
        <v>40.0</v>
      </c>
      <c r="R530" s="2">
        <v>1.0</v>
      </c>
      <c r="AV530" s="2">
        <v>1.0</v>
      </c>
      <c r="BI530" s="2">
        <v>13.0</v>
      </c>
      <c r="BR530" s="2">
        <v>3.0</v>
      </c>
      <c r="CI530" s="2">
        <v>2.0</v>
      </c>
      <c r="CK530" s="2">
        <v>1.0</v>
      </c>
      <c r="CL530" s="2">
        <v>5.0</v>
      </c>
      <c r="CQ530" s="15">
        <f t="shared" si="24"/>
        <v>26</v>
      </c>
      <c r="CS530" s="2" t="s">
        <v>251</v>
      </c>
      <c r="CT530" s="2">
        <v>0.0</v>
      </c>
    </row>
    <row r="531">
      <c r="A531" s="6">
        <v>45388.0</v>
      </c>
      <c r="B531" s="2" t="s">
        <v>27</v>
      </c>
      <c r="C531" s="2" t="s">
        <v>28</v>
      </c>
      <c r="D531" s="2">
        <v>3.0</v>
      </c>
      <c r="E531" s="2">
        <v>0.0</v>
      </c>
      <c r="P531" s="2">
        <v>1.0</v>
      </c>
      <c r="R531" s="2">
        <v>2.0</v>
      </c>
      <c r="Z531" s="2">
        <v>10.0</v>
      </c>
      <c r="AK531" s="2">
        <v>1.0</v>
      </c>
      <c r="AT531" s="2">
        <v>1.0</v>
      </c>
      <c r="BE531" s="2">
        <v>5.0</v>
      </c>
      <c r="BF531" s="2">
        <v>1.0</v>
      </c>
      <c r="BI531" s="2">
        <v>3.0</v>
      </c>
      <c r="CN531" s="2">
        <v>1.0</v>
      </c>
      <c r="CQ531" s="15">
        <f t="shared" ref="CQ531:CQ920" si="25">SUM(F531:CP531)</f>
        <v>25</v>
      </c>
      <c r="CT531" s="2">
        <v>1.0</v>
      </c>
    </row>
    <row r="532">
      <c r="A532" s="6">
        <v>45388.0</v>
      </c>
      <c r="B532" s="2" t="s">
        <v>27</v>
      </c>
      <c r="C532" s="2" t="s">
        <v>28</v>
      </c>
      <c r="D532" s="2">
        <v>3.0</v>
      </c>
      <c r="E532" s="2">
        <v>2.0</v>
      </c>
      <c r="M532" s="2"/>
      <c r="N532" s="2">
        <v>1.0</v>
      </c>
      <c r="P532" s="2">
        <v>1.0</v>
      </c>
      <c r="Z532" s="2">
        <v>3.0</v>
      </c>
      <c r="AG532" s="2">
        <v>2.0</v>
      </c>
      <c r="AP532" s="2">
        <v>1.0</v>
      </c>
      <c r="AT532" s="2">
        <v>1.0</v>
      </c>
      <c r="AW532" s="2">
        <v>1.0</v>
      </c>
      <c r="BA532" s="2">
        <v>1.0</v>
      </c>
      <c r="BE532" s="2">
        <v>4.0</v>
      </c>
      <c r="BI532" s="2">
        <v>4.0</v>
      </c>
      <c r="BR532" s="2">
        <v>2.0</v>
      </c>
      <c r="CN532" s="2">
        <v>4.0</v>
      </c>
      <c r="CQ532" s="15">
        <f t="shared" si="25"/>
        <v>25</v>
      </c>
      <c r="CT532" s="2">
        <v>5.0</v>
      </c>
    </row>
    <row r="533">
      <c r="A533" s="6">
        <v>45388.0</v>
      </c>
      <c r="B533" s="2" t="s">
        <v>27</v>
      </c>
      <c r="C533" s="2" t="s">
        <v>28</v>
      </c>
      <c r="D533" s="2">
        <v>3.0</v>
      </c>
      <c r="E533" s="2">
        <v>4.0</v>
      </c>
      <c r="M533" s="2"/>
      <c r="N533" s="2">
        <v>2.0</v>
      </c>
      <c r="P533" s="2">
        <v>1.0</v>
      </c>
      <c r="AG533" s="2">
        <v>2.0</v>
      </c>
      <c r="AV533" s="2">
        <v>1.0</v>
      </c>
      <c r="BE533" s="2">
        <v>3.0</v>
      </c>
      <c r="BF533" s="2">
        <v>1.0</v>
      </c>
      <c r="BI533" s="2">
        <v>9.0</v>
      </c>
      <c r="BR533" s="2">
        <v>1.0</v>
      </c>
      <c r="CN533" s="2">
        <v>5.0</v>
      </c>
      <c r="CQ533" s="15">
        <f t="shared" si="25"/>
        <v>25</v>
      </c>
      <c r="CT533" s="2">
        <v>5.0</v>
      </c>
    </row>
    <row r="534">
      <c r="A534" s="6">
        <v>45388.0</v>
      </c>
      <c r="B534" s="2" t="s">
        <v>27</v>
      </c>
      <c r="C534" s="2" t="s">
        <v>28</v>
      </c>
      <c r="D534" s="2">
        <v>3.0</v>
      </c>
      <c r="E534" s="2">
        <v>6.0</v>
      </c>
      <c r="R534" s="2">
        <v>3.0</v>
      </c>
      <c r="Z534" s="2">
        <v>16.0</v>
      </c>
      <c r="BI534" s="2">
        <v>4.0</v>
      </c>
      <c r="CI534" s="2">
        <v>2.0</v>
      </c>
      <c r="CQ534" s="15">
        <f t="shared" si="25"/>
        <v>25</v>
      </c>
      <c r="CT534" s="2">
        <v>1.0</v>
      </c>
    </row>
    <row r="535">
      <c r="A535" s="6">
        <v>45388.0</v>
      </c>
      <c r="B535" s="2" t="s">
        <v>27</v>
      </c>
      <c r="C535" s="2" t="s">
        <v>28</v>
      </c>
      <c r="D535" s="2">
        <v>3.0</v>
      </c>
      <c r="E535" s="2">
        <v>8.0</v>
      </c>
      <c r="M535" s="2"/>
      <c r="N535" s="2">
        <v>2.0</v>
      </c>
      <c r="R535" s="2">
        <v>4.0</v>
      </c>
      <c r="Z535" s="2">
        <v>2.0</v>
      </c>
      <c r="AP535" s="2">
        <v>7.0</v>
      </c>
      <c r="BE535" s="2">
        <v>6.0</v>
      </c>
      <c r="CN535" s="2">
        <v>4.0</v>
      </c>
      <c r="CQ535" s="15">
        <f t="shared" si="25"/>
        <v>25</v>
      </c>
      <c r="CT535" s="2">
        <v>5.0</v>
      </c>
    </row>
    <row r="536">
      <c r="A536" s="6">
        <v>45388.0</v>
      </c>
      <c r="B536" s="2" t="s">
        <v>27</v>
      </c>
      <c r="C536" s="2" t="s">
        <v>28</v>
      </c>
      <c r="D536" s="2">
        <v>3.0</v>
      </c>
      <c r="E536" s="2">
        <v>10.0</v>
      </c>
      <c r="R536" s="2">
        <v>6.0</v>
      </c>
      <c r="AK536" s="2">
        <v>2.0</v>
      </c>
      <c r="BE536" s="2">
        <v>2.0</v>
      </c>
      <c r="BI536" s="2">
        <v>14.0</v>
      </c>
      <c r="CN536" s="2">
        <v>1.0</v>
      </c>
      <c r="CQ536" s="15">
        <f t="shared" si="25"/>
        <v>25</v>
      </c>
      <c r="CT536" s="2">
        <v>10.0</v>
      </c>
    </row>
    <row r="537">
      <c r="A537" s="6">
        <v>45388.0</v>
      </c>
      <c r="B537" s="2" t="s">
        <v>27</v>
      </c>
      <c r="C537" s="2" t="s">
        <v>28</v>
      </c>
      <c r="D537" s="2">
        <v>3.0</v>
      </c>
      <c r="E537" s="2">
        <v>12.0</v>
      </c>
      <c r="M537" s="2"/>
      <c r="N537" s="2">
        <v>1.0</v>
      </c>
      <c r="R537" s="2">
        <v>2.0</v>
      </c>
      <c r="AG537" s="2">
        <v>1.0</v>
      </c>
      <c r="AK537" s="2">
        <v>4.0</v>
      </c>
      <c r="AL537" s="2">
        <v>2.0</v>
      </c>
      <c r="BE537" s="2">
        <v>5.0</v>
      </c>
      <c r="BI537" s="2">
        <v>7.0</v>
      </c>
      <c r="BR537" s="2">
        <v>2.0</v>
      </c>
      <c r="CN537" s="2">
        <v>1.0</v>
      </c>
      <c r="CQ537" s="15">
        <f t="shared" si="25"/>
        <v>25</v>
      </c>
      <c r="CT537" s="2">
        <v>5.0</v>
      </c>
    </row>
    <row r="538">
      <c r="A538" s="6">
        <v>45388.0</v>
      </c>
      <c r="B538" s="2" t="s">
        <v>27</v>
      </c>
      <c r="C538" s="2" t="s">
        <v>28</v>
      </c>
      <c r="D538" s="2">
        <v>3.0</v>
      </c>
      <c r="E538" s="2">
        <v>14.0</v>
      </c>
      <c r="M538" s="2"/>
      <c r="N538" s="2">
        <v>8.0</v>
      </c>
      <c r="AG538" s="2">
        <v>1.0</v>
      </c>
      <c r="AK538" s="2">
        <v>1.0</v>
      </c>
      <c r="AW538" s="2">
        <v>1.0</v>
      </c>
      <c r="BI538" s="2">
        <v>9.0</v>
      </c>
      <c r="BR538" s="2">
        <v>3.0</v>
      </c>
      <c r="CN538" s="2">
        <v>1.0</v>
      </c>
      <c r="CQ538" s="15">
        <f t="shared" si="25"/>
        <v>24</v>
      </c>
      <c r="CT538" s="2">
        <v>10.0</v>
      </c>
    </row>
    <row r="539">
      <c r="A539" s="6">
        <v>45388.0</v>
      </c>
      <c r="B539" s="2" t="s">
        <v>27</v>
      </c>
      <c r="C539" s="2" t="s">
        <v>28</v>
      </c>
      <c r="D539" s="2">
        <v>3.0</v>
      </c>
      <c r="E539" s="2">
        <v>16.0</v>
      </c>
      <c r="AG539" s="2">
        <v>1.0</v>
      </c>
      <c r="BI539" s="2">
        <v>22.0</v>
      </c>
      <c r="BR539" s="2">
        <v>2.0</v>
      </c>
      <c r="CQ539" s="15">
        <f t="shared" si="25"/>
        <v>25</v>
      </c>
      <c r="CT539" s="2">
        <v>10.0</v>
      </c>
    </row>
    <row r="540">
      <c r="A540" s="6">
        <v>45388.0</v>
      </c>
      <c r="B540" s="2" t="s">
        <v>27</v>
      </c>
      <c r="C540" s="2" t="s">
        <v>28</v>
      </c>
      <c r="D540" s="2">
        <v>3.0</v>
      </c>
      <c r="E540" s="2">
        <v>18.0</v>
      </c>
      <c r="M540" s="2"/>
      <c r="N540" s="2">
        <v>2.0</v>
      </c>
      <c r="AG540" s="2">
        <v>4.0</v>
      </c>
      <c r="AV540" s="2">
        <v>1.0</v>
      </c>
      <c r="BI540" s="2">
        <v>4.0</v>
      </c>
      <c r="BN540" s="2">
        <v>2.0</v>
      </c>
      <c r="BR540" s="2">
        <v>8.0</v>
      </c>
      <c r="CN540" s="2">
        <v>1.0</v>
      </c>
      <c r="CP540" s="2">
        <v>3.0</v>
      </c>
      <c r="CQ540" s="15">
        <f t="shared" si="25"/>
        <v>25</v>
      </c>
      <c r="CT540" s="2">
        <v>0.0</v>
      </c>
    </row>
    <row r="541">
      <c r="A541" s="6">
        <v>45388.0</v>
      </c>
      <c r="B541" s="2" t="s">
        <v>27</v>
      </c>
      <c r="C541" s="2" t="s">
        <v>28</v>
      </c>
      <c r="D541" s="2">
        <v>3.0</v>
      </c>
      <c r="E541" s="2">
        <v>20.0</v>
      </c>
      <c r="P541" s="2">
        <v>1.0</v>
      </c>
      <c r="AG541" s="2">
        <v>1.0</v>
      </c>
      <c r="BI541" s="2">
        <v>3.0</v>
      </c>
      <c r="BR541" s="2">
        <v>2.0</v>
      </c>
      <c r="BW541" s="2">
        <v>12.0</v>
      </c>
      <c r="CK541" s="2">
        <v>6.0</v>
      </c>
      <c r="CQ541" s="15">
        <f t="shared" si="25"/>
        <v>25</v>
      </c>
      <c r="CT541" s="2">
        <v>0.0</v>
      </c>
    </row>
    <row r="542">
      <c r="A542" s="6">
        <v>45388.0</v>
      </c>
      <c r="B542" s="2" t="s">
        <v>27</v>
      </c>
      <c r="C542" s="2" t="s">
        <v>28</v>
      </c>
      <c r="D542" s="2">
        <v>3.0</v>
      </c>
      <c r="E542" s="2">
        <v>22.0</v>
      </c>
      <c r="P542" s="2">
        <v>1.0</v>
      </c>
      <c r="R542" s="2">
        <v>1.0</v>
      </c>
      <c r="AK542" s="2">
        <v>1.0</v>
      </c>
      <c r="BI542" s="2">
        <v>9.0</v>
      </c>
      <c r="BN542" s="2">
        <v>3.0</v>
      </c>
      <c r="CI542" s="2">
        <v>9.0</v>
      </c>
      <c r="CK542" s="2">
        <v>1.0</v>
      </c>
      <c r="CQ542" s="15">
        <f t="shared" si="25"/>
        <v>25</v>
      </c>
      <c r="CT542" s="2">
        <v>0.0</v>
      </c>
    </row>
    <row r="543">
      <c r="A543" s="6">
        <v>45388.0</v>
      </c>
      <c r="B543" s="2" t="s">
        <v>27</v>
      </c>
      <c r="C543" s="2" t="s">
        <v>28</v>
      </c>
      <c r="D543" s="2">
        <v>1.0</v>
      </c>
      <c r="E543" s="2">
        <v>0.0</v>
      </c>
      <c r="R543" s="2">
        <v>1.0</v>
      </c>
      <c r="AG543" s="2">
        <v>1.0</v>
      </c>
      <c r="AP543" s="2">
        <v>3.0</v>
      </c>
      <c r="AV543" s="2">
        <v>1.0</v>
      </c>
      <c r="AW543" s="2">
        <v>2.0</v>
      </c>
      <c r="BE543" s="2">
        <v>7.0</v>
      </c>
      <c r="BI543" s="2">
        <v>1.0</v>
      </c>
      <c r="BR543" s="2">
        <v>5.0</v>
      </c>
      <c r="CN543" s="2">
        <v>4.0</v>
      </c>
      <c r="CQ543" s="15">
        <f t="shared" si="25"/>
        <v>25</v>
      </c>
      <c r="CT543" s="2">
        <v>5.0</v>
      </c>
    </row>
    <row r="544">
      <c r="A544" s="6">
        <v>45388.0</v>
      </c>
      <c r="B544" s="2" t="s">
        <v>27</v>
      </c>
      <c r="C544" s="2" t="s">
        <v>28</v>
      </c>
      <c r="D544" s="2">
        <v>1.0</v>
      </c>
      <c r="E544" s="2">
        <v>2.0</v>
      </c>
      <c r="M544" s="2">
        <v>1.0</v>
      </c>
      <c r="W544" s="2">
        <v>1.0</v>
      </c>
      <c r="Z544" s="2">
        <v>8.0</v>
      </c>
      <c r="AP544" s="2">
        <v>1.0</v>
      </c>
      <c r="AT544" s="2">
        <v>4.0</v>
      </c>
      <c r="BC544" s="2">
        <v>1.0</v>
      </c>
      <c r="BI544" s="2">
        <v>7.0</v>
      </c>
      <c r="BR544" s="2">
        <v>1.0</v>
      </c>
      <c r="CN544" s="2">
        <v>1.0</v>
      </c>
      <c r="CQ544" s="15">
        <f t="shared" si="25"/>
        <v>25</v>
      </c>
      <c r="CT544" s="2">
        <v>1.0</v>
      </c>
    </row>
    <row r="545">
      <c r="A545" s="6">
        <v>45388.0</v>
      </c>
      <c r="B545" s="2" t="s">
        <v>27</v>
      </c>
      <c r="C545" s="2" t="s">
        <v>28</v>
      </c>
      <c r="D545" s="2">
        <v>1.0</v>
      </c>
      <c r="E545" s="2">
        <v>4.0</v>
      </c>
      <c r="Z545" s="2">
        <v>1.0</v>
      </c>
      <c r="AW545" s="2">
        <v>2.0</v>
      </c>
      <c r="BE545" s="2">
        <v>6.0</v>
      </c>
      <c r="BI545" s="2">
        <v>13.0</v>
      </c>
      <c r="BR545" s="2">
        <v>1.0</v>
      </c>
      <c r="CN545" s="2">
        <v>3.0</v>
      </c>
      <c r="CQ545" s="15">
        <f t="shared" si="25"/>
        <v>26</v>
      </c>
      <c r="CT545" s="2">
        <v>1.0</v>
      </c>
    </row>
    <row r="546">
      <c r="A546" s="6">
        <v>45388.0</v>
      </c>
      <c r="B546" s="2" t="s">
        <v>27</v>
      </c>
      <c r="C546" s="2" t="s">
        <v>28</v>
      </c>
      <c r="D546" s="2">
        <v>1.0</v>
      </c>
      <c r="E546" s="2">
        <v>6.0</v>
      </c>
      <c r="R546" s="2">
        <v>3.0</v>
      </c>
      <c r="Z546" s="2">
        <v>1.0</v>
      </c>
      <c r="AW546" s="2">
        <v>2.0</v>
      </c>
      <c r="BE546" s="2">
        <v>3.0</v>
      </c>
      <c r="BI546" s="2">
        <v>15.0</v>
      </c>
      <c r="CN546" s="2">
        <v>1.0</v>
      </c>
      <c r="CQ546" s="15">
        <f t="shared" si="25"/>
        <v>25</v>
      </c>
      <c r="CT546" s="2">
        <v>5.0</v>
      </c>
    </row>
    <row r="547">
      <c r="A547" s="6">
        <v>45388.0</v>
      </c>
      <c r="B547" s="2" t="s">
        <v>27</v>
      </c>
      <c r="C547" s="2" t="s">
        <v>28</v>
      </c>
      <c r="D547" s="2">
        <v>1.0</v>
      </c>
      <c r="E547" s="2">
        <v>8.0</v>
      </c>
      <c r="M547" s="2">
        <v>1.0</v>
      </c>
      <c r="R547" s="2">
        <v>2.0</v>
      </c>
      <c r="Z547" s="2">
        <v>3.0</v>
      </c>
      <c r="AP547" s="2">
        <v>1.0</v>
      </c>
      <c r="AT547" s="2">
        <v>2.0</v>
      </c>
      <c r="AV547" s="2">
        <v>1.0</v>
      </c>
      <c r="AW547" s="2">
        <v>1.0</v>
      </c>
      <c r="BE547" s="2">
        <v>6.0</v>
      </c>
      <c r="BI547" s="2">
        <v>5.0</v>
      </c>
      <c r="BR547" s="2">
        <v>2.0</v>
      </c>
      <c r="CN547" s="2">
        <v>1.0</v>
      </c>
      <c r="CQ547" s="15">
        <f t="shared" si="25"/>
        <v>25</v>
      </c>
      <c r="CT547" s="2">
        <v>5.0</v>
      </c>
    </row>
    <row r="548">
      <c r="A548" s="6">
        <v>45388.0</v>
      </c>
      <c r="B548" s="2" t="s">
        <v>27</v>
      </c>
      <c r="C548" s="2" t="s">
        <v>28</v>
      </c>
      <c r="D548" s="2">
        <v>1.0</v>
      </c>
      <c r="E548" s="2">
        <v>10.0</v>
      </c>
      <c r="G548" s="2">
        <v>1.0</v>
      </c>
      <c r="R548" s="2">
        <v>2.0</v>
      </c>
      <c r="W548" s="2">
        <v>1.0</v>
      </c>
      <c r="AP548" s="2">
        <v>1.0</v>
      </c>
      <c r="AT548" s="2">
        <v>2.0</v>
      </c>
      <c r="AV548" s="2">
        <v>1.0</v>
      </c>
      <c r="AW548" s="2">
        <v>1.0</v>
      </c>
      <c r="BE548" s="2">
        <v>3.0</v>
      </c>
      <c r="BI548" s="2">
        <v>6.0</v>
      </c>
      <c r="BR548" s="2">
        <v>1.0</v>
      </c>
      <c r="CN548" s="2">
        <v>6.0</v>
      </c>
      <c r="CQ548" s="15">
        <f t="shared" si="25"/>
        <v>25</v>
      </c>
      <c r="CT548" s="2">
        <v>5.0</v>
      </c>
    </row>
    <row r="549">
      <c r="A549" s="6">
        <v>45388.0</v>
      </c>
      <c r="B549" s="2" t="s">
        <v>27</v>
      </c>
      <c r="C549" s="2" t="s">
        <v>28</v>
      </c>
      <c r="D549" s="2">
        <v>1.0</v>
      </c>
      <c r="E549" s="2">
        <v>12.0</v>
      </c>
      <c r="N549" s="2">
        <v>1.0</v>
      </c>
      <c r="R549" s="2">
        <v>5.0</v>
      </c>
      <c r="W549" s="2">
        <v>8.0</v>
      </c>
      <c r="Z549" s="2">
        <v>9.0</v>
      </c>
      <c r="BI549" s="2">
        <v>1.0</v>
      </c>
      <c r="CI549" s="2">
        <v>2.0</v>
      </c>
      <c r="CQ549" s="15">
        <f t="shared" si="25"/>
        <v>26</v>
      </c>
      <c r="CT549" s="2">
        <v>5.0</v>
      </c>
    </row>
    <row r="550">
      <c r="A550" s="6">
        <v>45388.0</v>
      </c>
      <c r="B550" s="2" t="s">
        <v>27</v>
      </c>
      <c r="C550" s="2" t="s">
        <v>28</v>
      </c>
      <c r="D550" s="2">
        <v>1.0</v>
      </c>
      <c r="E550" s="2">
        <v>14.0</v>
      </c>
      <c r="N550" s="2">
        <v>4.0</v>
      </c>
      <c r="AK550" s="2">
        <v>2.0</v>
      </c>
      <c r="AT550" s="2">
        <v>1.0</v>
      </c>
      <c r="BE550" s="2">
        <v>1.0</v>
      </c>
      <c r="BI550" s="2">
        <v>13.0</v>
      </c>
      <c r="BR550" s="2">
        <v>1.0</v>
      </c>
      <c r="CI550" s="2">
        <v>1.0</v>
      </c>
      <c r="CN550" s="2">
        <v>2.0</v>
      </c>
      <c r="CQ550" s="15">
        <f t="shared" si="25"/>
        <v>25</v>
      </c>
      <c r="CT550" s="2">
        <v>5.0</v>
      </c>
    </row>
    <row r="551">
      <c r="A551" s="6">
        <v>45388.0</v>
      </c>
      <c r="B551" s="2" t="s">
        <v>27</v>
      </c>
      <c r="C551" s="2" t="s">
        <v>28</v>
      </c>
      <c r="D551" s="2">
        <v>1.0</v>
      </c>
      <c r="E551" s="2">
        <v>16.0</v>
      </c>
      <c r="R551" s="2">
        <v>3.0</v>
      </c>
      <c r="AL551" s="2">
        <v>1.0</v>
      </c>
      <c r="BE551" s="2">
        <v>5.0</v>
      </c>
      <c r="BI551" s="2">
        <v>14.0</v>
      </c>
      <c r="BP551" s="2">
        <v>1.0</v>
      </c>
      <c r="BR551" s="2">
        <v>1.0</v>
      </c>
      <c r="CQ551" s="15">
        <f t="shared" si="25"/>
        <v>25</v>
      </c>
      <c r="CT551" s="2">
        <v>5.0</v>
      </c>
    </row>
    <row r="552">
      <c r="A552" s="6">
        <v>45388.0</v>
      </c>
      <c r="B552" s="2" t="s">
        <v>27</v>
      </c>
      <c r="C552" s="2" t="s">
        <v>28</v>
      </c>
      <c r="D552" s="2">
        <v>1.0</v>
      </c>
      <c r="E552" s="2">
        <v>18.0</v>
      </c>
      <c r="BH552" s="2">
        <v>1.0</v>
      </c>
      <c r="BI552" s="2">
        <v>15.0</v>
      </c>
      <c r="BR552" s="2">
        <v>3.0</v>
      </c>
      <c r="CJ552" s="2">
        <v>1.0</v>
      </c>
      <c r="CN552" s="2">
        <v>1.0</v>
      </c>
      <c r="CP552" s="2">
        <v>4.0</v>
      </c>
      <c r="CQ552" s="15">
        <f t="shared" si="25"/>
        <v>25</v>
      </c>
      <c r="CT552" s="2">
        <v>5.0</v>
      </c>
    </row>
    <row r="553">
      <c r="A553" s="6">
        <v>45388.0</v>
      </c>
      <c r="B553" s="2" t="s">
        <v>27</v>
      </c>
      <c r="C553" s="2" t="s">
        <v>28</v>
      </c>
      <c r="D553" s="2">
        <v>1.0</v>
      </c>
      <c r="E553" s="2">
        <v>20.0</v>
      </c>
      <c r="N553" s="2">
        <v>6.0</v>
      </c>
      <c r="AG553" s="2">
        <v>4.0</v>
      </c>
      <c r="AT553" s="2">
        <v>1.0</v>
      </c>
      <c r="BG553" s="2">
        <v>3.0</v>
      </c>
      <c r="BI553" s="2">
        <v>3.0</v>
      </c>
      <c r="BR553" s="2">
        <v>5.0</v>
      </c>
      <c r="CP553" s="2">
        <v>6.0</v>
      </c>
      <c r="CQ553" s="15">
        <f t="shared" si="25"/>
        <v>28</v>
      </c>
      <c r="CT553" s="2">
        <v>5.0</v>
      </c>
    </row>
    <row r="554">
      <c r="A554" s="6">
        <v>45388.0</v>
      </c>
      <c r="B554" s="2" t="s">
        <v>27</v>
      </c>
      <c r="C554" s="2" t="s">
        <v>28</v>
      </c>
      <c r="D554" s="2">
        <v>1.0</v>
      </c>
      <c r="E554" s="2">
        <v>22.0</v>
      </c>
      <c r="N554" s="2">
        <v>7.0</v>
      </c>
      <c r="AK554" s="2">
        <v>2.0</v>
      </c>
      <c r="AL554" s="2">
        <v>2.0</v>
      </c>
      <c r="AT554" s="2">
        <v>1.0</v>
      </c>
      <c r="BI554" s="2">
        <v>6.0</v>
      </c>
      <c r="CI554" s="2">
        <v>6.0</v>
      </c>
      <c r="CP554" s="2">
        <v>1.0</v>
      </c>
      <c r="CQ554" s="15">
        <f t="shared" si="25"/>
        <v>25</v>
      </c>
      <c r="CT554" s="2">
        <v>10.0</v>
      </c>
    </row>
    <row r="555">
      <c r="A555" s="6">
        <v>45389.0</v>
      </c>
      <c r="B555" s="2" t="s">
        <v>27</v>
      </c>
      <c r="C555" s="2" t="s">
        <v>35</v>
      </c>
      <c r="D555" s="2">
        <v>1.0</v>
      </c>
      <c r="E555" s="2">
        <v>0.0</v>
      </c>
      <c r="R555" s="2">
        <v>2.0</v>
      </c>
      <c r="AG555" s="2">
        <v>2.0</v>
      </c>
      <c r="AK555" s="2">
        <v>1.0</v>
      </c>
      <c r="AP555" s="2">
        <v>2.0</v>
      </c>
      <c r="AV555" s="2">
        <v>3.0</v>
      </c>
      <c r="AW555" s="2">
        <v>1.0</v>
      </c>
      <c r="BE555" s="2">
        <v>4.0</v>
      </c>
      <c r="BI555" s="2">
        <v>1.0</v>
      </c>
      <c r="BR555" s="2">
        <v>4.0</v>
      </c>
      <c r="CN555" s="2">
        <v>5.0</v>
      </c>
      <c r="CQ555" s="15">
        <f t="shared" si="25"/>
        <v>25</v>
      </c>
    </row>
    <row r="556">
      <c r="A556" s="6">
        <v>45389.0</v>
      </c>
      <c r="B556" s="2" t="s">
        <v>27</v>
      </c>
      <c r="C556" s="2" t="s">
        <v>35</v>
      </c>
      <c r="D556" s="2">
        <v>1.0</v>
      </c>
      <c r="E556" s="2">
        <v>2.0</v>
      </c>
      <c r="N556" s="2">
        <v>2.0</v>
      </c>
      <c r="W556" s="2">
        <v>2.0</v>
      </c>
      <c r="Z556" s="2">
        <v>6.0</v>
      </c>
      <c r="AT556" s="2">
        <v>2.0</v>
      </c>
      <c r="AW556" s="2">
        <v>2.0</v>
      </c>
      <c r="BE556" s="2">
        <v>1.0</v>
      </c>
      <c r="BI556" s="2">
        <v>5.0</v>
      </c>
      <c r="BR556" s="2">
        <v>3.0</v>
      </c>
      <c r="CN556" s="2">
        <v>2.0</v>
      </c>
      <c r="CQ556" s="15">
        <f t="shared" si="25"/>
        <v>25</v>
      </c>
    </row>
    <row r="557">
      <c r="A557" s="6">
        <v>45389.0</v>
      </c>
      <c r="B557" s="2" t="s">
        <v>27</v>
      </c>
      <c r="C557" s="2" t="s">
        <v>35</v>
      </c>
      <c r="D557" s="2">
        <v>1.0</v>
      </c>
      <c r="E557" s="2">
        <v>4.0</v>
      </c>
      <c r="BE557" s="2">
        <v>5.0</v>
      </c>
      <c r="BI557" s="2">
        <v>15.0</v>
      </c>
      <c r="BR557" s="2">
        <v>2.0</v>
      </c>
      <c r="BS557" s="2">
        <v>2.0</v>
      </c>
      <c r="CN557" s="2">
        <v>1.0</v>
      </c>
      <c r="CQ557" s="15">
        <f t="shared" si="25"/>
        <v>25</v>
      </c>
    </row>
    <row r="558">
      <c r="A558" s="6">
        <v>45389.0</v>
      </c>
      <c r="B558" s="2" t="s">
        <v>27</v>
      </c>
      <c r="C558" s="2" t="s">
        <v>35</v>
      </c>
      <c r="D558" s="2">
        <v>1.0</v>
      </c>
      <c r="E558" s="2">
        <v>6.0</v>
      </c>
      <c r="Z558" s="2">
        <v>2.0</v>
      </c>
      <c r="AP558" s="2">
        <v>1.0</v>
      </c>
      <c r="AT558" s="2">
        <v>1.0</v>
      </c>
      <c r="AW558" s="2">
        <v>1.0</v>
      </c>
      <c r="BE558" s="2">
        <v>4.0</v>
      </c>
      <c r="BI558" s="2">
        <v>14.0</v>
      </c>
      <c r="CN558" s="2">
        <v>2.0</v>
      </c>
      <c r="CQ558" s="15">
        <f t="shared" si="25"/>
        <v>25</v>
      </c>
    </row>
    <row r="559">
      <c r="A559" s="6">
        <v>45389.0</v>
      </c>
      <c r="B559" s="2" t="s">
        <v>27</v>
      </c>
      <c r="C559" s="2" t="s">
        <v>35</v>
      </c>
      <c r="D559" s="2">
        <v>1.0</v>
      </c>
      <c r="E559" s="2">
        <v>8.0</v>
      </c>
      <c r="R559" s="2">
        <v>2.0</v>
      </c>
      <c r="W559" s="2">
        <v>1.0</v>
      </c>
      <c r="Z559" s="2">
        <v>2.0</v>
      </c>
      <c r="AP559" s="2">
        <v>2.0</v>
      </c>
      <c r="AT559" s="2">
        <v>1.0</v>
      </c>
      <c r="AW559" s="2">
        <v>3.0</v>
      </c>
      <c r="BE559" s="2">
        <v>4.0</v>
      </c>
      <c r="BI559" s="2">
        <v>7.0</v>
      </c>
      <c r="BR559" s="2">
        <v>3.0</v>
      </c>
      <c r="CQ559" s="15">
        <f t="shared" si="25"/>
        <v>25</v>
      </c>
    </row>
    <row r="560">
      <c r="A560" s="6">
        <v>45389.0</v>
      </c>
      <c r="B560" s="2" t="s">
        <v>27</v>
      </c>
      <c r="C560" s="2" t="s">
        <v>35</v>
      </c>
      <c r="D560" s="2">
        <v>1.0</v>
      </c>
      <c r="E560" s="2">
        <v>10.0</v>
      </c>
      <c r="W560" s="2">
        <v>2.0</v>
      </c>
      <c r="Z560" s="2">
        <v>3.0</v>
      </c>
      <c r="AG560" s="2">
        <v>1.0</v>
      </c>
      <c r="AK560" s="2">
        <v>1.0</v>
      </c>
      <c r="AP560" s="2">
        <v>2.0</v>
      </c>
      <c r="AT560" s="2">
        <v>2.0</v>
      </c>
      <c r="AW560" s="2">
        <v>1.0</v>
      </c>
      <c r="BE560" s="2">
        <v>3.0</v>
      </c>
      <c r="BI560" s="2">
        <v>4.0</v>
      </c>
      <c r="BR560" s="2">
        <v>2.0</v>
      </c>
      <c r="CN560" s="2">
        <v>4.0</v>
      </c>
      <c r="CQ560" s="15">
        <f t="shared" si="25"/>
        <v>25</v>
      </c>
    </row>
    <row r="561">
      <c r="A561" s="6">
        <v>45389.0</v>
      </c>
      <c r="B561" s="2" t="s">
        <v>27</v>
      </c>
      <c r="C561" s="2" t="s">
        <v>35</v>
      </c>
      <c r="D561" s="2">
        <v>1.0</v>
      </c>
      <c r="E561" s="2">
        <v>12.0</v>
      </c>
      <c r="R561" s="2">
        <v>3.0</v>
      </c>
      <c r="W561" s="2">
        <v>6.0</v>
      </c>
      <c r="Z561" s="2">
        <v>7.0</v>
      </c>
      <c r="AT561" s="2">
        <v>1.0</v>
      </c>
      <c r="AW561" s="2">
        <v>2.0</v>
      </c>
      <c r="BE561" s="2">
        <v>2.0</v>
      </c>
      <c r="BI561" s="2">
        <v>2.0</v>
      </c>
      <c r="BR561" s="2">
        <v>1.0</v>
      </c>
      <c r="CI561" s="2">
        <v>1.0</v>
      </c>
      <c r="CQ561" s="15">
        <f t="shared" si="25"/>
        <v>25</v>
      </c>
    </row>
    <row r="562">
      <c r="A562" s="6">
        <v>45389.0</v>
      </c>
      <c r="B562" s="2" t="s">
        <v>27</v>
      </c>
      <c r="C562" s="2" t="s">
        <v>35</v>
      </c>
      <c r="D562" s="2">
        <v>1.0</v>
      </c>
      <c r="E562" s="2">
        <v>14.0</v>
      </c>
      <c r="AK562" s="2">
        <v>1.0</v>
      </c>
      <c r="BE562" s="2">
        <v>2.0</v>
      </c>
      <c r="BI562" s="2">
        <v>15.0</v>
      </c>
      <c r="BR562" s="2">
        <v>2.0</v>
      </c>
      <c r="CI562" s="2">
        <v>2.0</v>
      </c>
      <c r="CN562" s="2">
        <v>3.0</v>
      </c>
      <c r="CQ562" s="15">
        <f t="shared" si="25"/>
        <v>25</v>
      </c>
    </row>
    <row r="563">
      <c r="A563" s="6">
        <v>45389.0</v>
      </c>
      <c r="B563" s="2" t="s">
        <v>27</v>
      </c>
      <c r="C563" s="2" t="s">
        <v>35</v>
      </c>
      <c r="D563" s="2">
        <v>1.0</v>
      </c>
      <c r="E563" s="2">
        <v>16.0</v>
      </c>
      <c r="N563" s="2">
        <v>2.0</v>
      </c>
      <c r="R563" s="2">
        <v>2.0</v>
      </c>
      <c r="AK563" s="2">
        <v>2.0</v>
      </c>
      <c r="AT563" s="2">
        <v>1.0</v>
      </c>
      <c r="BI563" s="2">
        <v>16.0</v>
      </c>
      <c r="BR563" s="2">
        <v>2.0</v>
      </c>
      <c r="CQ563" s="15">
        <f t="shared" si="25"/>
        <v>25</v>
      </c>
    </row>
    <row r="564">
      <c r="A564" s="6">
        <v>45389.0</v>
      </c>
      <c r="B564" s="2" t="s">
        <v>27</v>
      </c>
      <c r="C564" s="2" t="s">
        <v>35</v>
      </c>
      <c r="D564" s="2">
        <v>1.0</v>
      </c>
      <c r="E564" s="2">
        <v>18.0</v>
      </c>
      <c r="AG564" s="2">
        <v>1.0</v>
      </c>
      <c r="AK564" s="2">
        <v>2.0</v>
      </c>
      <c r="BE564" s="2">
        <v>1.0</v>
      </c>
      <c r="BH564" s="2">
        <v>2.0</v>
      </c>
      <c r="BI564" s="2">
        <v>14.0</v>
      </c>
      <c r="BR564" s="2">
        <v>4.0</v>
      </c>
      <c r="CJ564" s="2">
        <v>1.0</v>
      </c>
      <c r="CQ564" s="15">
        <f t="shared" si="25"/>
        <v>25</v>
      </c>
    </row>
    <row r="565">
      <c r="A565" s="6">
        <v>45389.0</v>
      </c>
      <c r="B565" s="2" t="s">
        <v>27</v>
      </c>
      <c r="C565" s="2" t="s">
        <v>35</v>
      </c>
      <c r="D565" s="2">
        <v>1.0</v>
      </c>
      <c r="E565" s="2">
        <v>20.0</v>
      </c>
      <c r="N565" s="2">
        <v>5.0</v>
      </c>
      <c r="AG565" s="2">
        <v>5.0</v>
      </c>
      <c r="AT565" s="2">
        <v>2.0</v>
      </c>
      <c r="BG565" s="2">
        <v>4.0</v>
      </c>
      <c r="BI565" s="2">
        <v>5.0</v>
      </c>
      <c r="BR565" s="2">
        <v>3.0</v>
      </c>
      <c r="CN565" s="2">
        <v>1.0</v>
      </c>
      <c r="CQ565" s="15">
        <f t="shared" si="25"/>
        <v>25</v>
      </c>
    </row>
    <row r="566">
      <c r="A566" s="6">
        <v>45389.0</v>
      </c>
      <c r="B566" s="2" t="s">
        <v>27</v>
      </c>
      <c r="C566" s="2" t="s">
        <v>35</v>
      </c>
      <c r="D566" s="2">
        <v>1.0</v>
      </c>
      <c r="E566" s="2">
        <v>22.0</v>
      </c>
      <c r="N566" s="2">
        <v>6.0</v>
      </c>
      <c r="AK566" s="2">
        <v>3.0</v>
      </c>
      <c r="AL566" s="2">
        <v>1.0</v>
      </c>
      <c r="AT566" s="2">
        <v>2.0</v>
      </c>
      <c r="BI566" s="2">
        <v>7.0</v>
      </c>
      <c r="CI566" s="2">
        <v>7.0</v>
      </c>
      <c r="CQ566" s="15">
        <f t="shared" si="25"/>
        <v>26</v>
      </c>
    </row>
    <row r="567">
      <c r="A567" s="6">
        <v>45389.0</v>
      </c>
      <c r="B567" s="2" t="s">
        <v>27</v>
      </c>
      <c r="C567" s="2" t="s">
        <v>35</v>
      </c>
      <c r="D567" s="2">
        <v>2.0</v>
      </c>
      <c r="E567" s="2">
        <v>0.0</v>
      </c>
      <c r="AP567" s="2">
        <v>2.0</v>
      </c>
      <c r="AT567" s="2">
        <v>2.0</v>
      </c>
      <c r="BI567" s="2">
        <v>9.0</v>
      </c>
      <c r="BR567" s="2">
        <v>2.0</v>
      </c>
      <c r="CL567" s="2">
        <v>6.0</v>
      </c>
      <c r="CM567" s="2">
        <v>4.0</v>
      </c>
      <c r="CQ567" s="15">
        <f t="shared" si="25"/>
        <v>25</v>
      </c>
    </row>
    <row r="568">
      <c r="A568" s="6">
        <v>45389.0</v>
      </c>
      <c r="B568" s="2" t="s">
        <v>27</v>
      </c>
      <c r="C568" s="2" t="s">
        <v>35</v>
      </c>
      <c r="D568" s="2">
        <v>2.0</v>
      </c>
      <c r="E568" s="2">
        <v>2.0</v>
      </c>
      <c r="N568" s="2">
        <v>3.0</v>
      </c>
      <c r="AP568" s="2">
        <v>6.0</v>
      </c>
      <c r="AT568" s="2">
        <v>1.0</v>
      </c>
      <c r="BI568" s="2">
        <v>12.0</v>
      </c>
      <c r="BR568" s="2">
        <v>3.0</v>
      </c>
      <c r="CQ568" s="15">
        <f t="shared" si="25"/>
        <v>25</v>
      </c>
    </row>
    <row r="569">
      <c r="A569" s="6">
        <v>45389.0</v>
      </c>
      <c r="B569" s="2" t="s">
        <v>27</v>
      </c>
      <c r="C569" s="2" t="s">
        <v>35</v>
      </c>
      <c r="D569" s="2">
        <v>2.0</v>
      </c>
      <c r="E569" s="2">
        <v>4.0</v>
      </c>
      <c r="H569" s="2">
        <v>1.0</v>
      </c>
      <c r="N569" s="2">
        <v>9.0</v>
      </c>
      <c r="R569" s="2">
        <v>3.0</v>
      </c>
      <c r="W569" s="2">
        <v>2.0</v>
      </c>
      <c r="AP569" s="2">
        <v>2.0</v>
      </c>
      <c r="BI569" s="2">
        <v>6.0</v>
      </c>
      <c r="BR569" s="2">
        <v>2.0</v>
      </c>
      <c r="CQ569" s="15">
        <f t="shared" si="25"/>
        <v>25</v>
      </c>
    </row>
    <row r="570">
      <c r="A570" s="6">
        <v>45389.0</v>
      </c>
      <c r="B570" s="2" t="s">
        <v>27</v>
      </c>
      <c r="C570" s="2" t="s">
        <v>35</v>
      </c>
      <c r="D570" s="2">
        <v>2.0</v>
      </c>
      <c r="E570" s="2">
        <v>6.0</v>
      </c>
      <c r="N570" s="2">
        <v>5.0</v>
      </c>
      <c r="R570" s="2">
        <v>1.0</v>
      </c>
      <c r="W570" s="2">
        <v>2.0</v>
      </c>
      <c r="AG570" s="2">
        <v>1.0</v>
      </c>
      <c r="AP570" s="2">
        <v>2.0</v>
      </c>
      <c r="AT570" s="2">
        <v>1.0</v>
      </c>
      <c r="AW570" s="2">
        <v>1.0</v>
      </c>
      <c r="BI570" s="2">
        <v>9.0</v>
      </c>
      <c r="BR570" s="2">
        <v>2.0</v>
      </c>
      <c r="CI570" s="2">
        <v>1.0</v>
      </c>
      <c r="CQ570" s="15">
        <f t="shared" si="25"/>
        <v>25</v>
      </c>
    </row>
    <row r="571">
      <c r="A571" s="6">
        <v>45389.0</v>
      </c>
      <c r="B571" s="2" t="s">
        <v>27</v>
      </c>
      <c r="C571" s="2" t="s">
        <v>35</v>
      </c>
      <c r="D571" s="2">
        <v>2.0</v>
      </c>
      <c r="E571" s="2">
        <v>8.0</v>
      </c>
      <c r="N571" s="2">
        <v>5.0</v>
      </c>
      <c r="W571" s="2">
        <v>1.0</v>
      </c>
      <c r="AI571" s="2">
        <v>2.0</v>
      </c>
      <c r="AJ571" s="2">
        <v>1.0</v>
      </c>
      <c r="AP571" s="2">
        <v>1.0</v>
      </c>
      <c r="AT571" s="2">
        <v>6.0</v>
      </c>
      <c r="BI571" s="2">
        <v>6.0</v>
      </c>
      <c r="BR571" s="2">
        <v>3.0</v>
      </c>
      <c r="CQ571" s="15">
        <f t="shared" si="25"/>
        <v>25</v>
      </c>
    </row>
    <row r="572">
      <c r="A572" s="6">
        <v>45389.0</v>
      </c>
      <c r="B572" s="2" t="s">
        <v>27</v>
      </c>
      <c r="C572" s="2" t="s">
        <v>35</v>
      </c>
      <c r="D572" s="2">
        <v>2.0</v>
      </c>
      <c r="E572" s="2">
        <v>10.0</v>
      </c>
      <c r="H572" s="2">
        <v>2.0</v>
      </c>
      <c r="N572" s="2">
        <v>6.0</v>
      </c>
      <c r="AG572" s="2">
        <v>1.0</v>
      </c>
      <c r="AP572" s="2">
        <v>3.0</v>
      </c>
      <c r="AT572" s="2">
        <v>2.0</v>
      </c>
      <c r="BI572" s="2">
        <v>7.0</v>
      </c>
      <c r="BR572" s="2">
        <v>1.0</v>
      </c>
      <c r="CI572" s="2">
        <v>4.0</v>
      </c>
      <c r="CQ572" s="15">
        <f t="shared" si="25"/>
        <v>26</v>
      </c>
    </row>
    <row r="573">
      <c r="A573" s="6">
        <v>45389.0</v>
      </c>
      <c r="B573" s="2" t="s">
        <v>27</v>
      </c>
      <c r="C573" s="2" t="s">
        <v>35</v>
      </c>
      <c r="D573" s="2">
        <v>2.0</v>
      </c>
      <c r="E573" s="2">
        <v>12.0</v>
      </c>
      <c r="AI573" s="2">
        <v>3.0</v>
      </c>
      <c r="AJ573" s="2">
        <v>2.0</v>
      </c>
      <c r="AP573" s="2">
        <v>2.0</v>
      </c>
      <c r="AT573" s="2">
        <v>8.0</v>
      </c>
      <c r="AW573" s="2">
        <v>1.0</v>
      </c>
      <c r="BI573" s="2">
        <v>2.0</v>
      </c>
      <c r="CK573" s="2">
        <v>8.0</v>
      </c>
      <c r="CQ573" s="15">
        <f t="shared" si="25"/>
        <v>26</v>
      </c>
    </row>
    <row r="574">
      <c r="A574" s="6">
        <v>45389.0</v>
      </c>
      <c r="B574" s="2" t="s">
        <v>27</v>
      </c>
      <c r="C574" s="2" t="s">
        <v>35</v>
      </c>
      <c r="D574" s="2">
        <v>2.0</v>
      </c>
      <c r="E574" s="2">
        <v>14.0</v>
      </c>
      <c r="F574" s="2">
        <v>4.0</v>
      </c>
      <c r="N574" s="2">
        <v>2.0</v>
      </c>
      <c r="AP574" s="2">
        <v>1.0</v>
      </c>
      <c r="BI574" s="2">
        <v>14.0</v>
      </c>
      <c r="CI574" s="2">
        <v>5.0</v>
      </c>
      <c r="CQ574" s="15">
        <f t="shared" si="25"/>
        <v>26</v>
      </c>
    </row>
    <row r="575">
      <c r="A575" s="6">
        <v>45389.0</v>
      </c>
      <c r="B575" s="2" t="s">
        <v>27</v>
      </c>
      <c r="C575" s="2" t="s">
        <v>35</v>
      </c>
      <c r="D575" s="2">
        <v>2.0</v>
      </c>
      <c r="E575" s="2">
        <v>16.0</v>
      </c>
      <c r="F575" s="2">
        <v>7.0</v>
      </c>
      <c r="N575" s="2">
        <v>5.0</v>
      </c>
      <c r="W575" s="2">
        <v>1.0</v>
      </c>
      <c r="BI575" s="2">
        <v>8.0</v>
      </c>
      <c r="CK575" s="2">
        <v>3.0</v>
      </c>
      <c r="CM575" s="2">
        <v>2.0</v>
      </c>
      <c r="CQ575" s="15">
        <f t="shared" si="25"/>
        <v>26</v>
      </c>
    </row>
    <row r="576">
      <c r="A576" s="6">
        <v>45389.0</v>
      </c>
      <c r="B576" s="2" t="s">
        <v>27</v>
      </c>
      <c r="C576" s="2" t="s">
        <v>35</v>
      </c>
      <c r="D576" s="2">
        <v>2.0</v>
      </c>
      <c r="E576" s="2">
        <v>18.0</v>
      </c>
      <c r="F576" s="2">
        <v>1.0</v>
      </c>
      <c r="AG576" s="2">
        <v>1.0</v>
      </c>
      <c r="BI576" s="2">
        <v>9.0</v>
      </c>
      <c r="CK576" s="2">
        <v>14.0</v>
      </c>
      <c r="CQ576" s="15">
        <f t="shared" si="25"/>
        <v>25</v>
      </c>
    </row>
    <row r="577">
      <c r="A577" s="6">
        <v>45389.0</v>
      </c>
      <c r="B577" s="2" t="s">
        <v>27</v>
      </c>
      <c r="C577" s="2" t="s">
        <v>35</v>
      </c>
      <c r="D577" s="2">
        <v>2.0</v>
      </c>
      <c r="E577" s="2">
        <v>20.0</v>
      </c>
      <c r="F577" s="2">
        <v>1.0</v>
      </c>
      <c r="BI577" s="2">
        <v>12.0</v>
      </c>
      <c r="CI577" s="2">
        <v>11.0</v>
      </c>
      <c r="CK577" s="2">
        <v>1.0</v>
      </c>
      <c r="CQ577" s="15">
        <f t="shared" si="25"/>
        <v>25</v>
      </c>
    </row>
    <row r="578">
      <c r="A578" s="6">
        <v>45389.0</v>
      </c>
      <c r="B578" s="2" t="s">
        <v>27</v>
      </c>
      <c r="C578" s="2" t="s">
        <v>35</v>
      </c>
      <c r="D578" s="2">
        <v>2.0</v>
      </c>
      <c r="E578" s="2">
        <v>22.0</v>
      </c>
      <c r="BI578" s="2">
        <v>11.0</v>
      </c>
      <c r="CK578" s="2">
        <v>14.0</v>
      </c>
      <c r="CQ578" s="15">
        <f t="shared" si="25"/>
        <v>25</v>
      </c>
    </row>
    <row r="579">
      <c r="A579" s="6">
        <v>45389.0</v>
      </c>
      <c r="B579" s="2" t="s">
        <v>27</v>
      </c>
      <c r="C579" s="2" t="s">
        <v>35</v>
      </c>
      <c r="D579" s="2">
        <v>3.0</v>
      </c>
      <c r="E579" s="2">
        <v>0.0</v>
      </c>
      <c r="Z579" s="2">
        <v>5.0</v>
      </c>
      <c r="AT579" s="2">
        <v>2.0</v>
      </c>
      <c r="AV579" s="2">
        <v>1.0</v>
      </c>
      <c r="BE579" s="2">
        <v>3.0</v>
      </c>
      <c r="BI579" s="2">
        <v>6.0</v>
      </c>
      <c r="CI579" s="2">
        <v>2.0</v>
      </c>
      <c r="CN579" s="2">
        <v>6.0</v>
      </c>
      <c r="CQ579" s="15">
        <f t="shared" si="25"/>
        <v>25</v>
      </c>
    </row>
    <row r="580">
      <c r="A580" s="6">
        <v>45389.0</v>
      </c>
      <c r="B580" s="2" t="s">
        <v>27</v>
      </c>
      <c r="C580" s="2" t="s">
        <v>35</v>
      </c>
      <c r="D580" s="2">
        <v>3.0</v>
      </c>
      <c r="E580" s="2">
        <v>2.0</v>
      </c>
      <c r="N580" s="2">
        <v>1.0</v>
      </c>
      <c r="Z580" s="2">
        <v>12.0</v>
      </c>
      <c r="AG580" s="2">
        <v>1.0</v>
      </c>
      <c r="AK580" s="2">
        <v>2.0</v>
      </c>
      <c r="AT580" s="2">
        <v>1.0</v>
      </c>
      <c r="AW580" s="2">
        <v>2.0</v>
      </c>
      <c r="BE580" s="2">
        <v>3.0</v>
      </c>
      <c r="BI580" s="2">
        <v>2.0</v>
      </c>
      <c r="BR580" s="2">
        <v>1.0</v>
      </c>
      <c r="CQ580" s="15">
        <f t="shared" si="25"/>
        <v>25</v>
      </c>
    </row>
    <row r="581">
      <c r="A581" s="6">
        <v>45389.0</v>
      </c>
      <c r="B581" s="2" t="s">
        <v>27</v>
      </c>
      <c r="C581" s="2" t="s">
        <v>35</v>
      </c>
      <c r="D581" s="2">
        <v>3.0</v>
      </c>
      <c r="E581" s="2">
        <v>4.0</v>
      </c>
      <c r="P581" s="2">
        <v>1.0</v>
      </c>
      <c r="Z581" s="2">
        <v>4.0</v>
      </c>
      <c r="AG581" s="2">
        <v>1.0</v>
      </c>
      <c r="AP581" s="2">
        <v>2.0</v>
      </c>
      <c r="AW581" s="2">
        <v>2.0</v>
      </c>
      <c r="BE581" s="2">
        <v>1.0</v>
      </c>
      <c r="BI581" s="2">
        <v>8.0</v>
      </c>
      <c r="BR581" s="2">
        <v>2.0</v>
      </c>
      <c r="CI581" s="2">
        <v>4.0</v>
      </c>
      <c r="CQ581" s="15">
        <f t="shared" si="25"/>
        <v>25</v>
      </c>
    </row>
    <row r="582">
      <c r="A582" s="6">
        <v>45389.0</v>
      </c>
      <c r="B582" s="2" t="s">
        <v>27</v>
      </c>
      <c r="C582" s="2" t="s">
        <v>35</v>
      </c>
      <c r="D582" s="2">
        <v>3.0</v>
      </c>
      <c r="E582" s="2">
        <v>6.0</v>
      </c>
      <c r="N582" s="2">
        <v>1.0</v>
      </c>
      <c r="R582" s="2">
        <v>1.0</v>
      </c>
      <c r="Z582" s="2">
        <v>3.0</v>
      </c>
      <c r="AG582" s="2">
        <v>3.0</v>
      </c>
      <c r="AK582" s="2">
        <v>1.0</v>
      </c>
      <c r="BE582" s="2">
        <v>3.0</v>
      </c>
      <c r="BI582" s="2">
        <v>11.0</v>
      </c>
      <c r="BR582" s="2">
        <v>2.0</v>
      </c>
      <c r="CQ582" s="15">
        <f t="shared" si="25"/>
        <v>25</v>
      </c>
    </row>
    <row r="583">
      <c r="A583" s="6">
        <v>45389.0</v>
      </c>
      <c r="B583" s="2" t="s">
        <v>27</v>
      </c>
      <c r="C583" s="2" t="s">
        <v>35</v>
      </c>
      <c r="D583" s="2">
        <v>3.0</v>
      </c>
      <c r="E583" s="2">
        <v>8.0</v>
      </c>
      <c r="P583" s="2">
        <v>2.0</v>
      </c>
      <c r="R583" s="2">
        <v>2.0</v>
      </c>
      <c r="Z583" s="2">
        <v>5.0</v>
      </c>
      <c r="AG583" s="2">
        <v>1.0</v>
      </c>
      <c r="AP583" s="2">
        <v>2.0</v>
      </c>
      <c r="BE583" s="2">
        <v>5.0</v>
      </c>
      <c r="BI583" s="2">
        <v>7.0</v>
      </c>
      <c r="CN583" s="2">
        <v>1.0</v>
      </c>
      <c r="CQ583" s="15">
        <f t="shared" si="25"/>
        <v>25</v>
      </c>
    </row>
    <row r="584">
      <c r="A584" s="6">
        <v>45389.0</v>
      </c>
      <c r="B584" s="2" t="s">
        <v>27</v>
      </c>
      <c r="C584" s="2" t="s">
        <v>35</v>
      </c>
      <c r="D584" s="2">
        <v>3.0</v>
      </c>
      <c r="E584" s="2">
        <v>10.0</v>
      </c>
      <c r="N584" s="2">
        <v>2.0</v>
      </c>
      <c r="P584" s="2">
        <v>2.0</v>
      </c>
      <c r="R584" s="2">
        <v>2.0</v>
      </c>
      <c r="AW584" s="2">
        <v>2.0</v>
      </c>
      <c r="BE584" s="2">
        <v>2.0</v>
      </c>
      <c r="BI584" s="2">
        <v>1.0</v>
      </c>
      <c r="BP584" s="2">
        <v>2.0</v>
      </c>
      <c r="BR584" s="2">
        <v>1.0</v>
      </c>
      <c r="CI584" s="2">
        <v>5.0</v>
      </c>
      <c r="CN584" s="2">
        <v>6.0</v>
      </c>
      <c r="CQ584" s="15">
        <f t="shared" si="25"/>
        <v>25</v>
      </c>
    </row>
    <row r="585">
      <c r="A585" s="6">
        <v>45389.0</v>
      </c>
      <c r="B585" s="2" t="s">
        <v>27</v>
      </c>
      <c r="C585" s="2" t="s">
        <v>35</v>
      </c>
      <c r="D585" s="2">
        <v>3.0</v>
      </c>
      <c r="E585" s="2">
        <v>12.0</v>
      </c>
      <c r="N585" s="2">
        <v>5.0</v>
      </c>
      <c r="R585" s="2">
        <v>4.0</v>
      </c>
      <c r="AK585" s="2">
        <v>2.0</v>
      </c>
      <c r="AW585" s="2">
        <v>4.0</v>
      </c>
      <c r="BR585" s="2">
        <v>3.0</v>
      </c>
      <c r="CI585" s="2">
        <v>1.0</v>
      </c>
      <c r="CK585" s="2">
        <v>2.0</v>
      </c>
      <c r="CN585" s="2">
        <v>4.0</v>
      </c>
      <c r="CQ585" s="15">
        <f t="shared" si="25"/>
        <v>25</v>
      </c>
    </row>
    <row r="586">
      <c r="A586" s="6">
        <v>45389.0</v>
      </c>
      <c r="B586" s="2" t="s">
        <v>27</v>
      </c>
      <c r="C586" s="2" t="s">
        <v>35</v>
      </c>
      <c r="D586" s="2">
        <v>3.0</v>
      </c>
      <c r="E586" s="2">
        <v>14.0</v>
      </c>
      <c r="BE586" s="2">
        <v>1.0</v>
      </c>
      <c r="BI586" s="2">
        <v>6.0</v>
      </c>
      <c r="BR586" s="2">
        <v>5.0</v>
      </c>
      <c r="CI586" s="2">
        <v>2.0</v>
      </c>
      <c r="CK586" s="2">
        <v>3.0</v>
      </c>
      <c r="CN586" s="2">
        <v>8.0</v>
      </c>
      <c r="CQ586" s="15">
        <f t="shared" si="25"/>
        <v>25</v>
      </c>
    </row>
    <row r="587">
      <c r="A587" s="6">
        <v>45389.0</v>
      </c>
      <c r="B587" s="2" t="s">
        <v>27</v>
      </c>
      <c r="C587" s="2" t="s">
        <v>35</v>
      </c>
      <c r="D587" s="2">
        <v>3.0</v>
      </c>
      <c r="E587" s="2">
        <v>16.0</v>
      </c>
      <c r="N587" s="2">
        <v>5.0</v>
      </c>
      <c r="R587" s="2">
        <v>3.0</v>
      </c>
      <c r="AG587" s="2">
        <v>2.0</v>
      </c>
      <c r="AV587" s="2">
        <v>1.0</v>
      </c>
      <c r="AW587" s="2">
        <v>5.0</v>
      </c>
      <c r="BI587" s="2">
        <v>3.0</v>
      </c>
      <c r="BP587" s="2">
        <v>3.0</v>
      </c>
      <c r="CK587" s="2">
        <v>1.0</v>
      </c>
      <c r="CN587" s="2">
        <v>2.0</v>
      </c>
      <c r="CQ587" s="15">
        <f t="shared" si="25"/>
        <v>25</v>
      </c>
    </row>
    <row r="588">
      <c r="A588" s="6">
        <v>45389.0</v>
      </c>
      <c r="B588" s="2" t="s">
        <v>27</v>
      </c>
      <c r="C588" s="2" t="s">
        <v>35</v>
      </c>
      <c r="D588" s="2">
        <v>3.0</v>
      </c>
      <c r="E588" s="2">
        <v>18.0</v>
      </c>
      <c r="N588" s="2">
        <v>3.0</v>
      </c>
      <c r="R588" s="2">
        <v>2.0</v>
      </c>
      <c r="AG588" s="2">
        <v>3.0</v>
      </c>
      <c r="AV588" s="2">
        <v>2.0</v>
      </c>
      <c r="BI588" s="2">
        <v>6.0</v>
      </c>
      <c r="BR588" s="2">
        <v>4.0</v>
      </c>
      <c r="CN588" s="2">
        <v>5.0</v>
      </c>
      <c r="CQ588" s="15">
        <f t="shared" si="25"/>
        <v>25</v>
      </c>
    </row>
    <row r="589">
      <c r="A589" s="6">
        <v>45389.0</v>
      </c>
      <c r="B589" s="2" t="s">
        <v>27</v>
      </c>
      <c r="C589" s="2" t="s">
        <v>35</v>
      </c>
      <c r="D589" s="2">
        <v>3.0</v>
      </c>
      <c r="E589" s="2">
        <v>20.0</v>
      </c>
      <c r="P589" s="2">
        <v>2.0</v>
      </c>
      <c r="R589" s="2">
        <v>4.0</v>
      </c>
      <c r="AG589" s="2">
        <v>3.0</v>
      </c>
      <c r="AK589" s="2">
        <v>2.0</v>
      </c>
      <c r="AV589" s="2">
        <v>4.0</v>
      </c>
      <c r="BI589" s="2">
        <v>3.0</v>
      </c>
      <c r="BR589" s="2">
        <v>3.0</v>
      </c>
      <c r="CI589" s="2">
        <v>4.0</v>
      </c>
      <c r="CQ589" s="15">
        <f t="shared" si="25"/>
        <v>25</v>
      </c>
    </row>
    <row r="590">
      <c r="A590" s="6">
        <v>45389.0</v>
      </c>
      <c r="B590" s="2" t="s">
        <v>27</v>
      </c>
      <c r="C590" s="2" t="s">
        <v>35</v>
      </c>
      <c r="D590" s="2">
        <v>3.0</v>
      </c>
      <c r="E590" s="2">
        <v>22.0</v>
      </c>
      <c r="P590" s="2">
        <v>1.0</v>
      </c>
      <c r="R590" s="2">
        <v>3.0</v>
      </c>
      <c r="Z590" s="2">
        <v>2.0</v>
      </c>
      <c r="AT590" s="2">
        <v>2.0</v>
      </c>
      <c r="AV590" s="2">
        <v>1.0</v>
      </c>
      <c r="BI590" s="2">
        <v>6.0</v>
      </c>
      <c r="BR590" s="2">
        <v>2.0</v>
      </c>
      <c r="CI590" s="2">
        <v>8.0</v>
      </c>
      <c r="CQ590" s="15">
        <f t="shared" si="25"/>
        <v>25</v>
      </c>
    </row>
    <row r="591">
      <c r="A591" s="6">
        <v>45389.0</v>
      </c>
      <c r="B591" s="2" t="s">
        <v>27</v>
      </c>
      <c r="C591" s="2" t="s">
        <v>35</v>
      </c>
      <c r="D591" s="2">
        <v>4.0</v>
      </c>
      <c r="E591" s="2">
        <v>0.0</v>
      </c>
      <c r="AP591" s="2">
        <v>5.0</v>
      </c>
      <c r="AW591" s="2">
        <v>3.0</v>
      </c>
      <c r="BE591" s="2">
        <v>5.0</v>
      </c>
      <c r="BI591" s="2">
        <v>5.0</v>
      </c>
      <c r="CI591" s="2">
        <v>4.0</v>
      </c>
      <c r="CL591" s="2">
        <v>2.0</v>
      </c>
      <c r="CN591" s="2">
        <v>1.0</v>
      </c>
      <c r="CQ591" s="15">
        <f t="shared" si="25"/>
        <v>25</v>
      </c>
    </row>
    <row r="592">
      <c r="A592" s="6">
        <v>45389.0</v>
      </c>
      <c r="B592" s="2" t="s">
        <v>27</v>
      </c>
      <c r="C592" s="2" t="s">
        <v>35</v>
      </c>
      <c r="D592" s="2">
        <v>4.0</v>
      </c>
      <c r="E592" s="2">
        <v>2.0</v>
      </c>
      <c r="Z592" s="2">
        <v>3.0</v>
      </c>
      <c r="AT592" s="2">
        <v>6.0</v>
      </c>
      <c r="BC592" s="2">
        <v>2.0</v>
      </c>
      <c r="BI592" s="2">
        <v>3.0</v>
      </c>
      <c r="CI592" s="2">
        <v>7.0</v>
      </c>
      <c r="CN592" s="2">
        <v>4.0</v>
      </c>
      <c r="CQ592" s="15">
        <f t="shared" si="25"/>
        <v>25</v>
      </c>
    </row>
    <row r="593">
      <c r="A593" s="6">
        <v>45389.0</v>
      </c>
      <c r="B593" s="2" t="s">
        <v>27</v>
      </c>
      <c r="C593" s="2" t="s">
        <v>35</v>
      </c>
      <c r="D593" s="2">
        <v>4.0</v>
      </c>
      <c r="E593" s="2">
        <v>4.0</v>
      </c>
      <c r="M593" s="2">
        <v>2.0</v>
      </c>
      <c r="W593" s="2">
        <v>2.0</v>
      </c>
      <c r="Z593" s="2">
        <v>4.0</v>
      </c>
      <c r="BI593" s="2">
        <v>11.0</v>
      </c>
      <c r="CK593" s="2">
        <v>1.0</v>
      </c>
      <c r="CN593" s="2">
        <v>5.0</v>
      </c>
      <c r="CQ593" s="15">
        <f t="shared" si="25"/>
        <v>25</v>
      </c>
    </row>
    <row r="594">
      <c r="A594" s="6">
        <v>45389.0</v>
      </c>
      <c r="B594" s="2" t="s">
        <v>27</v>
      </c>
      <c r="C594" s="2" t="s">
        <v>35</v>
      </c>
      <c r="D594" s="2">
        <v>4.0</v>
      </c>
      <c r="E594" s="2">
        <v>6.0</v>
      </c>
      <c r="R594" s="2">
        <v>1.0</v>
      </c>
      <c r="Z594" s="2">
        <v>2.0</v>
      </c>
      <c r="BE594" s="2">
        <v>2.0</v>
      </c>
      <c r="BI594" s="2">
        <v>14.0</v>
      </c>
      <c r="CI594" s="2">
        <v>4.0</v>
      </c>
      <c r="CL594" s="2">
        <v>2.0</v>
      </c>
      <c r="CQ594" s="15">
        <f t="shared" si="25"/>
        <v>25</v>
      </c>
    </row>
    <row r="595">
      <c r="A595" s="6">
        <v>45389.0</v>
      </c>
      <c r="B595" s="2" t="s">
        <v>27</v>
      </c>
      <c r="C595" s="2" t="s">
        <v>35</v>
      </c>
      <c r="D595" s="2">
        <v>4.0</v>
      </c>
      <c r="E595" s="2">
        <v>8.0</v>
      </c>
      <c r="Z595" s="2">
        <v>2.0</v>
      </c>
      <c r="AT595" s="2">
        <v>1.0</v>
      </c>
      <c r="AW595" s="2">
        <v>3.0</v>
      </c>
      <c r="BE595" s="2">
        <v>5.0</v>
      </c>
      <c r="BI595" s="2">
        <v>7.0</v>
      </c>
      <c r="CK595" s="2">
        <v>3.0</v>
      </c>
      <c r="CN595" s="2">
        <v>4.0</v>
      </c>
      <c r="CQ595" s="15">
        <f t="shared" si="25"/>
        <v>25</v>
      </c>
    </row>
    <row r="596">
      <c r="A596" s="6">
        <v>45389.0</v>
      </c>
      <c r="B596" s="2" t="s">
        <v>27</v>
      </c>
      <c r="C596" s="2" t="s">
        <v>35</v>
      </c>
      <c r="D596" s="2">
        <v>4.0</v>
      </c>
      <c r="E596" s="2">
        <v>10.0</v>
      </c>
      <c r="Z596" s="2">
        <v>3.0</v>
      </c>
      <c r="AT596" s="2">
        <v>4.0</v>
      </c>
      <c r="BE596" s="2">
        <v>4.0</v>
      </c>
      <c r="BI596" s="2">
        <v>5.0</v>
      </c>
      <c r="CK596" s="2">
        <v>6.0</v>
      </c>
      <c r="CL596" s="2">
        <v>1.0</v>
      </c>
      <c r="CN596" s="2">
        <v>2.0</v>
      </c>
      <c r="CQ596" s="15">
        <f t="shared" si="25"/>
        <v>25</v>
      </c>
    </row>
    <row r="597">
      <c r="A597" s="6">
        <v>45389.0</v>
      </c>
      <c r="B597" s="2" t="s">
        <v>27</v>
      </c>
      <c r="C597" s="2" t="s">
        <v>35</v>
      </c>
      <c r="D597" s="2">
        <v>4.0</v>
      </c>
      <c r="E597" s="2">
        <v>12.0</v>
      </c>
      <c r="R597" s="2">
        <v>2.0</v>
      </c>
      <c r="W597" s="2">
        <v>7.0</v>
      </c>
      <c r="Z597" s="2">
        <v>8.0</v>
      </c>
      <c r="AP597" s="2">
        <v>3.0</v>
      </c>
      <c r="BI597" s="2">
        <v>2.0</v>
      </c>
      <c r="CN597" s="2">
        <v>3.0</v>
      </c>
      <c r="CQ597" s="15">
        <f t="shared" si="25"/>
        <v>25</v>
      </c>
    </row>
    <row r="598">
      <c r="A598" s="6">
        <v>45389.0</v>
      </c>
      <c r="B598" s="2" t="s">
        <v>27</v>
      </c>
      <c r="C598" s="2" t="s">
        <v>35</v>
      </c>
      <c r="D598" s="2">
        <v>4.0</v>
      </c>
      <c r="E598" s="2">
        <v>14.0</v>
      </c>
      <c r="G598" s="2">
        <v>2.0</v>
      </c>
      <c r="AK598" s="2">
        <v>4.0</v>
      </c>
      <c r="AV598" s="2">
        <v>5.0</v>
      </c>
      <c r="BI598" s="2">
        <v>11.0</v>
      </c>
      <c r="CN598" s="2">
        <v>3.0</v>
      </c>
      <c r="CQ598" s="15">
        <f t="shared" si="25"/>
        <v>25</v>
      </c>
    </row>
    <row r="599">
      <c r="A599" s="6">
        <v>45389.0</v>
      </c>
      <c r="B599" s="2" t="s">
        <v>27</v>
      </c>
      <c r="C599" s="2" t="s">
        <v>35</v>
      </c>
      <c r="D599" s="2">
        <v>4.0</v>
      </c>
      <c r="E599" s="2">
        <v>16.0</v>
      </c>
      <c r="BE599" s="2">
        <v>7.0</v>
      </c>
      <c r="BI599" s="2">
        <v>13.0</v>
      </c>
      <c r="CK599" s="2">
        <v>5.0</v>
      </c>
      <c r="CQ599" s="15">
        <f t="shared" si="25"/>
        <v>25</v>
      </c>
    </row>
    <row r="600">
      <c r="A600" s="6">
        <v>45389.0</v>
      </c>
      <c r="B600" s="2" t="s">
        <v>27</v>
      </c>
      <c r="C600" s="2" t="s">
        <v>35</v>
      </c>
      <c r="D600" s="2">
        <v>4.0</v>
      </c>
      <c r="E600" s="2">
        <v>18.0</v>
      </c>
      <c r="N600" s="2">
        <v>5.0</v>
      </c>
      <c r="BH600" s="2">
        <v>4.0</v>
      </c>
      <c r="BI600" s="2">
        <v>12.0</v>
      </c>
      <c r="CN600" s="2">
        <v>1.0</v>
      </c>
      <c r="CP600" s="2">
        <v>3.0</v>
      </c>
      <c r="CQ600" s="15">
        <f t="shared" si="25"/>
        <v>25</v>
      </c>
    </row>
    <row r="601">
      <c r="A601" s="6">
        <v>45389.0</v>
      </c>
      <c r="B601" s="2" t="s">
        <v>27</v>
      </c>
      <c r="C601" s="2" t="s">
        <v>35</v>
      </c>
      <c r="D601" s="2">
        <v>4.0</v>
      </c>
      <c r="E601" s="2">
        <v>20.0</v>
      </c>
      <c r="AG601" s="2">
        <v>2.0</v>
      </c>
      <c r="AT601" s="2">
        <v>4.0</v>
      </c>
      <c r="BG601" s="2">
        <v>2.0</v>
      </c>
      <c r="BI601" s="2">
        <v>2.0</v>
      </c>
      <c r="CK601" s="2">
        <v>12.0</v>
      </c>
      <c r="CL601" s="2">
        <v>3.0</v>
      </c>
      <c r="CQ601" s="15">
        <f t="shared" si="25"/>
        <v>25</v>
      </c>
    </row>
    <row r="602">
      <c r="A602" s="6">
        <v>45389.0</v>
      </c>
      <c r="B602" s="2" t="s">
        <v>27</v>
      </c>
      <c r="C602" s="2" t="s">
        <v>35</v>
      </c>
      <c r="D602" s="2">
        <v>4.0</v>
      </c>
      <c r="E602" s="2">
        <v>22.0</v>
      </c>
      <c r="N602" s="2">
        <v>3.0</v>
      </c>
      <c r="AK602" s="2">
        <v>4.0</v>
      </c>
      <c r="AL602" s="2">
        <v>3.0</v>
      </c>
      <c r="BI602" s="2">
        <v>1.0</v>
      </c>
      <c r="CI602" s="2">
        <v>13.0</v>
      </c>
      <c r="CK602" s="2">
        <v>1.0</v>
      </c>
      <c r="CQ602" s="15">
        <f t="shared" si="25"/>
        <v>25</v>
      </c>
    </row>
    <row r="603">
      <c r="A603" s="49">
        <v>45388.0</v>
      </c>
      <c r="B603" s="23" t="s">
        <v>238</v>
      </c>
      <c r="C603" s="23" t="s">
        <v>235</v>
      </c>
      <c r="D603" s="25">
        <v>2.0</v>
      </c>
      <c r="E603" s="25">
        <v>22.0</v>
      </c>
      <c r="CI603" s="2">
        <v>20.0</v>
      </c>
      <c r="CL603" s="2">
        <v>5.0</v>
      </c>
      <c r="CQ603" s="15">
        <f t="shared" si="25"/>
        <v>25</v>
      </c>
    </row>
    <row r="604">
      <c r="A604" s="49">
        <v>45388.0</v>
      </c>
      <c r="B604" s="23" t="s">
        <v>238</v>
      </c>
      <c r="C604" s="23" t="s">
        <v>235</v>
      </c>
      <c r="D604" s="25">
        <v>2.0</v>
      </c>
      <c r="E604" s="25">
        <v>20.0</v>
      </c>
      <c r="N604" s="2">
        <v>1.0</v>
      </c>
      <c r="AD604" s="2">
        <v>1.0</v>
      </c>
      <c r="AH604" s="2">
        <v>4.0</v>
      </c>
      <c r="BI604" s="2">
        <v>7.0</v>
      </c>
      <c r="BR604" s="2">
        <v>5.0</v>
      </c>
      <c r="CI604" s="2">
        <v>1.0</v>
      </c>
      <c r="CJ604" s="2">
        <v>6.0</v>
      </c>
      <c r="CQ604" s="15">
        <f t="shared" si="25"/>
        <v>25</v>
      </c>
    </row>
    <row r="605">
      <c r="A605" s="49">
        <v>45388.0</v>
      </c>
      <c r="B605" s="23" t="s">
        <v>238</v>
      </c>
      <c r="C605" s="23" t="s">
        <v>235</v>
      </c>
      <c r="D605" s="25">
        <v>2.0</v>
      </c>
      <c r="E605" s="25">
        <v>18.0</v>
      </c>
      <c r="N605" s="2">
        <v>1.0</v>
      </c>
      <c r="AD605" s="2">
        <v>7.0</v>
      </c>
      <c r="AH605" s="2">
        <v>1.0</v>
      </c>
      <c r="AV605" s="2">
        <v>2.0</v>
      </c>
      <c r="BI605" s="2">
        <v>1.0</v>
      </c>
      <c r="BR605" s="2">
        <v>5.0</v>
      </c>
      <c r="BV605" s="2">
        <v>1.0</v>
      </c>
      <c r="CJ605" s="2">
        <v>6.0</v>
      </c>
      <c r="CQ605" s="15">
        <f t="shared" si="25"/>
        <v>24</v>
      </c>
      <c r="CU605" s="2">
        <v>1.0</v>
      </c>
    </row>
    <row r="606">
      <c r="A606" s="49">
        <v>45388.0</v>
      </c>
      <c r="B606" s="23" t="s">
        <v>238</v>
      </c>
      <c r="C606" s="23" t="s">
        <v>235</v>
      </c>
      <c r="D606" s="25">
        <v>2.0</v>
      </c>
      <c r="E606" s="25">
        <v>16.0</v>
      </c>
      <c r="N606" s="2">
        <v>9.0</v>
      </c>
      <c r="P606" s="2">
        <v>1.0</v>
      </c>
      <c r="AG606" s="2">
        <v>1.0</v>
      </c>
      <c r="AK606" s="2">
        <v>5.0</v>
      </c>
      <c r="BI606" s="2">
        <v>5.0</v>
      </c>
      <c r="BN606" s="2">
        <v>1.0</v>
      </c>
      <c r="CI606" s="2">
        <v>1.0</v>
      </c>
      <c r="CJ606" s="2">
        <v>2.0</v>
      </c>
      <c r="CQ606" s="15">
        <f t="shared" si="25"/>
        <v>25</v>
      </c>
      <c r="CU606" s="2">
        <v>3.0</v>
      </c>
    </row>
    <row r="607">
      <c r="A607" s="49">
        <v>45388.0</v>
      </c>
      <c r="B607" s="23" t="s">
        <v>238</v>
      </c>
      <c r="C607" s="23" t="s">
        <v>235</v>
      </c>
      <c r="D607" s="25">
        <v>2.0</v>
      </c>
      <c r="E607" s="25">
        <v>14.0</v>
      </c>
      <c r="N607" s="2">
        <v>1.0</v>
      </c>
      <c r="R607" s="2">
        <v>1.0</v>
      </c>
      <c r="W607" s="2">
        <v>8.0</v>
      </c>
      <c r="AH607" s="2">
        <v>1.0</v>
      </c>
      <c r="AK607" s="2">
        <v>1.0</v>
      </c>
      <c r="AL607" s="2">
        <v>2.0</v>
      </c>
      <c r="BI607" s="2">
        <v>9.0</v>
      </c>
      <c r="CJ607" s="2">
        <v>2.0</v>
      </c>
      <c r="CQ607" s="15">
        <f t="shared" si="25"/>
        <v>25</v>
      </c>
    </row>
    <row r="608">
      <c r="A608" s="49">
        <v>45388.0</v>
      </c>
      <c r="B608" s="23" t="s">
        <v>238</v>
      </c>
      <c r="C608" s="23" t="s">
        <v>235</v>
      </c>
      <c r="D608" s="25">
        <v>2.0</v>
      </c>
      <c r="E608" s="25">
        <v>12.0</v>
      </c>
      <c r="N608" s="2">
        <v>1.0</v>
      </c>
      <c r="Y608" s="2">
        <v>1.0</v>
      </c>
      <c r="AK608" s="2">
        <v>1.0</v>
      </c>
      <c r="AL608" s="2">
        <v>3.0</v>
      </c>
      <c r="AW608" s="2">
        <v>1.0</v>
      </c>
      <c r="BE608" s="2">
        <v>8.0</v>
      </c>
      <c r="BI608" s="2">
        <v>3.0</v>
      </c>
      <c r="CJ608" s="2">
        <v>7.0</v>
      </c>
      <c r="CQ608" s="15">
        <f t="shared" si="25"/>
        <v>25</v>
      </c>
    </row>
    <row r="609">
      <c r="A609" s="49">
        <v>45388.0</v>
      </c>
      <c r="B609" s="23" t="s">
        <v>238</v>
      </c>
      <c r="C609" s="23" t="s">
        <v>235</v>
      </c>
      <c r="D609" s="25">
        <v>2.0</v>
      </c>
      <c r="E609" s="25">
        <v>10.0</v>
      </c>
      <c r="N609" s="2">
        <v>1.0</v>
      </c>
      <c r="W609" s="2">
        <v>3.0</v>
      </c>
      <c r="AH609" s="2">
        <v>1.0</v>
      </c>
      <c r="AK609" s="2">
        <v>2.0</v>
      </c>
      <c r="AP609" s="2">
        <v>3.0</v>
      </c>
      <c r="AW609" s="2">
        <v>1.0</v>
      </c>
      <c r="BI609" s="2">
        <v>5.0</v>
      </c>
      <c r="BR609" s="2">
        <v>2.0</v>
      </c>
      <c r="CI609" s="2">
        <v>3.0</v>
      </c>
      <c r="CJ609" s="2">
        <v>2.0</v>
      </c>
      <c r="CL609" s="2">
        <v>1.0</v>
      </c>
      <c r="CQ609" s="15">
        <f t="shared" si="25"/>
        <v>24</v>
      </c>
    </row>
    <row r="610">
      <c r="A610" s="49">
        <v>45388.0</v>
      </c>
      <c r="B610" s="23" t="s">
        <v>238</v>
      </c>
      <c r="C610" s="23" t="s">
        <v>235</v>
      </c>
      <c r="D610" s="25">
        <v>2.0</v>
      </c>
      <c r="E610" s="25">
        <v>8.0</v>
      </c>
      <c r="AH610" s="2">
        <v>2.0</v>
      </c>
      <c r="AK610" s="2">
        <v>1.0</v>
      </c>
      <c r="AP610" s="2">
        <v>2.0</v>
      </c>
      <c r="BE610" s="2">
        <v>7.0</v>
      </c>
      <c r="BI610" s="2">
        <v>5.0</v>
      </c>
      <c r="CI610" s="2">
        <v>1.0</v>
      </c>
      <c r="CJ610" s="2">
        <v>6.0</v>
      </c>
      <c r="CQ610" s="15">
        <f t="shared" si="25"/>
        <v>24</v>
      </c>
      <c r="CU610" s="2">
        <v>1.0</v>
      </c>
    </row>
    <row r="611">
      <c r="A611" s="49">
        <v>45388.0</v>
      </c>
      <c r="B611" s="23" t="s">
        <v>238</v>
      </c>
      <c r="C611" s="23" t="s">
        <v>235</v>
      </c>
      <c r="D611" s="25">
        <v>2.0</v>
      </c>
      <c r="E611" s="25">
        <v>6.0</v>
      </c>
      <c r="W611" s="50">
        <v>1.0</v>
      </c>
      <c r="AT611" s="2">
        <v>1.0</v>
      </c>
      <c r="BI611" s="2">
        <v>18.0</v>
      </c>
      <c r="BP611" s="2">
        <v>1.0</v>
      </c>
      <c r="BR611" s="2">
        <v>2.0</v>
      </c>
      <c r="CJ611" s="2">
        <v>1.0</v>
      </c>
      <c r="CK611" s="2">
        <v>2.0</v>
      </c>
      <c r="CQ611" s="15">
        <f t="shared" si="25"/>
        <v>26</v>
      </c>
    </row>
    <row r="612">
      <c r="A612" s="49">
        <v>45388.0</v>
      </c>
      <c r="B612" s="23" t="s">
        <v>238</v>
      </c>
      <c r="C612" s="23" t="s">
        <v>235</v>
      </c>
      <c r="D612" s="25">
        <v>2.0</v>
      </c>
      <c r="E612" s="25">
        <v>4.0</v>
      </c>
      <c r="N612" s="2">
        <v>4.0</v>
      </c>
      <c r="W612" s="2">
        <v>6.0</v>
      </c>
      <c r="AK612" s="2">
        <v>1.0</v>
      </c>
      <c r="AT612" s="2">
        <v>2.0</v>
      </c>
      <c r="BE612" s="2">
        <v>1.0</v>
      </c>
      <c r="BI612" s="2">
        <v>2.0</v>
      </c>
      <c r="BR612" s="2">
        <v>9.0</v>
      </c>
      <c r="CI612" s="2">
        <v>1.0</v>
      </c>
      <c r="CL612" s="2">
        <v>1.0</v>
      </c>
      <c r="CQ612" s="15">
        <f t="shared" si="25"/>
        <v>27</v>
      </c>
    </row>
    <row r="613">
      <c r="A613" s="49">
        <v>45388.0</v>
      </c>
      <c r="B613" s="23" t="s">
        <v>238</v>
      </c>
      <c r="C613" s="23" t="s">
        <v>235</v>
      </c>
      <c r="D613" s="25">
        <v>2.0</v>
      </c>
      <c r="E613" s="25">
        <v>2.0</v>
      </c>
      <c r="N613" s="2">
        <v>1.0</v>
      </c>
      <c r="W613" s="2">
        <v>1.0</v>
      </c>
      <c r="AG613" s="2">
        <v>2.0</v>
      </c>
      <c r="AK613" s="2">
        <v>1.0</v>
      </c>
      <c r="AP613" s="2">
        <v>1.0</v>
      </c>
      <c r="AT613" s="2">
        <v>2.0</v>
      </c>
      <c r="BE613" s="2">
        <v>3.0</v>
      </c>
      <c r="BI613" s="2">
        <v>5.0</v>
      </c>
      <c r="BR613" s="2">
        <v>1.0</v>
      </c>
      <c r="CI613" s="2">
        <v>1.0</v>
      </c>
      <c r="CJ613" s="2">
        <v>7.0</v>
      </c>
      <c r="CQ613" s="15">
        <f t="shared" si="25"/>
        <v>25</v>
      </c>
    </row>
    <row r="614">
      <c r="A614" s="49">
        <v>45388.0</v>
      </c>
      <c r="B614" s="23" t="s">
        <v>238</v>
      </c>
      <c r="C614" s="23" t="s">
        <v>235</v>
      </c>
      <c r="D614" s="25">
        <v>2.0</v>
      </c>
      <c r="E614" s="25">
        <v>0.0</v>
      </c>
      <c r="Y614" s="2">
        <v>2.0</v>
      </c>
      <c r="AH614" s="2">
        <v>1.0</v>
      </c>
      <c r="AT614" s="2">
        <v>2.0</v>
      </c>
      <c r="BI614" s="2">
        <v>12.0</v>
      </c>
      <c r="BO614" s="2">
        <v>1.0</v>
      </c>
      <c r="BR614" s="2">
        <v>5.0</v>
      </c>
      <c r="CI614" s="2">
        <v>2.0</v>
      </c>
      <c r="CJ614" s="2">
        <v>1.0</v>
      </c>
      <c r="CQ614" s="15">
        <f t="shared" si="25"/>
        <v>26</v>
      </c>
    </row>
    <row r="615">
      <c r="A615" s="49">
        <v>45388.0</v>
      </c>
      <c r="B615" s="23" t="s">
        <v>238</v>
      </c>
      <c r="C615" s="23" t="s">
        <v>235</v>
      </c>
      <c r="D615" s="25">
        <v>4.0</v>
      </c>
      <c r="E615" s="25">
        <v>0.0</v>
      </c>
      <c r="AK615" s="2">
        <v>1.0</v>
      </c>
      <c r="BI615" s="2">
        <v>21.0</v>
      </c>
      <c r="BR615" s="2">
        <v>3.0</v>
      </c>
      <c r="CQ615" s="15">
        <f t="shared" si="25"/>
        <v>25</v>
      </c>
    </row>
    <row r="616">
      <c r="A616" s="49">
        <v>45388.0</v>
      </c>
      <c r="B616" s="23" t="s">
        <v>238</v>
      </c>
      <c r="C616" s="23" t="s">
        <v>235</v>
      </c>
      <c r="D616" s="25">
        <v>4.0</v>
      </c>
      <c r="E616" s="25">
        <v>2.0</v>
      </c>
      <c r="AH616" s="2">
        <v>1.0</v>
      </c>
      <c r="AK616" s="2">
        <v>4.0</v>
      </c>
      <c r="BC616" s="2">
        <v>2.0</v>
      </c>
      <c r="BE616" s="2">
        <v>3.0</v>
      </c>
      <c r="BI616" s="2">
        <v>7.0</v>
      </c>
      <c r="BR616" s="2">
        <v>3.0</v>
      </c>
      <c r="BV616" s="2">
        <v>1.0</v>
      </c>
      <c r="CJ616" s="2">
        <v>4.0</v>
      </c>
      <c r="CQ616" s="15">
        <f t="shared" si="25"/>
        <v>25</v>
      </c>
    </row>
    <row r="617">
      <c r="A617" s="49">
        <v>45388.0</v>
      </c>
      <c r="B617" s="23" t="s">
        <v>238</v>
      </c>
      <c r="C617" s="23" t="s">
        <v>235</v>
      </c>
      <c r="D617" s="25">
        <v>4.0</v>
      </c>
      <c r="E617" s="25">
        <v>4.0</v>
      </c>
      <c r="Z617" s="2">
        <v>2.0</v>
      </c>
      <c r="AK617" s="2">
        <v>1.0</v>
      </c>
      <c r="AP617" s="2">
        <v>2.0</v>
      </c>
      <c r="BI617" s="2">
        <v>8.0</v>
      </c>
      <c r="BR617" s="2">
        <v>7.0</v>
      </c>
      <c r="CJ617" s="2">
        <v>4.0</v>
      </c>
      <c r="CP617" s="2">
        <v>1.0</v>
      </c>
      <c r="CQ617" s="15">
        <f t="shared" si="25"/>
        <v>25</v>
      </c>
    </row>
    <row r="618">
      <c r="A618" s="49">
        <v>45388.0</v>
      </c>
      <c r="B618" s="23" t="s">
        <v>238</v>
      </c>
      <c r="C618" s="23" t="s">
        <v>235</v>
      </c>
      <c r="D618" s="25">
        <v>4.0</v>
      </c>
      <c r="E618" s="25">
        <v>6.0</v>
      </c>
      <c r="N618" s="2">
        <v>9.0</v>
      </c>
      <c r="AK618" s="2">
        <v>2.0</v>
      </c>
      <c r="AP618" s="2">
        <v>1.0</v>
      </c>
      <c r="BI618" s="2">
        <v>6.0</v>
      </c>
      <c r="BR618" s="2">
        <v>5.0</v>
      </c>
      <c r="CI618" s="2">
        <v>1.0</v>
      </c>
      <c r="CJ618" s="2">
        <v>1.0</v>
      </c>
      <c r="CQ618" s="15">
        <f t="shared" si="25"/>
        <v>25</v>
      </c>
    </row>
    <row r="619">
      <c r="A619" s="49">
        <v>45388.0</v>
      </c>
      <c r="B619" s="23" t="s">
        <v>238</v>
      </c>
      <c r="C619" s="23" t="s">
        <v>235</v>
      </c>
      <c r="D619" s="25">
        <v>4.0</v>
      </c>
      <c r="E619" s="25">
        <v>8.0</v>
      </c>
      <c r="G619" s="2">
        <v>1.0</v>
      </c>
      <c r="N619" s="2">
        <v>2.0</v>
      </c>
      <c r="AT619" s="2">
        <v>8.0</v>
      </c>
      <c r="BE619" s="2">
        <v>1.0</v>
      </c>
      <c r="BI619" s="2">
        <v>4.0</v>
      </c>
      <c r="CJ619" s="2">
        <v>9.0</v>
      </c>
      <c r="CQ619" s="15">
        <f t="shared" si="25"/>
        <v>25</v>
      </c>
    </row>
    <row r="620">
      <c r="A620" s="49">
        <v>45388.0</v>
      </c>
      <c r="B620" s="23" t="s">
        <v>238</v>
      </c>
      <c r="C620" s="23" t="s">
        <v>235</v>
      </c>
      <c r="D620" s="25">
        <v>4.0</v>
      </c>
      <c r="E620" s="25">
        <v>10.0</v>
      </c>
      <c r="G620" s="2">
        <v>2.0</v>
      </c>
      <c r="W620" s="2">
        <v>3.0</v>
      </c>
      <c r="AH620" s="2">
        <v>1.0</v>
      </c>
      <c r="AK620" s="2">
        <v>1.0</v>
      </c>
      <c r="AT620" s="2">
        <v>11.0</v>
      </c>
      <c r="BE620" s="2">
        <v>1.0</v>
      </c>
      <c r="BI620" s="2">
        <v>3.0</v>
      </c>
      <c r="BR620" s="2">
        <v>1.0</v>
      </c>
      <c r="BS620" s="2">
        <v>1.0</v>
      </c>
      <c r="CA620" s="2">
        <v>2.0</v>
      </c>
      <c r="CQ620" s="15">
        <f t="shared" si="25"/>
        <v>26</v>
      </c>
    </row>
    <row r="621">
      <c r="A621" s="49">
        <v>45388.0</v>
      </c>
      <c r="B621" s="23" t="s">
        <v>238</v>
      </c>
      <c r="C621" s="23" t="s">
        <v>235</v>
      </c>
      <c r="D621" s="25">
        <v>4.0</v>
      </c>
      <c r="E621" s="25">
        <v>12.0</v>
      </c>
      <c r="BB621" s="2">
        <v>1.0</v>
      </c>
      <c r="BI621" s="2">
        <v>7.0</v>
      </c>
      <c r="BP621" s="2">
        <v>5.0</v>
      </c>
      <c r="BR621" s="2">
        <v>2.0</v>
      </c>
      <c r="CJ621" s="2">
        <v>5.0</v>
      </c>
      <c r="CQ621" s="15">
        <f t="shared" si="25"/>
        <v>20</v>
      </c>
    </row>
    <row r="622">
      <c r="A622" s="49">
        <v>45388.0</v>
      </c>
      <c r="B622" s="23" t="s">
        <v>238</v>
      </c>
      <c r="C622" s="23" t="s">
        <v>235</v>
      </c>
      <c r="D622" s="25">
        <v>4.0</v>
      </c>
      <c r="E622" s="25">
        <v>14.0</v>
      </c>
      <c r="N622" s="2">
        <v>7.0</v>
      </c>
      <c r="W622" s="2">
        <v>5.0</v>
      </c>
      <c r="AK622" s="2">
        <v>4.0</v>
      </c>
      <c r="BI622" s="2">
        <v>7.0</v>
      </c>
      <c r="CI622" s="2">
        <v>2.0</v>
      </c>
      <c r="CQ622" s="15">
        <f t="shared" si="25"/>
        <v>25</v>
      </c>
    </row>
    <row r="623">
      <c r="A623" s="49">
        <v>45388.0</v>
      </c>
      <c r="B623" s="23" t="s">
        <v>238</v>
      </c>
      <c r="C623" s="23" t="s">
        <v>235</v>
      </c>
      <c r="D623" s="25">
        <v>4.0</v>
      </c>
      <c r="E623" s="25">
        <v>16.0</v>
      </c>
      <c r="N623" s="2">
        <v>13.0</v>
      </c>
      <c r="AK623" s="2">
        <v>3.0</v>
      </c>
      <c r="AR623" s="2">
        <v>1.0</v>
      </c>
      <c r="AV623" s="2">
        <v>1.0</v>
      </c>
      <c r="BI623" s="2">
        <v>1.0</v>
      </c>
      <c r="CI623" s="2">
        <v>3.0</v>
      </c>
      <c r="CQ623" s="15">
        <f t="shared" si="25"/>
        <v>22</v>
      </c>
      <c r="CU623" s="2">
        <v>1.0</v>
      </c>
    </row>
    <row r="624">
      <c r="A624" s="49">
        <v>45388.0</v>
      </c>
      <c r="B624" s="23" t="s">
        <v>238</v>
      </c>
      <c r="C624" s="23" t="s">
        <v>235</v>
      </c>
      <c r="D624" s="25">
        <v>4.0</v>
      </c>
      <c r="E624" s="25">
        <v>18.0</v>
      </c>
      <c r="N624" s="2">
        <v>2.0</v>
      </c>
      <c r="AC624" s="2">
        <v>1.0</v>
      </c>
      <c r="AH624" s="2">
        <v>1.0</v>
      </c>
      <c r="AK624" s="2">
        <v>8.0</v>
      </c>
      <c r="AL624" s="2">
        <v>1.0</v>
      </c>
      <c r="BI624" s="2">
        <v>11.0</v>
      </c>
      <c r="CI624" s="2">
        <v>4.0</v>
      </c>
      <c r="CQ624" s="15">
        <f t="shared" si="25"/>
        <v>28</v>
      </c>
      <c r="CU624" s="2">
        <v>4.0</v>
      </c>
    </row>
    <row r="625">
      <c r="A625" s="49">
        <v>45388.0</v>
      </c>
      <c r="B625" s="23" t="s">
        <v>238</v>
      </c>
      <c r="C625" s="23" t="s">
        <v>235</v>
      </c>
      <c r="D625" s="25">
        <v>4.0</v>
      </c>
      <c r="E625" s="25">
        <v>20.0</v>
      </c>
      <c r="AD625" s="2">
        <v>3.0</v>
      </c>
      <c r="AL625" s="2">
        <v>1.0</v>
      </c>
      <c r="CI625" s="2">
        <v>2.0</v>
      </c>
      <c r="CJ625" s="2">
        <v>20.0</v>
      </c>
      <c r="CQ625" s="15">
        <f t="shared" si="25"/>
        <v>26</v>
      </c>
    </row>
    <row r="626">
      <c r="A626" s="49">
        <v>45388.0</v>
      </c>
      <c r="B626" s="23" t="s">
        <v>238</v>
      </c>
      <c r="C626" s="23" t="s">
        <v>235</v>
      </c>
      <c r="D626" s="25">
        <v>4.0</v>
      </c>
      <c r="E626" s="25">
        <v>22.0</v>
      </c>
      <c r="AD626" s="2">
        <v>3.0</v>
      </c>
      <c r="AH626" s="2">
        <v>4.0</v>
      </c>
      <c r="AL626" s="2">
        <v>1.0</v>
      </c>
      <c r="CI626" s="2">
        <v>1.0</v>
      </c>
      <c r="CJ626" s="2">
        <v>15.0</v>
      </c>
      <c r="CK626" s="2">
        <v>2.0</v>
      </c>
      <c r="CQ626" s="15">
        <f t="shared" si="25"/>
        <v>26</v>
      </c>
    </row>
    <row r="627">
      <c r="CQ627" s="15">
        <f t="shared" si="25"/>
        <v>0</v>
      </c>
    </row>
    <row r="628">
      <c r="CQ628" s="15">
        <f t="shared" si="25"/>
        <v>0</v>
      </c>
    </row>
    <row r="629">
      <c r="CQ629" s="15">
        <f t="shared" si="25"/>
        <v>0</v>
      </c>
    </row>
    <row r="630">
      <c r="CQ630" s="15">
        <f t="shared" si="25"/>
        <v>0</v>
      </c>
    </row>
    <row r="631">
      <c r="CQ631" s="15">
        <f t="shared" si="25"/>
        <v>0</v>
      </c>
    </row>
    <row r="632">
      <c r="CQ632" s="15">
        <f t="shared" si="25"/>
        <v>0</v>
      </c>
    </row>
    <row r="633">
      <c r="CQ633" s="15">
        <f t="shared" si="25"/>
        <v>0</v>
      </c>
    </row>
    <row r="634">
      <c r="CQ634" s="15">
        <f t="shared" si="25"/>
        <v>0</v>
      </c>
    </row>
    <row r="635">
      <c r="CQ635" s="15">
        <f t="shared" si="25"/>
        <v>0</v>
      </c>
    </row>
    <row r="636">
      <c r="CQ636" s="15">
        <f t="shared" si="25"/>
        <v>0</v>
      </c>
    </row>
    <row r="637">
      <c r="CQ637" s="15">
        <f t="shared" si="25"/>
        <v>0</v>
      </c>
    </row>
    <row r="638">
      <c r="CQ638" s="15">
        <f t="shared" si="25"/>
        <v>0</v>
      </c>
    </row>
    <row r="639">
      <c r="CQ639" s="15">
        <f t="shared" si="25"/>
        <v>0</v>
      </c>
    </row>
    <row r="640">
      <c r="CQ640" s="15">
        <f t="shared" si="25"/>
        <v>0</v>
      </c>
    </row>
    <row r="641">
      <c r="CQ641" s="15">
        <f t="shared" si="25"/>
        <v>0</v>
      </c>
    </row>
    <row r="642">
      <c r="CQ642" s="15">
        <f t="shared" si="25"/>
        <v>0</v>
      </c>
    </row>
    <row r="643">
      <c r="CQ643" s="15">
        <f t="shared" si="25"/>
        <v>0</v>
      </c>
    </row>
    <row r="644">
      <c r="CQ644" s="15">
        <f t="shared" si="25"/>
        <v>0</v>
      </c>
    </row>
    <row r="645">
      <c r="CQ645" s="15">
        <f t="shared" si="25"/>
        <v>0</v>
      </c>
    </row>
    <row r="646">
      <c r="CQ646" s="15">
        <f t="shared" si="25"/>
        <v>0</v>
      </c>
    </row>
    <row r="647">
      <c r="CQ647" s="15">
        <f t="shared" si="25"/>
        <v>0</v>
      </c>
    </row>
    <row r="648">
      <c r="CQ648" s="15">
        <f t="shared" si="25"/>
        <v>0</v>
      </c>
    </row>
    <row r="649">
      <c r="CQ649" s="15">
        <f t="shared" si="25"/>
        <v>0</v>
      </c>
    </row>
    <row r="650">
      <c r="CQ650" s="15">
        <f t="shared" si="25"/>
        <v>0</v>
      </c>
    </row>
    <row r="651">
      <c r="CQ651" s="15">
        <f t="shared" si="25"/>
        <v>0</v>
      </c>
    </row>
    <row r="652">
      <c r="CQ652" s="15">
        <f t="shared" si="25"/>
        <v>0</v>
      </c>
    </row>
    <row r="653">
      <c r="CQ653" s="15">
        <f t="shared" si="25"/>
        <v>0</v>
      </c>
    </row>
    <row r="654">
      <c r="CQ654" s="15">
        <f t="shared" si="25"/>
        <v>0</v>
      </c>
    </row>
    <row r="655">
      <c r="CQ655" s="15">
        <f t="shared" si="25"/>
        <v>0</v>
      </c>
    </row>
    <row r="656">
      <c r="CQ656" s="15">
        <f t="shared" si="25"/>
        <v>0</v>
      </c>
    </row>
    <row r="657">
      <c r="CQ657" s="15">
        <f t="shared" si="25"/>
        <v>0</v>
      </c>
    </row>
    <row r="658">
      <c r="CQ658" s="15">
        <f t="shared" si="25"/>
        <v>0</v>
      </c>
    </row>
    <row r="659">
      <c r="CQ659" s="15">
        <f t="shared" si="25"/>
        <v>0</v>
      </c>
    </row>
    <row r="660">
      <c r="CQ660" s="15">
        <f t="shared" si="25"/>
        <v>0</v>
      </c>
    </row>
    <row r="661">
      <c r="CQ661" s="15">
        <f t="shared" si="25"/>
        <v>0</v>
      </c>
    </row>
    <row r="662">
      <c r="CQ662" s="15">
        <f t="shared" si="25"/>
        <v>0</v>
      </c>
    </row>
    <row r="663">
      <c r="CQ663" s="15">
        <f t="shared" si="25"/>
        <v>0</v>
      </c>
    </row>
    <row r="664">
      <c r="CQ664" s="15">
        <f t="shared" si="25"/>
        <v>0</v>
      </c>
    </row>
    <row r="665">
      <c r="CQ665" s="15">
        <f t="shared" si="25"/>
        <v>0</v>
      </c>
    </row>
    <row r="666">
      <c r="CQ666" s="15">
        <f t="shared" si="25"/>
        <v>0</v>
      </c>
    </row>
    <row r="667">
      <c r="CQ667" s="15">
        <f t="shared" si="25"/>
        <v>0</v>
      </c>
    </row>
    <row r="668">
      <c r="CQ668" s="15">
        <f t="shared" si="25"/>
        <v>0</v>
      </c>
    </row>
    <row r="669">
      <c r="CQ669" s="15">
        <f t="shared" si="25"/>
        <v>0</v>
      </c>
    </row>
    <row r="670">
      <c r="CQ670" s="15">
        <f t="shared" si="25"/>
        <v>0</v>
      </c>
    </row>
    <row r="671">
      <c r="CQ671" s="15">
        <f t="shared" si="25"/>
        <v>0</v>
      </c>
    </row>
    <row r="672">
      <c r="CQ672" s="15">
        <f t="shared" si="25"/>
        <v>0</v>
      </c>
    </row>
    <row r="673">
      <c r="CQ673" s="15">
        <f t="shared" si="25"/>
        <v>0</v>
      </c>
    </row>
    <row r="674">
      <c r="CQ674" s="15">
        <f t="shared" si="25"/>
        <v>0</v>
      </c>
    </row>
    <row r="675">
      <c r="CQ675" s="15">
        <f t="shared" si="25"/>
        <v>0</v>
      </c>
    </row>
    <row r="676">
      <c r="CQ676" s="15">
        <f t="shared" si="25"/>
        <v>0</v>
      </c>
    </row>
    <row r="677">
      <c r="CQ677" s="15">
        <f t="shared" si="25"/>
        <v>0</v>
      </c>
    </row>
    <row r="678">
      <c r="CQ678" s="15">
        <f t="shared" si="25"/>
        <v>0</v>
      </c>
    </row>
    <row r="679">
      <c r="CQ679" s="15">
        <f t="shared" si="25"/>
        <v>0</v>
      </c>
    </row>
    <row r="680">
      <c r="CQ680" s="15">
        <f t="shared" si="25"/>
        <v>0</v>
      </c>
    </row>
    <row r="681">
      <c r="CQ681" s="15">
        <f t="shared" si="25"/>
        <v>0</v>
      </c>
    </row>
    <row r="682">
      <c r="CQ682" s="15">
        <f t="shared" si="25"/>
        <v>0</v>
      </c>
    </row>
    <row r="683">
      <c r="CQ683" s="15">
        <f t="shared" si="25"/>
        <v>0</v>
      </c>
    </row>
    <row r="684">
      <c r="CQ684" s="15">
        <f t="shared" si="25"/>
        <v>0</v>
      </c>
    </row>
    <row r="685">
      <c r="CQ685" s="15">
        <f t="shared" si="25"/>
        <v>0</v>
      </c>
    </row>
    <row r="686">
      <c r="CQ686" s="15">
        <f t="shared" si="25"/>
        <v>0</v>
      </c>
    </row>
    <row r="687">
      <c r="CQ687" s="15">
        <f t="shared" si="25"/>
        <v>0</v>
      </c>
    </row>
    <row r="688">
      <c r="CQ688" s="15">
        <f t="shared" si="25"/>
        <v>0</v>
      </c>
    </row>
    <row r="689">
      <c r="CQ689" s="15">
        <f t="shared" si="25"/>
        <v>0</v>
      </c>
    </row>
    <row r="690">
      <c r="CQ690" s="15">
        <f t="shared" si="25"/>
        <v>0</v>
      </c>
    </row>
    <row r="691">
      <c r="CQ691" s="15">
        <f t="shared" si="25"/>
        <v>0</v>
      </c>
    </row>
    <row r="692">
      <c r="CQ692" s="15">
        <f t="shared" si="25"/>
        <v>0</v>
      </c>
    </row>
    <row r="693">
      <c r="CQ693" s="15">
        <f t="shared" si="25"/>
        <v>0</v>
      </c>
    </row>
    <row r="694">
      <c r="CQ694" s="15">
        <f t="shared" si="25"/>
        <v>0</v>
      </c>
    </row>
    <row r="695">
      <c r="CQ695" s="15">
        <f t="shared" si="25"/>
        <v>0</v>
      </c>
    </row>
    <row r="696">
      <c r="CQ696" s="15">
        <f t="shared" si="25"/>
        <v>0</v>
      </c>
    </row>
    <row r="697">
      <c r="CQ697" s="15">
        <f t="shared" si="25"/>
        <v>0</v>
      </c>
    </row>
    <row r="698">
      <c r="CQ698" s="15">
        <f t="shared" si="25"/>
        <v>0</v>
      </c>
    </row>
    <row r="699">
      <c r="CQ699" s="15">
        <f t="shared" si="25"/>
        <v>0</v>
      </c>
    </row>
    <row r="700">
      <c r="CQ700" s="15">
        <f t="shared" si="25"/>
        <v>0</v>
      </c>
    </row>
    <row r="701">
      <c r="CQ701" s="15">
        <f t="shared" si="25"/>
        <v>0</v>
      </c>
    </row>
    <row r="702">
      <c r="CQ702" s="15">
        <f t="shared" si="25"/>
        <v>0</v>
      </c>
    </row>
    <row r="703">
      <c r="CQ703" s="15">
        <f t="shared" si="25"/>
        <v>0</v>
      </c>
    </row>
    <row r="704">
      <c r="CQ704" s="15">
        <f t="shared" si="25"/>
        <v>0</v>
      </c>
    </row>
    <row r="705">
      <c r="CQ705" s="15">
        <f t="shared" si="25"/>
        <v>0</v>
      </c>
    </row>
    <row r="706">
      <c r="CQ706" s="15">
        <f t="shared" si="25"/>
        <v>0</v>
      </c>
    </row>
    <row r="707">
      <c r="CQ707" s="15">
        <f t="shared" si="25"/>
        <v>0</v>
      </c>
    </row>
    <row r="708">
      <c r="CQ708" s="15">
        <f t="shared" si="25"/>
        <v>0</v>
      </c>
    </row>
    <row r="709">
      <c r="CQ709" s="15">
        <f t="shared" si="25"/>
        <v>0</v>
      </c>
    </row>
    <row r="710">
      <c r="CQ710" s="15">
        <f t="shared" si="25"/>
        <v>0</v>
      </c>
    </row>
    <row r="711">
      <c r="CQ711" s="15">
        <f t="shared" si="25"/>
        <v>0</v>
      </c>
    </row>
    <row r="712">
      <c r="CQ712" s="15">
        <f t="shared" si="25"/>
        <v>0</v>
      </c>
    </row>
    <row r="713">
      <c r="CQ713" s="15">
        <f t="shared" si="25"/>
        <v>0</v>
      </c>
    </row>
    <row r="714">
      <c r="CQ714" s="15">
        <f t="shared" si="25"/>
        <v>0</v>
      </c>
    </row>
    <row r="715">
      <c r="CQ715" s="15">
        <f t="shared" si="25"/>
        <v>0</v>
      </c>
    </row>
    <row r="716">
      <c r="CQ716" s="15">
        <f t="shared" si="25"/>
        <v>0</v>
      </c>
    </row>
    <row r="717">
      <c r="CQ717" s="15">
        <f t="shared" si="25"/>
        <v>0</v>
      </c>
    </row>
    <row r="718">
      <c r="CQ718" s="15">
        <f t="shared" si="25"/>
        <v>0</v>
      </c>
    </row>
    <row r="719">
      <c r="CQ719" s="15">
        <f t="shared" si="25"/>
        <v>0</v>
      </c>
    </row>
    <row r="720">
      <c r="CQ720" s="15">
        <f t="shared" si="25"/>
        <v>0</v>
      </c>
    </row>
    <row r="721">
      <c r="CQ721" s="15">
        <f t="shared" si="25"/>
        <v>0</v>
      </c>
    </row>
    <row r="722">
      <c r="CQ722" s="15">
        <f t="shared" si="25"/>
        <v>0</v>
      </c>
    </row>
    <row r="723">
      <c r="CQ723" s="15">
        <f t="shared" si="25"/>
        <v>0</v>
      </c>
    </row>
    <row r="724">
      <c r="CQ724" s="15">
        <f t="shared" si="25"/>
        <v>0</v>
      </c>
    </row>
    <row r="725">
      <c r="CQ725" s="15">
        <f t="shared" si="25"/>
        <v>0</v>
      </c>
    </row>
    <row r="726">
      <c r="CQ726" s="15">
        <f t="shared" si="25"/>
        <v>0</v>
      </c>
    </row>
    <row r="727">
      <c r="CQ727" s="15">
        <f t="shared" si="25"/>
        <v>0</v>
      </c>
    </row>
    <row r="728">
      <c r="CQ728" s="15">
        <f t="shared" si="25"/>
        <v>0</v>
      </c>
    </row>
    <row r="729">
      <c r="CQ729" s="15">
        <f t="shared" si="25"/>
        <v>0</v>
      </c>
    </row>
    <row r="730">
      <c r="CQ730" s="15">
        <f t="shared" si="25"/>
        <v>0</v>
      </c>
    </row>
    <row r="731">
      <c r="CQ731" s="15">
        <f t="shared" si="25"/>
        <v>0</v>
      </c>
    </row>
    <row r="732">
      <c r="CQ732" s="15">
        <f t="shared" si="25"/>
        <v>0</v>
      </c>
    </row>
    <row r="733">
      <c r="CQ733" s="15">
        <f t="shared" si="25"/>
        <v>0</v>
      </c>
    </row>
    <row r="734">
      <c r="CQ734" s="15">
        <f t="shared" si="25"/>
        <v>0</v>
      </c>
    </row>
    <row r="735">
      <c r="CQ735" s="15">
        <f t="shared" si="25"/>
        <v>0</v>
      </c>
    </row>
    <row r="736">
      <c r="CQ736" s="15">
        <f t="shared" si="25"/>
        <v>0</v>
      </c>
    </row>
    <row r="737">
      <c r="CQ737" s="15">
        <f t="shared" si="25"/>
        <v>0</v>
      </c>
    </row>
    <row r="738">
      <c r="CQ738" s="15">
        <f t="shared" si="25"/>
        <v>0</v>
      </c>
    </row>
    <row r="739">
      <c r="CQ739" s="15">
        <f t="shared" si="25"/>
        <v>0</v>
      </c>
    </row>
    <row r="740">
      <c r="CQ740" s="15">
        <f t="shared" si="25"/>
        <v>0</v>
      </c>
    </row>
    <row r="741">
      <c r="CQ741" s="15">
        <f t="shared" si="25"/>
        <v>0</v>
      </c>
    </row>
    <row r="742">
      <c r="CQ742" s="15">
        <f t="shared" si="25"/>
        <v>0</v>
      </c>
    </row>
    <row r="743">
      <c r="CQ743" s="15">
        <f t="shared" si="25"/>
        <v>0</v>
      </c>
    </row>
    <row r="744">
      <c r="CQ744" s="15">
        <f t="shared" si="25"/>
        <v>0</v>
      </c>
    </row>
    <row r="745">
      <c r="CQ745" s="15">
        <f t="shared" si="25"/>
        <v>0</v>
      </c>
    </row>
    <row r="746">
      <c r="CQ746" s="15">
        <f t="shared" si="25"/>
        <v>0</v>
      </c>
    </row>
    <row r="747">
      <c r="CQ747" s="15">
        <f t="shared" si="25"/>
        <v>0</v>
      </c>
    </row>
    <row r="748">
      <c r="CQ748" s="15">
        <f t="shared" si="25"/>
        <v>0</v>
      </c>
    </row>
    <row r="749">
      <c r="CQ749" s="15">
        <f t="shared" si="25"/>
        <v>0</v>
      </c>
    </row>
    <row r="750">
      <c r="CQ750" s="15">
        <f t="shared" si="25"/>
        <v>0</v>
      </c>
    </row>
    <row r="751">
      <c r="CQ751" s="15">
        <f t="shared" si="25"/>
        <v>0</v>
      </c>
    </row>
    <row r="752">
      <c r="CQ752" s="15">
        <f t="shared" si="25"/>
        <v>0</v>
      </c>
    </row>
    <row r="753">
      <c r="CQ753" s="15">
        <f t="shared" si="25"/>
        <v>0</v>
      </c>
    </row>
    <row r="754">
      <c r="CQ754" s="15">
        <f t="shared" si="25"/>
        <v>0</v>
      </c>
    </row>
    <row r="755">
      <c r="CQ755" s="15">
        <f t="shared" si="25"/>
        <v>0</v>
      </c>
    </row>
    <row r="756">
      <c r="CQ756" s="15">
        <f t="shared" si="25"/>
        <v>0</v>
      </c>
    </row>
    <row r="757">
      <c r="CQ757" s="15">
        <f t="shared" si="25"/>
        <v>0</v>
      </c>
    </row>
    <row r="758">
      <c r="CQ758" s="15">
        <f t="shared" si="25"/>
        <v>0</v>
      </c>
    </row>
    <row r="759">
      <c r="CQ759" s="15">
        <f t="shared" si="25"/>
        <v>0</v>
      </c>
    </row>
    <row r="760">
      <c r="CQ760" s="15">
        <f t="shared" si="25"/>
        <v>0</v>
      </c>
    </row>
    <row r="761">
      <c r="CQ761" s="15">
        <f t="shared" si="25"/>
        <v>0</v>
      </c>
    </row>
    <row r="762">
      <c r="CQ762" s="15">
        <f t="shared" si="25"/>
        <v>0</v>
      </c>
    </row>
    <row r="763">
      <c r="CQ763" s="15">
        <f t="shared" si="25"/>
        <v>0</v>
      </c>
    </row>
    <row r="764">
      <c r="CQ764" s="15">
        <f t="shared" si="25"/>
        <v>0</v>
      </c>
    </row>
    <row r="765">
      <c r="CQ765" s="15">
        <f t="shared" si="25"/>
        <v>0</v>
      </c>
    </row>
    <row r="766">
      <c r="CQ766" s="15">
        <f t="shared" si="25"/>
        <v>0</v>
      </c>
    </row>
    <row r="767">
      <c r="CQ767" s="15">
        <f t="shared" si="25"/>
        <v>0</v>
      </c>
    </row>
    <row r="768">
      <c r="CQ768" s="15">
        <f t="shared" si="25"/>
        <v>0</v>
      </c>
    </row>
    <row r="769">
      <c r="CQ769" s="15">
        <f t="shared" si="25"/>
        <v>0</v>
      </c>
    </row>
    <row r="770">
      <c r="CQ770" s="15">
        <f t="shared" si="25"/>
        <v>0</v>
      </c>
    </row>
    <row r="771">
      <c r="CQ771" s="15">
        <f t="shared" si="25"/>
        <v>0</v>
      </c>
    </row>
    <row r="772">
      <c r="CQ772" s="15">
        <f t="shared" si="25"/>
        <v>0</v>
      </c>
    </row>
    <row r="773">
      <c r="CQ773" s="15">
        <f t="shared" si="25"/>
        <v>0</v>
      </c>
    </row>
    <row r="774">
      <c r="CQ774" s="15">
        <f t="shared" si="25"/>
        <v>0</v>
      </c>
    </row>
    <row r="775">
      <c r="CQ775" s="15">
        <f t="shared" si="25"/>
        <v>0</v>
      </c>
    </row>
    <row r="776">
      <c r="CQ776" s="15">
        <f t="shared" si="25"/>
        <v>0</v>
      </c>
    </row>
    <row r="777">
      <c r="CQ777" s="15">
        <f t="shared" si="25"/>
        <v>0</v>
      </c>
    </row>
    <row r="778">
      <c r="CQ778" s="15">
        <f t="shared" si="25"/>
        <v>0</v>
      </c>
    </row>
    <row r="779">
      <c r="CQ779" s="15">
        <f t="shared" si="25"/>
        <v>0</v>
      </c>
    </row>
    <row r="780">
      <c r="CQ780" s="15">
        <f t="shared" si="25"/>
        <v>0</v>
      </c>
    </row>
    <row r="781">
      <c r="CQ781" s="15">
        <f t="shared" si="25"/>
        <v>0</v>
      </c>
    </row>
    <row r="782">
      <c r="CQ782" s="15">
        <f t="shared" si="25"/>
        <v>0</v>
      </c>
    </row>
    <row r="783">
      <c r="CQ783" s="15">
        <f t="shared" si="25"/>
        <v>0</v>
      </c>
    </row>
    <row r="784">
      <c r="CQ784" s="15">
        <f t="shared" si="25"/>
        <v>0</v>
      </c>
    </row>
    <row r="785">
      <c r="CQ785" s="15">
        <f t="shared" si="25"/>
        <v>0</v>
      </c>
    </row>
    <row r="786">
      <c r="CQ786" s="15">
        <f t="shared" si="25"/>
        <v>0</v>
      </c>
    </row>
    <row r="787">
      <c r="CQ787" s="15">
        <f t="shared" si="25"/>
        <v>0</v>
      </c>
    </row>
    <row r="788">
      <c r="CQ788" s="15">
        <f t="shared" si="25"/>
        <v>0</v>
      </c>
    </row>
    <row r="789">
      <c r="CQ789" s="15">
        <f t="shared" si="25"/>
        <v>0</v>
      </c>
    </row>
    <row r="790">
      <c r="CQ790" s="15">
        <f t="shared" si="25"/>
        <v>0</v>
      </c>
    </row>
    <row r="791">
      <c r="CQ791" s="15">
        <f t="shared" si="25"/>
        <v>0</v>
      </c>
    </row>
    <row r="792">
      <c r="CQ792" s="15">
        <f t="shared" si="25"/>
        <v>0</v>
      </c>
    </row>
    <row r="793">
      <c r="CQ793" s="15">
        <f t="shared" si="25"/>
        <v>0</v>
      </c>
    </row>
    <row r="794">
      <c r="CQ794" s="15">
        <f t="shared" si="25"/>
        <v>0</v>
      </c>
    </row>
    <row r="795">
      <c r="CQ795" s="15">
        <f t="shared" si="25"/>
        <v>0</v>
      </c>
    </row>
    <row r="796">
      <c r="CQ796" s="15">
        <f t="shared" si="25"/>
        <v>0</v>
      </c>
    </row>
    <row r="797">
      <c r="CQ797" s="15">
        <f t="shared" si="25"/>
        <v>0</v>
      </c>
    </row>
    <row r="798">
      <c r="CQ798" s="15">
        <f t="shared" si="25"/>
        <v>0</v>
      </c>
    </row>
    <row r="799">
      <c r="CQ799" s="15">
        <f t="shared" si="25"/>
        <v>0</v>
      </c>
    </row>
    <row r="800">
      <c r="CQ800" s="15">
        <f t="shared" si="25"/>
        <v>0</v>
      </c>
    </row>
    <row r="801">
      <c r="CQ801" s="15">
        <f t="shared" si="25"/>
        <v>0</v>
      </c>
    </row>
    <row r="802">
      <c r="CQ802" s="15">
        <f t="shared" si="25"/>
        <v>0</v>
      </c>
    </row>
    <row r="803">
      <c r="CQ803" s="15">
        <f t="shared" si="25"/>
        <v>0</v>
      </c>
    </row>
    <row r="804">
      <c r="CQ804" s="15">
        <f t="shared" si="25"/>
        <v>0</v>
      </c>
    </row>
    <row r="805">
      <c r="CQ805" s="15">
        <f t="shared" si="25"/>
        <v>0</v>
      </c>
    </row>
    <row r="806">
      <c r="CQ806" s="15">
        <f t="shared" si="25"/>
        <v>0</v>
      </c>
    </row>
    <row r="807">
      <c r="CQ807" s="15">
        <f t="shared" si="25"/>
        <v>0</v>
      </c>
    </row>
    <row r="808">
      <c r="CQ808" s="15">
        <f t="shared" si="25"/>
        <v>0</v>
      </c>
    </row>
    <row r="809">
      <c r="CQ809" s="15">
        <f t="shared" si="25"/>
        <v>0</v>
      </c>
    </row>
    <row r="810">
      <c r="CQ810" s="15">
        <f t="shared" si="25"/>
        <v>0</v>
      </c>
    </row>
    <row r="811">
      <c r="CQ811" s="15">
        <f t="shared" si="25"/>
        <v>0</v>
      </c>
    </row>
    <row r="812">
      <c r="CQ812" s="15">
        <f t="shared" si="25"/>
        <v>0</v>
      </c>
    </row>
    <row r="813">
      <c r="CQ813" s="15">
        <f t="shared" si="25"/>
        <v>0</v>
      </c>
    </row>
    <row r="814">
      <c r="CQ814" s="15">
        <f t="shared" si="25"/>
        <v>0</v>
      </c>
    </row>
    <row r="815">
      <c r="CQ815" s="15">
        <f t="shared" si="25"/>
        <v>0</v>
      </c>
    </row>
    <row r="816">
      <c r="CQ816" s="15">
        <f t="shared" si="25"/>
        <v>0</v>
      </c>
    </row>
    <row r="817">
      <c r="CQ817" s="15">
        <f t="shared" si="25"/>
        <v>0</v>
      </c>
    </row>
    <row r="818">
      <c r="CQ818" s="15">
        <f t="shared" si="25"/>
        <v>0</v>
      </c>
    </row>
    <row r="819">
      <c r="CQ819" s="15">
        <f t="shared" si="25"/>
        <v>0</v>
      </c>
    </row>
    <row r="820">
      <c r="CQ820" s="15">
        <f t="shared" si="25"/>
        <v>0</v>
      </c>
    </row>
    <row r="821">
      <c r="CQ821" s="15">
        <f t="shared" si="25"/>
        <v>0</v>
      </c>
    </row>
    <row r="822">
      <c r="CQ822" s="15">
        <f t="shared" si="25"/>
        <v>0</v>
      </c>
    </row>
    <row r="823">
      <c r="CQ823" s="15">
        <f t="shared" si="25"/>
        <v>0</v>
      </c>
    </row>
    <row r="824">
      <c r="CQ824" s="15">
        <f t="shared" si="25"/>
        <v>0</v>
      </c>
    </row>
    <row r="825">
      <c r="CQ825" s="15">
        <f t="shared" si="25"/>
        <v>0</v>
      </c>
    </row>
    <row r="826">
      <c r="CQ826" s="15">
        <f t="shared" si="25"/>
        <v>0</v>
      </c>
    </row>
    <row r="827">
      <c r="CQ827" s="15">
        <f t="shared" si="25"/>
        <v>0</v>
      </c>
    </row>
    <row r="828">
      <c r="CQ828" s="15">
        <f t="shared" si="25"/>
        <v>0</v>
      </c>
    </row>
    <row r="829">
      <c r="CQ829" s="15">
        <f t="shared" si="25"/>
        <v>0</v>
      </c>
    </row>
    <row r="830">
      <c r="CQ830" s="15">
        <f t="shared" si="25"/>
        <v>0</v>
      </c>
    </row>
    <row r="831">
      <c r="CQ831" s="15">
        <f t="shared" si="25"/>
        <v>0</v>
      </c>
    </row>
    <row r="832">
      <c r="CQ832" s="15">
        <f t="shared" si="25"/>
        <v>0</v>
      </c>
    </row>
    <row r="833">
      <c r="CQ833" s="15">
        <f t="shared" si="25"/>
        <v>0</v>
      </c>
    </row>
    <row r="834">
      <c r="CQ834" s="15">
        <f t="shared" si="25"/>
        <v>0</v>
      </c>
    </row>
    <row r="835">
      <c r="CQ835" s="15">
        <f t="shared" si="25"/>
        <v>0</v>
      </c>
    </row>
    <row r="836">
      <c r="CQ836" s="15">
        <f t="shared" si="25"/>
        <v>0</v>
      </c>
    </row>
    <row r="837">
      <c r="CQ837" s="15">
        <f t="shared" si="25"/>
        <v>0</v>
      </c>
    </row>
    <row r="838">
      <c r="CQ838" s="15">
        <f t="shared" si="25"/>
        <v>0</v>
      </c>
    </row>
    <row r="839">
      <c r="CQ839" s="15">
        <f t="shared" si="25"/>
        <v>0</v>
      </c>
    </row>
    <row r="840">
      <c r="CQ840" s="15">
        <f t="shared" si="25"/>
        <v>0</v>
      </c>
    </row>
    <row r="841">
      <c r="CQ841" s="15">
        <f t="shared" si="25"/>
        <v>0</v>
      </c>
    </row>
    <row r="842">
      <c r="CQ842" s="15">
        <f t="shared" si="25"/>
        <v>0</v>
      </c>
    </row>
    <row r="843">
      <c r="CQ843" s="15">
        <f t="shared" si="25"/>
        <v>0</v>
      </c>
    </row>
    <row r="844">
      <c r="CQ844" s="15">
        <f t="shared" si="25"/>
        <v>0</v>
      </c>
    </row>
    <row r="845">
      <c r="CQ845" s="15">
        <f t="shared" si="25"/>
        <v>0</v>
      </c>
    </row>
    <row r="846">
      <c r="CQ846" s="15">
        <f t="shared" si="25"/>
        <v>0</v>
      </c>
    </row>
    <row r="847">
      <c r="CQ847" s="15">
        <f t="shared" si="25"/>
        <v>0</v>
      </c>
    </row>
    <row r="848">
      <c r="CQ848" s="15">
        <f t="shared" si="25"/>
        <v>0</v>
      </c>
    </row>
    <row r="849">
      <c r="CQ849" s="15">
        <f t="shared" si="25"/>
        <v>0</v>
      </c>
    </row>
    <row r="850">
      <c r="CQ850" s="15">
        <f t="shared" si="25"/>
        <v>0</v>
      </c>
    </row>
    <row r="851">
      <c r="CQ851" s="15">
        <f t="shared" si="25"/>
        <v>0</v>
      </c>
    </row>
    <row r="852">
      <c r="CQ852" s="15">
        <f t="shared" si="25"/>
        <v>0</v>
      </c>
    </row>
    <row r="853">
      <c r="CQ853" s="15">
        <f t="shared" si="25"/>
        <v>0</v>
      </c>
    </row>
    <row r="854">
      <c r="CQ854" s="15">
        <f t="shared" si="25"/>
        <v>0</v>
      </c>
    </row>
    <row r="855">
      <c r="CQ855" s="15">
        <f t="shared" si="25"/>
        <v>0</v>
      </c>
    </row>
    <row r="856">
      <c r="CQ856" s="15">
        <f t="shared" si="25"/>
        <v>0</v>
      </c>
    </row>
    <row r="857">
      <c r="CQ857" s="15">
        <f t="shared" si="25"/>
        <v>0</v>
      </c>
    </row>
    <row r="858">
      <c r="CQ858" s="15">
        <f t="shared" si="25"/>
        <v>0</v>
      </c>
    </row>
    <row r="859">
      <c r="CQ859" s="15">
        <f t="shared" si="25"/>
        <v>0</v>
      </c>
    </row>
    <row r="860">
      <c r="CQ860" s="15">
        <f t="shared" si="25"/>
        <v>0</v>
      </c>
    </row>
    <row r="861">
      <c r="CQ861" s="15">
        <f t="shared" si="25"/>
        <v>0</v>
      </c>
    </row>
    <row r="862">
      <c r="CQ862" s="15">
        <f t="shared" si="25"/>
        <v>0</v>
      </c>
    </row>
    <row r="863">
      <c r="CQ863" s="15">
        <f t="shared" si="25"/>
        <v>0</v>
      </c>
    </row>
    <row r="864">
      <c r="CQ864" s="15">
        <f t="shared" si="25"/>
        <v>0</v>
      </c>
    </row>
    <row r="865">
      <c r="CQ865" s="15">
        <f t="shared" si="25"/>
        <v>0</v>
      </c>
    </row>
    <row r="866">
      <c r="CQ866" s="15">
        <f t="shared" si="25"/>
        <v>0</v>
      </c>
    </row>
    <row r="867">
      <c r="CQ867" s="15">
        <f t="shared" si="25"/>
        <v>0</v>
      </c>
    </row>
    <row r="868">
      <c r="CQ868" s="15">
        <f t="shared" si="25"/>
        <v>0</v>
      </c>
    </row>
    <row r="869">
      <c r="CQ869" s="15">
        <f t="shared" si="25"/>
        <v>0</v>
      </c>
    </row>
    <row r="870">
      <c r="CQ870" s="15">
        <f t="shared" si="25"/>
        <v>0</v>
      </c>
    </row>
    <row r="871">
      <c r="CQ871" s="15">
        <f t="shared" si="25"/>
        <v>0</v>
      </c>
    </row>
    <row r="872">
      <c r="CQ872" s="15">
        <f t="shared" si="25"/>
        <v>0</v>
      </c>
    </row>
    <row r="873">
      <c r="CQ873" s="15">
        <f t="shared" si="25"/>
        <v>0</v>
      </c>
    </row>
    <row r="874">
      <c r="CQ874" s="15">
        <f t="shared" si="25"/>
        <v>0</v>
      </c>
    </row>
    <row r="875">
      <c r="CQ875" s="15">
        <f t="shared" si="25"/>
        <v>0</v>
      </c>
    </row>
    <row r="876">
      <c r="CQ876" s="15">
        <f t="shared" si="25"/>
        <v>0</v>
      </c>
    </row>
    <row r="877">
      <c r="CQ877" s="15">
        <f t="shared" si="25"/>
        <v>0</v>
      </c>
    </row>
    <row r="878">
      <c r="CQ878" s="15">
        <f t="shared" si="25"/>
        <v>0</v>
      </c>
    </row>
    <row r="879">
      <c r="CQ879" s="15">
        <f t="shared" si="25"/>
        <v>0</v>
      </c>
    </row>
    <row r="880">
      <c r="CQ880" s="15">
        <f t="shared" si="25"/>
        <v>0</v>
      </c>
    </row>
    <row r="881">
      <c r="CQ881" s="15">
        <f t="shared" si="25"/>
        <v>0</v>
      </c>
    </row>
    <row r="882">
      <c r="CQ882" s="15">
        <f t="shared" si="25"/>
        <v>0</v>
      </c>
    </row>
    <row r="883">
      <c r="CQ883" s="15">
        <f t="shared" si="25"/>
        <v>0</v>
      </c>
    </row>
    <row r="884">
      <c r="CQ884" s="15">
        <f t="shared" si="25"/>
        <v>0</v>
      </c>
    </row>
    <row r="885">
      <c r="CQ885" s="15">
        <f t="shared" si="25"/>
        <v>0</v>
      </c>
    </row>
    <row r="886">
      <c r="CQ886" s="15">
        <f t="shared" si="25"/>
        <v>0</v>
      </c>
    </row>
    <row r="887">
      <c r="CQ887" s="15">
        <f t="shared" si="25"/>
        <v>0</v>
      </c>
    </row>
    <row r="888">
      <c r="CQ888" s="15">
        <f t="shared" si="25"/>
        <v>0</v>
      </c>
    </row>
    <row r="889">
      <c r="CQ889" s="15">
        <f t="shared" si="25"/>
        <v>0</v>
      </c>
    </row>
    <row r="890">
      <c r="CQ890" s="15">
        <f t="shared" si="25"/>
        <v>0</v>
      </c>
    </row>
    <row r="891">
      <c r="CQ891" s="15">
        <f t="shared" si="25"/>
        <v>0</v>
      </c>
    </row>
    <row r="892">
      <c r="CQ892" s="15">
        <f t="shared" si="25"/>
        <v>0</v>
      </c>
    </row>
    <row r="893">
      <c r="CQ893" s="15">
        <f t="shared" si="25"/>
        <v>0</v>
      </c>
    </row>
    <row r="894">
      <c r="CQ894" s="15">
        <f t="shared" si="25"/>
        <v>0</v>
      </c>
    </row>
    <row r="895">
      <c r="CQ895" s="15">
        <f t="shared" si="25"/>
        <v>0</v>
      </c>
    </row>
    <row r="896">
      <c r="CQ896" s="15">
        <f t="shared" si="25"/>
        <v>0</v>
      </c>
    </row>
    <row r="897">
      <c r="CQ897" s="15">
        <f t="shared" si="25"/>
        <v>0</v>
      </c>
    </row>
    <row r="898">
      <c r="CQ898" s="15">
        <f t="shared" si="25"/>
        <v>0</v>
      </c>
    </row>
    <row r="899">
      <c r="CQ899" s="15">
        <f t="shared" si="25"/>
        <v>0</v>
      </c>
    </row>
    <row r="900">
      <c r="CQ900" s="15">
        <f t="shared" si="25"/>
        <v>0</v>
      </c>
    </row>
    <row r="901">
      <c r="CQ901" s="15">
        <f t="shared" si="25"/>
        <v>0</v>
      </c>
    </row>
    <row r="902">
      <c r="CQ902" s="15">
        <f t="shared" si="25"/>
        <v>0</v>
      </c>
    </row>
    <row r="903">
      <c r="CQ903" s="15">
        <f t="shared" si="25"/>
        <v>0</v>
      </c>
    </row>
    <row r="904">
      <c r="CQ904" s="15">
        <f t="shared" si="25"/>
        <v>0</v>
      </c>
    </row>
    <row r="905">
      <c r="CQ905" s="15">
        <f t="shared" si="25"/>
        <v>0</v>
      </c>
    </row>
    <row r="906">
      <c r="CQ906" s="15">
        <f t="shared" si="25"/>
        <v>0</v>
      </c>
    </row>
    <row r="907">
      <c r="CQ907" s="15">
        <f t="shared" si="25"/>
        <v>0</v>
      </c>
    </row>
    <row r="908">
      <c r="CQ908" s="15">
        <f t="shared" si="25"/>
        <v>0</v>
      </c>
    </row>
    <row r="909">
      <c r="CQ909" s="15">
        <f t="shared" si="25"/>
        <v>0</v>
      </c>
    </row>
    <row r="910">
      <c r="CQ910" s="15">
        <f t="shared" si="25"/>
        <v>0</v>
      </c>
    </row>
    <row r="911">
      <c r="CQ911" s="15">
        <f t="shared" si="25"/>
        <v>0</v>
      </c>
    </row>
    <row r="912">
      <c r="CQ912" s="15">
        <f t="shared" si="25"/>
        <v>0</v>
      </c>
    </row>
    <row r="913">
      <c r="CQ913" s="15">
        <f t="shared" si="25"/>
        <v>0</v>
      </c>
    </row>
    <row r="914">
      <c r="CQ914" s="15">
        <f t="shared" si="25"/>
        <v>0</v>
      </c>
    </row>
    <row r="915">
      <c r="CQ915" s="15">
        <f t="shared" si="25"/>
        <v>0</v>
      </c>
    </row>
    <row r="916">
      <c r="CQ916" s="15">
        <f t="shared" si="25"/>
        <v>0</v>
      </c>
    </row>
    <row r="917">
      <c r="CQ917" s="15">
        <f t="shared" si="25"/>
        <v>0</v>
      </c>
    </row>
    <row r="918">
      <c r="CQ918" s="15">
        <f t="shared" si="25"/>
        <v>0</v>
      </c>
    </row>
    <row r="919">
      <c r="CQ919" s="15">
        <f t="shared" si="25"/>
        <v>0</v>
      </c>
    </row>
    <row r="920">
      <c r="CQ920" s="15">
        <f t="shared" si="25"/>
        <v>0</v>
      </c>
    </row>
  </sheetData>
  <autoFilter ref="$A$1:$CQ$5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3" max="3" width="12.63"/>
    <col customWidth="1" min="4" max="4" width="7.63"/>
    <col customWidth="1" min="5" max="5" width="13.0"/>
    <col customWidth="1" min="9" max="9" width="13.38"/>
  </cols>
  <sheetData>
    <row r="1">
      <c r="A1" s="1" t="s">
        <v>2</v>
      </c>
      <c r="B1" s="1"/>
      <c r="C1" s="2"/>
      <c r="D1" s="2"/>
      <c r="AZ1" s="1"/>
      <c r="BG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2" t="s">
        <v>39</v>
      </c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49</v>
      </c>
      <c r="CS1" s="1"/>
      <c r="CT1" s="1"/>
      <c r="CU1" s="10"/>
      <c r="CV1" s="10" t="s">
        <v>53</v>
      </c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</row>
    <row r="2">
      <c r="A2" s="1" t="s">
        <v>0</v>
      </c>
      <c r="B2" s="1" t="s">
        <v>4</v>
      </c>
      <c r="C2" s="1" t="s">
        <v>55</v>
      </c>
      <c r="D2" s="1" t="s">
        <v>56</v>
      </c>
      <c r="E2" s="1" t="s">
        <v>59</v>
      </c>
      <c r="F2" s="13" t="s">
        <v>61</v>
      </c>
      <c r="G2" s="13" t="s">
        <v>63</v>
      </c>
      <c r="H2" s="13" t="s">
        <v>106</v>
      </c>
      <c r="I2" s="13" t="s">
        <v>66</v>
      </c>
      <c r="J2" s="13" t="s">
        <v>114</v>
      </c>
      <c r="K2" s="2" t="s">
        <v>72</v>
      </c>
      <c r="L2" s="13" t="s">
        <v>62</v>
      </c>
      <c r="M2" s="12" t="s">
        <v>123</v>
      </c>
      <c r="N2" s="13" t="s">
        <v>78</v>
      </c>
      <c r="O2" s="13" t="s">
        <v>82</v>
      </c>
      <c r="P2" s="13" t="s">
        <v>131</v>
      </c>
      <c r="Q2" s="13" t="s">
        <v>81</v>
      </c>
      <c r="R2" s="13" t="s">
        <v>83</v>
      </c>
      <c r="S2" s="13" t="s">
        <v>84</v>
      </c>
      <c r="T2" s="2" t="s">
        <v>85</v>
      </c>
      <c r="U2" s="13" t="s">
        <v>88</v>
      </c>
      <c r="V2" s="13" t="s">
        <v>147</v>
      </c>
      <c r="W2" s="13" t="s">
        <v>91</v>
      </c>
      <c r="X2" s="13" t="s">
        <v>153</v>
      </c>
      <c r="Y2" s="13" t="s">
        <v>157</v>
      </c>
      <c r="Z2" s="13" t="s">
        <v>94</v>
      </c>
      <c r="AA2" s="13" t="s">
        <v>96</v>
      </c>
      <c r="AB2" s="13" t="s">
        <v>98</v>
      </c>
      <c r="AC2" s="13" t="s">
        <v>100</v>
      </c>
      <c r="AD2" s="13" t="s">
        <v>101</v>
      </c>
      <c r="AE2" s="13" t="s">
        <v>181</v>
      </c>
      <c r="AF2" s="13" t="s">
        <v>103</v>
      </c>
      <c r="AG2" s="13" t="s">
        <v>104</v>
      </c>
      <c r="AH2" s="13" t="s">
        <v>188</v>
      </c>
      <c r="AI2" s="13" t="s">
        <v>105</v>
      </c>
      <c r="AJ2" s="13" t="s">
        <v>108</v>
      </c>
      <c r="AK2" s="13" t="s">
        <v>111</v>
      </c>
      <c r="AL2" s="13" t="s">
        <v>116</v>
      </c>
      <c r="AM2" s="13" t="s">
        <v>202</v>
      </c>
      <c r="AN2" s="13" t="s">
        <v>119</v>
      </c>
      <c r="AO2" s="13" t="s">
        <v>205</v>
      </c>
      <c r="AP2" s="13" t="s">
        <v>208</v>
      </c>
      <c r="AQ2" s="13" t="s">
        <v>209</v>
      </c>
      <c r="AR2" s="13" t="s">
        <v>210</v>
      </c>
      <c r="AS2" s="13" t="s">
        <v>130</v>
      </c>
      <c r="AT2" s="13" t="s">
        <v>127</v>
      </c>
      <c r="AU2" s="13" t="s">
        <v>133</v>
      </c>
      <c r="AV2" s="13" t="s">
        <v>211</v>
      </c>
      <c r="AW2" s="13" t="s">
        <v>135</v>
      </c>
      <c r="AX2" s="13" t="s">
        <v>136</v>
      </c>
      <c r="AY2" s="13" t="s">
        <v>137</v>
      </c>
      <c r="AZ2" s="13" t="s">
        <v>139</v>
      </c>
      <c r="BA2" s="13" t="s">
        <v>212</v>
      </c>
      <c r="BB2" s="13" t="s">
        <v>142</v>
      </c>
      <c r="BC2" s="13" t="s">
        <v>213</v>
      </c>
      <c r="BD2" s="13" t="s">
        <v>214</v>
      </c>
      <c r="BE2" s="13" t="s">
        <v>216</v>
      </c>
      <c r="BF2" s="13" t="s">
        <v>217</v>
      </c>
      <c r="BG2" s="13" t="s">
        <v>218</v>
      </c>
      <c r="BH2" s="13" t="s">
        <v>219</v>
      </c>
      <c r="BI2" s="13" t="s">
        <v>176</v>
      </c>
      <c r="BJ2" s="13" t="s">
        <v>220</v>
      </c>
      <c r="BK2" s="13" t="s">
        <v>221</v>
      </c>
      <c r="BL2" s="13" t="s">
        <v>222</v>
      </c>
      <c r="BM2" s="13" t="s">
        <v>154</v>
      </c>
      <c r="BN2" s="13" t="s">
        <v>155</v>
      </c>
      <c r="BO2" s="13" t="s">
        <v>156</v>
      </c>
      <c r="BP2" s="13" t="s">
        <v>158</v>
      </c>
      <c r="BQ2" s="13" t="s">
        <v>223</v>
      </c>
      <c r="BR2" s="13" t="s">
        <v>160</v>
      </c>
      <c r="BS2" s="13" t="s">
        <v>161</v>
      </c>
      <c r="BT2" s="13" t="s">
        <v>163</v>
      </c>
      <c r="BU2" s="13" t="s">
        <v>224</v>
      </c>
      <c r="BV2" s="13" t="s">
        <v>162</v>
      </c>
      <c r="BW2" s="13"/>
      <c r="BX2" s="13" t="s">
        <v>164</v>
      </c>
      <c r="BY2" s="13" t="s">
        <v>225</v>
      </c>
      <c r="BZ2" s="13" t="s">
        <v>172</v>
      </c>
      <c r="CA2" s="13" t="s">
        <v>173</v>
      </c>
      <c r="CB2" s="13" t="s">
        <v>226</v>
      </c>
      <c r="CC2" s="13" t="s">
        <v>175</v>
      </c>
      <c r="CD2" s="13" t="s">
        <v>177</v>
      </c>
      <c r="CE2" s="13" t="s">
        <v>197</v>
      </c>
      <c r="CF2" s="13" t="s">
        <v>178</v>
      </c>
      <c r="CG2" s="13" t="s">
        <v>179</v>
      </c>
      <c r="CH2" s="12" t="s">
        <v>227</v>
      </c>
      <c r="CI2" s="13" t="s">
        <v>180</v>
      </c>
      <c r="CJ2" s="13" t="s">
        <v>182</v>
      </c>
      <c r="CK2" s="13" t="s">
        <v>206</v>
      </c>
      <c r="CL2" s="13" t="s">
        <v>228</v>
      </c>
      <c r="CM2" s="13" t="s">
        <v>184</v>
      </c>
      <c r="CN2" s="13" t="s">
        <v>229</v>
      </c>
      <c r="CO2" s="13" t="s">
        <v>186</v>
      </c>
      <c r="CP2" s="13" t="s">
        <v>189</v>
      </c>
      <c r="CQ2" s="13" t="s">
        <v>230</v>
      </c>
      <c r="CR2" s="13" t="s">
        <v>187</v>
      </c>
      <c r="CS2" s="16" t="s">
        <v>194</v>
      </c>
      <c r="CT2" s="16" t="s">
        <v>231</v>
      </c>
      <c r="CU2" s="17" t="s">
        <v>232</v>
      </c>
      <c r="CV2" s="17" t="s">
        <v>198</v>
      </c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</row>
    <row r="3">
      <c r="A3" s="18">
        <v>45305.0</v>
      </c>
      <c r="B3" s="2" t="s">
        <v>207</v>
      </c>
      <c r="C3" s="2" t="s">
        <v>190</v>
      </c>
      <c r="D3" s="2">
        <v>2.0</v>
      </c>
      <c r="E3" s="2">
        <v>0.0</v>
      </c>
      <c r="F3" s="19"/>
      <c r="G3" s="19"/>
      <c r="H3" s="19"/>
      <c r="I3" s="19"/>
      <c r="J3" s="19"/>
      <c r="K3" s="20"/>
      <c r="L3" s="20"/>
      <c r="M3" s="20"/>
      <c r="N3" s="20"/>
      <c r="O3" s="19"/>
      <c r="P3" s="20"/>
      <c r="Q3" s="20"/>
      <c r="R3" s="20"/>
      <c r="S3" s="20">
        <v>0.08</v>
      </c>
      <c r="T3" s="19"/>
      <c r="U3" s="19"/>
      <c r="V3" s="19"/>
      <c r="W3" s="19"/>
      <c r="X3" s="19"/>
      <c r="Y3" s="19"/>
      <c r="Z3" s="20"/>
      <c r="AA3" s="20"/>
      <c r="AB3" s="20"/>
      <c r="AC3" s="20"/>
      <c r="AD3" s="20"/>
      <c r="AE3" s="20"/>
      <c r="AF3" s="20"/>
      <c r="AG3" s="20"/>
      <c r="AH3" s="19"/>
      <c r="AI3" s="19"/>
      <c r="AJ3" s="20"/>
      <c r="AK3" s="20"/>
      <c r="AL3" s="20"/>
      <c r="AM3" s="20"/>
      <c r="AN3" s="20"/>
      <c r="AO3" s="20"/>
      <c r="AP3" s="20"/>
      <c r="AQ3" s="20"/>
      <c r="AR3" s="20"/>
      <c r="AS3" s="20">
        <v>0.2</v>
      </c>
      <c r="AT3" s="20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  <c r="BG3" s="19"/>
      <c r="BH3" s="20">
        <v>0.4</v>
      </c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20"/>
      <c r="BU3" s="19"/>
      <c r="BV3" s="19"/>
      <c r="BW3" s="19"/>
      <c r="BX3" s="19"/>
      <c r="BY3" s="19"/>
      <c r="BZ3" s="19"/>
      <c r="CA3" s="19"/>
      <c r="CB3" s="20"/>
      <c r="CC3" s="19"/>
      <c r="CD3" s="19"/>
      <c r="CE3" s="19"/>
      <c r="CF3" s="19"/>
      <c r="CG3" s="19"/>
      <c r="CH3" s="19"/>
      <c r="CI3" s="19"/>
      <c r="CJ3" s="19"/>
      <c r="CK3" s="20"/>
      <c r="CL3" s="20"/>
      <c r="CM3" s="20"/>
      <c r="CN3" s="19"/>
      <c r="CO3" s="20"/>
      <c r="CP3" s="20">
        <v>0.32</v>
      </c>
      <c r="CQ3" s="19"/>
      <c r="CR3" s="19"/>
      <c r="CS3" s="19"/>
      <c r="CT3" s="19"/>
      <c r="CU3" s="19"/>
      <c r="CV3" s="19">
        <f t="shared" ref="CV3:CV740" si="1">SUM(F3:CU3)</f>
        <v>1</v>
      </c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</row>
    <row r="4">
      <c r="A4" s="18">
        <v>45305.0</v>
      </c>
      <c r="B4" s="2" t="s">
        <v>207</v>
      </c>
      <c r="C4" s="2" t="s">
        <v>190</v>
      </c>
      <c r="D4" s="2">
        <v>2.0</v>
      </c>
      <c r="E4" s="2">
        <v>2.0</v>
      </c>
      <c r="F4" s="19"/>
      <c r="G4" s="19"/>
      <c r="H4" s="19"/>
      <c r="I4" s="19"/>
      <c r="J4" s="19"/>
      <c r="K4" s="20"/>
      <c r="L4" s="20"/>
      <c r="M4" s="20"/>
      <c r="N4" s="20"/>
      <c r="O4" s="19"/>
      <c r="P4" s="20"/>
      <c r="Q4" s="20"/>
      <c r="R4" s="20"/>
      <c r="S4" s="20">
        <v>0.04</v>
      </c>
      <c r="T4" s="20"/>
      <c r="U4" s="20"/>
      <c r="V4" s="20"/>
      <c r="W4" s="20">
        <v>0.16</v>
      </c>
      <c r="X4" s="20"/>
      <c r="Y4" s="19"/>
      <c r="Z4" s="20"/>
      <c r="AA4" s="20"/>
      <c r="AB4" s="20"/>
      <c r="AC4" s="20"/>
      <c r="AD4" s="20"/>
      <c r="AE4" s="20"/>
      <c r="AF4" s="20"/>
      <c r="AG4" s="20"/>
      <c r="AH4" s="19"/>
      <c r="AI4" s="19"/>
      <c r="AJ4" s="20"/>
      <c r="AK4" s="20"/>
      <c r="AL4" s="20">
        <v>0.04</v>
      </c>
      <c r="AM4" s="20"/>
      <c r="AN4" s="20"/>
      <c r="AO4" s="20"/>
      <c r="AP4" s="20">
        <v>0.16</v>
      </c>
      <c r="AQ4" s="20"/>
      <c r="AR4" s="20"/>
      <c r="AS4" s="20"/>
      <c r="AT4" s="20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0"/>
      <c r="BG4" s="19"/>
      <c r="BH4" s="20">
        <v>0.4</v>
      </c>
      <c r="BI4" s="20"/>
      <c r="BJ4" s="20"/>
      <c r="BK4" s="20"/>
      <c r="BL4" s="20"/>
      <c r="BM4" s="20">
        <v>0.12</v>
      </c>
      <c r="BN4" s="19"/>
      <c r="BO4" s="19"/>
      <c r="BP4" s="19"/>
      <c r="BQ4" s="19"/>
      <c r="BR4" s="19"/>
      <c r="BS4" s="19"/>
      <c r="BT4" s="20">
        <v>0.08</v>
      </c>
      <c r="BU4" s="19"/>
      <c r="BV4" s="19"/>
      <c r="BW4" s="19"/>
      <c r="BX4" s="19"/>
      <c r="BY4" s="19"/>
      <c r="BZ4" s="19"/>
      <c r="CA4" s="19"/>
      <c r="CB4" s="20">
        <v>0.01</v>
      </c>
      <c r="CC4" s="19"/>
      <c r="CD4" s="19"/>
      <c r="CE4" s="19"/>
      <c r="CF4" s="19"/>
      <c r="CG4" s="19"/>
      <c r="CH4" s="19"/>
      <c r="CI4" s="19"/>
      <c r="CJ4" s="19"/>
      <c r="CK4" s="20"/>
      <c r="CL4" s="20"/>
      <c r="CM4" s="20"/>
      <c r="CN4" s="19"/>
      <c r="CO4" s="19"/>
      <c r="CP4" s="19"/>
      <c r="CQ4" s="19"/>
      <c r="CR4" s="19"/>
      <c r="CS4" s="19"/>
      <c r="CT4" s="19"/>
      <c r="CU4" s="19"/>
      <c r="CV4" s="19">
        <f t="shared" si="1"/>
        <v>1.01</v>
      </c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>
      <c r="A5" s="18">
        <v>45305.0</v>
      </c>
      <c r="B5" s="2" t="s">
        <v>207</v>
      </c>
      <c r="C5" s="2" t="s">
        <v>190</v>
      </c>
      <c r="D5" s="2">
        <v>2.0</v>
      </c>
      <c r="E5" s="2">
        <v>4.0</v>
      </c>
      <c r="F5" s="19"/>
      <c r="G5" s="19"/>
      <c r="H5" s="19"/>
      <c r="I5" s="19"/>
      <c r="J5" s="19"/>
      <c r="K5" s="20"/>
      <c r="L5" s="20"/>
      <c r="M5" s="20"/>
      <c r="N5" s="20">
        <v>0.4</v>
      </c>
      <c r="O5" s="19"/>
      <c r="P5" s="20"/>
      <c r="Q5" s="20"/>
      <c r="R5" s="20"/>
      <c r="S5" s="20"/>
      <c r="T5" s="20"/>
      <c r="U5" s="20"/>
      <c r="V5" s="20"/>
      <c r="W5" s="20">
        <v>0.08</v>
      </c>
      <c r="X5" s="20"/>
      <c r="Y5" s="19"/>
      <c r="Z5" s="20"/>
      <c r="AA5" s="20"/>
      <c r="AB5" s="20"/>
      <c r="AC5" s="20"/>
      <c r="AD5" s="20"/>
      <c r="AE5" s="20"/>
      <c r="AF5" s="20"/>
      <c r="AG5" s="20"/>
      <c r="AH5" s="19"/>
      <c r="AI5" s="19"/>
      <c r="AJ5" s="20"/>
      <c r="AK5" s="20"/>
      <c r="AL5" s="20"/>
      <c r="AM5" s="20"/>
      <c r="AN5" s="20"/>
      <c r="AO5" s="20"/>
      <c r="AP5" s="20"/>
      <c r="AQ5" s="20"/>
      <c r="AR5" s="20"/>
      <c r="AS5" s="20">
        <v>0.12</v>
      </c>
      <c r="AT5" s="20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0"/>
      <c r="BG5" s="19"/>
      <c r="BH5" s="20">
        <v>0.16</v>
      </c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20">
        <v>0.24</v>
      </c>
      <c r="BU5" s="19"/>
      <c r="BV5" s="19"/>
      <c r="BW5" s="19"/>
      <c r="BX5" s="19"/>
      <c r="BY5" s="19"/>
      <c r="BZ5" s="19"/>
      <c r="CA5" s="19"/>
      <c r="CB5" s="20"/>
      <c r="CC5" s="19"/>
      <c r="CD5" s="19"/>
      <c r="CE5" s="19"/>
      <c r="CF5" s="19"/>
      <c r="CG5" s="19"/>
      <c r="CH5" s="19"/>
      <c r="CI5" s="19"/>
      <c r="CJ5" s="19"/>
      <c r="CK5" s="20"/>
      <c r="CL5" s="20"/>
      <c r="CM5" s="20"/>
      <c r="CN5" s="19"/>
      <c r="CO5" s="19"/>
      <c r="CP5" s="19"/>
      <c r="CQ5" s="19"/>
      <c r="CR5" s="19"/>
      <c r="CS5" s="19"/>
      <c r="CT5" s="19"/>
      <c r="CU5" s="19"/>
      <c r="CV5" s="19">
        <f t="shared" si="1"/>
        <v>1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>
      <c r="A6" s="18">
        <v>45305.0</v>
      </c>
      <c r="B6" s="2" t="s">
        <v>207</v>
      </c>
      <c r="C6" s="2" t="s">
        <v>190</v>
      </c>
      <c r="D6" s="2">
        <v>2.0</v>
      </c>
      <c r="E6" s="2">
        <v>6.0</v>
      </c>
      <c r="F6" s="19"/>
      <c r="G6" s="19"/>
      <c r="H6" s="19"/>
      <c r="I6" s="19"/>
      <c r="J6" s="19"/>
      <c r="K6" s="20"/>
      <c r="L6" s="20"/>
      <c r="M6" s="20"/>
      <c r="N6" s="20">
        <v>0.16</v>
      </c>
      <c r="O6" s="19"/>
      <c r="P6" s="20"/>
      <c r="Q6" s="20"/>
      <c r="R6" s="20"/>
      <c r="S6" s="20"/>
      <c r="T6" s="19"/>
      <c r="U6" s="19"/>
      <c r="V6" s="19"/>
      <c r="W6" s="19"/>
      <c r="X6" s="19"/>
      <c r="Y6" s="19"/>
      <c r="Z6" s="20"/>
      <c r="AA6" s="20"/>
      <c r="AB6" s="20"/>
      <c r="AC6" s="20"/>
      <c r="AD6" s="20"/>
      <c r="AE6" s="20"/>
      <c r="AF6" s="20"/>
      <c r="AG6" s="20"/>
      <c r="AH6" s="20">
        <v>0.08</v>
      </c>
      <c r="AI6" s="19"/>
      <c r="AJ6" s="20"/>
      <c r="AK6" s="20"/>
      <c r="AL6" s="20"/>
      <c r="AM6" s="20"/>
      <c r="AN6" s="20"/>
      <c r="AO6" s="20"/>
      <c r="AP6" s="20">
        <v>0.08</v>
      </c>
      <c r="AQ6" s="20"/>
      <c r="AR6" s="20"/>
      <c r="AS6" s="20"/>
      <c r="AT6" s="20"/>
      <c r="AU6" s="19"/>
      <c r="AV6" s="20">
        <v>0.16</v>
      </c>
      <c r="AW6" s="19"/>
      <c r="AX6" s="19"/>
      <c r="AY6" s="19"/>
      <c r="AZ6" s="19"/>
      <c r="BA6" s="19"/>
      <c r="BB6" s="19"/>
      <c r="BC6" s="19"/>
      <c r="BD6" s="19"/>
      <c r="BE6" s="19"/>
      <c r="BF6" s="20"/>
      <c r="BG6" s="19"/>
      <c r="BH6" s="20">
        <v>0.4</v>
      </c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20">
        <v>0.04</v>
      </c>
      <c r="BU6" s="19"/>
      <c r="BV6" s="19"/>
      <c r="BW6" s="19"/>
      <c r="BX6" s="19"/>
      <c r="BY6" s="19"/>
      <c r="BZ6" s="19"/>
      <c r="CA6" s="19"/>
      <c r="CB6" s="20"/>
      <c r="CC6" s="19"/>
      <c r="CD6" s="19"/>
      <c r="CE6" s="19"/>
      <c r="CF6" s="19"/>
      <c r="CG6" s="19"/>
      <c r="CH6" s="19"/>
      <c r="CI6" s="19"/>
      <c r="CJ6" s="19"/>
      <c r="CK6" s="20"/>
      <c r="CL6" s="20"/>
      <c r="CM6" s="20">
        <v>0.08</v>
      </c>
      <c r="CN6" s="19"/>
      <c r="CO6" s="19"/>
      <c r="CP6" s="19"/>
      <c r="CQ6" s="19"/>
      <c r="CR6" s="19"/>
      <c r="CS6" s="19"/>
      <c r="CT6" s="19"/>
      <c r="CU6" s="19"/>
      <c r="CV6" s="19">
        <f t="shared" si="1"/>
        <v>1</v>
      </c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</row>
    <row r="7">
      <c r="A7" s="18">
        <v>45305.0</v>
      </c>
      <c r="B7" s="2" t="s">
        <v>207</v>
      </c>
      <c r="C7" s="2" t="s">
        <v>190</v>
      </c>
      <c r="D7" s="2">
        <v>2.0</v>
      </c>
      <c r="E7" s="2">
        <v>8.0</v>
      </c>
      <c r="F7" s="19"/>
      <c r="G7" s="19"/>
      <c r="H7" s="19"/>
      <c r="I7" s="19"/>
      <c r="J7" s="19"/>
      <c r="K7" s="20"/>
      <c r="L7" s="20"/>
      <c r="M7" s="20"/>
      <c r="N7" s="20"/>
      <c r="O7" s="19"/>
      <c r="P7" s="20"/>
      <c r="Q7" s="20"/>
      <c r="R7" s="20"/>
      <c r="S7" s="20"/>
      <c r="T7" s="19"/>
      <c r="U7" s="19"/>
      <c r="V7" s="19"/>
      <c r="W7" s="19"/>
      <c r="X7" s="19"/>
      <c r="Y7" s="19"/>
      <c r="Z7" s="20"/>
      <c r="AA7" s="20"/>
      <c r="AB7" s="20"/>
      <c r="AC7" s="20"/>
      <c r="AD7" s="20"/>
      <c r="AE7" s="20"/>
      <c r="AF7" s="20"/>
      <c r="AG7" s="20"/>
      <c r="AH7" s="20">
        <v>0.2</v>
      </c>
      <c r="AI7" s="19"/>
      <c r="AJ7" s="20"/>
      <c r="AK7" s="20"/>
      <c r="AL7" s="20"/>
      <c r="AM7" s="20"/>
      <c r="AN7" s="20"/>
      <c r="AO7" s="20"/>
      <c r="AP7" s="20">
        <v>0.12</v>
      </c>
      <c r="AQ7" s="20"/>
      <c r="AR7" s="20"/>
      <c r="AS7" s="20">
        <v>0.28</v>
      </c>
      <c r="AT7" s="20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0"/>
      <c r="BG7" s="19"/>
      <c r="BH7" s="20">
        <v>0.28</v>
      </c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20">
        <v>0.04</v>
      </c>
      <c r="BU7" s="19"/>
      <c r="BV7" s="19"/>
      <c r="BW7" s="19"/>
      <c r="BX7" s="19"/>
      <c r="BY7" s="19"/>
      <c r="BZ7" s="19"/>
      <c r="CA7" s="19"/>
      <c r="CB7" s="20"/>
      <c r="CC7" s="19"/>
      <c r="CD7" s="19"/>
      <c r="CE7" s="19"/>
      <c r="CF7" s="19"/>
      <c r="CG7" s="19"/>
      <c r="CH7" s="19"/>
      <c r="CI7" s="19"/>
      <c r="CJ7" s="19"/>
      <c r="CK7" s="20"/>
      <c r="CL7" s="20"/>
      <c r="CM7" s="20">
        <v>0.08</v>
      </c>
      <c r="CN7" s="19"/>
      <c r="CO7" s="19"/>
      <c r="CP7" s="19"/>
      <c r="CQ7" s="19"/>
      <c r="CR7" s="19"/>
      <c r="CS7" s="19"/>
      <c r="CT7" s="19"/>
      <c r="CU7" s="19"/>
      <c r="CV7" s="19">
        <f t="shared" si="1"/>
        <v>1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</row>
    <row r="8">
      <c r="A8" s="18">
        <v>45305.0</v>
      </c>
      <c r="B8" s="2" t="s">
        <v>207</v>
      </c>
      <c r="C8" s="2" t="s">
        <v>129</v>
      </c>
      <c r="D8" s="2">
        <v>2.0</v>
      </c>
      <c r="E8" s="2">
        <v>10.0</v>
      </c>
      <c r="F8" s="19"/>
      <c r="G8" s="19"/>
      <c r="H8" s="19"/>
      <c r="I8" s="19"/>
      <c r="J8" s="19"/>
      <c r="K8" s="20"/>
      <c r="L8" s="20"/>
      <c r="M8" s="20"/>
      <c r="N8" s="20">
        <v>0.25</v>
      </c>
      <c r="O8" s="19"/>
      <c r="P8" s="20"/>
      <c r="Q8" s="20"/>
      <c r="R8" s="20"/>
      <c r="S8" s="20"/>
      <c r="T8" s="19"/>
      <c r="U8" s="19"/>
      <c r="V8" s="19"/>
      <c r="W8" s="19"/>
      <c r="X8" s="19"/>
      <c r="Y8" s="19"/>
      <c r="Z8" s="20"/>
      <c r="AA8" s="20"/>
      <c r="AB8" s="20"/>
      <c r="AC8" s="20"/>
      <c r="AD8" s="20"/>
      <c r="AE8" s="20"/>
      <c r="AF8" s="20"/>
      <c r="AG8" s="20">
        <v>0.01</v>
      </c>
      <c r="AH8" s="19"/>
      <c r="AI8" s="19"/>
      <c r="AJ8" s="20"/>
      <c r="AK8" s="20"/>
      <c r="AL8" s="20"/>
      <c r="AM8" s="20"/>
      <c r="AN8" s="20"/>
      <c r="AO8" s="20"/>
      <c r="AP8" s="20">
        <v>0.04</v>
      </c>
      <c r="AQ8" s="20"/>
      <c r="AR8" s="20"/>
      <c r="AS8" s="20">
        <v>0.25</v>
      </c>
      <c r="AT8" s="20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0"/>
      <c r="BG8" s="19"/>
      <c r="BH8" s="20">
        <v>0.25</v>
      </c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20"/>
      <c r="BU8" s="19"/>
      <c r="BV8" s="19"/>
      <c r="BW8" s="19"/>
      <c r="BX8" s="19"/>
      <c r="BY8" s="19"/>
      <c r="BZ8" s="19"/>
      <c r="CA8" s="19"/>
      <c r="CB8" s="20"/>
      <c r="CC8" s="19"/>
      <c r="CD8" s="19"/>
      <c r="CE8" s="19"/>
      <c r="CF8" s="19"/>
      <c r="CG8" s="19"/>
      <c r="CH8" s="19"/>
      <c r="CI8" s="19"/>
      <c r="CJ8" s="19"/>
      <c r="CK8" s="20"/>
      <c r="CL8" s="20"/>
      <c r="CM8" s="20">
        <v>0.2</v>
      </c>
      <c r="CN8" s="19"/>
      <c r="CO8" s="19"/>
      <c r="CP8" s="19"/>
      <c r="CQ8" s="19"/>
      <c r="CR8" s="19"/>
      <c r="CS8" s="19"/>
      <c r="CT8" s="19"/>
      <c r="CU8" s="19"/>
      <c r="CV8" s="19">
        <f t="shared" si="1"/>
        <v>1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</row>
    <row r="9">
      <c r="A9" s="18">
        <v>45305.0</v>
      </c>
      <c r="B9" s="2" t="s">
        <v>207</v>
      </c>
      <c r="C9" s="2" t="s">
        <v>129</v>
      </c>
      <c r="D9" s="2">
        <v>2.0</v>
      </c>
      <c r="E9" s="2">
        <v>12.0</v>
      </c>
      <c r="F9" s="19"/>
      <c r="G9" s="20">
        <v>0.01</v>
      </c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  <c r="AK9" s="20"/>
      <c r="AL9" s="20"/>
      <c r="AM9" s="20"/>
      <c r="AN9" s="20"/>
      <c r="AO9" s="20"/>
      <c r="AP9" s="20">
        <v>0.01</v>
      </c>
      <c r="AQ9" s="20"/>
      <c r="AR9" s="20"/>
      <c r="AS9" s="20">
        <v>0.5</v>
      </c>
      <c r="AT9" s="20"/>
      <c r="AU9" s="20"/>
      <c r="AV9" s="20">
        <v>0.01</v>
      </c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19"/>
      <c r="BH9" s="20">
        <v>0.01</v>
      </c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20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20"/>
      <c r="CO9" s="20"/>
      <c r="CP9" s="20"/>
      <c r="CQ9" s="20"/>
      <c r="CR9" s="20">
        <v>0.46</v>
      </c>
      <c r="CS9" s="19"/>
      <c r="CT9" s="19"/>
      <c r="CU9" s="19"/>
      <c r="CV9" s="19">
        <f t="shared" si="1"/>
        <v>1</v>
      </c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</row>
    <row r="10">
      <c r="A10" s="18">
        <v>44940.0</v>
      </c>
      <c r="B10" s="2" t="s">
        <v>236</v>
      </c>
      <c r="C10" s="2" t="s">
        <v>28</v>
      </c>
      <c r="D10" s="2">
        <v>3.0</v>
      </c>
      <c r="E10" s="2">
        <v>0.0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>
        <v>0.5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20"/>
      <c r="AK10" s="20"/>
      <c r="AL10" s="20">
        <v>0.1</v>
      </c>
      <c r="AM10" s="20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0"/>
      <c r="BG10" s="19"/>
      <c r="BH10" s="20">
        <v>0.3</v>
      </c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20">
        <v>0.1</v>
      </c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>
        <f t="shared" si="1"/>
        <v>1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</row>
    <row r="11">
      <c r="A11" s="18">
        <v>44940.0</v>
      </c>
      <c r="B11" s="2" t="s">
        <v>236</v>
      </c>
      <c r="C11" s="2" t="s">
        <v>28</v>
      </c>
      <c r="D11" s="2">
        <v>3.0</v>
      </c>
      <c r="E11" s="2">
        <v>2.0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20"/>
      <c r="AP11" s="20">
        <v>0.3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0"/>
      <c r="BG11" s="19"/>
      <c r="BH11" s="20">
        <v>0.3</v>
      </c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20">
        <v>0.4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>
        <f t="shared" si="1"/>
        <v>1</v>
      </c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</row>
    <row r="12">
      <c r="A12" s="18">
        <v>44940.0</v>
      </c>
      <c r="B12" s="2" t="s">
        <v>236</v>
      </c>
      <c r="C12" s="2" t="s">
        <v>28</v>
      </c>
      <c r="D12" s="2">
        <v>3.0</v>
      </c>
      <c r="E12" s="2">
        <v>4.0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>
        <v>0.1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20"/>
      <c r="AR12" s="20"/>
      <c r="AS12" s="20">
        <v>0.15</v>
      </c>
      <c r="AT12" s="20"/>
      <c r="AU12" s="20"/>
      <c r="AV12" s="20">
        <v>0.15</v>
      </c>
      <c r="AW12" s="19"/>
      <c r="AX12" s="19"/>
      <c r="AY12" s="19"/>
      <c r="AZ12" s="19"/>
      <c r="BA12" s="19"/>
      <c r="BB12" s="19"/>
      <c r="BC12" s="20"/>
      <c r="BD12" s="20"/>
      <c r="BE12" s="20">
        <v>0.1</v>
      </c>
      <c r="BF12" s="20"/>
      <c r="BG12" s="19"/>
      <c r="BH12" s="20">
        <v>0.2</v>
      </c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20">
        <v>0.3</v>
      </c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>
        <f t="shared" si="1"/>
        <v>1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</row>
    <row r="13">
      <c r="A13" s="18">
        <v>44940.0</v>
      </c>
      <c r="B13" s="2" t="s">
        <v>236</v>
      </c>
      <c r="C13" s="2" t="s">
        <v>28</v>
      </c>
      <c r="D13" s="2">
        <v>3.0</v>
      </c>
      <c r="E13" s="2">
        <v>6.0</v>
      </c>
      <c r="F13" s="19"/>
      <c r="G13" s="19"/>
      <c r="H13" s="19"/>
      <c r="I13" s="19"/>
      <c r="J13" s="19"/>
      <c r="K13" s="20"/>
      <c r="L13" s="20"/>
      <c r="M13" s="20"/>
      <c r="N13" s="20">
        <v>0.2</v>
      </c>
      <c r="O13" s="19"/>
      <c r="P13" s="20"/>
      <c r="Q13" s="20"/>
      <c r="R13" s="20"/>
      <c r="S13" s="20">
        <v>0.1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20"/>
      <c r="AR13" s="20"/>
      <c r="AS13" s="20">
        <v>0.1</v>
      </c>
      <c r="AT13" s="20"/>
      <c r="AU13" s="20"/>
      <c r="AV13" s="20">
        <v>0.3</v>
      </c>
      <c r="AW13" s="19"/>
      <c r="AX13" s="19"/>
      <c r="AY13" s="19"/>
      <c r="AZ13" s="19"/>
      <c r="BA13" s="19"/>
      <c r="BB13" s="19"/>
      <c r="BC13" s="19"/>
      <c r="BD13" s="19"/>
      <c r="BE13" s="19"/>
      <c r="BF13" s="20"/>
      <c r="BG13" s="19"/>
      <c r="BH13" s="20">
        <v>0.2</v>
      </c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20">
        <v>0.1</v>
      </c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>
        <f t="shared" si="1"/>
        <v>1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</row>
    <row r="14">
      <c r="A14" s="18">
        <v>44940.0</v>
      </c>
      <c r="B14" s="2" t="s">
        <v>236</v>
      </c>
      <c r="C14" s="2" t="s">
        <v>28</v>
      </c>
      <c r="D14" s="2">
        <v>3.0</v>
      </c>
      <c r="E14" s="2">
        <v>8.0</v>
      </c>
      <c r="F14" s="19"/>
      <c r="G14" s="19"/>
      <c r="H14" s="19"/>
      <c r="I14" s="19"/>
      <c r="J14" s="19"/>
      <c r="K14" s="20"/>
      <c r="L14" s="20"/>
      <c r="M14" s="20"/>
      <c r="N14" s="20">
        <v>0.1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  <c r="AI14" s="20">
        <v>0.1</v>
      </c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20"/>
      <c r="AV14" s="20">
        <v>0.2</v>
      </c>
      <c r="AW14" s="19"/>
      <c r="AX14" s="19"/>
      <c r="AY14" s="19"/>
      <c r="AZ14" s="19"/>
      <c r="BA14" s="19"/>
      <c r="BB14" s="19"/>
      <c r="BC14" s="19"/>
      <c r="BD14" s="19"/>
      <c r="BE14" s="19"/>
      <c r="BF14" s="20"/>
      <c r="BG14" s="19"/>
      <c r="BH14" s="20">
        <v>0.5</v>
      </c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20">
        <v>0.1</v>
      </c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>
        <f t="shared" si="1"/>
        <v>1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</row>
    <row r="15">
      <c r="A15" s="18">
        <v>44940.0</v>
      </c>
      <c r="B15" s="2" t="s">
        <v>236</v>
      </c>
      <c r="C15" s="2" t="s">
        <v>28</v>
      </c>
      <c r="D15" s="2">
        <v>3.0</v>
      </c>
      <c r="E15" s="2">
        <v>10.0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20"/>
      <c r="AR15" s="20"/>
      <c r="AS15" s="20">
        <v>0.1</v>
      </c>
      <c r="AT15" s="20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0"/>
      <c r="BG15" s="19"/>
      <c r="BH15" s="20">
        <v>0.7</v>
      </c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20">
        <v>0.1</v>
      </c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20">
        <v>0.1</v>
      </c>
      <c r="CT15" s="20"/>
      <c r="CU15" s="19"/>
      <c r="CV15" s="19">
        <f t="shared" si="1"/>
        <v>1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</row>
    <row r="16">
      <c r="A16" s="18">
        <v>45305.0</v>
      </c>
      <c r="B16" s="2" t="s">
        <v>207</v>
      </c>
      <c r="C16" s="2" t="s">
        <v>79</v>
      </c>
      <c r="D16" s="2">
        <v>2.0</v>
      </c>
      <c r="E16" s="2">
        <v>22.0</v>
      </c>
      <c r="F16" s="19"/>
      <c r="G16" s="19"/>
      <c r="H16" s="19"/>
      <c r="I16" s="19"/>
      <c r="J16" s="19"/>
      <c r="K16" s="19"/>
      <c r="L16" s="19"/>
      <c r="M16" s="19"/>
      <c r="N16" s="19"/>
      <c r="O16" s="20">
        <v>0.01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0"/>
      <c r="BG16" s="19"/>
      <c r="BH16" s="20">
        <v>0.5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20"/>
      <c r="CO16" s="20"/>
      <c r="CP16" s="20"/>
      <c r="CQ16" s="20"/>
      <c r="CR16" s="20">
        <v>0.49</v>
      </c>
      <c r="CS16" s="19"/>
      <c r="CT16" s="19"/>
      <c r="CU16" s="19"/>
      <c r="CV16" s="19">
        <f t="shared" si="1"/>
        <v>1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</row>
    <row r="17">
      <c r="A17" s="18">
        <v>45305.0</v>
      </c>
      <c r="B17" s="2" t="s">
        <v>207</v>
      </c>
      <c r="C17" s="2" t="s">
        <v>239</v>
      </c>
      <c r="D17" s="2">
        <v>2.0</v>
      </c>
      <c r="E17" s="2">
        <v>20.0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0"/>
      <c r="BG17" s="19"/>
      <c r="BH17" s="20">
        <v>0.38</v>
      </c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20"/>
      <c r="CC17" s="19"/>
      <c r="CD17" s="19"/>
      <c r="CE17" s="19"/>
      <c r="CF17" s="19"/>
      <c r="CG17" s="19"/>
      <c r="CH17" s="19"/>
      <c r="CI17" s="19"/>
      <c r="CJ17" s="19"/>
      <c r="CK17" s="20"/>
      <c r="CL17" s="20"/>
      <c r="CM17" s="20">
        <v>0.3</v>
      </c>
      <c r="CN17" s="20"/>
      <c r="CO17" s="20"/>
      <c r="CP17" s="20"/>
      <c r="CQ17" s="20"/>
      <c r="CR17" s="20">
        <v>0.24</v>
      </c>
      <c r="CS17" s="19"/>
      <c r="CT17" s="19"/>
      <c r="CU17" s="19"/>
      <c r="CV17" s="19">
        <f t="shared" si="1"/>
        <v>0.92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</row>
    <row r="18">
      <c r="A18" s="18">
        <v>44940.0</v>
      </c>
      <c r="B18" s="2" t="s">
        <v>207</v>
      </c>
      <c r="C18" s="2" t="s">
        <v>79</v>
      </c>
      <c r="D18" s="2">
        <v>2.0</v>
      </c>
      <c r="E18" s="2">
        <v>18.0</v>
      </c>
      <c r="F18" s="20"/>
      <c r="G18" s="19"/>
      <c r="H18" s="19"/>
      <c r="I18" s="19"/>
      <c r="J18" s="19"/>
      <c r="K18" s="20"/>
      <c r="L18" s="20"/>
      <c r="M18" s="20"/>
      <c r="N18" s="20">
        <v>0.17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  <c r="AI18" s="20">
        <v>0.03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0"/>
      <c r="BG18" s="19"/>
      <c r="BH18" s="20">
        <v>0.25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20"/>
      <c r="CC18" s="19"/>
      <c r="CD18" s="19"/>
      <c r="CE18" s="19"/>
      <c r="CF18" s="19"/>
      <c r="CG18" s="19"/>
      <c r="CH18" s="19"/>
      <c r="CI18" s="19"/>
      <c r="CJ18" s="19"/>
      <c r="CK18" s="20"/>
      <c r="CL18" s="20"/>
      <c r="CM18" s="20"/>
      <c r="CN18" s="20"/>
      <c r="CO18" s="20"/>
      <c r="CP18" s="20"/>
      <c r="CQ18" s="20"/>
      <c r="CR18" s="20">
        <v>0.55</v>
      </c>
      <c r="CS18" s="19"/>
      <c r="CT18" s="19"/>
      <c r="CU18" s="19"/>
      <c r="CV18" s="19">
        <f t="shared" si="1"/>
        <v>1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</row>
    <row r="19">
      <c r="A19" s="18">
        <v>44940.0</v>
      </c>
      <c r="B19" s="2" t="s">
        <v>207</v>
      </c>
      <c r="C19" s="2" t="s">
        <v>239</v>
      </c>
      <c r="D19" s="2">
        <v>2.0</v>
      </c>
      <c r="E19" s="2">
        <v>16.0</v>
      </c>
      <c r="F19" s="20">
        <v>0.19</v>
      </c>
      <c r="G19" s="19"/>
      <c r="H19" s="19"/>
      <c r="I19" s="19"/>
      <c r="J19" s="19"/>
      <c r="K19" s="20"/>
      <c r="L19" s="20"/>
      <c r="M19" s="20"/>
      <c r="N19" s="20">
        <v>0.14</v>
      </c>
      <c r="O19" s="19"/>
      <c r="P19" s="19"/>
      <c r="Q19" s="19"/>
      <c r="R19" s="19"/>
      <c r="S19" s="19"/>
      <c r="T19" s="20"/>
      <c r="U19" s="20"/>
      <c r="V19" s="20"/>
      <c r="W19" s="20">
        <v>0.07</v>
      </c>
      <c r="X19" s="20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20"/>
      <c r="AL19" s="20"/>
      <c r="AM19" s="20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0"/>
      <c r="BG19" s="19"/>
      <c r="BH19" s="20">
        <v>0.33</v>
      </c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20"/>
      <c r="CO19" s="20"/>
      <c r="CP19" s="20"/>
      <c r="CQ19" s="20"/>
      <c r="CR19" s="20">
        <v>0.27</v>
      </c>
      <c r="CS19" s="19"/>
      <c r="CT19" s="19"/>
      <c r="CU19" s="19"/>
      <c r="CV19" s="19">
        <f t="shared" si="1"/>
        <v>1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</row>
    <row r="20">
      <c r="A20" s="18">
        <v>44940.0</v>
      </c>
      <c r="B20" s="2" t="s">
        <v>207</v>
      </c>
      <c r="C20" s="2" t="s">
        <v>79</v>
      </c>
      <c r="D20" s="2">
        <v>2.0</v>
      </c>
      <c r="E20" s="2">
        <v>14.0</v>
      </c>
      <c r="F20" s="20">
        <v>0.13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20"/>
      <c r="AK20" s="20"/>
      <c r="AL20" s="20">
        <v>0.01</v>
      </c>
      <c r="AM20" s="20"/>
      <c r="AN20" s="19"/>
      <c r="AO20" s="19"/>
      <c r="AP20" s="19"/>
      <c r="AQ20" s="19"/>
      <c r="AR20" s="19"/>
      <c r="AS20" s="19"/>
      <c r="AT20" s="19"/>
      <c r="AU20" s="19"/>
      <c r="AV20" s="19"/>
      <c r="AW20" s="20"/>
      <c r="AX20" s="20"/>
      <c r="AY20" s="20"/>
      <c r="AZ20" s="19"/>
      <c r="BA20" s="20">
        <v>0.01</v>
      </c>
      <c r="BB20" s="20"/>
      <c r="BC20" s="19"/>
      <c r="BD20" s="19"/>
      <c r="BE20" s="19"/>
      <c r="BF20" s="20"/>
      <c r="BG20" s="19"/>
      <c r="BH20" s="20">
        <v>0.52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27"/>
      <c r="CO20" s="27"/>
      <c r="CP20" s="27"/>
      <c r="CQ20" s="27"/>
      <c r="CR20" s="27">
        <v>0.32</v>
      </c>
      <c r="CS20" s="19"/>
      <c r="CT20" s="19"/>
      <c r="CU20" s="19"/>
      <c r="CV20" s="19">
        <f t="shared" si="1"/>
        <v>0.99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</row>
    <row r="21">
      <c r="A21" s="18">
        <v>44940.0</v>
      </c>
      <c r="B21" s="2" t="s">
        <v>207</v>
      </c>
      <c r="C21" s="2" t="s">
        <v>35</v>
      </c>
      <c r="D21" s="2">
        <v>3.0</v>
      </c>
      <c r="E21" s="2">
        <v>12.0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20"/>
      <c r="AK21" s="20"/>
      <c r="AL21" s="20">
        <v>0.05</v>
      </c>
      <c r="AM21" s="20"/>
      <c r="AN21" s="19"/>
      <c r="AO21" s="19"/>
      <c r="AP21" s="19"/>
      <c r="AQ21" s="20"/>
      <c r="AR21" s="20"/>
      <c r="AS21" s="20">
        <v>0.1</v>
      </c>
      <c r="AT21" s="20"/>
      <c r="AU21" s="20"/>
      <c r="AV21" s="20">
        <v>0.5</v>
      </c>
      <c r="AW21" s="19"/>
      <c r="AX21" s="19"/>
      <c r="AY21" s="19"/>
      <c r="AZ21" s="19"/>
      <c r="BA21" s="19"/>
      <c r="BB21" s="19"/>
      <c r="BC21" s="20"/>
      <c r="BD21" s="20"/>
      <c r="BE21" s="20">
        <v>0.1</v>
      </c>
      <c r="BF21" s="20"/>
      <c r="BG21" s="19"/>
      <c r="BH21" s="20">
        <v>0.1</v>
      </c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20"/>
      <c r="CC21" s="20">
        <v>0.05</v>
      </c>
      <c r="CD21" s="19"/>
      <c r="CE21" s="19"/>
      <c r="CF21" s="19"/>
      <c r="CG21" s="19"/>
      <c r="CH21" s="19"/>
      <c r="CI21" s="19"/>
      <c r="CJ21" s="20"/>
      <c r="CK21" s="20"/>
      <c r="CL21" s="20"/>
      <c r="CM21" s="20">
        <v>0.1</v>
      </c>
      <c r="CN21" s="19"/>
      <c r="CO21" s="19"/>
      <c r="CP21" s="19"/>
      <c r="CQ21" s="19"/>
      <c r="CR21" s="19"/>
      <c r="CS21" s="19"/>
      <c r="CT21" s="19"/>
      <c r="CU21" s="19"/>
      <c r="CV21" s="19">
        <f t="shared" si="1"/>
        <v>1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</row>
    <row r="22">
      <c r="A22" s="18">
        <v>44940.0</v>
      </c>
      <c r="B22" s="2" t="s">
        <v>207</v>
      </c>
      <c r="C22" s="2" t="s">
        <v>35</v>
      </c>
      <c r="D22" s="2">
        <v>3.0</v>
      </c>
      <c r="E22" s="2">
        <v>14.0</v>
      </c>
      <c r="F22" s="2">
        <v>0.05</v>
      </c>
      <c r="AJ22" s="2"/>
      <c r="AK22" s="2"/>
      <c r="AL22" s="2">
        <v>0.05</v>
      </c>
      <c r="AM22" s="2"/>
      <c r="AQ22" s="29"/>
      <c r="AR22" s="2"/>
      <c r="AS22" s="2">
        <v>0.1</v>
      </c>
      <c r="AT22" s="2"/>
      <c r="AU22" s="29"/>
      <c r="AV22" s="2">
        <v>0.2</v>
      </c>
      <c r="BC22" s="29"/>
      <c r="BD22" s="2"/>
      <c r="BE22" s="2">
        <v>0.1</v>
      </c>
      <c r="BF22" s="29"/>
      <c r="BH22" s="2">
        <v>0.25</v>
      </c>
      <c r="BI22" s="2"/>
      <c r="BJ22" s="2"/>
      <c r="BK22" s="2"/>
      <c r="BL22" s="2"/>
      <c r="BM22" s="2">
        <v>0.05</v>
      </c>
      <c r="BQ22" s="2"/>
      <c r="BR22" s="2">
        <v>0.05</v>
      </c>
      <c r="CA22" s="2">
        <v>0.05</v>
      </c>
      <c r="CB22" s="29"/>
      <c r="CK22" s="2"/>
      <c r="CL22" s="2"/>
      <c r="CM22" s="2">
        <v>0.1</v>
      </c>
      <c r="CU22" s="19"/>
      <c r="CV22" s="19">
        <f t="shared" si="1"/>
        <v>1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</row>
    <row r="23">
      <c r="A23" s="18">
        <v>44940.0</v>
      </c>
      <c r="B23" s="2" t="s">
        <v>207</v>
      </c>
      <c r="C23" s="2" t="s">
        <v>35</v>
      </c>
      <c r="D23" s="2">
        <v>3.0</v>
      </c>
      <c r="E23" s="2">
        <v>16.0</v>
      </c>
      <c r="F23" s="2">
        <v>0.15</v>
      </c>
      <c r="K23" s="2"/>
      <c r="L23" s="2"/>
      <c r="M23" s="2"/>
      <c r="N23" s="2">
        <v>0.1</v>
      </c>
      <c r="AH23" s="2">
        <v>0.05</v>
      </c>
      <c r="AU23" s="29"/>
      <c r="AV23" s="2">
        <v>0.3</v>
      </c>
      <c r="BC23" s="29"/>
      <c r="BD23" s="2"/>
      <c r="BE23" s="2">
        <v>0.15</v>
      </c>
      <c r="BF23" s="29"/>
      <c r="BH23" s="2">
        <v>0.15</v>
      </c>
      <c r="CB23" s="29"/>
      <c r="CK23" s="2"/>
      <c r="CL23" s="2"/>
      <c r="CM23" s="2">
        <v>0.1</v>
      </c>
      <c r="CU23" s="19"/>
      <c r="CV23" s="19">
        <f t="shared" si="1"/>
        <v>1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</row>
    <row r="24">
      <c r="A24" s="18">
        <v>44940.0</v>
      </c>
      <c r="B24" s="2" t="s">
        <v>207</v>
      </c>
      <c r="C24" s="2" t="s">
        <v>35</v>
      </c>
      <c r="D24" s="2">
        <v>3.0</v>
      </c>
      <c r="E24" s="2">
        <v>18.0</v>
      </c>
      <c r="K24" s="2"/>
      <c r="L24" s="2"/>
      <c r="M24" s="2"/>
      <c r="N24" s="2">
        <v>0.2</v>
      </c>
      <c r="O24" s="2">
        <v>0.05</v>
      </c>
      <c r="AH24" s="2">
        <v>0.05</v>
      </c>
      <c r="AU24" s="29"/>
      <c r="AV24" s="2">
        <v>0.1</v>
      </c>
      <c r="BF24" s="29"/>
      <c r="BH24" s="2">
        <v>0.25</v>
      </c>
      <c r="CB24" s="29"/>
      <c r="CK24" s="2"/>
      <c r="CL24" s="2"/>
      <c r="CM24" s="2">
        <v>0.2</v>
      </c>
      <c r="CN24" s="29"/>
      <c r="CO24" s="2"/>
      <c r="CP24" s="2">
        <v>0.15</v>
      </c>
      <c r="CU24" s="19"/>
      <c r="CV24" s="19">
        <f t="shared" si="1"/>
        <v>1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</row>
    <row r="25">
      <c r="A25" s="18">
        <v>44940.0</v>
      </c>
      <c r="B25" s="2" t="s">
        <v>207</v>
      </c>
      <c r="C25" s="2" t="s">
        <v>35</v>
      </c>
      <c r="D25" s="2">
        <v>3.0</v>
      </c>
      <c r="E25" s="2">
        <v>20.0</v>
      </c>
      <c r="O25" s="2">
        <v>0.11</v>
      </c>
      <c r="AH25" s="2">
        <v>0.2</v>
      </c>
      <c r="AU25" s="29"/>
      <c r="AV25" s="2">
        <v>0.01</v>
      </c>
      <c r="BF25" s="29"/>
      <c r="BH25" s="2">
        <v>0.18</v>
      </c>
      <c r="CB25" s="29"/>
      <c r="CK25" s="2"/>
      <c r="CL25" s="2"/>
      <c r="CM25" s="2">
        <v>0.05</v>
      </c>
      <c r="CN25" s="29"/>
      <c r="CO25" s="29"/>
      <c r="CP25" s="29"/>
      <c r="CQ25" s="2"/>
      <c r="CR25" s="2">
        <v>0.45</v>
      </c>
      <c r="CU25" s="19"/>
      <c r="CV25" s="19">
        <f t="shared" si="1"/>
        <v>1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</row>
    <row r="26">
      <c r="A26" s="18">
        <v>44940.0</v>
      </c>
      <c r="B26" s="2" t="s">
        <v>207</v>
      </c>
      <c r="C26" s="2" t="s">
        <v>35</v>
      </c>
      <c r="D26" s="2">
        <v>3.0</v>
      </c>
      <c r="E26" s="2">
        <v>22.0</v>
      </c>
      <c r="O26" s="2">
        <v>0.02</v>
      </c>
      <c r="AH26" s="2">
        <v>0.03</v>
      </c>
      <c r="AU26" s="2">
        <v>0.03</v>
      </c>
      <c r="AV26" s="2">
        <v>0.03</v>
      </c>
      <c r="BF26" s="29"/>
      <c r="BH26" s="2">
        <v>0.02</v>
      </c>
      <c r="BT26" s="2">
        <v>0.33</v>
      </c>
      <c r="CN26" s="29"/>
      <c r="CO26" s="2"/>
      <c r="CP26" s="2">
        <v>0.06</v>
      </c>
      <c r="CQ26" s="2"/>
      <c r="CR26" s="2">
        <v>0.48</v>
      </c>
      <c r="CU26" s="19"/>
      <c r="CV26" s="19">
        <f t="shared" si="1"/>
        <v>1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</row>
    <row r="27">
      <c r="A27" s="18">
        <v>44940.0</v>
      </c>
      <c r="B27" s="2" t="s">
        <v>207</v>
      </c>
      <c r="C27" s="2" t="s">
        <v>148</v>
      </c>
      <c r="D27" s="2">
        <v>1.0</v>
      </c>
      <c r="E27" s="2">
        <v>22.0</v>
      </c>
      <c r="AZ27" s="2">
        <v>0.05</v>
      </c>
      <c r="BF27" s="2"/>
      <c r="BH27" s="2">
        <v>0.05</v>
      </c>
      <c r="CB27" s="2"/>
      <c r="CK27" s="2"/>
      <c r="CL27" s="2"/>
      <c r="CM27" s="2">
        <v>0.4</v>
      </c>
      <c r="CQ27" s="2"/>
      <c r="CR27" s="2">
        <v>0.5</v>
      </c>
      <c r="CU27" s="19"/>
      <c r="CV27" s="19">
        <f t="shared" si="1"/>
        <v>1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</row>
    <row r="28">
      <c r="A28" s="18">
        <v>44940.0</v>
      </c>
      <c r="B28" s="2" t="s">
        <v>207</v>
      </c>
      <c r="C28" s="2" t="s">
        <v>148</v>
      </c>
      <c r="D28" s="2">
        <v>1.0</v>
      </c>
      <c r="E28" s="2">
        <v>20.0</v>
      </c>
      <c r="K28" s="2"/>
      <c r="L28" s="2"/>
      <c r="M28" s="2"/>
      <c r="N28" s="2">
        <v>0.2</v>
      </c>
      <c r="AJ28" s="2"/>
      <c r="AK28" s="2"/>
      <c r="AL28" s="2">
        <v>0.05</v>
      </c>
      <c r="AM28" s="2"/>
      <c r="AV28" s="2">
        <v>0.05</v>
      </c>
      <c r="BF28" s="2"/>
      <c r="BH28" s="2">
        <v>0.15</v>
      </c>
      <c r="CB28" s="2"/>
      <c r="CK28" s="2"/>
      <c r="CL28" s="2"/>
      <c r="CM28" s="2">
        <v>0.55</v>
      </c>
      <c r="CU28" s="19"/>
      <c r="CV28" s="19">
        <f t="shared" si="1"/>
        <v>1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</row>
    <row r="29">
      <c r="A29" s="18">
        <v>44940.0</v>
      </c>
      <c r="B29" s="2" t="s">
        <v>207</v>
      </c>
      <c r="C29" s="2" t="s">
        <v>148</v>
      </c>
      <c r="D29" s="2">
        <v>1.0</v>
      </c>
      <c r="E29" s="2">
        <v>18.0</v>
      </c>
      <c r="K29" s="2"/>
      <c r="L29" s="2"/>
      <c r="M29" s="2"/>
      <c r="N29" s="2">
        <v>0.05</v>
      </c>
      <c r="AJ29" s="2"/>
      <c r="AK29" s="2"/>
      <c r="AL29" s="2">
        <v>0.25</v>
      </c>
      <c r="AM29" s="2"/>
      <c r="AU29" s="2">
        <v>0.05</v>
      </c>
      <c r="BF29" s="2"/>
      <c r="BH29" s="2">
        <v>0.1</v>
      </c>
      <c r="CB29" s="2"/>
      <c r="CK29" s="2"/>
      <c r="CL29" s="2"/>
      <c r="CM29" s="2">
        <v>0.55</v>
      </c>
      <c r="CU29" s="19"/>
      <c r="CV29" s="19">
        <f t="shared" si="1"/>
        <v>1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</row>
    <row r="30">
      <c r="A30" s="18">
        <v>44940.0</v>
      </c>
      <c r="B30" s="2" t="s">
        <v>207</v>
      </c>
      <c r="C30" s="2" t="s">
        <v>148</v>
      </c>
      <c r="D30" s="2">
        <v>1.0</v>
      </c>
      <c r="E30" s="2">
        <v>16.0</v>
      </c>
      <c r="AJ30" s="2"/>
      <c r="AK30" s="2"/>
      <c r="AL30" s="2">
        <v>0.15</v>
      </c>
      <c r="AM30" s="2"/>
      <c r="BF30" s="2"/>
      <c r="BH30" s="2">
        <v>0.15</v>
      </c>
      <c r="BI30" s="2"/>
      <c r="BJ30" s="2"/>
      <c r="BK30" s="2"/>
      <c r="BL30" s="2"/>
      <c r="BM30" s="2">
        <v>0.15</v>
      </c>
      <c r="CA30" s="2">
        <v>0.01</v>
      </c>
      <c r="CB30" s="2"/>
      <c r="CK30" s="2"/>
      <c r="CL30" s="2"/>
      <c r="CM30" s="2">
        <v>0.54</v>
      </c>
      <c r="CU30" s="19"/>
      <c r="CV30" s="19">
        <f t="shared" si="1"/>
        <v>1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</row>
    <row r="31">
      <c r="A31" s="18">
        <v>44940.0</v>
      </c>
      <c r="B31" s="2" t="s">
        <v>207</v>
      </c>
      <c r="C31" s="2" t="s">
        <v>148</v>
      </c>
      <c r="D31" s="2">
        <v>1.0</v>
      </c>
      <c r="E31" s="2">
        <v>14.0</v>
      </c>
      <c r="K31" s="2"/>
      <c r="L31" s="2"/>
      <c r="M31" s="2"/>
      <c r="N31" s="2">
        <v>0.2</v>
      </c>
      <c r="AJ31" s="2"/>
      <c r="AK31" s="2"/>
      <c r="AL31" s="2">
        <v>0.1</v>
      </c>
      <c r="AM31" s="2"/>
      <c r="AV31" s="2">
        <v>0.05</v>
      </c>
      <c r="BF31" s="2"/>
      <c r="BH31" s="2">
        <v>0.4</v>
      </c>
      <c r="BI31" s="2"/>
      <c r="BJ31" s="2"/>
      <c r="BK31" s="2"/>
      <c r="BL31" s="2"/>
      <c r="BM31" s="2">
        <v>0.05</v>
      </c>
      <c r="CB31" s="2"/>
      <c r="CK31" s="2"/>
      <c r="CL31" s="2"/>
      <c r="CM31" s="2">
        <v>0.2</v>
      </c>
      <c r="CU31" s="19"/>
      <c r="CV31" s="19">
        <f t="shared" si="1"/>
        <v>1</v>
      </c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</row>
    <row r="32">
      <c r="A32" s="18">
        <v>44940.0</v>
      </c>
      <c r="B32" s="2" t="s">
        <v>207</v>
      </c>
      <c r="C32" s="2" t="s">
        <v>148</v>
      </c>
      <c r="D32" s="2">
        <v>1.0</v>
      </c>
      <c r="E32" s="2">
        <v>12.0</v>
      </c>
      <c r="F32" s="2">
        <v>0.2</v>
      </c>
      <c r="AJ32" s="2"/>
      <c r="AK32" s="2"/>
      <c r="AL32" s="2">
        <v>0.05</v>
      </c>
      <c r="AM32" s="2"/>
      <c r="AN32" s="2"/>
      <c r="AO32" s="2"/>
      <c r="AP32" s="2">
        <v>0.05</v>
      </c>
      <c r="AU32" s="2">
        <v>0.05</v>
      </c>
      <c r="BF32" s="2"/>
      <c r="BH32" s="2">
        <v>0.4</v>
      </c>
      <c r="CQ32" s="2"/>
      <c r="CR32" s="2">
        <v>0.25</v>
      </c>
      <c r="CU32" s="19"/>
      <c r="CV32" s="19">
        <f t="shared" si="1"/>
        <v>1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</row>
    <row r="33">
      <c r="A33" s="18">
        <v>44940.0</v>
      </c>
      <c r="B33" s="2" t="s">
        <v>207</v>
      </c>
      <c r="C33" s="2" t="s">
        <v>148</v>
      </c>
      <c r="D33" s="2">
        <v>1.0</v>
      </c>
      <c r="E33" s="2">
        <v>10.0</v>
      </c>
      <c r="Y33" s="2">
        <v>0.1</v>
      </c>
      <c r="AU33" s="2">
        <v>0.1</v>
      </c>
      <c r="AV33" s="2">
        <v>0.05</v>
      </c>
      <c r="BC33" s="2"/>
      <c r="BD33" s="2"/>
      <c r="BE33" s="2">
        <v>0.1</v>
      </c>
      <c r="BF33" s="2"/>
      <c r="BH33" s="2">
        <v>0.35</v>
      </c>
      <c r="BI33" s="2"/>
      <c r="BJ33" s="2"/>
      <c r="BK33" s="2"/>
      <c r="BL33" s="2"/>
      <c r="BM33" s="2">
        <v>0.1</v>
      </c>
      <c r="CQ33" s="2"/>
      <c r="CR33" s="2">
        <v>0.2</v>
      </c>
      <c r="CU33" s="19"/>
      <c r="CV33" s="19">
        <f t="shared" si="1"/>
        <v>1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</row>
    <row r="34">
      <c r="A34" s="18">
        <v>44940.0</v>
      </c>
      <c r="B34" s="2" t="s">
        <v>207</v>
      </c>
      <c r="C34" s="2" t="s">
        <v>65</v>
      </c>
      <c r="D34" s="2">
        <v>1.0</v>
      </c>
      <c r="E34" s="2">
        <v>8.0</v>
      </c>
      <c r="P34" s="2"/>
      <c r="Q34" s="2"/>
      <c r="R34" s="2"/>
      <c r="S34" s="2">
        <v>0.3</v>
      </c>
      <c r="AQ34" s="29"/>
      <c r="AR34" s="2"/>
      <c r="AS34" s="2">
        <v>0.4</v>
      </c>
      <c r="AT34" s="2"/>
      <c r="BF34" s="29"/>
      <c r="BH34" s="2">
        <v>0.3</v>
      </c>
      <c r="CU34" s="20"/>
      <c r="CV34" s="19">
        <f t="shared" si="1"/>
        <v>1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</row>
    <row r="35">
      <c r="A35" s="18">
        <v>44940.0</v>
      </c>
      <c r="B35" s="2" t="s">
        <v>207</v>
      </c>
      <c r="C35" s="2" t="s">
        <v>65</v>
      </c>
      <c r="D35" s="2">
        <v>1.0</v>
      </c>
      <c r="E35" s="2">
        <v>6.0</v>
      </c>
      <c r="P35" s="2"/>
      <c r="Q35" s="2"/>
      <c r="R35" s="2"/>
      <c r="S35" s="2">
        <v>0.1</v>
      </c>
      <c r="AV35" s="2">
        <v>0.2</v>
      </c>
      <c r="AW35" s="2"/>
      <c r="AX35" s="29"/>
      <c r="AY35" s="2"/>
      <c r="BA35" s="2">
        <v>0.2</v>
      </c>
      <c r="BB35" s="2"/>
      <c r="BF35" s="29"/>
      <c r="BH35" s="2">
        <v>0.3</v>
      </c>
      <c r="BI35" s="2"/>
      <c r="BJ35" s="2"/>
      <c r="BK35" s="2"/>
      <c r="BL35" s="2"/>
      <c r="BM35" s="2">
        <v>0.05</v>
      </c>
      <c r="CB35" s="29"/>
      <c r="CK35" s="2"/>
      <c r="CL35" s="2"/>
      <c r="CM35" s="2">
        <v>0.15</v>
      </c>
      <c r="CU35" s="20"/>
      <c r="CV35" s="19">
        <f t="shared" si="1"/>
        <v>1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</row>
    <row r="36">
      <c r="A36" s="18">
        <v>44940.0</v>
      </c>
      <c r="B36" s="2" t="s">
        <v>207</v>
      </c>
      <c r="C36" s="2" t="s">
        <v>65</v>
      </c>
      <c r="D36" s="2">
        <v>1.0</v>
      </c>
      <c r="E36" s="2">
        <v>4.0</v>
      </c>
      <c r="K36" s="2"/>
      <c r="L36" s="2"/>
      <c r="M36" s="2"/>
      <c r="N36" s="2">
        <v>0.6</v>
      </c>
      <c r="P36" s="2"/>
      <c r="Q36" s="2"/>
      <c r="R36" s="2"/>
      <c r="S36" s="2">
        <v>0.15</v>
      </c>
      <c r="T36" s="2"/>
      <c r="U36" s="2"/>
      <c r="V36" s="2"/>
      <c r="W36" s="2">
        <v>0.05</v>
      </c>
      <c r="X36" s="2"/>
      <c r="AV36" s="2">
        <v>0.3</v>
      </c>
      <c r="CU36" s="20"/>
      <c r="CV36" s="19">
        <f t="shared" si="1"/>
        <v>1.1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</row>
    <row r="37">
      <c r="A37" s="18">
        <v>44940.0</v>
      </c>
      <c r="B37" s="2" t="s">
        <v>207</v>
      </c>
      <c r="C37" s="2" t="s">
        <v>65</v>
      </c>
      <c r="D37" s="2">
        <v>1.0</v>
      </c>
      <c r="E37" s="2">
        <v>2.0</v>
      </c>
      <c r="K37" s="2"/>
      <c r="L37" s="2"/>
      <c r="M37" s="2"/>
      <c r="N37" s="2">
        <v>0.1</v>
      </c>
      <c r="P37" s="2"/>
      <c r="Q37" s="2"/>
      <c r="R37" s="2"/>
      <c r="S37" s="2">
        <v>0.1</v>
      </c>
      <c r="AV37" s="2">
        <v>0.7</v>
      </c>
      <c r="CB37" s="29"/>
      <c r="CK37" s="2"/>
      <c r="CL37" s="2"/>
      <c r="CM37" s="2">
        <v>0.1</v>
      </c>
      <c r="CU37" s="20"/>
      <c r="CV37" s="19">
        <f t="shared" si="1"/>
        <v>1</v>
      </c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</row>
    <row r="38">
      <c r="A38" s="18">
        <v>44940.0</v>
      </c>
      <c r="B38" s="2" t="s">
        <v>207</v>
      </c>
      <c r="C38" s="2" t="s">
        <v>65</v>
      </c>
      <c r="D38" s="2">
        <v>1.0</v>
      </c>
      <c r="E38" s="2">
        <v>0.0</v>
      </c>
      <c r="K38" s="2"/>
      <c r="L38" s="2"/>
      <c r="M38" s="2"/>
      <c r="N38" s="2">
        <v>0.05</v>
      </c>
      <c r="AV38" s="2">
        <v>0.05</v>
      </c>
      <c r="CQ38" s="2"/>
      <c r="CR38" s="2">
        <v>0.9</v>
      </c>
      <c r="CU38" s="20"/>
      <c r="CV38" s="19">
        <f t="shared" si="1"/>
        <v>1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</row>
    <row r="39">
      <c r="A39" s="32">
        <v>45318.0</v>
      </c>
      <c r="B39" s="2" t="s">
        <v>237</v>
      </c>
      <c r="C39" s="2" t="s">
        <v>117</v>
      </c>
      <c r="D39" s="2">
        <v>1.0</v>
      </c>
      <c r="E39" s="2">
        <v>3.0</v>
      </c>
      <c r="AJ39" s="2"/>
      <c r="AK39" s="2"/>
      <c r="AL39" s="2">
        <v>0.08</v>
      </c>
      <c r="AM39" s="2"/>
      <c r="AX39" s="2">
        <v>0.3</v>
      </c>
      <c r="BG39" s="2">
        <v>0.05</v>
      </c>
      <c r="BN39" s="2">
        <v>0.08</v>
      </c>
      <c r="BO39" s="2">
        <v>0.1</v>
      </c>
      <c r="CQ39" s="2"/>
      <c r="CR39" s="2">
        <v>0.39</v>
      </c>
      <c r="CU39" s="20"/>
      <c r="CV39" s="19">
        <f t="shared" si="1"/>
        <v>1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</row>
    <row r="40">
      <c r="A40" s="9">
        <v>45318.0</v>
      </c>
      <c r="B40" s="2" t="s">
        <v>237</v>
      </c>
      <c r="C40" s="2" t="s">
        <v>117</v>
      </c>
      <c r="D40" s="2">
        <v>1.0</v>
      </c>
      <c r="E40" s="2">
        <v>4.0</v>
      </c>
      <c r="AX40" s="2">
        <v>0.1</v>
      </c>
      <c r="BC40" s="2">
        <v>0.03</v>
      </c>
      <c r="BN40" s="2">
        <v>0.5</v>
      </c>
      <c r="BO40" s="2">
        <v>0.05</v>
      </c>
      <c r="CQ40" s="2"/>
      <c r="CR40" s="2">
        <v>0.32</v>
      </c>
      <c r="CU40" s="20"/>
      <c r="CV40" s="19">
        <f t="shared" si="1"/>
        <v>1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</row>
    <row r="41">
      <c r="A41" s="9">
        <v>45318.0</v>
      </c>
      <c r="B41" s="2" t="s">
        <v>237</v>
      </c>
      <c r="C41" s="2" t="s">
        <v>117</v>
      </c>
      <c r="D41" s="2">
        <v>1.0</v>
      </c>
      <c r="E41" s="2">
        <v>5.0</v>
      </c>
      <c r="BD41" s="2"/>
      <c r="BE41" s="2">
        <v>0.01</v>
      </c>
      <c r="BF41" s="2">
        <v>0.01</v>
      </c>
      <c r="BH41" s="2">
        <v>0.16</v>
      </c>
      <c r="BN41" s="2">
        <v>0.2</v>
      </c>
      <c r="BO41" s="2">
        <v>0.35</v>
      </c>
      <c r="CQ41" s="2"/>
      <c r="CR41" s="2">
        <v>0.27</v>
      </c>
      <c r="CU41" s="20"/>
      <c r="CV41" s="19">
        <f t="shared" si="1"/>
        <v>1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</row>
    <row r="42">
      <c r="A42" s="9">
        <v>45318.0</v>
      </c>
      <c r="B42" s="2" t="s">
        <v>237</v>
      </c>
      <c r="C42" s="2" t="s">
        <v>117</v>
      </c>
      <c r="D42" s="2">
        <v>1.0</v>
      </c>
      <c r="E42" s="2">
        <v>6.0</v>
      </c>
      <c r="BF42" s="2"/>
      <c r="BH42" s="2">
        <v>0.8</v>
      </c>
      <c r="BO42" s="2">
        <v>0.01</v>
      </c>
      <c r="BT42" s="2">
        <v>0.15</v>
      </c>
      <c r="CQ42" s="2"/>
      <c r="CR42" s="2">
        <v>0.04</v>
      </c>
      <c r="CU42" s="20"/>
      <c r="CV42" s="19">
        <f t="shared" si="1"/>
        <v>1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</row>
    <row r="43">
      <c r="A43" s="9">
        <v>45318.0</v>
      </c>
      <c r="B43" s="2" t="s">
        <v>237</v>
      </c>
      <c r="C43" s="2" t="s">
        <v>117</v>
      </c>
      <c r="D43" s="2">
        <v>1.0</v>
      </c>
      <c r="E43" s="2">
        <v>7.0</v>
      </c>
      <c r="AV43" s="2">
        <v>0.1</v>
      </c>
      <c r="BH43" s="2">
        <v>0.4</v>
      </c>
      <c r="BT43" s="2">
        <v>0.1</v>
      </c>
      <c r="CQ43" s="2"/>
      <c r="CR43" s="2">
        <v>0.4</v>
      </c>
      <c r="CU43" s="20"/>
      <c r="CV43" s="19">
        <f t="shared" si="1"/>
        <v>1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</row>
    <row r="44">
      <c r="A44" s="9">
        <v>45318.0</v>
      </c>
      <c r="B44" s="2" t="s">
        <v>237</v>
      </c>
      <c r="C44" s="2" t="s">
        <v>117</v>
      </c>
      <c r="D44" s="2">
        <v>1.0</v>
      </c>
      <c r="E44" s="2">
        <v>8.0</v>
      </c>
      <c r="AQ44" s="2">
        <v>0.1</v>
      </c>
      <c r="BH44" s="2">
        <v>0.2</v>
      </c>
      <c r="BO44" s="2">
        <v>0.2</v>
      </c>
      <c r="BT44" s="2">
        <v>0.25</v>
      </c>
      <c r="CQ44" s="2"/>
      <c r="CR44" s="2">
        <v>0.25</v>
      </c>
      <c r="CU44" s="20"/>
      <c r="CV44" s="19">
        <f t="shared" si="1"/>
        <v>1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</row>
    <row r="45">
      <c r="A45" s="9">
        <v>45318.0</v>
      </c>
      <c r="B45" s="2" t="s">
        <v>237</v>
      </c>
      <c r="C45" s="2" t="s">
        <v>117</v>
      </c>
      <c r="D45" s="2">
        <v>1.0</v>
      </c>
      <c r="E45" s="2">
        <v>9.0</v>
      </c>
      <c r="AQ45" s="2">
        <v>0.05</v>
      </c>
      <c r="BH45" s="2">
        <v>0.1</v>
      </c>
      <c r="BO45" s="2">
        <v>0.1</v>
      </c>
      <c r="BT45" s="2">
        <v>0.72</v>
      </c>
      <c r="CQ45" s="2"/>
      <c r="CR45" s="2">
        <v>0.03</v>
      </c>
      <c r="CU45" s="20"/>
      <c r="CV45" s="19">
        <f t="shared" si="1"/>
        <v>1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</row>
    <row r="46">
      <c r="A46" s="9">
        <v>45318.0</v>
      </c>
      <c r="B46" s="2" t="s">
        <v>237</v>
      </c>
      <c r="C46" s="2" t="s">
        <v>117</v>
      </c>
      <c r="D46" s="2">
        <v>1.0</v>
      </c>
      <c r="E46" s="2">
        <v>10.0</v>
      </c>
      <c r="BC46" s="2">
        <v>0.02</v>
      </c>
      <c r="BH46" s="2">
        <v>0.1</v>
      </c>
      <c r="BT46" s="2">
        <v>0.83</v>
      </c>
      <c r="CQ46" s="2"/>
      <c r="CR46" s="2">
        <v>0.05</v>
      </c>
      <c r="CU46" s="20"/>
      <c r="CV46" s="19">
        <f t="shared" si="1"/>
        <v>1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</row>
    <row r="47">
      <c r="A47" s="9">
        <v>45318.0</v>
      </c>
      <c r="B47" s="2" t="s">
        <v>237</v>
      </c>
      <c r="C47" s="2" t="s">
        <v>117</v>
      </c>
      <c r="D47" s="2">
        <v>1.0</v>
      </c>
      <c r="E47" s="2">
        <v>11.0</v>
      </c>
      <c r="Y47" s="2">
        <v>0.02</v>
      </c>
      <c r="AQ47" s="2">
        <v>0.02</v>
      </c>
      <c r="BO47" s="2">
        <v>0.05</v>
      </c>
      <c r="CE47" s="2">
        <v>0.05</v>
      </c>
      <c r="CN47" s="2">
        <v>0.16</v>
      </c>
      <c r="CQ47" s="2"/>
      <c r="CR47" s="2">
        <v>0.7</v>
      </c>
      <c r="CU47" s="20"/>
      <c r="CV47" s="19">
        <f t="shared" si="1"/>
        <v>1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</row>
    <row r="48">
      <c r="A48" s="9">
        <v>45318.0</v>
      </c>
      <c r="B48" s="2" t="s">
        <v>237</v>
      </c>
      <c r="C48" s="2" t="s">
        <v>117</v>
      </c>
      <c r="D48" s="2">
        <v>1.0</v>
      </c>
      <c r="E48" s="2">
        <v>12.0</v>
      </c>
      <c r="CQ48" s="2"/>
      <c r="CR48" s="2">
        <v>1.0</v>
      </c>
      <c r="CU48" s="20"/>
      <c r="CV48" s="19">
        <f t="shared" si="1"/>
        <v>1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</row>
    <row r="49">
      <c r="A49" s="9">
        <v>45318.0</v>
      </c>
      <c r="B49" s="2" t="s">
        <v>237</v>
      </c>
      <c r="C49" s="2" t="s">
        <v>117</v>
      </c>
      <c r="D49" s="2">
        <v>1.0</v>
      </c>
      <c r="E49" s="2">
        <v>13.0</v>
      </c>
      <c r="CJ49" s="2">
        <v>0.05</v>
      </c>
      <c r="CQ49" s="2"/>
      <c r="CR49" s="2">
        <v>0.95</v>
      </c>
      <c r="CU49" s="20"/>
      <c r="CV49" s="19">
        <f t="shared" si="1"/>
        <v>1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</row>
    <row r="50">
      <c r="A50" s="9">
        <v>45318.0</v>
      </c>
      <c r="B50" s="2" t="s">
        <v>237</v>
      </c>
      <c r="C50" s="2" t="s">
        <v>97</v>
      </c>
      <c r="D50" s="2">
        <v>3.0</v>
      </c>
      <c r="E50" s="2">
        <v>13.0</v>
      </c>
      <c r="K50" s="23"/>
      <c r="O50" s="23"/>
      <c r="P50" s="23"/>
      <c r="Q50" s="23"/>
      <c r="R50" s="23"/>
      <c r="S50" s="23"/>
      <c r="AJ50" s="23"/>
      <c r="AK50" s="23"/>
      <c r="AL50" s="23"/>
      <c r="AM50" s="23"/>
      <c r="AN50" s="23"/>
      <c r="AQ50" s="23"/>
      <c r="AW50" s="23"/>
      <c r="AX50" s="23"/>
      <c r="BC50" s="23"/>
      <c r="BD50" s="23"/>
      <c r="BE50" s="23"/>
      <c r="BH50" s="23"/>
      <c r="BN50" s="23"/>
      <c r="BO50" s="23"/>
      <c r="BT50" s="23"/>
      <c r="CF50" s="2">
        <v>0.02</v>
      </c>
      <c r="CJ50" s="2">
        <v>0.02</v>
      </c>
      <c r="CK50" s="23"/>
      <c r="CL50" s="23"/>
      <c r="CM50" s="23"/>
      <c r="CN50" s="23"/>
      <c r="CQ50" s="25"/>
      <c r="CR50" s="34">
        <v>0.96</v>
      </c>
      <c r="CU50" s="20"/>
      <c r="CV50" s="19">
        <f t="shared" si="1"/>
        <v>1</v>
      </c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</row>
    <row r="51">
      <c r="A51" s="9">
        <v>45318.0</v>
      </c>
      <c r="B51" s="2" t="s">
        <v>237</v>
      </c>
      <c r="C51" s="2" t="s">
        <v>97</v>
      </c>
      <c r="D51" s="2">
        <v>3.0</v>
      </c>
      <c r="E51" s="2">
        <v>12.0</v>
      </c>
      <c r="K51" s="24">
        <v>0.02</v>
      </c>
      <c r="O51" s="23"/>
      <c r="P51" s="23"/>
      <c r="Q51" s="23"/>
      <c r="R51" s="23"/>
      <c r="S51" s="23"/>
      <c r="AJ51" s="23"/>
      <c r="AK51" s="23"/>
      <c r="AL51" s="23"/>
      <c r="AM51" s="23"/>
      <c r="AN51" s="23"/>
      <c r="AQ51" s="23"/>
      <c r="AW51" s="23"/>
      <c r="AX51" s="23"/>
      <c r="BC51" s="23"/>
      <c r="BD51" s="23"/>
      <c r="BE51" s="23"/>
      <c r="BH51" s="23"/>
      <c r="BN51" s="23"/>
      <c r="BO51" s="23"/>
      <c r="BT51" s="24">
        <v>0.02</v>
      </c>
      <c r="CK51" s="25"/>
      <c r="CL51" s="25"/>
      <c r="CM51" s="25">
        <v>0.1</v>
      </c>
      <c r="CN51" s="34">
        <v>0.76</v>
      </c>
      <c r="CQ51" s="25"/>
      <c r="CR51" s="25">
        <v>0.1</v>
      </c>
      <c r="CU51" s="20"/>
      <c r="CV51" s="19">
        <f t="shared" si="1"/>
        <v>1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</row>
    <row r="52">
      <c r="A52" s="9">
        <v>45318.0</v>
      </c>
      <c r="B52" s="2" t="s">
        <v>237</v>
      </c>
      <c r="C52" s="2" t="s">
        <v>97</v>
      </c>
      <c r="D52" s="2">
        <v>3.0</v>
      </c>
      <c r="E52" s="2">
        <v>11.0</v>
      </c>
      <c r="K52" s="23"/>
      <c r="O52" s="23"/>
      <c r="P52" s="23"/>
      <c r="Q52" s="23"/>
      <c r="R52" s="23"/>
      <c r="S52" s="23"/>
      <c r="AJ52" s="23"/>
      <c r="AK52" s="23"/>
      <c r="AL52" s="23"/>
      <c r="AM52" s="23"/>
      <c r="AN52" s="23"/>
      <c r="AQ52" s="23"/>
      <c r="AW52" s="23"/>
      <c r="AX52" s="23"/>
      <c r="BC52" s="23"/>
      <c r="BD52" s="23"/>
      <c r="BE52" s="23"/>
      <c r="BH52" s="24">
        <v>0.04</v>
      </c>
      <c r="BN52" s="23"/>
      <c r="BO52" s="23"/>
      <c r="BT52" s="25">
        <v>0.2</v>
      </c>
      <c r="CK52" s="25"/>
      <c r="CL52" s="25"/>
      <c r="CM52" s="25">
        <v>0.7</v>
      </c>
      <c r="CN52" s="23"/>
      <c r="CQ52" s="25"/>
      <c r="CR52" s="25">
        <v>0.06</v>
      </c>
      <c r="CU52" s="20"/>
      <c r="CV52" s="19">
        <f t="shared" si="1"/>
        <v>1</v>
      </c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</row>
    <row r="53">
      <c r="A53" s="9">
        <v>45318.0</v>
      </c>
      <c r="B53" s="2" t="s">
        <v>237</v>
      </c>
      <c r="C53" s="2" t="s">
        <v>97</v>
      </c>
      <c r="D53" s="2">
        <v>3.0</v>
      </c>
      <c r="E53" s="2">
        <v>10.0</v>
      </c>
      <c r="K53" s="23"/>
      <c r="O53" s="24">
        <v>0.02</v>
      </c>
      <c r="P53" s="23"/>
      <c r="Q53" s="23"/>
      <c r="R53" s="23"/>
      <c r="S53" s="23"/>
      <c r="AJ53" s="23"/>
      <c r="AK53" s="23"/>
      <c r="AL53" s="23"/>
      <c r="AM53" s="23"/>
      <c r="AN53" s="23"/>
      <c r="AQ53" s="23"/>
      <c r="AW53" s="23"/>
      <c r="AX53" s="23"/>
      <c r="BC53" s="23"/>
      <c r="BD53" s="23"/>
      <c r="BE53" s="23"/>
      <c r="BH53" s="24">
        <v>0.01</v>
      </c>
      <c r="BN53" s="24">
        <v>0.02</v>
      </c>
      <c r="BO53" s="23"/>
      <c r="BT53" s="25">
        <v>0.25</v>
      </c>
      <c r="CK53" s="23"/>
      <c r="CL53" s="23"/>
      <c r="CM53" s="23"/>
      <c r="CN53" s="23"/>
      <c r="CQ53" s="25"/>
      <c r="CR53" s="25">
        <v>0.7</v>
      </c>
      <c r="CU53" s="20"/>
      <c r="CV53" s="19">
        <f t="shared" si="1"/>
        <v>1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</row>
    <row r="54">
      <c r="A54" s="9">
        <v>45318.0</v>
      </c>
      <c r="B54" s="2" t="s">
        <v>237</v>
      </c>
      <c r="C54" s="2" t="s">
        <v>97</v>
      </c>
      <c r="D54" s="2">
        <v>3.0</v>
      </c>
      <c r="E54" s="2">
        <v>9.0</v>
      </c>
      <c r="K54" s="23"/>
      <c r="O54" s="24">
        <v>0.01</v>
      </c>
      <c r="P54" s="23"/>
      <c r="Q54" s="23"/>
      <c r="R54" s="23"/>
      <c r="S54" s="23"/>
      <c r="AJ54" s="23"/>
      <c r="AK54" s="23"/>
      <c r="AL54" s="23"/>
      <c r="AM54" s="23"/>
      <c r="AN54" s="23"/>
      <c r="AQ54" s="24">
        <v>0.02</v>
      </c>
      <c r="AW54" s="24">
        <v>0.01</v>
      </c>
      <c r="AX54" s="23"/>
      <c r="BC54" s="23"/>
      <c r="BD54" s="23"/>
      <c r="BE54" s="23"/>
      <c r="BH54" s="24">
        <v>0.04</v>
      </c>
      <c r="BN54" s="23"/>
      <c r="BO54" s="23"/>
      <c r="BT54" s="24">
        <v>0.03</v>
      </c>
      <c r="CK54" s="23"/>
      <c r="CL54" s="23"/>
      <c r="CM54" s="23"/>
      <c r="CN54" s="23"/>
      <c r="CQ54" s="25"/>
      <c r="CR54" s="25">
        <v>0.89</v>
      </c>
      <c r="CU54" s="20"/>
      <c r="CV54" s="19">
        <f t="shared" si="1"/>
        <v>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</row>
    <row r="55">
      <c r="A55" s="9">
        <v>45318.0</v>
      </c>
      <c r="B55" s="2" t="s">
        <v>237</v>
      </c>
      <c r="C55" s="2" t="s">
        <v>97</v>
      </c>
      <c r="D55" s="2">
        <v>3.0</v>
      </c>
      <c r="E55" s="2">
        <v>8.0</v>
      </c>
      <c r="K55" s="23"/>
      <c r="O55" s="24">
        <v>0.04</v>
      </c>
      <c r="P55" s="24"/>
      <c r="Q55" s="24"/>
      <c r="R55" s="24"/>
      <c r="S55" s="24">
        <v>0.01</v>
      </c>
      <c r="AJ55" s="23"/>
      <c r="AK55" s="23"/>
      <c r="AL55" s="23"/>
      <c r="AM55" s="23"/>
      <c r="AN55" s="23"/>
      <c r="AQ55" s="24">
        <v>0.01</v>
      </c>
      <c r="AW55" s="23"/>
      <c r="AX55" s="23"/>
      <c r="BC55" s="24">
        <v>0.02</v>
      </c>
      <c r="BD55" s="23"/>
      <c r="BE55" s="23"/>
      <c r="BH55" s="25">
        <v>0.1</v>
      </c>
      <c r="BN55" s="23"/>
      <c r="BO55" s="23"/>
      <c r="BT55" s="23"/>
      <c r="CK55" s="23"/>
      <c r="CL55" s="23"/>
      <c r="CM55" s="23"/>
      <c r="CN55" s="23"/>
      <c r="CQ55" s="25"/>
      <c r="CR55" s="34">
        <v>0.82</v>
      </c>
      <c r="CU55" s="20"/>
      <c r="CV55" s="19">
        <f t="shared" si="1"/>
        <v>1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</row>
    <row r="56">
      <c r="A56" s="9">
        <v>45318.0</v>
      </c>
      <c r="B56" s="2" t="s">
        <v>237</v>
      </c>
      <c r="C56" s="2" t="s">
        <v>97</v>
      </c>
      <c r="D56" s="2">
        <v>3.0</v>
      </c>
      <c r="E56" s="2">
        <v>7.0</v>
      </c>
      <c r="K56" s="23"/>
      <c r="O56" s="24">
        <v>0.01</v>
      </c>
      <c r="P56" s="23"/>
      <c r="Q56" s="23"/>
      <c r="R56" s="23"/>
      <c r="S56" s="23"/>
      <c r="AJ56" s="23"/>
      <c r="AK56" s="23"/>
      <c r="AL56" s="23"/>
      <c r="AM56" s="23"/>
      <c r="AN56" s="24">
        <v>0.01</v>
      </c>
      <c r="AQ56" s="24">
        <v>0.01</v>
      </c>
      <c r="AW56" s="23"/>
      <c r="AX56" s="23"/>
      <c r="BC56" s="23"/>
      <c r="BD56" s="23"/>
      <c r="BE56" s="23"/>
      <c r="BH56" s="25">
        <v>0.15</v>
      </c>
      <c r="BN56" s="23"/>
      <c r="BO56" s="25">
        <v>0.12</v>
      </c>
      <c r="BT56" s="23"/>
      <c r="CK56" s="25"/>
      <c r="CL56" s="25"/>
      <c r="CM56" s="25">
        <v>0.1</v>
      </c>
      <c r="CN56" s="23"/>
      <c r="CQ56" s="25"/>
      <c r="CR56" s="34">
        <v>0.6</v>
      </c>
      <c r="CU56" s="20"/>
      <c r="CV56" s="19">
        <f t="shared" si="1"/>
        <v>1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</row>
    <row r="57">
      <c r="A57" s="9">
        <v>45318.0</v>
      </c>
      <c r="B57" s="2" t="s">
        <v>237</v>
      </c>
      <c r="C57" s="2" t="s">
        <v>97</v>
      </c>
      <c r="D57" s="2">
        <v>3.0</v>
      </c>
      <c r="E57" s="2">
        <v>6.0</v>
      </c>
      <c r="K57" s="23"/>
      <c r="O57" s="24">
        <v>0.01</v>
      </c>
      <c r="P57" s="24"/>
      <c r="Q57" s="24"/>
      <c r="R57" s="24"/>
      <c r="S57" s="24">
        <v>0.04</v>
      </c>
      <c r="AJ57" s="23"/>
      <c r="AK57" s="23"/>
      <c r="AL57" s="23"/>
      <c r="AM57" s="23"/>
      <c r="AN57" s="24">
        <v>0.01</v>
      </c>
      <c r="AQ57" s="23"/>
      <c r="AW57" s="23"/>
      <c r="AX57" s="23"/>
      <c r="BC57" s="24">
        <v>0.03</v>
      </c>
      <c r="BD57" s="24"/>
      <c r="BE57" s="24">
        <v>0.01</v>
      </c>
      <c r="BH57" s="25">
        <v>0.4</v>
      </c>
      <c r="BN57" s="23"/>
      <c r="BO57" s="24">
        <v>0.01</v>
      </c>
      <c r="CK57" s="23"/>
      <c r="CL57" s="23"/>
      <c r="CM57" s="23"/>
      <c r="CN57" s="23"/>
      <c r="CQ57" s="25"/>
      <c r="CR57" s="25">
        <v>0.49</v>
      </c>
      <c r="CU57" s="20"/>
      <c r="CV57" s="19">
        <f t="shared" si="1"/>
        <v>1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</row>
    <row r="58">
      <c r="A58" s="9">
        <v>45318.0</v>
      </c>
      <c r="B58" s="2" t="s">
        <v>237</v>
      </c>
      <c r="C58" s="2" t="s">
        <v>97</v>
      </c>
      <c r="D58" s="2">
        <v>3.0</v>
      </c>
      <c r="E58" s="2">
        <v>5.0</v>
      </c>
      <c r="K58" s="23"/>
      <c r="O58" s="23"/>
      <c r="P58" s="24"/>
      <c r="Q58" s="24"/>
      <c r="R58" s="24"/>
      <c r="S58" s="24">
        <v>0.03</v>
      </c>
      <c r="AJ58" s="23"/>
      <c r="AK58" s="23"/>
      <c r="AL58" s="23"/>
      <c r="AM58" s="23"/>
      <c r="AN58" s="23"/>
      <c r="AQ58" s="23"/>
      <c r="AW58" s="23"/>
      <c r="AX58" s="23"/>
      <c r="BC58" s="25">
        <v>0.09</v>
      </c>
      <c r="BD58" s="24"/>
      <c r="BE58" s="24">
        <v>0.02</v>
      </c>
      <c r="BF58" s="24">
        <v>0.01</v>
      </c>
      <c r="BH58" s="25">
        <v>0.1</v>
      </c>
      <c r="BN58" s="23"/>
      <c r="BO58" s="24">
        <v>0.01</v>
      </c>
      <c r="CK58" s="23"/>
      <c r="CL58" s="23"/>
      <c r="CM58" s="23"/>
      <c r="CN58" s="25">
        <v>0.17</v>
      </c>
      <c r="CQ58" s="25"/>
      <c r="CR58" s="34">
        <v>0.57</v>
      </c>
      <c r="CU58" s="20"/>
      <c r="CV58" s="19">
        <f t="shared" si="1"/>
        <v>1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</row>
    <row r="59">
      <c r="A59" s="9">
        <v>45318.0</v>
      </c>
      <c r="B59" s="2" t="s">
        <v>237</v>
      </c>
      <c r="C59" s="2" t="s">
        <v>97</v>
      </c>
      <c r="D59" s="2">
        <v>3.0</v>
      </c>
      <c r="E59" s="2">
        <v>4.0</v>
      </c>
      <c r="K59" s="23"/>
      <c r="O59" s="23"/>
      <c r="P59" s="24"/>
      <c r="Q59" s="24"/>
      <c r="R59" s="24"/>
      <c r="S59" s="24">
        <v>0.01</v>
      </c>
      <c r="AJ59" s="23"/>
      <c r="AK59" s="23"/>
      <c r="AL59" s="23"/>
      <c r="AM59" s="23"/>
      <c r="AN59" s="23"/>
      <c r="AQ59" s="23"/>
      <c r="AW59" s="23"/>
      <c r="AX59" s="23"/>
      <c r="BC59" s="23"/>
      <c r="BD59" s="23"/>
      <c r="BE59" s="23"/>
      <c r="BH59" s="23"/>
      <c r="BN59" s="25">
        <v>0.37</v>
      </c>
      <c r="BO59" s="25">
        <v>0.58</v>
      </c>
      <c r="CK59" s="23"/>
      <c r="CL59" s="23"/>
      <c r="CM59" s="23"/>
      <c r="CN59" s="23"/>
      <c r="CQ59" s="24"/>
      <c r="CR59" s="24">
        <v>0.04</v>
      </c>
      <c r="CU59" s="20"/>
      <c r="CV59" s="19">
        <f t="shared" si="1"/>
        <v>1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</row>
    <row r="60">
      <c r="A60" s="9">
        <v>45318.0</v>
      </c>
      <c r="B60" s="2" t="s">
        <v>237</v>
      </c>
      <c r="C60" s="2" t="s">
        <v>97</v>
      </c>
      <c r="D60" s="2">
        <v>3.0</v>
      </c>
      <c r="E60" s="2">
        <v>3.0</v>
      </c>
      <c r="K60" s="23"/>
      <c r="O60" s="23"/>
      <c r="P60" s="23"/>
      <c r="Q60" s="23"/>
      <c r="R60" s="23"/>
      <c r="S60" s="23"/>
      <c r="AJ60" s="25"/>
      <c r="AK60" s="25"/>
      <c r="AL60" s="25">
        <v>0.05</v>
      </c>
      <c r="AM60" s="25"/>
      <c r="AN60" s="23"/>
      <c r="AQ60" s="23"/>
      <c r="AW60" s="24">
        <v>0.04</v>
      </c>
      <c r="AX60" s="25">
        <v>0.15</v>
      </c>
      <c r="BC60" s="24">
        <v>0.03</v>
      </c>
      <c r="BD60" s="23"/>
      <c r="BE60" s="23"/>
      <c r="BH60" s="23"/>
      <c r="BN60" s="25">
        <v>0.24</v>
      </c>
      <c r="BO60" s="25">
        <v>0.06</v>
      </c>
      <c r="CN60" s="23"/>
      <c r="CQ60" s="25"/>
      <c r="CR60" s="25">
        <v>0.43</v>
      </c>
      <c r="CU60" s="20"/>
      <c r="CV60" s="19">
        <f t="shared" si="1"/>
        <v>1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</row>
    <row r="61">
      <c r="A61" s="9">
        <v>45318.0</v>
      </c>
      <c r="B61" s="2" t="s">
        <v>233</v>
      </c>
      <c r="C61" s="2" t="s">
        <v>246</v>
      </c>
      <c r="D61" s="2">
        <v>4.0</v>
      </c>
      <c r="E61" s="2">
        <v>1.0</v>
      </c>
      <c r="K61" s="23"/>
      <c r="O61" s="23"/>
      <c r="P61" s="23"/>
      <c r="Q61" s="23"/>
      <c r="R61" s="23"/>
      <c r="S61" s="23"/>
      <c r="AJ61" s="23"/>
      <c r="AK61" s="23"/>
      <c r="AL61" s="23"/>
      <c r="AM61" s="23"/>
      <c r="AN61" s="23"/>
      <c r="AQ61" s="23"/>
      <c r="AW61" s="23"/>
      <c r="AX61" s="24">
        <v>0.05</v>
      </c>
      <c r="BC61" s="24">
        <v>0.03</v>
      </c>
      <c r="BD61" s="23"/>
      <c r="BE61" s="23"/>
      <c r="BN61" s="2">
        <v>0.8</v>
      </c>
      <c r="BS61" s="2">
        <v>0.1</v>
      </c>
      <c r="CQ61" s="2"/>
      <c r="CR61" s="2">
        <v>0.02</v>
      </c>
      <c r="CU61" s="19"/>
      <c r="CV61" s="19">
        <f t="shared" si="1"/>
        <v>1</v>
      </c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</row>
    <row r="62">
      <c r="A62" s="9">
        <v>45318.0</v>
      </c>
      <c r="B62" s="2" t="s">
        <v>233</v>
      </c>
      <c r="C62" s="2" t="s">
        <v>246</v>
      </c>
      <c r="D62" s="2">
        <v>4.0</v>
      </c>
      <c r="E62" s="2">
        <v>2.0</v>
      </c>
      <c r="K62" s="23"/>
      <c r="O62" s="23"/>
      <c r="P62" s="23"/>
      <c r="Q62" s="23"/>
      <c r="R62" s="23"/>
      <c r="S62" s="23"/>
      <c r="AV62" s="2">
        <v>0.02</v>
      </c>
      <c r="AW62" s="23"/>
      <c r="AX62" s="23"/>
      <c r="BC62" s="23"/>
      <c r="BD62" s="23"/>
      <c r="BE62" s="23"/>
      <c r="BH62" s="2">
        <v>0.1</v>
      </c>
      <c r="BN62" s="2">
        <v>0.15</v>
      </c>
      <c r="BO62" s="2">
        <v>0.7</v>
      </c>
      <c r="CQ62" s="2"/>
      <c r="CR62" s="2">
        <v>0.03</v>
      </c>
      <c r="CU62" s="19"/>
      <c r="CV62" s="19">
        <f t="shared" si="1"/>
        <v>1</v>
      </c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</row>
    <row r="63">
      <c r="A63" s="9">
        <v>45318.0</v>
      </c>
      <c r="B63" s="2" t="s">
        <v>233</v>
      </c>
      <c r="C63" s="2" t="s">
        <v>246</v>
      </c>
      <c r="D63" s="2">
        <v>4.0</v>
      </c>
      <c r="E63" s="2">
        <v>3.0</v>
      </c>
      <c r="P63" s="23"/>
      <c r="Q63" s="23"/>
      <c r="R63" s="23"/>
      <c r="S63" s="23"/>
      <c r="AR63" s="2"/>
      <c r="AS63" s="2">
        <v>0.05</v>
      </c>
      <c r="AT63" s="2"/>
      <c r="BC63" s="2">
        <v>0.05</v>
      </c>
      <c r="BH63" s="2">
        <v>0.4</v>
      </c>
      <c r="BO63" s="2">
        <v>0.2</v>
      </c>
      <c r="BT63" s="2">
        <v>0.2</v>
      </c>
      <c r="CQ63" s="2"/>
      <c r="CR63" s="2">
        <v>0.1</v>
      </c>
      <c r="CU63" s="19"/>
      <c r="CV63" s="19">
        <f t="shared" si="1"/>
        <v>1</v>
      </c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</row>
    <row r="64">
      <c r="A64" s="9">
        <v>45318.0</v>
      </c>
      <c r="B64" s="2" t="s">
        <v>233</v>
      </c>
      <c r="C64" s="2" t="s">
        <v>246</v>
      </c>
      <c r="D64" s="2">
        <v>4.0</v>
      </c>
      <c r="E64" s="2">
        <v>4.0</v>
      </c>
      <c r="P64" s="23"/>
      <c r="Q64" s="23"/>
      <c r="R64" s="23"/>
      <c r="S64" s="23"/>
      <c r="AQ64" s="2">
        <v>0.03</v>
      </c>
      <c r="BH64" s="2">
        <v>0.9</v>
      </c>
      <c r="BO64" s="2">
        <v>0.05</v>
      </c>
      <c r="CQ64" s="2"/>
      <c r="CR64" s="2">
        <v>0.02</v>
      </c>
      <c r="CU64" s="19"/>
      <c r="CV64" s="19">
        <f t="shared" si="1"/>
        <v>1</v>
      </c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</row>
    <row r="65">
      <c r="A65" s="9">
        <v>45318.0</v>
      </c>
      <c r="B65" s="2" t="s">
        <v>233</v>
      </c>
      <c r="C65" s="2" t="s">
        <v>246</v>
      </c>
      <c r="D65" s="2">
        <v>4.0</v>
      </c>
      <c r="E65" s="2">
        <v>5.0</v>
      </c>
      <c r="P65" s="23"/>
      <c r="Q65" s="23"/>
      <c r="R65" s="23"/>
      <c r="S65" s="23"/>
      <c r="AR65" s="2"/>
      <c r="AS65" s="2">
        <v>0.05</v>
      </c>
      <c r="AT65" s="2"/>
      <c r="AV65" s="2">
        <v>0.05</v>
      </c>
      <c r="BH65" s="2">
        <v>0.5</v>
      </c>
      <c r="BO65" s="2">
        <v>0.25</v>
      </c>
      <c r="CQ65" s="2"/>
      <c r="CR65" s="2">
        <v>0.15</v>
      </c>
      <c r="CU65" s="19"/>
      <c r="CV65" s="19">
        <f t="shared" si="1"/>
        <v>1</v>
      </c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</row>
    <row r="66">
      <c r="A66" s="9">
        <v>45318.0</v>
      </c>
      <c r="B66" s="2" t="s">
        <v>233</v>
      </c>
      <c r="C66" s="2" t="s">
        <v>246</v>
      </c>
      <c r="D66" s="2">
        <v>4.0</v>
      </c>
      <c r="E66" s="2">
        <v>6.0</v>
      </c>
      <c r="AY66" s="2"/>
      <c r="BA66" s="2">
        <v>0.1</v>
      </c>
      <c r="BB66" s="2"/>
      <c r="BH66" s="2">
        <v>0.6</v>
      </c>
      <c r="BO66" s="2">
        <v>0.1</v>
      </c>
      <c r="CQ66" s="2"/>
      <c r="CR66" s="2">
        <v>0.2</v>
      </c>
      <c r="CU66" s="19"/>
      <c r="CV66" s="19">
        <f t="shared" si="1"/>
        <v>1</v>
      </c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</row>
    <row r="67">
      <c r="A67" s="9">
        <v>45318.0</v>
      </c>
      <c r="B67" s="2" t="s">
        <v>233</v>
      </c>
      <c r="C67" s="2" t="s">
        <v>246</v>
      </c>
      <c r="D67" s="2">
        <v>4.0</v>
      </c>
      <c r="E67" s="2">
        <v>7.0</v>
      </c>
      <c r="AQ67" s="2">
        <v>0.1</v>
      </c>
      <c r="BC67" s="2">
        <v>0.1</v>
      </c>
      <c r="BH67" s="2">
        <v>0.25</v>
      </c>
      <c r="CQ67" s="2"/>
      <c r="CR67" s="2">
        <v>0.55</v>
      </c>
      <c r="CU67" s="19"/>
      <c r="CV67" s="19">
        <f t="shared" si="1"/>
        <v>1</v>
      </c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</row>
    <row r="68">
      <c r="A68" s="9">
        <v>45318.0</v>
      </c>
      <c r="B68" s="2" t="s">
        <v>233</v>
      </c>
      <c r="C68" s="2" t="s">
        <v>246</v>
      </c>
      <c r="D68" s="2">
        <v>4.0</v>
      </c>
      <c r="E68" s="2">
        <v>8.0</v>
      </c>
      <c r="AY68" s="2"/>
      <c r="BA68" s="2">
        <v>0.1</v>
      </c>
      <c r="BB68" s="2"/>
      <c r="BH68" s="2">
        <v>0.2</v>
      </c>
      <c r="BT68" s="2">
        <v>0.1</v>
      </c>
      <c r="CQ68" s="2"/>
      <c r="CR68" s="2">
        <v>0.6</v>
      </c>
      <c r="CU68" s="19"/>
      <c r="CV68" s="19">
        <f t="shared" si="1"/>
        <v>1</v>
      </c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</row>
    <row r="69">
      <c r="A69" s="9">
        <v>45318.0</v>
      </c>
      <c r="B69" s="2" t="s">
        <v>233</v>
      </c>
      <c r="C69" s="2" t="s">
        <v>246</v>
      </c>
      <c r="D69" s="2">
        <v>4.0</v>
      </c>
      <c r="E69" s="2">
        <v>9.0</v>
      </c>
      <c r="BC69" s="2">
        <v>0.5</v>
      </c>
      <c r="BT69" s="2">
        <v>0.2</v>
      </c>
      <c r="CQ69" s="2"/>
      <c r="CR69" s="2">
        <v>0.3</v>
      </c>
      <c r="CU69" s="19"/>
      <c r="CV69" s="19">
        <f t="shared" si="1"/>
        <v>1</v>
      </c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</row>
    <row r="70">
      <c r="A70" s="9">
        <v>45318.0</v>
      </c>
      <c r="B70" s="2" t="s">
        <v>233</v>
      </c>
      <c r="C70" s="2" t="s">
        <v>246</v>
      </c>
      <c r="D70" s="2">
        <v>4.0</v>
      </c>
      <c r="E70" s="2">
        <v>10.0</v>
      </c>
      <c r="CQ70" s="2"/>
      <c r="CR70" s="2">
        <v>1.0</v>
      </c>
      <c r="CU70" s="19"/>
      <c r="CV70" s="19">
        <f t="shared" si="1"/>
        <v>1</v>
      </c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</row>
    <row r="71">
      <c r="A71" s="9">
        <v>45318.0</v>
      </c>
      <c r="B71" s="2" t="s">
        <v>233</v>
      </c>
      <c r="C71" s="2" t="s">
        <v>246</v>
      </c>
      <c r="D71" s="2">
        <v>4.0</v>
      </c>
      <c r="E71" s="2">
        <v>11.0</v>
      </c>
      <c r="CG71" s="2">
        <v>0.02</v>
      </c>
      <c r="CQ71" s="2"/>
      <c r="CR71" s="2">
        <v>0.98</v>
      </c>
      <c r="CU71" s="19"/>
      <c r="CV71" s="19">
        <f t="shared" si="1"/>
        <v>1</v>
      </c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</row>
    <row r="72">
      <c r="A72" s="9">
        <v>45318.0</v>
      </c>
      <c r="B72" s="2" t="s">
        <v>233</v>
      </c>
      <c r="C72" s="2" t="s">
        <v>246</v>
      </c>
      <c r="D72" s="2">
        <v>2.0</v>
      </c>
      <c r="E72" s="2">
        <v>2.0</v>
      </c>
      <c r="AJ72" s="2"/>
      <c r="AK72" s="2"/>
      <c r="AL72" s="2">
        <v>0.3</v>
      </c>
      <c r="AM72" s="2"/>
      <c r="AX72" s="2">
        <v>0.25</v>
      </c>
      <c r="BN72" s="2">
        <v>0.25</v>
      </c>
      <c r="BO72" s="2">
        <v>0.1</v>
      </c>
      <c r="CQ72" s="2"/>
      <c r="CR72" s="2">
        <v>0.1</v>
      </c>
      <c r="CU72" s="19"/>
      <c r="CV72" s="19">
        <f t="shared" si="1"/>
        <v>1</v>
      </c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</row>
    <row r="73">
      <c r="A73" s="9">
        <v>45318.0</v>
      </c>
      <c r="B73" s="2" t="s">
        <v>233</v>
      </c>
      <c r="C73" s="2" t="s">
        <v>246</v>
      </c>
      <c r="D73" s="2">
        <v>2.0</v>
      </c>
      <c r="E73" s="2">
        <v>3.0</v>
      </c>
      <c r="AJ73" s="2"/>
      <c r="AK73" s="2"/>
      <c r="AL73" s="2">
        <v>0.2</v>
      </c>
      <c r="AM73" s="2"/>
      <c r="BN73" s="2">
        <v>0.4</v>
      </c>
      <c r="BO73" s="2">
        <v>0.3</v>
      </c>
      <c r="CQ73" s="2"/>
      <c r="CR73" s="2">
        <v>0.1</v>
      </c>
      <c r="CU73" s="19"/>
      <c r="CV73" s="19">
        <f t="shared" si="1"/>
        <v>1</v>
      </c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</row>
    <row r="74">
      <c r="A74" s="9">
        <v>45318.0</v>
      </c>
      <c r="B74" s="2" t="s">
        <v>233</v>
      </c>
      <c r="C74" s="2" t="s">
        <v>246</v>
      </c>
      <c r="D74" s="2">
        <v>2.0</v>
      </c>
      <c r="E74" s="2">
        <v>4.0</v>
      </c>
      <c r="BC74" s="2">
        <v>0.05</v>
      </c>
      <c r="BD74" s="2"/>
      <c r="BE74" s="2">
        <v>0.1</v>
      </c>
      <c r="BN74" s="2">
        <v>0.2</v>
      </c>
      <c r="BO74" s="2">
        <v>0.6</v>
      </c>
      <c r="CQ74" s="2"/>
      <c r="CR74" s="2">
        <v>0.05</v>
      </c>
      <c r="CU74" s="19"/>
      <c r="CV74" s="19">
        <f t="shared" si="1"/>
        <v>1</v>
      </c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</row>
    <row r="75">
      <c r="A75" s="9">
        <v>45318.0</v>
      </c>
      <c r="B75" s="2" t="s">
        <v>233</v>
      </c>
      <c r="C75" s="2" t="s">
        <v>246</v>
      </c>
      <c r="D75" s="2">
        <v>2.0</v>
      </c>
      <c r="E75" s="2">
        <v>5.0</v>
      </c>
      <c r="BC75" s="2">
        <v>0.05</v>
      </c>
      <c r="BH75" s="2">
        <v>0.9</v>
      </c>
      <c r="BO75" s="2">
        <v>0.05</v>
      </c>
      <c r="CU75" s="19"/>
      <c r="CV75" s="19">
        <f t="shared" si="1"/>
        <v>1</v>
      </c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</row>
    <row r="76">
      <c r="A76" s="9">
        <v>45318.0</v>
      </c>
      <c r="B76" s="2" t="s">
        <v>233</v>
      </c>
      <c r="C76" s="2" t="s">
        <v>246</v>
      </c>
      <c r="D76" s="2">
        <v>2.0</v>
      </c>
      <c r="E76" s="2">
        <v>6.0</v>
      </c>
      <c r="BC76" s="2">
        <v>0.03</v>
      </c>
      <c r="BH76" s="2">
        <v>0.9</v>
      </c>
      <c r="BO76" s="2">
        <v>0.05</v>
      </c>
      <c r="CQ76" s="2"/>
      <c r="CR76" s="2">
        <v>0.02</v>
      </c>
      <c r="CU76" s="19"/>
      <c r="CV76" s="19">
        <f t="shared" si="1"/>
        <v>1</v>
      </c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</row>
    <row r="77">
      <c r="A77" s="9">
        <v>45318.0</v>
      </c>
      <c r="B77" s="2" t="s">
        <v>233</v>
      </c>
      <c r="C77" s="2" t="s">
        <v>246</v>
      </c>
      <c r="D77" s="2">
        <v>2.0</v>
      </c>
      <c r="E77" s="2">
        <v>7.0</v>
      </c>
      <c r="O77" s="2">
        <v>0.05</v>
      </c>
      <c r="BC77" s="2">
        <v>0.5</v>
      </c>
      <c r="BH77" s="2">
        <v>0.3</v>
      </c>
      <c r="CQ77" s="2"/>
      <c r="CR77" s="2">
        <v>0.15</v>
      </c>
      <c r="CU77" s="19"/>
      <c r="CV77" s="19">
        <f t="shared" si="1"/>
        <v>1</v>
      </c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</row>
    <row r="78">
      <c r="A78" s="9">
        <v>45318.0</v>
      </c>
      <c r="B78" s="2" t="s">
        <v>233</v>
      </c>
      <c r="C78" s="2" t="s">
        <v>246</v>
      </c>
      <c r="D78" s="2">
        <v>2.0</v>
      </c>
      <c r="E78" s="2">
        <v>8.0</v>
      </c>
      <c r="O78" s="2">
        <v>0.2</v>
      </c>
      <c r="BC78" s="2">
        <v>0.2</v>
      </c>
      <c r="BH78" s="2">
        <v>0.4</v>
      </c>
      <c r="CQ78" s="2"/>
      <c r="CR78" s="2">
        <v>0.2</v>
      </c>
      <c r="CU78" s="19"/>
      <c r="CV78" s="19">
        <f t="shared" si="1"/>
        <v>1</v>
      </c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</row>
    <row r="79">
      <c r="A79" s="9">
        <v>45318.0</v>
      </c>
      <c r="B79" s="2" t="s">
        <v>233</v>
      </c>
      <c r="C79" s="2" t="s">
        <v>246</v>
      </c>
      <c r="D79" s="2">
        <v>2.0</v>
      </c>
      <c r="E79" s="2">
        <v>9.0</v>
      </c>
      <c r="O79" s="2"/>
      <c r="AQ79" s="2">
        <v>0.1</v>
      </c>
      <c r="AU79" s="2">
        <v>0.45</v>
      </c>
      <c r="BH79" s="2">
        <v>0.05</v>
      </c>
      <c r="BO79" s="2">
        <v>0.1</v>
      </c>
      <c r="CQ79" s="2"/>
      <c r="CR79" s="2">
        <v>0.3</v>
      </c>
      <c r="CU79" s="19"/>
      <c r="CV79" s="19">
        <f t="shared" si="1"/>
        <v>1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</row>
    <row r="80">
      <c r="A80" s="9">
        <v>45318.0</v>
      </c>
      <c r="B80" s="2" t="s">
        <v>233</v>
      </c>
      <c r="C80" s="2" t="s">
        <v>246</v>
      </c>
      <c r="D80" s="2">
        <v>2.0</v>
      </c>
      <c r="E80" s="2">
        <v>10.0</v>
      </c>
      <c r="T80" s="2">
        <v>0.1</v>
      </c>
      <c r="AU80" s="2">
        <v>0.15</v>
      </c>
      <c r="BC80" s="2">
        <v>0.35</v>
      </c>
      <c r="CE80" s="2">
        <v>0.2</v>
      </c>
      <c r="CQ80" s="2"/>
      <c r="CR80" s="2">
        <v>0.2</v>
      </c>
      <c r="CU80" s="19"/>
      <c r="CV80" s="19">
        <f t="shared" si="1"/>
        <v>1</v>
      </c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</row>
    <row r="81">
      <c r="A81" s="9">
        <v>45318.0</v>
      </c>
      <c r="B81" s="2" t="s">
        <v>233</v>
      </c>
      <c r="C81" s="2" t="s">
        <v>246</v>
      </c>
      <c r="D81" s="2">
        <v>2.0</v>
      </c>
      <c r="E81" s="2">
        <v>11.0</v>
      </c>
      <c r="AU81" s="2">
        <v>0.15</v>
      </c>
      <c r="BC81" s="2">
        <v>0.2</v>
      </c>
      <c r="BO81" s="2">
        <v>0.1</v>
      </c>
      <c r="BT81" s="2">
        <v>0.1</v>
      </c>
      <c r="CQ81" s="2"/>
      <c r="CR81" s="2">
        <v>0.45</v>
      </c>
      <c r="CU81" s="19"/>
      <c r="CV81" s="19">
        <f t="shared" si="1"/>
        <v>1</v>
      </c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</row>
    <row r="82">
      <c r="A82" s="4">
        <v>45332.0</v>
      </c>
      <c r="B82" s="2" t="s">
        <v>207</v>
      </c>
      <c r="C82" s="2" t="s">
        <v>117</v>
      </c>
      <c r="D82" s="2">
        <v>2.0</v>
      </c>
      <c r="E82" s="2">
        <v>2.0</v>
      </c>
      <c r="L82" s="2"/>
      <c r="M82" s="2"/>
      <c r="N82" s="2">
        <v>0.06</v>
      </c>
      <c r="Z82" s="2">
        <v>0.03</v>
      </c>
      <c r="AR82" s="2"/>
      <c r="AS82" s="2">
        <v>0.01</v>
      </c>
      <c r="AT82" s="2"/>
      <c r="AV82" s="2">
        <v>0.01</v>
      </c>
      <c r="BD82" s="2"/>
      <c r="BE82" s="2">
        <v>0.03</v>
      </c>
      <c r="BH82" s="2">
        <v>0.07</v>
      </c>
      <c r="CQ82" s="2"/>
      <c r="CR82" s="2">
        <v>0.79</v>
      </c>
      <c r="CU82" s="19"/>
      <c r="CV82" s="19">
        <f t="shared" si="1"/>
        <v>1</v>
      </c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</row>
    <row r="83">
      <c r="A83" s="30">
        <v>45332.0</v>
      </c>
      <c r="B83" s="2" t="s">
        <v>207</v>
      </c>
      <c r="C83" s="2" t="s">
        <v>117</v>
      </c>
      <c r="D83" s="2">
        <v>2.0</v>
      </c>
      <c r="E83" s="2">
        <v>4.0</v>
      </c>
      <c r="P83" s="2"/>
      <c r="Q83" s="2"/>
      <c r="R83" s="2"/>
      <c r="S83" s="2">
        <v>0.01</v>
      </c>
      <c r="Z83" s="2">
        <v>0.07</v>
      </c>
      <c r="AJ83" s="2"/>
      <c r="AK83" s="2">
        <v>0.01</v>
      </c>
      <c r="AR83" s="2"/>
      <c r="AS83" s="2">
        <v>0.01</v>
      </c>
      <c r="AT83" s="2"/>
      <c r="AV83" s="2">
        <v>0.01</v>
      </c>
      <c r="BD83" s="2"/>
      <c r="BE83" s="2">
        <v>0.15</v>
      </c>
      <c r="BH83" s="2">
        <v>0.3</v>
      </c>
      <c r="CQ83" s="2"/>
      <c r="CR83" s="2">
        <v>0.44</v>
      </c>
      <c r="CU83" s="19"/>
      <c r="CV83" s="19">
        <f t="shared" si="1"/>
        <v>1</v>
      </c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</row>
    <row r="84">
      <c r="A84" s="30">
        <v>45332.0</v>
      </c>
      <c r="B84" s="2" t="s">
        <v>207</v>
      </c>
      <c r="C84" s="2" t="s">
        <v>117</v>
      </c>
      <c r="D84" s="2">
        <v>2.0</v>
      </c>
      <c r="E84" s="2">
        <v>6.0</v>
      </c>
      <c r="P84" s="2"/>
      <c r="Q84" s="2"/>
      <c r="R84" s="2"/>
      <c r="S84" s="2">
        <v>0.25</v>
      </c>
      <c r="Z84" s="2">
        <v>0.02</v>
      </c>
      <c r="AJ84" s="2"/>
      <c r="AK84" s="2">
        <v>0.01</v>
      </c>
      <c r="AV84" s="2">
        <v>0.01</v>
      </c>
      <c r="BD84" s="2"/>
      <c r="BE84" s="2">
        <v>0.04</v>
      </c>
      <c r="BH84" s="2">
        <v>0.04</v>
      </c>
      <c r="CQ84" s="2"/>
      <c r="CR84" s="2">
        <v>0.63</v>
      </c>
      <c r="CU84" s="19"/>
      <c r="CV84" s="19">
        <f t="shared" si="1"/>
        <v>1</v>
      </c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</row>
    <row r="85">
      <c r="A85" s="30">
        <v>45332.0</v>
      </c>
      <c r="B85" s="2" t="s">
        <v>207</v>
      </c>
      <c r="C85" s="2" t="s">
        <v>117</v>
      </c>
      <c r="D85" s="2">
        <v>2.0</v>
      </c>
      <c r="E85" s="2">
        <v>8.0</v>
      </c>
      <c r="L85" s="2"/>
      <c r="M85" s="2"/>
      <c r="N85" s="2">
        <v>0.02</v>
      </c>
      <c r="P85" s="2"/>
      <c r="Q85" s="2"/>
      <c r="R85" s="2"/>
      <c r="S85" s="2">
        <v>0.06</v>
      </c>
      <c r="AJ85" s="2"/>
      <c r="AK85" s="2">
        <v>0.02</v>
      </c>
      <c r="AV85" s="2">
        <v>0.01</v>
      </c>
      <c r="BD85" s="2"/>
      <c r="BE85" s="2">
        <v>0.01</v>
      </c>
      <c r="BH85" s="2">
        <v>0.08</v>
      </c>
      <c r="CQ85" s="2"/>
      <c r="CR85" s="2">
        <v>0.8</v>
      </c>
      <c r="CU85" s="19"/>
      <c r="CV85" s="19">
        <f t="shared" si="1"/>
        <v>1</v>
      </c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</row>
    <row r="86">
      <c r="A86" s="30">
        <v>45332.0</v>
      </c>
      <c r="B86" s="2" t="s">
        <v>207</v>
      </c>
      <c r="C86" s="2" t="s">
        <v>117</v>
      </c>
      <c r="D86" s="2">
        <v>2.0</v>
      </c>
      <c r="E86" s="2">
        <v>10.0</v>
      </c>
      <c r="L86" s="2"/>
      <c r="M86" s="2"/>
      <c r="N86" s="2">
        <v>0.01</v>
      </c>
      <c r="AJ86" s="2"/>
      <c r="AK86" s="2">
        <v>0.02</v>
      </c>
      <c r="AV86" s="2">
        <v>0.02</v>
      </c>
      <c r="BD86" s="2"/>
      <c r="BE86" s="2">
        <v>0.2</v>
      </c>
      <c r="BH86" s="2">
        <v>0.25</v>
      </c>
      <c r="CQ86" s="2"/>
      <c r="CR86" s="2">
        <v>0.5</v>
      </c>
      <c r="CU86" s="19"/>
      <c r="CV86" s="19">
        <f t="shared" si="1"/>
        <v>1</v>
      </c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</row>
    <row r="87">
      <c r="A87" s="30">
        <v>45332.0</v>
      </c>
      <c r="B87" s="2" t="s">
        <v>207</v>
      </c>
      <c r="C87" s="2" t="s">
        <v>117</v>
      </c>
      <c r="D87" s="2">
        <v>2.0</v>
      </c>
      <c r="E87" s="2">
        <v>12.0</v>
      </c>
      <c r="AH87" s="2">
        <v>0.02</v>
      </c>
      <c r="AL87" s="2">
        <v>0.03</v>
      </c>
      <c r="AM87" s="2"/>
      <c r="AR87" s="2"/>
      <c r="AS87" s="2">
        <v>0.04</v>
      </c>
      <c r="AT87" s="2"/>
      <c r="BD87" s="2"/>
      <c r="BE87" s="2">
        <v>0.2</v>
      </c>
      <c r="BH87" s="2">
        <v>0.15</v>
      </c>
      <c r="BT87" s="2">
        <v>0.05</v>
      </c>
      <c r="CQ87" s="2"/>
      <c r="CR87" s="2">
        <v>0.51</v>
      </c>
      <c r="CU87" s="19"/>
      <c r="CV87" s="19">
        <f t="shared" si="1"/>
        <v>1</v>
      </c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</row>
    <row r="88">
      <c r="A88" s="30">
        <v>45332.0</v>
      </c>
      <c r="B88" s="2" t="s">
        <v>207</v>
      </c>
      <c r="C88" s="2" t="s">
        <v>117</v>
      </c>
      <c r="D88" s="2">
        <v>2.0</v>
      </c>
      <c r="E88" s="2">
        <v>14.0</v>
      </c>
      <c r="AH88" s="2">
        <v>0.08</v>
      </c>
      <c r="AR88" s="2"/>
      <c r="AS88" s="2">
        <v>0.04</v>
      </c>
      <c r="AT88" s="2"/>
      <c r="BH88" s="2">
        <v>0.2</v>
      </c>
      <c r="BT88" s="2">
        <v>0.01</v>
      </c>
      <c r="CK88" s="2"/>
      <c r="CL88" s="2"/>
      <c r="CM88" s="2">
        <v>0.47</v>
      </c>
      <c r="CQ88" s="2"/>
      <c r="CR88" s="2">
        <v>0.2</v>
      </c>
      <c r="CU88" s="19"/>
      <c r="CV88" s="19">
        <f t="shared" si="1"/>
        <v>1</v>
      </c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</row>
    <row r="89">
      <c r="A89" s="30">
        <v>45332.0</v>
      </c>
      <c r="B89" s="2" t="s">
        <v>207</v>
      </c>
      <c r="C89" s="2" t="s">
        <v>117</v>
      </c>
      <c r="D89" s="2">
        <v>2.0</v>
      </c>
      <c r="E89" s="2">
        <v>16.0</v>
      </c>
      <c r="L89" s="2"/>
      <c r="M89" s="2"/>
      <c r="N89" s="2">
        <v>0.15</v>
      </c>
      <c r="AH89" s="2">
        <v>0.08</v>
      </c>
      <c r="BD89" s="2"/>
      <c r="BE89" s="2">
        <v>0.01</v>
      </c>
      <c r="BH89" s="2">
        <v>0.08</v>
      </c>
      <c r="BT89" s="2">
        <v>0.01</v>
      </c>
      <c r="CK89" s="2"/>
      <c r="CL89" s="2"/>
      <c r="CM89" s="2">
        <v>0.47</v>
      </c>
      <c r="CQ89" s="2"/>
      <c r="CR89" s="2">
        <v>0.2</v>
      </c>
      <c r="CU89" s="19"/>
      <c r="CV89" s="19">
        <f t="shared" si="1"/>
        <v>1</v>
      </c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</row>
    <row r="90">
      <c r="A90" s="30">
        <v>45332.0</v>
      </c>
      <c r="B90" s="2" t="s">
        <v>207</v>
      </c>
      <c r="C90" s="2" t="s">
        <v>117</v>
      </c>
      <c r="D90" s="2">
        <v>2.0</v>
      </c>
      <c r="E90" s="2">
        <v>18.0</v>
      </c>
      <c r="AL90" s="2">
        <v>0.15</v>
      </c>
      <c r="AM90" s="2"/>
      <c r="BF90" s="2">
        <v>0.01</v>
      </c>
      <c r="BH90" s="2">
        <v>0.4</v>
      </c>
      <c r="CK90" s="2"/>
      <c r="CL90" s="2"/>
      <c r="CM90" s="2">
        <v>0.36</v>
      </c>
      <c r="CQ90" s="2"/>
      <c r="CR90" s="2">
        <v>0.08</v>
      </c>
      <c r="CU90" s="19"/>
      <c r="CV90" s="19">
        <f t="shared" si="1"/>
        <v>1</v>
      </c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</row>
    <row r="91">
      <c r="A91" s="30">
        <v>45332.0</v>
      </c>
      <c r="B91" s="2" t="s">
        <v>207</v>
      </c>
      <c r="C91" s="2" t="s">
        <v>117</v>
      </c>
      <c r="D91" s="2">
        <v>2.0</v>
      </c>
      <c r="E91" s="2">
        <v>20.0</v>
      </c>
      <c r="AC91" s="2"/>
      <c r="AD91" s="2"/>
      <c r="AE91" s="2">
        <v>0.05</v>
      </c>
      <c r="AZ91" s="2">
        <v>0.1</v>
      </c>
      <c r="BF91" s="2">
        <v>0.01</v>
      </c>
      <c r="BH91" s="2">
        <v>0.01</v>
      </c>
      <c r="CK91" s="2"/>
      <c r="CL91" s="2"/>
      <c r="CM91" s="2">
        <v>0.63</v>
      </c>
      <c r="CQ91" s="2"/>
      <c r="CR91" s="2">
        <v>0.2</v>
      </c>
      <c r="CU91" s="19"/>
      <c r="CV91" s="19">
        <f t="shared" si="1"/>
        <v>1</v>
      </c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</row>
    <row r="92">
      <c r="A92" s="22">
        <v>45332.0</v>
      </c>
      <c r="B92" s="23" t="s">
        <v>207</v>
      </c>
      <c r="C92" s="23" t="s">
        <v>129</v>
      </c>
      <c r="D92" s="25">
        <v>3.0</v>
      </c>
      <c r="E92" s="26">
        <v>2.0</v>
      </c>
      <c r="L92" s="2"/>
      <c r="M92" s="2"/>
      <c r="N92" s="2">
        <v>0.1</v>
      </c>
      <c r="U92" s="2">
        <v>0.1</v>
      </c>
      <c r="Y92" s="2">
        <v>0.15</v>
      </c>
      <c r="AJ92" s="2"/>
      <c r="AK92" s="2">
        <v>0.05</v>
      </c>
      <c r="AO92" s="2">
        <v>0.1</v>
      </c>
      <c r="BD92" s="2"/>
      <c r="BE92" s="2">
        <v>0.1</v>
      </c>
      <c r="BH92" s="2">
        <v>0.25</v>
      </c>
      <c r="CQ92" s="2"/>
      <c r="CR92" s="2">
        <v>0.15</v>
      </c>
      <c r="CU92" s="19"/>
      <c r="CV92" s="19">
        <f t="shared" si="1"/>
        <v>1</v>
      </c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</row>
    <row r="93">
      <c r="A93" s="22">
        <v>45332.0</v>
      </c>
      <c r="B93" s="23" t="s">
        <v>207</v>
      </c>
      <c r="C93" s="23" t="s">
        <v>129</v>
      </c>
      <c r="D93" s="25">
        <v>3.0</v>
      </c>
      <c r="E93" s="2">
        <v>4.0</v>
      </c>
      <c r="U93" s="2">
        <v>0.05</v>
      </c>
      <c r="AH93" s="2">
        <v>0.1</v>
      </c>
      <c r="AJ93" s="2"/>
      <c r="AK93" s="2">
        <v>0.05</v>
      </c>
      <c r="AO93" s="2">
        <v>0.05</v>
      </c>
      <c r="AR93" s="2"/>
      <c r="AS93" s="2">
        <v>0.05</v>
      </c>
      <c r="AT93" s="2"/>
      <c r="BH93" s="2">
        <v>0.5</v>
      </c>
      <c r="CQ93" s="2"/>
      <c r="CR93" s="2">
        <v>0.2</v>
      </c>
      <c r="CU93" s="19"/>
      <c r="CV93" s="19">
        <f t="shared" si="1"/>
        <v>1</v>
      </c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</row>
    <row r="94">
      <c r="A94" s="22">
        <v>45332.0</v>
      </c>
      <c r="B94" s="23" t="s">
        <v>207</v>
      </c>
      <c r="C94" s="23" t="s">
        <v>129</v>
      </c>
      <c r="D94" s="25">
        <v>3.0</v>
      </c>
      <c r="E94" s="2">
        <v>6.0</v>
      </c>
      <c r="Y94" s="2">
        <v>0.02</v>
      </c>
      <c r="AH94" s="2">
        <v>0.2</v>
      </c>
      <c r="AJ94" s="2"/>
      <c r="AK94" s="2">
        <v>0.1</v>
      </c>
      <c r="AR94" s="2"/>
      <c r="AS94" s="2">
        <v>0.05</v>
      </c>
      <c r="AT94" s="2"/>
      <c r="AU94" s="2">
        <v>0.05</v>
      </c>
      <c r="AV94" s="2">
        <v>0.02</v>
      </c>
      <c r="BH94" s="2">
        <v>0.1</v>
      </c>
      <c r="CQ94" s="2"/>
      <c r="CR94" s="2">
        <v>0.46</v>
      </c>
      <c r="CU94" s="19"/>
      <c r="CV94" s="19">
        <f t="shared" si="1"/>
        <v>1</v>
      </c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</row>
    <row r="95">
      <c r="A95" s="22">
        <v>45332.0</v>
      </c>
      <c r="B95" s="23" t="s">
        <v>207</v>
      </c>
      <c r="C95" s="23" t="s">
        <v>129</v>
      </c>
      <c r="D95" s="25">
        <v>3.0</v>
      </c>
      <c r="E95" s="2">
        <v>8.0</v>
      </c>
      <c r="L95" s="2"/>
      <c r="M95" s="2"/>
      <c r="N95" s="2">
        <v>0.05</v>
      </c>
      <c r="AH95" s="2">
        <v>0.05</v>
      </c>
      <c r="AJ95" s="2"/>
      <c r="AK95" s="2">
        <v>0.1</v>
      </c>
      <c r="AO95" s="2">
        <v>0.05</v>
      </c>
      <c r="AU95" s="2">
        <v>0.1</v>
      </c>
      <c r="BH95" s="2">
        <v>0.3</v>
      </c>
      <c r="CQ95" s="2"/>
      <c r="CR95" s="2">
        <v>0.35</v>
      </c>
      <c r="CU95" s="19"/>
      <c r="CV95" s="19">
        <f t="shared" si="1"/>
        <v>1</v>
      </c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</row>
    <row r="96">
      <c r="A96" s="22">
        <v>45332.0</v>
      </c>
      <c r="B96" s="23" t="s">
        <v>207</v>
      </c>
      <c r="C96" s="23" t="s">
        <v>129</v>
      </c>
      <c r="D96" s="25">
        <v>3.0</v>
      </c>
      <c r="E96" s="2">
        <v>10.0</v>
      </c>
      <c r="L96" s="2"/>
      <c r="M96" s="2"/>
      <c r="N96" s="2">
        <v>0.1</v>
      </c>
      <c r="AJ96" s="2"/>
      <c r="AK96" s="2">
        <v>0.25</v>
      </c>
      <c r="AV96" s="2">
        <v>0.2</v>
      </c>
      <c r="BD96" s="2"/>
      <c r="BE96" s="2">
        <v>0.05</v>
      </c>
      <c r="BH96" s="2">
        <v>0.25</v>
      </c>
      <c r="CQ96" s="2"/>
      <c r="CR96" s="2">
        <v>0.15</v>
      </c>
      <c r="CU96" s="19"/>
      <c r="CV96" s="19">
        <f t="shared" si="1"/>
        <v>1</v>
      </c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</row>
    <row r="97">
      <c r="A97" s="22">
        <v>45332.0</v>
      </c>
      <c r="B97" s="23" t="s">
        <v>207</v>
      </c>
      <c r="C97" s="23" t="s">
        <v>129</v>
      </c>
      <c r="D97" s="25">
        <v>3.0</v>
      </c>
      <c r="E97" s="2">
        <v>12.0</v>
      </c>
      <c r="F97" s="2">
        <v>0.01</v>
      </c>
      <c r="L97" s="2"/>
      <c r="M97" s="2"/>
      <c r="N97" s="2">
        <v>0.02</v>
      </c>
      <c r="U97" s="2">
        <v>0.1</v>
      </c>
      <c r="AH97" s="2">
        <v>0.02</v>
      </c>
      <c r="AJ97" s="2"/>
      <c r="AK97" s="2">
        <v>0.05</v>
      </c>
      <c r="BH97" s="2">
        <v>0.7</v>
      </c>
      <c r="CQ97" s="2"/>
      <c r="CR97" s="2">
        <v>0.1</v>
      </c>
      <c r="CU97" s="19"/>
      <c r="CV97" s="19">
        <f t="shared" si="1"/>
        <v>1</v>
      </c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</row>
    <row r="98">
      <c r="A98" s="22">
        <v>45332.0</v>
      </c>
      <c r="B98" s="23" t="s">
        <v>207</v>
      </c>
      <c r="C98" s="23" t="s">
        <v>129</v>
      </c>
      <c r="D98" s="25">
        <v>3.0</v>
      </c>
      <c r="E98" s="2">
        <v>14.0</v>
      </c>
      <c r="L98" s="2"/>
      <c r="M98" s="2"/>
      <c r="N98" s="2">
        <v>0.3</v>
      </c>
      <c r="AH98" s="2">
        <v>0.02</v>
      </c>
      <c r="AJ98" s="2"/>
      <c r="AK98" s="2">
        <v>0.1</v>
      </c>
      <c r="BH98" s="2">
        <v>0.5</v>
      </c>
      <c r="CQ98" s="2"/>
      <c r="CR98" s="2">
        <v>0.08</v>
      </c>
      <c r="CU98" s="19"/>
      <c r="CV98" s="19">
        <f t="shared" si="1"/>
        <v>1</v>
      </c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</row>
    <row r="99">
      <c r="A99" s="22">
        <v>45332.0</v>
      </c>
      <c r="B99" s="23" t="s">
        <v>207</v>
      </c>
      <c r="C99" s="23" t="s">
        <v>129</v>
      </c>
      <c r="D99" s="25">
        <v>3.0</v>
      </c>
      <c r="E99" s="2">
        <v>16.0</v>
      </c>
      <c r="O99" s="2">
        <v>0.1</v>
      </c>
      <c r="AH99" s="2">
        <v>0.15</v>
      </c>
      <c r="AJ99" s="2"/>
      <c r="AK99" s="2">
        <v>0.1</v>
      </c>
      <c r="BH99" s="2">
        <v>0.15</v>
      </c>
      <c r="CQ99" s="2"/>
      <c r="CR99" s="2">
        <v>0.5</v>
      </c>
      <c r="CU99" s="19"/>
      <c r="CV99" s="19">
        <f t="shared" si="1"/>
        <v>1</v>
      </c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</row>
    <row r="100">
      <c r="A100" s="22">
        <v>45332.0</v>
      </c>
      <c r="B100" s="23" t="s">
        <v>207</v>
      </c>
      <c r="C100" s="23" t="s">
        <v>129</v>
      </c>
      <c r="D100" s="25">
        <v>3.0</v>
      </c>
      <c r="E100" s="2">
        <v>18.0</v>
      </c>
      <c r="L100" s="2"/>
      <c r="M100" s="2"/>
      <c r="N100" s="2">
        <v>0.05</v>
      </c>
      <c r="AH100" s="2">
        <v>0.1</v>
      </c>
      <c r="AJ100" s="2"/>
      <c r="AK100" s="2">
        <v>0.02</v>
      </c>
      <c r="BH100" s="2">
        <v>0.1</v>
      </c>
      <c r="CQ100" s="2"/>
      <c r="CR100" s="2">
        <v>0.73</v>
      </c>
      <c r="CU100" s="19"/>
      <c r="CV100" s="19">
        <f t="shared" si="1"/>
        <v>1</v>
      </c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</row>
    <row r="101">
      <c r="A101" s="22">
        <v>45332.0</v>
      </c>
      <c r="B101" s="23" t="s">
        <v>207</v>
      </c>
      <c r="C101" s="23" t="s">
        <v>129</v>
      </c>
      <c r="D101" s="25">
        <v>3.0</v>
      </c>
      <c r="E101" s="2">
        <v>20.0</v>
      </c>
      <c r="O101" s="2">
        <v>0.01</v>
      </c>
      <c r="AJ101" s="2"/>
      <c r="AK101" s="2">
        <v>0.15</v>
      </c>
      <c r="BF101" s="2">
        <v>0.01</v>
      </c>
      <c r="BH101" s="2">
        <v>0.3</v>
      </c>
      <c r="CQ101" s="2"/>
      <c r="CR101" s="2">
        <v>0.53</v>
      </c>
      <c r="CU101" s="19"/>
      <c r="CV101" s="19">
        <f t="shared" si="1"/>
        <v>1</v>
      </c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</row>
    <row r="102">
      <c r="A102" s="9">
        <v>45332.0</v>
      </c>
      <c r="B102" s="2" t="s">
        <v>207</v>
      </c>
      <c r="C102" s="2" t="s">
        <v>97</v>
      </c>
      <c r="D102" s="2">
        <v>4.0</v>
      </c>
      <c r="E102" s="2">
        <v>20.0</v>
      </c>
      <c r="CK102" s="2"/>
      <c r="CL102" s="2"/>
      <c r="CM102" s="2">
        <v>0.05</v>
      </c>
      <c r="CQ102" s="2"/>
      <c r="CR102" s="2">
        <v>0.95</v>
      </c>
      <c r="CU102" s="19"/>
      <c r="CV102" s="19">
        <f t="shared" si="1"/>
        <v>1</v>
      </c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</row>
    <row r="103">
      <c r="A103" s="9">
        <v>45332.0</v>
      </c>
      <c r="B103" s="2" t="s">
        <v>207</v>
      </c>
      <c r="C103" s="2" t="s">
        <v>97</v>
      </c>
      <c r="D103" s="2">
        <v>4.0</v>
      </c>
      <c r="E103" s="2">
        <v>18.0</v>
      </c>
      <c r="O103" s="2">
        <v>0.01</v>
      </c>
      <c r="BH103" s="2">
        <v>0.25</v>
      </c>
      <c r="CK103" s="2"/>
      <c r="CL103" s="2"/>
      <c r="CM103" s="2">
        <v>0.64</v>
      </c>
      <c r="CQ103" s="2"/>
      <c r="CR103" s="2">
        <v>0.1</v>
      </c>
      <c r="CU103" s="19"/>
      <c r="CV103" s="19">
        <f t="shared" si="1"/>
        <v>1</v>
      </c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</row>
    <row r="104">
      <c r="A104" s="9">
        <v>45332.0</v>
      </c>
      <c r="B104" s="2" t="s">
        <v>207</v>
      </c>
      <c r="C104" s="2" t="s">
        <v>97</v>
      </c>
      <c r="D104" s="2">
        <v>4.0</v>
      </c>
      <c r="E104" s="2">
        <v>16.0</v>
      </c>
      <c r="H104" s="2">
        <v>0.01</v>
      </c>
      <c r="L104" s="2"/>
      <c r="M104" s="2"/>
      <c r="N104" s="2">
        <v>0.2</v>
      </c>
      <c r="O104" s="2">
        <v>0.01</v>
      </c>
      <c r="T104" s="2">
        <v>0.01</v>
      </c>
      <c r="AH104" s="2">
        <v>0.01</v>
      </c>
      <c r="AL104" s="2">
        <v>0.01</v>
      </c>
      <c r="AM104" s="2"/>
      <c r="AR104" s="2"/>
      <c r="AS104" s="2">
        <v>0.05</v>
      </c>
      <c r="AT104" s="2"/>
      <c r="BH104" s="2">
        <v>0.13</v>
      </c>
      <c r="CK104" s="2"/>
      <c r="CL104" s="2"/>
      <c r="CM104" s="2">
        <v>0.1</v>
      </c>
      <c r="CQ104" s="2"/>
      <c r="CR104" s="2">
        <v>0.47</v>
      </c>
      <c r="CU104" s="19"/>
      <c r="CV104" s="19">
        <f t="shared" si="1"/>
        <v>1</v>
      </c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</row>
    <row r="105">
      <c r="A105" s="9">
        <v>45332.0</v>
      </c>
      <c r="B105" s="2" t="s">
        <v>207</v>
      </c>
      <c r="C105" s="2" t="s">
        <v>97</v>
      </c>
      <c r="D105" s="2">
        <v>4.0</v>
      </c>
      <c r="E105" s="2">
        <v>14.0</v>
      </c>
      <c r="O105" s="2">
        <v>0.01</v>
      </c>
      <c r="T105" s="2">
        <v>0.01</v>
      </c>
      <c r="AH105" s="2">
        <v>0.01</v>
      </c>
      <c r="AJ105" s="2"/>
      <c r="AK105" s="2">
        <v>0.01</v>
      </c>
      <c r="AL105" s="2">
        <v>0.03</v>
      </c>
      <c r="AM105" s="2"/>
      <c r="AR105" s="2"/>
      <c r="AS105" s="2">
        <v>0.07</v>
      </c>
      <c r="AT105" s="2"/>
      <c r="AZ105" s="2">
        <v>0.01</v>
      </c>
      <c r="BH105" s="2">
        <v>0.25</v>
      </c>
      <c r="CK105" s="2"/>
      <c r="CL105" s="2"/>
      <c r="CM105" s="2">
        <v>0.54</v>
      </c>
      <c r="CQ105" s="2"/>
      <c r="CR105" s="2">
        <v>0.06</v>
      </c>
      <c r="CU105" s="19"/>
      <c r="CV105" s="19">
        <f t="shared" si="1"/>
        <v>1</v>
      </c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</row>
    <row r="106">
      <c r="A106" s="9">
        <v>45332.0</v>
      </c>
      <c r="B106" s="2" t="s">
        <v>207</v>
      </c>
      <c r="C106" s="2" t="s">
        <v>97</v>
      </c>
      <c r="D106" s="2">
        <v>4.0</v>
      </c>
      <c r="E106" s="2">
        <v>12.0</v>
      </c>
      <c r="L106" s="2"/>
      <c r="M106" s="2"/>
      <c r="N106" s="2">
        <v>0.08</v>
      </c>
      <c r="AH106" s="2">
        <v>0.01</v>
      </c>
      <c r="AL106" s="2">
        <v>0.02</v>
      </c>
      <c r="AM106" s="2"/>
      <c r="AW106" s="2">
        <v>0.01</v>
      </c>
      <c r="BD106" s="2"/>
      <c r="BE106" s="2">
        <v>0.01</v>
      </c>
      <c r="BH106" s="2">
        <v>0.75</v>
      </c>
      <c r="CK106" s="2"/>
      <c r="CL106" s="2"/>
      <c r="CM106" s="2">
        <v>0.04</v>
      </c>
      <c r="CQ106" s="2"/>
      <c r="CR106" s="2">
        <v>0.08</v>
      </c>
      <c r="CU106" s="19"/>
      <c r="CV106" s="19">
        <f t="shared" si="1"/>
        <v>1</v>
      </c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</row>
    <row r="107">
      <c r="A107" s="9">
        <v>45332.0</v>
      </c>
      <c r="B107" s="2" t="s">
        <v>207</v>
      </c>
      <c r="C107" s="2" t="s">
        <v>97</v>
      </c>
      <c r="D107" s="2">
        <v>4.0</v>
      </c>
      <c r="E107" s="2">
        <v>10.0</v>
      </c>
      <c r="L107" s="2"/>
      <c r="M107" s="2"/>
      <c r="N107" s="2">
        <v>0.01</v>
      </c>
      <c r="P107" s="2"/>
      <c r="Q107" s="2"/>
      <c r="R107" s="2"/>
      <c r="S107" s="2">
        <v>0.03</v>
      </c>
      <c r="T107" s="2">
        <v>0.01</v>
      </c>
      <c r="AH107" s="2">
        <v>0.02</v>
      </c>
      <c r="AL107" s="2">
        <v>0.01</v>
      </c>
      <c r="AM107" s="2"/>
      <c r="AR107" s="2"/>
      <c r="AS107" s="2">
        <v>0.07</v>
      </c>
      <c r="AT107" s="2"/>
      <c r="BA107" s="2">
        <v>0.01</v>
      </c>
      <c r="BB107" s="2"/>
      <c r="BD107" s="2"/>
      <c r="BE107" s="2">
        <v>0.02</v>
      </c>
      <c r="BH107" s="2">
        <v>0.15</v>
      </c>
      <c r="CQ107" s="2"/>
      <c r="CR107" s="2">
        <v>0.67</v>
      </c>
      <c r="CU107" s="19"/>
      <c r="CV107" s="19">
        <f t="shared" si="1"/>
        <v>1</v>
      </c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</row>
    <row r="108">
      <c r="A108" s="9">
        <v>45332.0</v>
      </c>
      <c r="B108" s="2" t="s">
        <v>207</v>
      </c>
      <c r="C108" s="2" t="s">
        <v>97</v>
      </c>
      <c r="D108" s="2">
        <v>4.0</v>
      </c>
      <c r="E108" s="2">
        <v>8.0</v>
      </c>
      <c r="L108" s="2"/>
      <c r="M108" s="2"/>
      <c r="N108" s="2">
        <v>0.04</v>
      </c>
      <c r="P108" s="2"/>
      <c r="Q108" s="2"/>
      <c r="R108" s="2"/>
      <c r="S108" s="2">
        <v>0.03</v>
      </c>
      <c r="AJ108" s="2"/>
      <c r="AK108" s="2">
        <v>0.02</v>
      </c>
      <c r="AL108" s="2">
        <v>0.02</v>
      </c>
      <c r="AM108" s="2"/>
      <c r="AR108" s="2"/>
      <c r="AS108" s="2">
        <v>0.03</v>
      </c>
      <c r="AT108" s="2"/>
      <c r="BA108" s="2">
        <v>0.01</v>
      </c>
      <c r="BB108" s="2"/>
      <c r="BD108" s="2"/>
      <c r="BE108" s="2">
        <v>0.01</v>
      </c>
      <c r="BH108" s="2">
        <v>0.1</v>
      </c>
      <c r="CQ108" s="2"/>
      <c r="CR108" s="2">
        <v>0.73</v>
      </c>
      <c r="CS108" s="2">
        <v>0.01</v>
      </c>
      <c r="CT108" s="2"/>
      <c r="CU108" s="19"/>
      <c r="CV108" s="19">
        <f t="shared" si="1"/>
        <v>1</v>
      </c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</row>
    <row r="109">
      <c r="A109" s="9">
        <v>45332.0</v>
      </c>
      <c r="B109" s="2" t="s">
        <v>207</v>
      </c>
      <c r="C109" s="2" t="s">
        <v>97</v>
      </c>
      <c r="D109" s="2">
        <v>4.0</v>
      </c>
      <c r="E109" s="2">
        <v>6.0</v>
      </c>
      <c r="M109" s="2"/>
      <c r="N109" s="2">
        <v>0.02</v>
      </c>
      <c r="U109" s="2">
        <v>0.01</v>
      </c>
      <c r="AH109" s="2">
        <v>0.01</v>
      </c>
      <c r="AJ109" s="2"/>
      <c r="AK109" s="2">
        <v>0.01</v>
      </c>
      <c r="AL109" s="2">
        <v>0.01</v>
      </c>
      <c r="AM109" s="2"/>
      <c r="AW109" s="2">
        <v>0.01</v>
      </c>
      <c r="AZ109" s="2">
        <v>0.01</v>
      </c>
      <c r="BA109" s="2">
        <v>0.01</v>
      </c>
      <c r="BB109" s="2"/>
      <c r="BD109" s="2"/>
      <c r="BE109" s="2">
        <v>0.03</v>
      </c>
      <c r="BH109" s="2">
        <v>0.35</v>
      </c>
      <c r="BO109" s="2">
        <v>0.02</v>
      </c>
      <c r="CQ109" s="2"/>
      <c r="CR109" s="2">
        <v>0.5</v>
      </c>
      <c r="CS109" s="2">
        <v>0.01</v>
      </c>
      <c r="CT109" s="2"/>
      <c r="CU109" s="19"/>
      <c r="CV109" s="19">
        <f t="shared" si="1"/>
        <v>1</v>
      </c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</row>
    <row r="110">
      <c r="A110" s="9">
        <v>45332.0</v>
      </c>
      <c r="B110" s="2" t="s">
        <v>207</v>
      </c>
      <c r="C110" s="2" t="s">
        <v>97</v>
      </c>
      <c r="D110" s="2">
        <v>4.0</v>
      </c>
      <c r="E110" s="2">
        <v>4.0</v>
      </c>
      <c r="P110" s="2"/>
      <c r="Q110" s="2"/>
      <c r="R110" s="2"/>
      <c r="S110" s="2">
        <v>0.01</v>
      </c>
      <c r="AH110" s="2">
        <v>0.01</v>
      </c>
      <c r="AJ110" s="2"/>
      <c r="AK110" s="2">
        <v>0.01</v>
      </c>
      <c r="AL110" s="2">
        <v>0.01</v>
      </c>
      <c r="AM110" s="2"/>
      <c r="AR110" s="2"/>
      <c r="AS110" s="2">
        <v>0.03</v>
      </c>
      <c r="AT110" s="2"/>
      <c r="AU110" s="2">
        <v>0.01</v>
      </c>
      <c r="AW110" s="2">
        <v>0.03</v>
      </c>
      <c r="BA110" s="2">
        <v>0.01</v>
      </c>
      <c r="BB110" s="2"/>
      <c r="BD110" s="2"/>
      <c r="BE110" s="2">
        <v>0.03</v>
      </c>
      <c r="BH110" s="2">
        <v>0.08</v>
      </c>
      <c r="CQ110" s="2"/>
      <c r="CR110" s="2">
        <v>0.77</v>
      </c>
      <c r="CU110" s="19"/>
      <c r="CV110" s="19">
        <f t="shared" si="1"/>
        <v>1</v>
      </c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</row>
    <row r="111">
      <c r="A111" s="9">
        <v>45332.0</v>
      </c>
      <c r="B111" s="2" t="s">
        <v>207</v>
      </c>
      <c r="C111" s="2" t="s">
        <v>97</v>
      </c>
      <c r="D111" s="2">
        <v>4.0</v>
      </c>
      <c r="E111" s="2">
        <v>2.0</v>
      </c>
      <c r="M111" s="2"/>
      <c r="N111" s="2">
        <v>0.01</v>
      </c>
      <c r="P111" s="2"/>
      <c r="Q111" s="2"/>
      <c r="R111" s="2"/>
      <c r="S111" s="2">
        <v>0.02</v>
      </c>
      <c r="AJ111" s="2"/>
      <c r="AK111" s="2">
        <v>0.02</v>
      </c>
      <c r="AL111" s="2">
        <v>0.01</v>
      </c>
      <c r="AM111" s="2"/>
      <c r="AU111" s="2">
        <v>0.01</v>
      </c>
      <c r="AW111" s="2">
        <v>0.02</v>
      </c>
      <c r="BD111" s="2"/>
      <c r="BE111" s="2">
        <v>0.01</v>
      </c>
      <c r="BH111" s="2">
        <v>0.03</v>
      </c>
      <c r="CQ111" s="2"/>
      <c r="CR111" s="2">
        <v>0.87</v>
      </c>
      <c r="CU111" s="19"/>
      <c r="CV111" s="19">
        <f t="shared" si="1"/>
        <v>1</v>
      </c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</row>
    <row r="112">
      <c r="A112" s="22">
        <v>45332.0</v>
      </c>
      <c r="B112" s="23" t="s">
        <v>207</v>
      </c>
      <c r="C112" s="23" t="s">
        <v>129</v>
      </c>
      <c r="D112" s="2">
        <v>1.0</v>
      </c>
      <c r="E112" s="2">
        <v>2.0</v>
      </c>
      <c r="L112" s="2"/>
      <c r="M112" s="2"/>
      <c r="N112" s="2">
        <v>0.05</v>
      </c>
      <c r="AO112" s="2">
        <v>0.01</v>
      </c>
      <c r="AV112" s="2">
        <v>0.05</v>
      </c>
      <c r="AZ112" s="2">
        <v>0.01</v>
      </c>
      <c r="BD112" s="2"/>
      <c r="BE112" s="2">
        <v>0.7</v>
      </c>
      <c r="BH112" s="2">
        <v>0.15</v>
      </c>
      <c r="CQ112" s="2"/>
      <c r="CR112" s="2">
        <v>0.03</v>
      </c>
      <c r="CU112" s="19"/>
      <c r="CV112" s="19">
        <f t="shared" si="1"/>
        <v>1</v>
      </c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</row>
    <row r="113">
      <c r="A113" s="22">
        <v>45332.0</v>
      </c>
      <c r="B113" s="23" t="s">
        <v>207</v>
      </c>
      <c r="C113" s="23" t="s">
        <v>129</v>
      </c>
      <c r="D113" s="2">
        <v>1.0</v>
      </c>
      <c r="E113" s="2">
        <v>4.0</v>
      </c>
      <c r="L113" s="2"/>
      <c r="M113" s="2"/>
      <c r="N113" s="2">
        <v>0.05</v>
      </c>
      <c r="Y113" s="2">
        <v>0.15</v>
      </c>
      <c r="AH113" s="2">
        <v>0.1</v>
      </c>
      <c r="AJ113" s="2"/>
      <c r="AK113" s="2">
        <v>0.1</v>
      </c>
      <c r="AR113" s="2"/>
      <c r="AS113" s="2">
        <v>0.05</v>
      </c>
      <c r="AT113" s="2"/>
      <c r="BD113" s="2"/>
      <c r="BE113" s="2">
        <v>0.25</v>
      </c>
      <c r="BH113" s="2">
        <v>0.25</v>
      </c>
      <c r="CQ113" s="2"/>
      <c r="CR113" s="2">
        <v>0.05</v>
      </c>
      <c r="CU113" s="19"/>
      <c r="CV113" s="19">
        <f t="shared" si="1"/>
        <v>1</v>
      </c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</row>
    <row r="114">
      <c r="A114" s="22">
        <v>45332.0</v>
      </c>
      <c r="B114" s="23" t="s">
        <v>207</v>
      </c>
      <c r="C114" s="23" t="s">
        <v>129</v>
      </c>
      <c r="D114" s="2">
        <v>1.0</v>
      </c>
      <c r="E114" s="2">
        <v>6.0</v>
      </c>
      <c r="L114" s="2"/>
      <c r="M114" s="2"/>
      <c r="N114" s="2">
        <v>0.1</v>
      </c>
      <c r="AH114" s="2">
        <v>0.1</v>
      </c>
      <c r="AO114" s="2">
        <v>0.1</v>
      </c>
      <c r="AV114" s="2">
        <v>0.05</v>
      </c>
      <c r="BD114" s="2"/>
      <c r="BE114" s="2">
        <v>0.5</v>
      </c>
      <c r="BH114" s="2">
        <v>0.1</v>
      </c>
      <c r="CQ114" s="2"/>
      <c r="CR114" s="2">
        <v>0.05</v>
      </c>
      <c r="CU114" s="19"/>
      <c r="CV114" s="19">
        <f t="shared" si="1"/>
        <v>1</v>
      </c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</row>
    <row r="115">
      <c r="A115" s="22">
        <v>45332.0</v>
      </c>
      <c r="B115" s="23" t="s">
        <v>207</v>
      </c>
      <c r="C115" s="23" t="s">
        <v>129</v>
      </c>
      <c r="D115" s="2">
        <v>1.0</v>
      </c>
      <c r="E115" s="2">
        <v>8.0</v>
      </c>
      <c r="AH115" s="2">
        <v>0.05</v>
      </c>
      <c r="AV115" s="2">
        <v>0.05</v>
      </c>
      <c r="BA115" s="2">
        <v>0.2</v>
      </c>
      <c r="BB115" s="2"/>
      <c r="BD115" s="2"/>
      <c r="BE115" s="2">
        <v>0.3</v>
      </c>
      <c r="BH115" s="2">
        <v>0.05</v>
      </c>
      <c r="BS115" s="2">
        <v>0.35</v>
      </c>
      <c r="CU115" s="19"/>
      <c r="CV115" s="19">
        <f t="shared" si="1"/>
        <v>1</v>
      </c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</row>
    <row r="116">
      <c r="A116" s="22">
        <v>45332.0</v>
      </c>
      <c r="B116" s="23" t="s">
        <v>207</v>
      </c>
      <c r="C116" s="23" t="s">
        <v>129</v>
      </c>
      <c r="D116" s="2">
        <v>1.0</v>
      </c>
      <c r="E116" s="2">
        <v>10.0</v>
      </c>
      <c r="L116" s="2">
        <v>0.02</v>
      </c>
      <c r="AH116" s="2">
        <v>0.05</v>
      </c>
      <c r="AV116" s="2">
        <v>0.05</v>
      </c>
      <c r="BD116" s="2"/>
      <c r="BE116" s="2">
        <v>0.4</v>
      </c>
      <c r="BH116" s="2">
        <v>0.3</v>
      </c>
      <c r="CQ116" s="2"/>
      <c r="CR116" s="2">
        <v>0.18</v>
      </c>
      <c r="CU116" s="19"/>
      <c r="CV116" s="19">
        <f t="shared" si="1"/>
        <v>1</v>
      </c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</row>
    <row r="117">
      <c r="A117" s="9">
        <v>45333.0</v>
      </c>
      <c r="B117" s="2" t="s">
        <v>233</v>
      </c>
      <c r="C117" s="2" t="s">
        <v>117</v>
      </c>
      <c r="D117" s="2">
        <v>4.0</v>
      </c>
      <c r="E117" s="2">
        <v>3.0</v>
      </c>
      <c r="P117" s="2"/>
      <c r="Q117" s="2"/>
      <c r="S117" s="2">
        <v>0.2</v>
      </c>
      <c r="AC117" s="2">
        <v>0.01</v>
      </c>
      <c r="AK117" s="2">
        <v>0.05</v>
      </c>
      <c r="AL117" s="2">
        <v>0.01</v>
      </c>
      <c r="AM117" s="2"/>
      <c r="AX117" s="2">
        <v>0.2</v>
      </c>
      <c r="BA117" s="2">
        <v>0.02</v>
      </c>
      <c r="BB117" s="2"/>
      <c r="BC117" s="2">
        <v>0.01</v>
      </c>
      <c r="BN117" s="2">
        <v>0.03</v>
      </c>
      <c r="BO117" s="2">
        <v>0.01</v>
      </c>
      <c r="CQ117" s="2"/>
      <c r="CR117" s="2">
        <v>0.46</v>
      </c>
      <c r="CU117" s="36"/>
      <c r="CV117" s="19">
        <f t="shared" si="1"/>
        <v>1</v>
      </c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</row>
    <row r="118">
      <c r="A118" s="33">
        <v>45333.0</v>
      </c>
      <c r="B118" s="2" t="s">
        <v>233</v>
      </c>
      <c r="C118" s="2" t="s">
        <v>117</v>
      </c>
      <c r="D118" s="2">
        <v>4.0</v>
      </c>
      <c r="E118" s="2">
        <v>4.0</v>
      </c>
      <c r="P118" s="2"/>
      <c r="Q118" s="2"/>
      <c r="R118" s="2"/>
      <c r="S118" s="2">
        <v>0.03</v>
      </c>
      <c r="AC118" s="2">
        <v>0.01</v>
      </c>
      <c r="AX118" s="2">
        <v>0.02</v>
      </c>
      <c r="BN118" s="2">
        <v>0.45</v>
      </c>
      <c r="BO118" s="2">
        <v>0.05</v>
      </c>
      <c r="CK118" s="2"/>
      <c r="CL118" s="2"/>
      <c r="CM118" s="2">
        <v>0.01</v>
      </c>
      <c r="CQ118" s="2"/>
      <c r="CR118" s="2">
        <v>0.43</v>
      </c>
      <c r="CU118" s="36"/>
      <c r="CV118" s="19">
        <f t="shared" si="1"/>
        <v>1</v>
      </c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</row>
    <row r="119">
      <c r="A119" s="33">
        <v>45333.0</v>
      </c>
      <c r="B119" s="2" t="s">
        <v>233</v>
      </c>
      <c r="C119" s="2" t="s">
        <v>117</v>
      </c>
      <c r="D119" s="2">
        <v>4.0</v>
      </c>
      <c r="E119" s="2">
        <v>5.0</v>
      </c>
      <c r="P119" s="2"/>
      <c r="Q119" s="2"/>
      <c r="R119" s="2"/>
      <c r="S119" s="2">
        <v>0.03</v>
      </c>
      <c r="AJ119" s="2"/>
      <c r="AK119" s="2">
        <v>0.01</v>
      </c>
      <c r="BC119" s="2">
        <v>0.1</v>
      </c>
      <c r="BD119" s="2"/>
      <c r="BE119" s="2">
        <v>0.01</v>
      </c>
      <c r="BH119" s="2">
        <v>0.08</v>
      </c>
      <c r="BN119" s="2">
        <v>0.03</v>
      </c>
      <c r="BO119" s="2">
        <v>0.05</v>
      </c>
      <c r="CQ119" s="2"/>
      <c r="CR119" s="2">
        <v>0.69</v>
      </c>
      <c r="CU119" s="36"/>
      <c r="CV119" s="19">
        <f t="shared" si="1"/>
        <v>1</v>
      </c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</row>
    <row r="120">
      <c r="A120" s="33">
        <v>45333.0</v>
      </c>
      <c r="B120" s="2" t="s">
        <v>233</v>
      </c>
      <c r="C120" s="2" t="s">
        <v>117</v>
      </c>
      <c r="D120" s="2">
        <v>4.0</v>
      </c>
      <c r="E120" s="2">
        <v>6.0</v>
      </c>
      <c r="O120" s="2">
        <v>0.01</v>
      </c>
      <c r="AQ120" s="2">
        <v>0.01</v>
      </c>
      <c r="BC120" s="2">
        <v>0.01</v>
      </c>
      <c r="BD120" s="2"/>
      <c r="BE120" s="2">
        <v>0.01</v>
      </c>
      <c r="BH120" s="2">
        <v>0.35</v>
      </c>
      <c r="BN120" s="2">
        <v>0.01</v>
      </c>
      <c r="CQ120" s="2"/>
      <c r="CR120" s="2">
        <v>0.6</v>
      </c>
      <c r="CU120" s="36"/>
      <c r="CV120" s="19">
        <f t="shared" si="1"/>
        <v>1</v>
      </c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</row>
    <row r="121">
      <c r="A121" s="33">
        <v>45333.0</v>
      </c>
      <c r="B121" s="2" t="s">
        <v>233</v>
      </c>
      <c r="C121" s="2" t="s">
        <v>117</v>
      </c>
      <c r="D121" s="2">
        <v>4.0</v>
      </c>
      <c r="E121" s="2">
        <v>7.0</v>
      </c>
      <c r="O121" s="2">
        <v>0.01</v>
      </c>
      <c r="P121" s="2"/>
      <c r="Q121" s="2"/>
      <c r="R121" s="2"/>
      <c r="S121" s="2">
        <v>0.01</v>
      </c>
      <c r="AL121" s="2">
        <v>0.01</v>
      </c>
      <c r="AM121" s="2"/>
      <c r="AU121" s="2">
        <v>0.01</v>
      </c>
      <c r="AV121" s="2">
        <v>0.01</v>
      </c>
      <c r="BC121" s="2">
        <v>0.01</v>
      </c>
      <c r="BF121" s="2">
        <v>0.01</v>
      </c>
      <c r="BH121" s="2">
        <v>0.9</v>
      </c>
      <c r="BU121" s="2">
        <v>0.01</v>
      </c>
      <c r="CQ121" s="2"/>
      <c r="CR121" s="2">
        <v>0.02</v>
      </c>
      <c r="CU121" s="36"/>
      <c r="CV121" s="19">
        <f t="shared" si="1"/>
        <v>1</v>
      </c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</row>
    <row r="122">
      <c r="A122" s="33">
        <v>45333.0</v>
      </c>
      <c r="B122" s="2" t="s">
        <v>233</v>
      </c>
      <c r="C122" s="2" t="s">
        <v>117</v>
      </c>
      <c r="D122" s="2">
        <v>4.0</v>
      </c>
      <c r="E122" s="2">
        <v>8.0</v>
      </c>
      <c r="O122" s="2">
        <v>0.01</v>
      </c>
      <c r="T122" s="2">
        <v>0.01</v>
      </c>
      <c r="AQ122" s="2">
        <v>0.1</v>
      </c>
      <c r="AU122" s="2">
        <v>0.01</v>
      </c>
      <c r="BC122" s="2">
        <v>0.02</v>
      </c>
      <c r="BF122" s="2">
        <v>0.01</v>
      </c>
      <c r="BH122" s="2">
        <v>0.2</v>
      </c>
      <c r="BN122" s="2">
        <v>0.01</v>
      </c>
      <c r="BO122" s="2">
        <v>0.01</v>
      </c>
      <c r="CQ122" s="2"/>
      <c r="CR122" s="2">
        <v>0.62</v>
      </c>
      <c r="CU122" s="36"/>
      <c r="CV122" s="19">
        <f t="shared" si="1"/>
        <v>1</v>
      </c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</row>
    <row r="123">
      <c r="A123" s="33">
        <v>45333.0</v>
      </c>
      <c r="B123" s="2" t="s">
        <v>233</v>
      </c>
      <c r="C123" s="2" t="s">
        <v>117</v>
      </c>
      <c r="D123" s="2">
        <v>4.0</v>
      </c>
      <c r="E123" s="2">
        <v>9.0</v>
      </c>
      <c r="O123" s="2">
        <v>0.01</v>
      </c>
      <c r="V123" s="2">
        <v>0.01</v>
      </c>
      <c r="AU123" s="2">
        <v>0.01</v>
      </c>
      <c r="BC123" s="2">
        <v>0.01</v>
      </c>
      <c r="BF123" s="2">
        <v>0.01</v>
      </c>
      <c r="BH123" s="2">
        <v>0.05</v>
      </c>
      <c r="CQ123" s="2"/>
      <c r="CR123" s="2">
        <v>0.9</v>
      </c>
      <c r="CU123" s="36"/>
      <c r="CV123" s="19">
        <f t="shared" si="1"/>
        <v>1</v>
      </c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</row>
    <row r="124">
      <c r="A124" s="33">
        <v>45333.0</v>
      </c>
      <c r="B124" s="2" t="s">
        <v>233</v>
      </c>
      <c r="C124" s="2" t="s">
        <v>117</v>
      </c>
      <c r="D124" s="2">
        <v>4.0</v>
      </c>
      <c r="E124" s="2">
        <v>10.0</v>
      </c>
      <c r="O124" s="2">
        <v>0.01</v>
      </c>
      <c r="AH124" s="2">
        <v>0.01</v>
      </c>
      <c r="AL124" s="2">
        <v>0.02</v>
      </c>
      <c r="AM124" s="2"/>
      <c r="AZ124" s="2">
        <v>0.01</v>
      </c>
      <c r="BF124" s="2">
        <v>0.01</v>
      </c>
      <c r="BH124" s="2">
        <v>0.12</v>
      </c>
      <c r="BN124" s="2">
        <v>0.04</v>
      </c>
      <c r="BO124" s="2">
        <v>0.05</v>
      </c>
      <c r="CK124" s="2"/>
      <c r="CL124" s="2"/>
      <c r="CM124" s="2">
        <v>0.73</v>
      </c>
      <c r="CU124" s="36"/>
      <c r="CV124" s="19">
        <f t="shared" si="1"/>
        <v>1</v>
      </c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</row>
    <row r="125">
      <c r="A125" s="33">
        <v>45333.0</v>
      </c>
      <c r="B125" s="2" t="s">
        <v>233</v>
      </c>
      <c r="C125" s="2" t="s">
        <v>117</v>
      </c>
      <c r="D125" s="2">
        <v>4.0</v>
      </c>
      <c r="E125" s="2">
        <v>11.0</v>
      </c>
      <c r="AL125" s="2">
        <v>0.01</v>
      </c>
      <c r="AM125" s="2"/>
      <c r="BN125" s="2">
        <v>0.03</v>
      </c>
      <c r="BO125" s="2">
        <v>0.01</v>
      </c>
      <c r="CK125" s="2"/>
      <c r="CL125" s="2"/>
      <c r="CM125" s="2">
        <v>0.45</v>
      </c>
      <c r="CN125" s="2">
        <v>0.15</v>
      </c>
      <c r="CQ125" s="2"/>
      <c r="CR125" s="2">
        <v>0.35</v>
      </c>
      <c r="CU125" s="36"/>
      <c r="CV125" s="19">
        <f t="shared" si="1"/>
        <v>1</v>
      </c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</row>
    <row r="126">
      <c r="A126" s="33">
        <v>45333.0</v>
      </c>
      <c r="B126" s="2" t="s">
        <v>233</v>
      </c>
      <c r="C126" s="2" t="s">
        <v>117</v>
      </c>
      <c r="D126" s="2">
        <v>4.0</v>
      </c>
      <c r="E126" s="2">
        <v>12.0</v>
      </c>
      <c r="BC126" s="2">
        <v>0.15</v>
      </c>
      <c r="CE126" s="2">
        <v>0.75</v>
      </c>
      <c r="CQ126" s="2"/>
      <c r="CR126" s="2">
        <v>0.1</v>
      </c>
      <c r="CU126" s="36"/>
      <c r="CV126" s="19">
        <f t="shared" si="1"/>
        <v>1</v>
      </c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</row>
    <row r="127">
      <c r="A127" s="33">
        <v>45333.0</v>
      </c>
      <c r="B127" s="2" t="s">
        <v>233</v>
      </c>
      <c r="C127" s="2" t="s">
        <v>117</v>
      </c>
      <c r="D127" s="2">
        <v>4.0</v>
      </c>
      <c r="E127" s="2">
        <v>13.0</v>
      </c>
      <c r="CE127" s="2">
        <v>0.6</v>
      </c>
      <c r="CJ127" s="2">
        <v>0.01</v>
      </c>
      <c r="CQ127" s="2"/>
      <c r="CR127" s="2">
        <v>0.4</v>
      </c>
      <c r="CU127" s="36"/>
      <c r="CV127" s="19">
        <f t="shared" si="1"/>
        <v>1.01</v>
      </c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</row>
    <row r="128">
      <c r="A128" s="9">
        <v>45333.0</v>
      </c>
      <c r="B128" s="2" t="s">
        <v>233</v>
      </c>
      <c r="C128" s="2" t="s">
        <v>129</v>
      </c>
      <c r="D128" s="2">
        <v>3.0</v>
      </c>
      <c r="E128" s="2">
        <v>2.0</v>
      </c>
      <c r="P128" s="2"/>
      <c r="Q128" s="2"/>
      <c r="R128" s="2"/>
      <c r="S128" s="2">
        <v>0.05</v>
      </c>
      <c r="T128" s="2">
        <v>0.03</v>
      </c>
      <c r="V128" s="2">
        <v>0.02</v>
      </c>
      <c r="AJ128" s="2"/>
      <c r="AK128" s="2"/>
      <c r="AL128" s="2">
        <v>0.02</v>
      </c>
      <c r="AM128" s="2"/>
      <c r="AX128" s="2">
        <v>0.5</v>
      </c>
      <c r="BC128" s="2"/>
      <c r="BF128" s="2">
        <v>0.02</v>
      </c>
      <c r="BN128" s="2">
        <v>0.35</v>
      </c>
      <c r="CQ128" s="2"/>
      <c r="CR128" s="2">
        <v>0.01</v>
      </c>
      <c r="CU128" s="19"/>
      <c r="CV128" s="19">
        <f t="shared" si="1"/>
        <v>1</v>
      </c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</row>
    <row r="129">
      <c r="A129" s="9">
        <v>45333.0</v>
      </c>
      <c r="B129" s="2" t="s">
        <v>233</v>
      </c>
      <c r="C129" s="2" t="s">
        <v>129</v>
      </c>
      <c r="D129" s="2">
        <v>3.0</v>
      </c>
      <c r="E129" s="2">
        <v>3.0</v>
      </c>
      <c r="P129" s="2"/>
      <c r="Q129" s="2">
        <v>0.01</v>
      </c>
      <c r="R129" s="2"/>
      <c r="S129" s="2"/>
      <c r="AJ129" s="2"/>
      <c r="AK129" s="2"/>
      <c r="AL129" s="2">
        <v>0.25</v>
      </c>
      <c r="AM129" s="2"/>
      <c r="AV129" s="2">
        <v>0.05</v>
      </c>
      <c r="AX129" s="2">
        <v>0.4</v>
      </c>
      <c r="BC129" s="2"/>
      <c r="BN129" s="2">
        <v>0.15</v>
      </c>
      <c r="CQ129" s="2"/>
      <c r="CR129" s="2">
        <v>0.14</v>
      </c>
      <c r="CU129" s="19"/>
      <c r="CV129" s="19">
        <f t="shared" si="1"/>
        <v>1</v>
      </c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</row>
    <row r="130">
      <c r="A130" s="9">
        <v>45333.0</v>
      </c>
      <c r="B130" s="2" t="s">
        <v>233</v>
      </c>
      <c r="C130" s="2" t="s">
        <v>129</v>
      </c>
      <c r="D130" s="2">
        <v>3.0</v>
      </c>
      <c r="E130" s="2">
        <v>4.0</v>
      </c>
      <c r="P130" s="2"/>
      <c r="Q130" s="2"/>
      <c r="R130" s="2"/>
      <c r="S130" s="2"/>
      <c r="V130" s="2">
        <v>0.05</v>
      </c>
      <c r="AJ130" s="2"/>
      <c r="AK130" s="2"/>
      <c r="AL130" s="2"/>
      <c r="AM130" s="2"/>
      <c r="AV130" s="2">
        <v>0.02</v>
      </c>
      <c r="BC130" s="2"/>
      <c r="BN130" s="2">
        <v>0.1</v>
      </c>
      <c r="BO130" s="2">
        <v>0.5</v>
      </c>
      <c r="BT130" s="2">
        <v>0.02</v>
      </c>
      <c r="CN130" s="2">
        <v>0.2</v>
      </c>
      <c r="CQ130" s="2"/>
      <c r="CR130" s="2">
        <v>0.11</v>
      </c>
      <c r="CU130" s="19"/>
      <c r="CV130" s="19">
        <f t="shared" si="1"/>
        <v>1</v>
      </c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</row>
    <row r="131">
      <c r="A131" s="9">
        <v>45333.0</v>
      </c>
      <c r="B131" s="2" t="s">
        <v>233</v>
      </c>
      <c r="C131" s="2" t="s">
        <v>129</v>
      </c>
      <c r="D131" s="2">
        <v>3.0</v>
      </c>
      <c r="E131" s="2">
        <v>5.0</v>
      </c>
      <c r="O131" s="2"/>
      <c r="P131" s="2"/>
      <c r="Q131" s="2">
        <v>0.01</v>
      </c>
      <c r="R131" s="2"/>
      <c r="S131" s="2"/>
      <c r="T131" s="2">
        <v>0.01</v>
      </c>
      <c r="AH131" s="2">
        <v>0.01</v>
      </c>
      <c r="AJ131" s="2"/>
      <c r="AK131" s="2">
        <v>0.05</v>
      </c>
      <c r="AL131" s="2"/>
      <c r="AM131" s="2"/>
      <c r="AQ131" s="2">
        <v>0.01</v>
      </c>
      <c r="BC131" s="2"/>
      <c r="BD131" s="2"/>
      <c r="BE131" s="2">
        <v>0.01</v>
      </c>
      <c r="BH131" s="2">
        <v>0.5</v>
      </c>
      <c r="BN131" s="2">
        <v>0.25</v>
      </c>
      <c r="BT131" s="2">
        <v>0.1</v>
      </c>
      <c r="CQ131" s="2"/>
      <c r="CR131" s="2">
        <v>0.05</v>
      </c>
      <c r="CU131" s="19"/>
      <c r="CV131" s="19">
        <f t="shared" si="1"/>
        <v>1</v>
      </c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</row>
    <row r="132">
      <c r="A132" s="9">
        <v>45333.0</v>
      </c>
      <c r="B132" s="2" t="s">
        <v>233</v>
      </c>
      <c r="C132" s="2" t="s">
        <v>129</v>
      </c>
      <c r="D132" s="2">
        <v>3.0</v>
      </c>
      <c r="E132" s="2">
        <v>6.0</v>
      </c>
      <c r="P132" s="2"/>
      <c r="Q132" s="2"/>
      <c r="R132" s="2"/>
      <c r="S132" s="2"/>
      <c r="AH132" s="2">
        <v>0.01</v>
      </c>
      <c r="AJ132" s="2"/>
      <c r="AK132" s="2">
        <v>0.01</v>
      </c>
      <c r="AL132" s="2"/>
      <c r="AM132" s="2"/>
      <c r="AV132" s="2">
        <v>0.05</v>
      </c>
      <c r="BC132" s="2"/>
      <c r="BF132" s="2">
        <v>0.01</v>
      </c>
      <c r="BH132" s="2">
        <v>0.65</v>
      </c>
      <c r="BN132" s="2">
        <v>0.2</v>
      </c>
      <c r="BO132" s="2">
        <v>0.1</v>
      </c>
      <c r="CL132" s="2"/>
      <c r="CM132" s="2">
        <v>0.03</v>
      </c>
      <c r="CQ132" s="2"/>
      <c r="CR132" s="2"/>
      <c r="CU132" s="19"/>
      <c r="CV132" s="19">
        <f t="shared" si="1"/>
        <v>1.06</v>
      </c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</row>
    <row r="133">
      <c r="A133" s="9">
        <v>45333.0</v>
      </c>
      <c r="B133" s="2" t="s">
        <v>233</v>
      </c>
      <c r="C133" s="2" t="s">
        <v>129</v>
      </c>
      <c r="D133" s="2">
        <v>3.0</v>
      </c>
      <c r="E133" s="2">
        <v>7.0</v>
      </c>
      <c r="O133" s="2"/>
      <c r="P133" s="2"/>
      <c r="Q133" s="2"/>
      <c r="R133" s="2"/>
      <c r="S133" s="2"/>
      <c r="T133" s="2">
        <v>0.01</v>
      </c>
      <c r="AH133" s="2">
        <v>0.02</v>
      </c>
      <c r="AJ133" s="2"/>
      <c r="AK133" s="2"/>
      <c r="AL133" s="2"/>
      <c r="AM133" s="2"/>
      <c r="AU133" s="2">
        <v>0.05</v>
      </c>
      <c r="BC133" s="2"/>
      <c r="BF133" s="2">
        <v>0.01</v>
      </c>
      <c r="BH133" s="2">
        <v>0.75</v>
      </c>
      <c r="BN133" s="2">
        <v>0.01</v>
      </c>
      <c r="BT133" s="2">
        <v>0.03</v>
      </c>
      <c r="CQ133" s="2"/>
      <c r="CR133" s="2">
        <v>0.12</v>
      </c>
      <c r="CU133" s="19"/>
      <c r="CV133" s="19">
        <f t="shared" si="1"/>
        <v>1</v>
      </c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</row>
    <row r="134">
      <c r="A134" s="9">
        <v>45333.0</v>
      </c>
      <c r="B134" s="2" t="s">
        <v>233</v>
      </c>
      <c r="C134" s="2" t="s">
        <v>129</v>
      </c>
      <c r="D134" s="2">
        <v>3.0</v>
      </c>
      <c r="E134" s="2">
        <v>8.0</v>
      </c>
      <c r="O134" s="2"/>
      <c r="P134" s="2"/>
      <c r="Q134" s="2"/>
      <c r="R134" s="2"/>
      <c r="S134" s="2"/>
      <c r="T134" s="2">
        <v>0.01</v>
      </c>
      <c r="AH134" s="2"/>
      <c r="AJ134" s="2"/>
      <c r="AK134" s="2">
        <v>0.05</v>
      </c>
      <c r="AL134" s="2"/>
      <c r="AM134" s="2"/>
      <c r="BC134" s="2"/>
      <c r="BF134" s="2">
        <v>0.01</v>
      </c>
      <c r="BH134" s="2">
        <v>0.5</v>
      </c>
      <c r="BN134" s="2">
        <v>0.1</v>
      </c>
      <c r="BO134" s="2">
        <v>0.2</v>
      </c>
      <c r="BT134" s="2"/>
      <c r="CQ134" s="2"/>
      <c r="CR134" s="2">
        <v>0.13</v>
      </c>
      <c r="CU134" s="19"/>
      <c r="CV134" s="19">
        <f t="shared" si="1"/>
        <v>1</v>
      </c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</row>
    <row r="135">
      <c r="A135" s="9">
        <v>45333.0</v>
      </c>
      <c r="B135" s="2" t="s">
        <v>233</v>
      </c>
      <c r="C135" s="2" t="s">
        <v>129</v>
      </c>
      <c r="D135" s="2">
        <v>3.0</v>
      </c>
      <c r="E135" s="2">
        <v>9.0</v>
      </c>
      <c r="O135" s="2"/>
      <c r="P135" s="2"/>
      <c r="Q135" s="2"/>
      <c r="R135" s="2"/>
      <c r="S135" s="2"/>
      <c r="AH135" s="2"/>
      <c r="AJ135" s="2"/>
      <c r="AK135" s="2"/>
      <c r="AL135" s="2"/>
      <c r="AM135" s="2"/>
      <c r="BC135" s="2"/>
      <c r="BH135" s="2">
        <v>0.15</v>
      </c>
      <c r="BN135" s="2"/>
      <c r="BT135" s="2">
        <v>0.05</v>
      </c>
      <c r="CL135" s="2"/>
      <c r="CM135" s="2">
        <v>0.7</v>
      </c>
      <c r="CQ135" s="2"/>
      <c r="CR135" s="2">
        <v>0.1</v>
      </c>
      <c r="CU135" s="19"/>
      <c r="CV135" s="19">
        <f t="shared" si="1"/>
        <v>1</v>
      </c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</row>
    <row r="136">
      <c r="A136" s="9">
        <v>45333.0</v>
      </c>
      <c r="B136" s="2" t="s">
        <v>233</v>
      </c>
      <c r="C136" s="2" t="s">
        <v>129</v>
      </c>
      <c r="D136" s="2">
        <v>3.0</v>
      </c>
      <c r="E136" s="2">
        <v>10.0</v>
      </c>
      <c r="P136" s="2"/>
      <c r="Q136" s="2"/>
      <c r="R136" s="2"/>
      <c r="S136" s="2"/>
      <c r="AJ136" s="2"/>
      <c r="AK136" s="2"/>
      <c r="AL136" s="2"/>
      <c r="AM136" s="2"/>
      <c r="BC136" s="2"/>
      <c r="BN136" s="2"/>
      <c r="BT136" s="2">
        <v>0.1</v>
      </c>
      <c r="CE136" s="2">
        <v>0.65</v>
      </c>
      <c r="CQ136" s="2"/>
      <c r="CR136" s="2">
        <v>0.25</v>
      </c>
      <c r="CU136" s="19"/>
      <c r="CV136" s="19">
        <f t="shared" si="1"/>
        <v>1</v>
      </c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</row>
    <row r="137">
      <c r="A137" s="9">
        <v>45333.0</v>
      </c>
      <c r="B137" s="2" t="s">
        <v>233</v>
      </c>
      <c r="C137" s="2" t="s">
        <v>129</v>
      </c>
      <c r="D137" s="2">
        <v>3.0</v>
      </c>
      <c r="E137" s="2">
        <v>11.0</v>
      </c>
      <c r="O137" s="2">
        <v>0.05</v>
      </c>
      <c r="P137" s="2"/>
      <c r="Q137" s="2"/>
      <c r="R137" s="2"/>
      <c r="S137" s="2"/>
      <c r="AJ137" s="2"/>
      <c r="AK137" s="2"/>
      <c r="AL137" s="2"/>
      <c r="AM137" s="2"/>
      <c r="BC137" s="2"/>
      <c r="BH137" s="2">
        <v>0.05</v>
      </c>
      <c r="BN137" s="2"/>
      <c r="BT137" s="2">
        <v>0.2</v>
      </c>
      <c r="CE137" s="2">
        <v>0.1</v>
      </c>
      <c r="CN137" s="2">
        <v>0.6</v>
      </c>
      <c r="CQ137" s="2"/>
      <c r="CR137" s="2"/>
      <c r="CU137" s="19"/>
      <c r="CV137" s="19">
        <f t="shared" si="1"/>
        <v>1</v>
      </c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</row>
    <row r="138">
      <c r="A138" s="9">
        <v>45333.0</v>
      </c>
      <c r="B138" s="2" t="s">
        <v>233</v>
      </c>
      <c r="C138" s="2" t="s">
        <v>97</v>
      </c>
      <c r="D138" s="2">
        <v>2.0</v>
      </c>
      <c r="E138" s="2">
        <v>3.0</v>
      </c>
      <c r="P138" s="2"/>
      <c r="Q138" s="2"/>
      <c r="R138" s="2"/>
      <c r="S138" s="2">
        <v>0.07</v>
      </c>
      <c r="AJ138" s="2"/>
      <c r="AK138" s="2">
        <v>0.15</v>
      </c>
      <c r="AL138" s="2">
        <v>0.04</v>
      </c>
      <c r="AM138" s="2"/>
      <c r="BC138" s="2">
        <v>0.01</v>
      </c>
      <c r="BN138" s="2">
        <v>0.03</v>
      </c>
      <c r="CQ138" s="2"/>
      <c r="CR138" s="2">
        <v>0.7</v>
      </c>
      <c r="CU138" s="19"/>
      <c r="CV138" s="19">
        <f t="shared" si="1"/>
        <v>1</v>
      </c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</row>
    <row r="139">
      <c r="A139" s="33">
        <v>45333.0</v>
      </c>
      <c r="B139" s="2" t="s">
        <v>233</v>
      </c>
      <c r="C139" s="2" t="s">
        <v>97</v>
      </c>
      <c r="D139" s="2">
        <v>2.0</v>
      </c>
      <c r="E139" s="2">
        <v>4.0</v>
      </c>
      <c r="P139" s="2"/>
      <c r="Q139" s="2"/>
      <c r="R139" s="2"/>
      <c r="S139" s="2">
        <v>0.08</v>
      </c>
      <c r="BD139" s="2"/>
      <c r="BE139" s="2">
        <v>0.01</v>
      </c>
      <c r="BN139" s="2">
        <v>0.42</v>
      </c>
      <c r="BO139" s="2">
        <v>0.01</v>
      </c>
      <c r="CK139" s="2">
        <v>0.01</v>
      </c>
      <c r="CQ139" s="2"/>
      <c r="CR139" s="2">
        <v>0.47</v>
      </c>
      <c r="CU139" s="19"/>
      <c r="CV139" s="19">
        <f t="shared" si="1"/>
        <v>1</v>
      </c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</row>
    <row r="140">
      <c r="A140" s="33">
        <v>45333.0</v>
      </c>
      <c r="B140" s="2" t="s">
        <v>233</v>
      </c>
      <c r="C140" s="2" t="s">
        <v>97</v>
      </c>
      <c r="D140" s="2">
        <v>2.0</v>
      </c>
      <c r="E140" s="2">
        <v>5.0</v>
      </c>
      <c r="P140" s="2"/>
      <c r="Q140" s="2"/>
      <c r="R140" s="2"/>
      <c r="S140" s="2">
        <v>0.03</v>
      </c>
      <c r="AW140" s="2">
        <v>0.01</v>
      </c>
      <c r="BF140" s="2">
        <v>0.01</v>
      </c>
      <c r="BH140" s="2">
        <v>0.3</v>
      </c>
      <c r="BN140" s="2">
        <v>0.15</v>
      </c>
      <c r="BO140" s="2">
        <v>0.07</v>
      </c>
      <c r="CQ140" s="2"/>
      <c r="CR140" s="2">
        <v>0.43</v>
      </c>
      <c r="CU140" s="19"/>
      <c r="CV140" s="19">
        <f t="shared" si="1"/>
        <v>1</v>
      </c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</row>
    <row r="141">
      <c r="A141" s="33">
        <v>45333.0</v>
      </c>
      <c r="B141" s="2" t="s">
        <v>233</v>
      </c>
      <c r="C141" s="2" t="s">
        <v>97</v>
      </c>
      <c r="D141" s="2">
        <v>2.0</v>
      </c>
      <c r="E141" s="2">
        <v>6.0</v>
      </c>
      <c r="BC141" s="2">
        <v>0.01</v>
      </c>
      <c r="BH141" s="2">
        <v>0.95</v>
      </c>
      <c r="BN141" s="2">
        <v>0.02</v>
      </c>
      <c r="CQ141" s="2"/>
      <c r="CR141" s="2">
        <v>0.02</v>
      </c>
      <c r="CU141" s="19"/>
      <c r="CV141" s="19">
        <f t="shared" si="1"/>
        <v>1</v>
      </c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</row>
    <row r="142">
      <c r="A142" s="33">
        <v>45333.0</v>
      </c>
      <c r="B142" s="2" t="s">
        <v>233</v>
      </c>
      <c r="C142" s="2" t="s">
        <v>97</v>
      </c>
      <c r="D142" s="2">
        <v>2.0</v>
      </c>
      <c r="E142" s="2">
        <v>7.0</v>
      </c>
      <c r="AJ142" s="2"/>
      <c r="AK142" s="2">
        <v>0.03</v>
      </c>
      <c r="AQ142" s="2">
        <v>0.03</v>
      </c>
      <c r="BC142" s="2">
        <v>0.01</v>
      </c>
      <c r="BH142" s="2">
        <v>0.5</v>
      </c>
      <c r="BN142" s="2">
        <v>0.02</v>
      </c>
      <c r="CL142" s="2"/>
      <c r="CM142" s="2">
        <v>0.38</v>
      </c>
      <c r="CN142" s="2">
        <v>0.01</v>
      </c>
      <c r="CQ142" s="2"/>
      <c r="CR142" s="2">
        <v>0.02</v>
      </c>
      <c r="CU142" s="19"/>
      <c r="CV142" s="19">
        <f t="shared" si="1"/>
        <v>1</v>
      </c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</row>
    <row r="143">
      <c r="A143" s="33">
        <v>45333.0</v>
      </c>
      <c r="B143" s="2" t="s">
        <v>233</v>
      </c>
      <c r="C143" s="2" t="s">
        <v>97</v>
      </c>
      <c r="D143" s="2">
        <v>2.0</v>
      </c>
      <c r="E143" s="2">
        <v>8.0</v>
      </c>
      <c r="O143" s="2">
        <v>0.01</v>
      </c>
      <c r="AJ143" s="2"/>
      <c r="AK143" s="2">
        <v>0.01</v>
      </c>
      <c r="AQ143" s="2">
        <v>0.01</v>
      </c>
      <c r="AU143" s="2">
        <v>0.15</v>
      </c>
      <c r="AX143" s="2">
        <v>0.01</v>
      </c>
      <c r="BD143" s="2"/>
      <c r="BE143" s="2">
        <v>0.02</v>
      </c>
      <c r="BN143" s="2">
        <v>0.06</v>
      </c>
      <c r="BO143" s="2">
        <v>0.07</v>
      </c>
      <c r="CL143" s="2"/>
      <c r="CM143" s="2">
        <v>0.66</v>
      </c>
      <c r="CU143" s="19"/>
      <c r="CV143" s="19">
        <f t="shared" si="1"/>
        <v>1</v>
      </c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</row>
    <row r="144">
      <c r="A144" s="33">
        <v>45333.0</v>
      </c>
      <c r="B144" s="2" t="s">
        <v>233</v>
      </c>
      <c r="C144" s="2" t="s">
        <v>97</v>
      </c>
      <c r="D144" s="2">
        <v>2.0</v>
      </c>
      <c r="E144" s="2">
        <v>9.0</v>
      </c>
      <c r="O144" s="2">
        <v>0.01</v>
      </c>
      <c r="AH144" s="2">
        <v>0.01</v>
      </c>
      <c r="AJ144" s="2"/>
      <c r="AK144" s="2">
        <v>0.01</v>
      </c>
      <c r="AL144" s="2">
        <v>0.01</v>
      </c>
      <c r="AM144" s="2"/>
      <c r="AU144" s="2">
        <v>0.4</v>
      </c>
      <c r="BF144" s="2">
        <v>0.01</v>
      </c>
      <c r="BH144" s="2">
        <v>0.02</v>
      </c>
      <c r="BO144" s="2">
        <v>0.01</v>
      </c>
      <c r="CL144" s="2"/>
      <c r="CM144" s="2">
        <v>0.52</v>
      </c>
      <c r="CU144" s="19"/>
      <c r="CV144" s="19">
        <f t="shared" si="1"/>
        <v>1</v>
      </c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</row>
    <row r="145">
      <c r="A145" s="33">
        <v>45333.0</v>
      </c>
      <c r="B145" s="2" t="s">
        <v>233</v>
      </c>
      <c r="C145" s="2" t="s">
        <v>97</v>
      </c>
      <c r="D145" s="2">
        <v>2.0</v>
      </c>
      <c r="E145" s="2">
        <v>10.0</v>
      </c>
      <c r="O145" s="2">
        <v>0.01</v>
      </c>
      <c r="AL145" s="2">
        <v>0.01</v>
      </c>
      <c r="AM145" s="2"/>
      <c r="AX145" s="2">
        <v>0.02</v>
      </c>
      <c r="BH145" s="2">
        <v>0.01</v>
      </c>
      <c r="BO145" s="2">
        <v>0.03</v>
      </c>
      <c r="CL145" s="2"/>
      <c r="CM145" s="2">
        <v>0.92</v>
      </c>
      <c r="CU145" s="19"/>
      <c r="CV145" s="19">
        <f t="shared" si="1"/>
        <v>1</v>
      </c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</row>
    <row r="146">
      <c r="A146" s="33">
        <v>45333.0</v>
      </c>
      <c r="B146" s="2" t="s">
        <v>233</v>
      </c>
      <c r="C146" s="2" t="s">
        <v>97</v>
      </c>
      <c r="D146" s="2">
        <v>2.0</v>
      </c>
      <c r="E146" s="2">
        <v>11.0</v>
      </c>
      <c r="BH146" s="2">
        <v>0.01</v>
      </c>
      <c r="BN146" s="2">
        <v>0.05</v>
      </c>
      <c r="BO146" s="2">
        <v>0.01</v>
      </c>
      <c r="CE146" s="2">
        <v>0.05</v>
      </c>
      <c r="CL146" s="2"/>
      <c r="CM146" s="2">
        <v>0.66</v>
      </c>
      <c r="CN146" s="2">
        <v>0.12</v>
      </c>
      <c r="CQ146" s="2"/>
      <c r="CR146" s="2">
        <v>0.1</v>
      </c>
      <c r="CU146" s="19"/>
      <c r="CV146" s="19">
        <f t="shared" si="1"/>
        <v>1</v>
      </c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</row>
    <row r="147">
      <c r="A147" s="33">
        <v>45333.0</v>
      </c>
      <c r="B147" s="2" t="s">
        <v>233</v>
      </c>
      <c r="C147" s="2" t="s">
        <v>97</v>
      </c>
      <c r="D147" s="2">
        <v>2.0</v>
      </c>
      <c r="E147" s="2">
        <v>12.0</v>
      </c>
      <c r="CL147" s="2"/>
      <c r="CM147" s="2">
        <v>0.15</v>
      </c>
      <c r="CN147" s="2">
        <v>0.25</v>
      </c>
      <c r="CQ147" s="2"/>
      <c r="CR147" s="2">
        <v>0.6</v>
      </c>
      <c r="CU147" s="19"/>
      <c r="CV147" s="19">
        <f t="shared" si="1"/>
        <v>1</v>
      </c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</row>
    <row r="148">
      <c r="A148" s="35">
        <v>45333.0</v>
      </c>
      <c r="B148" s="2" t="s">
        <v>233</v>
      </c>
      <c r="C148" s="2" t="s">
        <v>129</v>
      </c>
      <c r="D148" s="2">
        <v>1.0</v>
      </c>
      <c r="E148" s="2">
        <v>2.0</v>
      </c>
      <c r="H148" s="2"/>
      <c r="P148" s="2"/>
      <c r="Q148" s="2"/>
      <c r="R148" s="2"/>
      <c r="S148" s="2"/>
      <c r="AH148" s="2">
        <v>0.1</v>
      </c>
      <c r="AL148" s="2">
        <v>0.2</v>
      </c>
      <c r="AM148" s="2"/>
      <c r="AP148" s="2"/>
      <c r="AX148" s="2">
        <v>0.25</v>
      </c>
      <c r="BA148" s="2">
        <v>0.05</v>
      </c>
      <c r="BB148" s="2"/>
      <c r="BC148" s="2">
        <v>0.01</v>
      </c>
      <c r="BD148" s="2"/>
      <c r="BE148" s="2">
        <v>0.1</v>
      </c>
      <c r="BH148" s="2"/>
      <c r="BO148" s="2">
        <v>0.01</v>
      </c>
      <c r="BS148" s="2">
        <v>0.02</v>
      </c>
      <c r="BT148" s="2"/>
      <c r="CR148" s="2">
        <v>0.16</v>
      </c>
      <c r="CU148" s="19"/>
      <c r="CV148" s="19">
        <f t="shared" si="1"/>
        <v>0.9</v>
      </c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</row>
    <row r="149">
      <c r="A149" s="35">
        <v>45333.0</v>
      </c>
      <c r="B149" s="2" t="s">
        <v>233</v>
      </c>
      <c r="C149" s="2" t="s">
        <v>129</v>
      </c>
      <c r="D149" s="2">
        <v>1.0</v>
      </c>
      <c r="E149" s="2">
        <v>3.0</v>
      </c>
      <c r="H149" s="2"/>
      <c r="P149" s="2"/>
      <c r="Q149" s="2">
        <v>0.05</v>
      </c>
      <c r="R149" s="2"/>
      <c r="S149" s="2"/>
      <c r="AL149" s="2">
        <v>0.2</v>
      </c>
      <c r="AM149" s="2"/>
      <c r="AP149" s="2"/>
      <c r="AX149" s="2">
        <v>0.45</v>
      </c>
      <c r="BH149" s="2"/>
      <c r="BN149" s="2">
        <v>0.15</v>
      </c>
      <c r="BO149" s="2">
        <v>0.1</v>
      </c>
      <c r="BT149" s="2"/>
      <c r="CR149" s="2">
        <v>0.05</v>
      </c>
      <c r="CU149" s="19"/>
      <c r="CV149" s="19">
        <f t="shared" si="1"/>
        <v>1</v>
      </c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</row>
    <row r="150">
      <c r="A150" s="35">
        <v>45333.0</v>
      </c>
      <c r="B150" s="2" t="s">
        <v>233</v>
      </c>
      <c r="C150" s="2" t="s">
        <v>129</v>
      </c>
      <c r="D150" s="2">
        <v>1.0</v>
      </c>
      <c r="E150" s="2">
        <v>4.0</v>
      </c>
      <c r="H150" s="2"/>
      <c r="P150" s="2">
        <v>0.02</v>
      </c>
      <c r="Q150" s="2"/>
      <c r="R150" s="2"/>
      <c r="S150" s="2"/>
      <c r="AP150" s="2"/>
      <c r="AX150" s="2">
        <v>0.02</v>
      </c>
      <c r="BA150" s="2"/>
      <c r="BB150" s="2"/>
      <c r="BH150" s="2"/>
      <c r="BN150" s="2">
        <v>0.2</v>
      </c>
      <c r="BO150" s="2">
        <v>0.5</v>
      </c>
      <c r="BT150" s="2"/>
      <c r="CL150" s="2"/>
      <c r="CM150" s="2">
        <v>0.26</v>
      </c>
      <c r="CU150" s="19"/>
      <c r="CV150" s="19">
        <f t="shared" si="1"/>
        <v>1</v>
      </c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</row>
    <row r="151">
      <c r="A151" s="35">
        <v>45333.0</v>
      </c>
      <c r="B151" s="2" t="s">
        <v>233</v>
      </c>
      <c r="C151" s="2" t="s">
        <v>129</v>
      </c>
      <c r="D151" s="2">
        <v>1.0</v>
      </c>
      <c r="E151" s="2">
        <v>5.0</v>
      </c>
      <c r="H151" s="2"/>
      <c r="P151" s="2"/>
      <c r="Q151" s="2"/>
      <c r="R151" s="2"/>
      <c r="S151" s="2"/>
      <c r="AP151" s="2"/>
      <c r="AU151" s="2">
        <v>0.01</v>
      </c>
      <c r="BD151" s="2"/>
      <c r="BE151" s="2">
        <v>0.03</v>
      </c>
      <c r="BH151" s="2">
        <v>0.94</v>
      </c>
      <c r="BT151" s="2"/>
      <c r="CL151" s="2"/>
      <c r="CM151" s="2">
        <v>0.02</v>
      </c>
      <c r="CU151" s="19"/>
      <c r="CV151" s="19">
        <f t="shared" si="1"/>
        <v>1</v>
      </c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</row>
    <row r="152">
      <c r="A152" s="35">
        <v>45333.0</v>
      </c>
      <c r="B152" s="2" t="s">
        <v>233</v>
      </c>
      <c r="C152" s="2" t="s">
        <v>129</v>
      </c>
      <c r="D152" s="2">
        <v>1.0</v>
      </c>
      <c r="E152" s="2">
        <v>6.0</v>
      </c>
      <c r="H152" s="2"/>
      <c r="P152" s="2"/>
      <c r="Q152" s="2"/>
      <c r="R152" s="2"/>
      <c r="S152" s="2"/>
      <c r="AP152" s="2"/>
      <c r="BA152" s="2">
        <v>0.02</v>
      </c>
      <c r="BB152" s="2"/>
      <c r="BD152" s="2"/>
      <c r="BE152" s="2">
        <v>0.05</v>
      </c>
      <c r="BH152" s="2">
        <v>0.5</v>
      </c>
      <c r="BN152" s="2">
        <v>0.2</v>
      </c>
      <c r="BO152" s="2">
        <v>0.1</v>
      </c>
      <c r="BT152" s="2"/>
      <c r="CL152" s="2"/>
      <c r="CM152" s="2">
        <v>0.13</v>
      </c>
      <c r="CU152" s="19"/>
      <c r="CV152" s="19">
        <f t="shared" si="1"/>
        <v>1</v>
      </c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</row>
    <row r="153">
      <c r="A153" s="35">
        <v>45333.0</v>
      </c>
      <c r="B153" s="2" t="s">
        <v>233</v>
      </c>
      <c r="C153" s="2" t="s">
        <v>129</v>
      </c>
      <c r="D153" s="2">
        <v>1.0</v>
      </c>
      <c r="E153" s="2">
        <v>7.0</v>
      </c>
      <c r="H153" s="2"/>
      <c r="O153" s="2">
        <v>0.01</v>
      </c>
      <c r="P153" s="2"/>
      <c r="Q153" s="2"/>
      <c r="R153" s="2"/>
      <c r="S153" s="2"/>
      <c r="AP153" s="2"/>
      <c r="AU153" s="2">
        <v>0.15</v>
      </c>
      <c r="AV153" s="2">
        <v>0.2</v>
      </c>
      <c r="BC153" s="2">
        <v>0.01</v>
      </c>
      <c r="BD153" s="2"/>
      <c r="BE153" s="2">
        <v>0.01</v>
      </c>
      <c r="BF153" s="2">
        <v>0.02</v>
      </c>
      <c r="BH153" s="2">
        <v>0.5</v>
      </c>
      <c r="BN153" s="2">
        <v>0.05</v>
      </c>
      <c r="BO153" s="2">
        <v>0.05</v>
      </c>
      <c r="BT153" s="2"/>
      <c r="CU153" s="19"/>
      <c r="CV153" s="19">
        <f t="shared" si="1"/>
        <v>1</v>
      </c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</row>
    <row r="154">
      <c r="A154" s="35">
        <v>45333.0</v>
      </c>
      <c r="B154" s="2" t="s">
        <v>233</v>
      </c>
      <c r="C154" s="2" t="s">
        <v>129</v>
      </c>
      <c r="D154" s="2">
        <v>1.0</v>
      </c>
      <c r="E154" s="2">
        <v>8.0</v>
      </c>
      <c r="H154" s="2"/>
      <c r="O154" s="2">
        <v>0.01</v>
      </c>
      <c r="P154" s="2"/>
      <c r="Q154" s="2"/>
      <c r="R154" s="2"/>
      <c r="S154" s="2"/>
      <c r="AP154" s="2"/>
      <c r="AQ154" s="2">
        <v>0.02</v>
      </c>
      <c r="AU154" s="2">
        <v>0.75</v>
      </c>
      <c r="BH154" s="2">
        <v>0.05</v>
      </c>
      <c r="BN154" s="2">
        <v>0.05</v>
      </c>
      <c r="BT154" s="2"/>
      <c r="CL154" s="2"/>
      <c r="CM154" s="2">
        <v>0.12</v>
      </c>
      <c r="CU154" s="19"/>
      <c r="CV154" s="19">
        <f t="shared" si="1"/>
        <v>1</v>
      </c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</row>
    <row r="155">
      <c r="A155" s="35">
        <v>45333.0</v>
      </c>
      <c r="B155" s="2" t="s">
        <v>233</v>
      </c>
      <c r="C155" s="2" t="s">
        <v>129</v>
      </c>
      <c r="D155" s="2">
        <v>1.0</v>
      </c>
      <c r="E155" s="2">
        <v>9.0</v>
      </c>
      <c r="H155" s="2"/>
      <c r="O155" s="2">
        <v>0.02</v>
      </c>
      <c r="P155" s="2"/>
      <c r="Q155" s="2"/>
      <c r="R155" s="2"/>
      <c r="S155" s="2"/>
      <c r="AP155" s="2"/>
      <c r="AU155" s="2">
        <v>0.1</v>
      </c>
      <c r="AV155" s="2">
        <v>0.02</v>
      </c>
      <c r="BH155" s="2">
        <v>0.25</v>
      </c>
      <c r="BT155" s="2"/>
      <c r="CL155" s="2"/>
      <c r="CM155" s="2">
        <v>0.61</v>
      </c>
      <c r="CU155" s="19"/>
      <c r="CV155" s="19">
        <f t="shared" si="1"/>
        <v>1</v>
      </c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</row>
    <row r="156">
      <c r="A156" s="35">
        <v>45333.0</v>
      </c>
      <c r="B156" s="2" t="s">
        <v>233</v>
      </c>
      <c r="C156" s="2" t="s">
        <v>129</v>
      </c>
      <c r="D156" s="2">
        <v>1.0</v>
      </c>
      <c r="E156" s="2">
        <v>10.0</v>
      </c>
      <c r="H156" s="2"/>
      <c r="O156" s="2">
        <v>0.01</v>
      </c>
      <c r="P156" s="2"/>
      <c r="Q156" s="2"/>
      <c r="R156" s="2"/>
      <c r="S156" s="2"/>
      <c r="AH156" s="2">
        <v>0.01</v>
      </c>
      <c r="AP156" s="2"/>
      <c r="BC156" s="2">
        <v>0.6</v>
      </c>
      <c r="BH156" s="2"/>
      <c r="BT156" s="2">
        <v>0.15</v>
      </c>
      <c r="CJ156" s="2"/>
      <c r="CR156" s="2">
        <v>0.23</v>
      </c>
      <c r="CU156" s="19"/>
      <c r="CV156" s="19">
        <f t="shared" si="1"/>
        <v>1</v>
      </c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</row>
    <row r="157">
      <c r="A157" s="35">
        <v>45333.0</v>
      </c>
      <c r="B157" s="2" t="s">
        <v>233</v>
      </c>
      <c r="C157" s="2" t="s">
        <v>129</v>
      </c>
      <c r="D157" s="2">
        <v>1.0</v>
      </c>
      <c r="E157" s="2">
        <v>11.0</v>
      </c>
      <c r="H157" s="2"/>
      <c r="P157" s="2"/>
      <c r="Q157" s="2"/>
      <c r="R157" s="2"/>
      <c r="S157" s="2"/>
      <c r="AP157" s="2"/>
      <c r="BH157" s="2"/>
      <c r="BT157" s="2">
        <v>0.35</v>
      </c>
      <c r="CE157" s="2">
        <v>0.15</v>
      </c>
      <c r="CJ157" s="2">
        <v>0.02</v>
      </c>
      <c r="CR157" s="2">
        <v>0.48</v>
      </c>
      <c r="CU157" s="19"/>
      <c r="CV157" s="19">
        <f t="shared" si="1"/>
        <v>1</v>
      </c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</row>
    <row r="158">
      <c r="A158" s="33">
        <v>45332.0</v>
      </c>
      <c r="B158" s="2" t="s">
        <v>171</v>
      </c>
      <c r="C158" s="2" t="s">
        <v>28</v>
      </c>
      <c r="D158" s="2">
        <v>1.0</v>
      </c>
      <c r="E158" s="2">
        <v>0.0</v>
      </c>
      <c r="I158" s="2">
        <v>0.05</v>
      </c>
      <c r="P158" s="2"/>
      <c r="Q158" s="2"/>
      <c r="R158" s="2"/>
      <c r="S158" s="2">
        <v>0.1</v>
      </c>
      <c r="AP158" s="2">
        <v>0.05</v>
      </c>
      <c r="BH158" s="2">
        <v>0.4</v>
      </c>
      <c r="BT158" s="2">
        <v>0.4</v>
      </c>
      <c r="CU158" s="19"/>
      <c r="CV158" s="19">
        <f t="shared" si="1"/>
        <v>1</v>
      </c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</row>
    <row r="159">
      <c r="A159" s="9">
        <v>45332.0</v>
      </c>
      <c r="B159" s="2" t="s">
        <v>171</v>
      </c>
      <c r="C159" s="2" t="s">
        <v>28</v>
      </c>
      <c r="D159" s="2">
        <v>1.0</v>
      </c>
      <c r="E159" s="2">
        <v>5.0</v>
      </c>
      <c r="P159" s="2"/>
      <c r="Q159" s="2"/>
      <c r="R159" s="2"/>
      <c r="S159" s="2">
        <v>0.1</v>
      </c>
      <c r="BB159" s="2">
        <v>0.05</v>
      </c>
      <c r="BH159" s="2">
        <v>0.25</v>
      </c>
      <c r="BT159" s="2">
        <v>0.5</v>
      </c>
      <c r="CL159" s="2"/>
      <c r="CM159" s="2">
        <v>0.1</v>
      </c>
      <c r="CU159" s="19"/>
      <c r="CV159" s="19">
        <f t="shared" si="1"/>
        <v>1</v>
      </c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</row>
    <row r="160">
      <c r="A160" s="33">
        <v>45332.0</v>
      </c>
      <c r="B160" s="2" t="s">
        <v>171</v>
      </c>
      <c r="C160" s="2" t="s">
        <v>28</v>
      </c>
      <c r="D160" s="2">
        <v>1.0</v>
      </c>
      <c r="E160" s="2">
        <v>10.0</v>
      </c>
      <c r="I160" s="2">
        <v>0.1</v>
      </c>
      <c r="P160" s="2"/>
      <c r="Q160" s="2"/>
      <c r="R160" s="2"/>
      <c r="S160" s="2">
        <v>0.3</v>
      </c>
      <c r="BH160" s="2">
        <v>0.25</v>
      </c>
      <c r="BT160" s="2">
        <v>0.35</v>
      </c>
      <c r="CU160" s="19"/>
      <c r="CV160" s="19">
        <f t="shared" si="1"/>
        <v>1</v>
      </c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</row>
    <row r="161">
      <c r="A161" s="9">
        <v>45332.0</v>
      </c>
      <c r="B161" s="2" t="s">
        <v>171</v>
      </c>
      <c r="C161" s="2" t="s">
        <v>28</v>
      </c>
      <c r="D161" s="2">
        <v>1.0</v>
      </c>
      <c r="E161" s="2">
        <v>15.0</v>
      </c>
      <c r="P161" s="2"/>
      <c r="Q161" s="2"/>
      <c r="R161" s="2"/>
      <c r="S161" s="2">
        <v>0.15</v>
      </c>
      <c r="BH161" s="2">
        <v>0.35</v>
      </c>
      <c r="CL161" s="2"/>
      <c r="CM161" s="2">
        <v>0.1</v>
      </c>
      <c r="CQ161" s="2">
        <v>0.2</v>
      </c>
      <c r="CR161" s="2">
        <v>0.2</v>
      </c>
      <c r="CU161" s="19"/>
      <c r="CV161" s="19">
        <f t="shared" si="1"/>
        <v>1</v>
      </c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</row>
    <row r="162">
      <c r="A162" s="33">
        <v>45332.0</v>
      </c>
      <c r="B162" s="2" t="s">
        <v>171</v>
      </c>
      <c r="C162" s="2" t="s">
        <v>28</v>
      </c>
      <c r="D162" s="2">
        <v>1.0</v>
      </c>
      <c r="E162" s="2">
        <v>20.0</v>
      </c>
      <c r="P162" s="2"/>
      <c r="Q162" s="2"/>
      <c r="R162" s="2"/>
      <c r="S162" s="2">
        <v>0.05</v>
      </c>
      <c r="BH162" s="2">
        <v>0.15</v>
      </c>
      <c r="BT162" s="2">
        <v>0.3</v>
      </c>
      <c r="CR162" s="2">
        <v>0.5</v>
      </c>
      <c r="CU162" s="19"/>
      <c r="CV162" s="19">
        <f t="shared" si="1"/>
        <v>1</v>
      </c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</row>
    <row r="163">
      <c r="A163" s="9">
        <v>45332.0</v>
      </c>
      <c r="B163" s="2" t="s">
        <v>171</v>
      </c>
      <c r="C163" s="2" t="s">
        <v>28</v>
      </c>
      <c r="D163" s="2">
        <v>1.0</v>
      </c>
      <c r="E163" s="2">
        <v>25.0</v>
      </c>
      <c r="I163" s="2">
        <v>0.05</v>
      </c>
      <c r="AP163" s="2">
        <v>0.05</v>
      </c>
      <c r="BH163" s="2">
        <v>0.1</v>
      </c>
      <c r="BT163" s="2">
        <v>0.75</v>
      </c>
      <c r="CL163" s="2"/>
      <c r="CM163" s="2">
        <v>0.05</v>
      </c>
      <c r="CU163" s="19"/>
      <c r="CV163" s="19">
        <f t="shared" si="1"/>
        <v>1</v>
      </c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</row>
    <row r="164">
      <c r="A164" s="33">
        <v>45332.0</v>
      </c>
      <c r="B164" s="2" t="s">
        <v>171</v>
      </c>
      <c r="C164" s="2" t="s">
        <v>28</v>
      </c>
      <c r="D164" s="2">
        <v>1.0</v>
      </c>
      <c r="E164" s="2">
        <v>30.0</v>
      </c>
      <c r="I164" s="2">
        <v>0.05</v>
      </c>
      <c r="P164" s="2"/>
      <c r="Q164" s="2"/>
      <c r="R164" s="2"/>
      <c r="S164" s="2">
        <v>0.05</v>
      </c>
      <c r="BY164" s="2">
        <v>0.05</v>
      </c>
      <c r="CL164" s="2"/>
      <c r="CM164" s="2">
        <v>0.75</v>
      </c>
      <c r="CO164" s="2">
        <v>0.1</v>
      </c>
      <c r="CU164" s="19"/>
      <c r="CV164" s="19">
        <f t="shared" si="1"/>
        <v>1</v>
      </c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</row>
    <row r="165">
      <c r="A165" s="9">
        <v>45332.0</v>
      </c>
      <c r="B165" s="2" t="s">
        <v>171</v>
      </c>
      <c r="C165" s="2" t="s">
        <v>28</v>
      </c>
      <c r="D165" s="2">
        <v>1.0</v>
      </c>
      <c r="E165" s="2">
        <v>35.0</v>
      </c>
      <c r="I165" s="2">
        <v>0.1</v>
      </c>
      <c r="P165" s="2"/>
      <c r="Q165" s="2"/>
      <c r="R165" s="2"/>
      <c r="S165" s="2">
        <v>0.05</v>
      </c>
      <c r="AR165" s="2"/>
      <c r="AS165" s="2">
        <v>0.05</v>
      </c>
      <c r="AT165" s="2"/>
      <c r="CL165" s="2"/>
      <c r="CM165" s="2">
        <v>0.7</v>
      </c>
      <c r="CP165" s="2">
        <v>0.1</v>
      </c>
      <c r="CU165" s="19"/>
      <c r="CV165" s="19">
        <f t="shared" si="1"/>
        <v>1</v>
      </c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</row>
    <row r="166">
      <c r="A166" s="33">
        <v>45332.0</v>
      </c>
      <c r="B166" s="2" t="s">
        <v>171</v>
      </c>
      <c r="C166" s="2" t="s">
        <v>28</v>
      </c>
      <c r="D166" s="2">
        <v>1.0</v>
      </c>
      <c r="E166" s="2">
        <v>40.0</v>
      </c>
      <c r="CL166" s="2"/>
      <c r="CM166" s="2">
        <v>1.0</v>
      </c>
      <c r="CU166" s="19"/>
      <c r="CV166" s="19">
        <f t="shared" si="1"/>
        <v>1</v>
      </c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</row>
    <row r="167">
      <c r="A167" s="33">
        <v>45332.0</v>
      </c>
      <c r="B167" s="2" t="s">
        <v>171</v>
      </c>
      <c r="C167" s="2" t="s">
        <v>190</v>
      </c>
      <c r="D167" s="2">
        <v>2.0</v>
      </c>
      <c r="E167" s="2">
        <v>0.0</v>
      </c>
      <c r="F167" s="37"/>
      <c r="G167" s="37">
        <f>5/36</f>
        <v>0.1388888889</v>
      </c>
      <c r="H167" s="38"/>
      <c r="I167" s="37"/>
      <c r="J167" s="37"/>
      <c r="K167" s="37"/>
      <c r="L167" s="37"/>
      <c r="M167" s="38"/>
      <c r="N167" s="38" t="s">
        <v>263</v>
      </c>
      <c r="O167" s="37">
        <f>4/36</f>
        <v>0.1111111111</v>
      </c>
      <c r="P167" s="38"/>
      <c r="Q167" s="38"/>
      <c r="R167" s="38"/>
      <c r="S167" s="38">
        <f>9/36</f>
        <v>0.25</v>
      </c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8" t="s">
        <v>263</v>
      </c>
      <c r="AG167" s="37"/>
      <c r="AH167" s="37"/>
      <c r="AI167" s="37"/>
      <c r="AJ167" s="37"/>
      <c r="AK167" s="37"/>
      <c r="AL167" s="37"/>
      <c r="AM167" s="37"/>
      <c r="AN167" s="37"/>
      <c r="AO167" s="37"/>
      <c r="AP167" s="38"/>
      <c r="AQ167" s="37"/>
      <c r="AR167" s="37"/>
      <c r="AS167" s="37"/>
      <c r="AT167" s="37"/>
      <c r="AU167" s="37">
        <f>6/36</f>
        <v>0.1666666667</v>
      </c>
      <c r="AV167" s="37"/>
      <c r="AW167" s="37"/>
      <c r="AX167" s="37"/>
      <c r="AY167" s="37"/>
      <c r="AZ167" s="37"/>
      <c r="BB167" s="37">
        <f>1/36</f>
        <v>0.02777777778</v>
      </c>
      <c r="BC167" s="37"/>
      <c r="BD167" s="37"/>
      <c r="BE167" s="37"/>
      <c r="BF167" s="37"/>
      <c r="BG167" s="37"/>
      <c r="BH167" s="37">
        <f>5/36</f>
        <v>0.1388888889</v>
      </c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8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>
        <f>1/36</f>
        <v>0.02777777778</v>
      </c>
      <c r="CQ167" s="37"/>
      <c r="CR167" s="38">
        <f>5/36</f>
        <v>0.1388888889</v>
      </c>
      <c r="CS167" s="37"/>
      <c r="CT167" s="37"/>
      <c r="CU167" s="19"/>
      <c r="CV167" s="19">
        <f t="shared" si="1"/>
        <v>1</v>
      </c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</row>
    <row r="168">
      <c r="A168" s="33">
        <v>45332.0</v>
      </c>
      <c r="B168" s="2" t="s">
        <v>171</v>
      </c>
      <c r="C168" s="2" t="s">
        <v>190</v>
      </c>
      <c r="D168" s="2">
        <v>2.0</v>
      </c>
      <c r="E168" s="2">
        <v>5.0</v>
      </c>
      <c r="F168" s="37"/>
      <c r="G168" s="37"/>
      <c r="H168" s="38"/>
      <c r="I168" s="37"/>
      <c r="J168" s="37"/>
      <c r="K168" s="37"/>
      <c r="L168" s="37"/>
      <c r="M168" s="37"/>
      <c r="N168" s="37"/>
      <c r="O168" s="38" t="s">
        <v>263</v>
      </c>
      <c r="P168" s="38"/>
      <c r="Q168" s="38"/>
      <c r="R168" s="38"/>
      <c r="S168" s="38">
        <f>3/36</f>
        <v>0.08333333333</v>
      </c>
      <c r="T168" s="37"/>
      <c r="U168" s="37"/>
      <c r="V168" s="37"/>
      <c r="W168" s="37"/>
      <c r="X168" s="37"/>
      <c r="Y168" s="37"/>
      <c r="Z168" s="37"/>
      <c r="AA168" s="37">
        <f>4/36</f>
        <v>0.1111111111</v>
      </c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8"/>
      <c r="AQ168" s="37"/>
      <c r="AR168" s="37"/>
      <c r="AS168" s="37">
        <f>11/36</f>
        <v>0.3055555556</v>
      </c>
      <c r="AT168" s="37"/>
      <c r="AU168" s="37">
        <f>2/36</f>
        <v>0.05555555556</v>
      </c>
      <c r="AV168" s="37"/>
      <c r="AW168" s="37"/>
      <c r="AX168" s="37"/>
      <c r="AY168" s="37"/>
      <c r="AZ168" s="37"/>
      <c r="BB168" s="39">
        <v>0.005</v>
      </c>
      <c r="BC168" s="39">
        <v>0.005</v>
      </c>
      <c r="BD168" s="37"/>
      <c r="BE168" s="37"/>
      <c r="BF168" s="37"/>
      <c r="BG168" s="37"/>
      <c r="BH168" s="37">
        <f>14/36</f>
        <v>0.3888888889</v>
      </c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8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>
        <f>2/36</f>
        <v>0.05555555556</v>
      </c>
      <c r="CQ168" s="37"/>
      <c r="CR168" s="38" t="s">
        <v>263</v>
      </c>
      <c r="CS168" s="37"/>
      <c r="CT168" s="37"/>
      <c r="CU168" s="19"/>
      <c r="CV168" s="19">
        <f t="shared" si="1"/>
        <v>1.01</v>
      </c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</row>
    <row r="169">
      <c r="A169" s="33">
        <v>45332.0</v>
      </c>
      <c r="B169" s="2" t="s">
        <v>171</v>
      </c>
      <c r="C169" s="2" t="s">
        <v>190</v>
      </c>
      <c r="D169" s="2">
        <v>2.0</v>
      </c>
      <c r="E169" s="2">
        <v>10.0</v>
      </c>
      <c r="F169" s="37"/>
      <c r="G169" s="37"/>
      <c r="H169" s="38"/>
      <c r="I169" s="37"/>
      <c r="J169" s="37"/>
      <c r="K169" s="37"/>
      <c r="L169" s="37"/>
      <c r="M169" s="37"/>
      <c r="N169" s="37"/>
      <c r="O169" s="37"/>
      <c r="P169" s="38"/>
      <c r="Q169" s="38"/>
      <c r="R169" s="38"/>
      <c r="S169" s="38">
        <f>1/36</f>
        <v>0.02777777778</v>
      </c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8"/>
      <c r="AQ169" s="37"/>
      <c r="AR169" s="37"/>
      <c r="AS169" s="37">
        <f>1/36</f>
        <v>0.02777777778</v>
      </c>
      <c r="AT169" s="37"/>
      <c r="AU169" s="37">
        <f>6/36</f>
        <v>0.1666666667</v>
      </c>
      <c r="AV169" s="39">
        <v>0.005</v>
      </c>
      <c r="AW169" s="37"/>
      <c r="AX169" s="37"/>
      <c r="AY169" s="37"/>
      <c r="AZ169" s="37"/>
      <c r="BB169" s="37">
        <f>7/36</f>
        <v>0.1944444444</v>
      </c>
      <c r="BC169" s="37"/>
      <c r="BD169" s="37"/>
      <c r="BE169" s="37"/>
      <c r="BF169" s="37"/>
      <c r="BG169" s="37"/>
      <c r="BH169" s="37">
        <f>16/36</f>
        <v>0.4444444444</v>
      </c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8">
        <f>1/36</f>
        <v>0.02777777778</v>
      </c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>
        <f>4/36</f>
        <v>0.1111111111</v>
      </c>
      <c r="CQ169" s="37"/>
      <c r="CR169" s="37"/>
      <c r="CS169" s="37"/>
      <c r="CT169" s="37"/>
      <c r="CU169" s="19"/>
      <c r="CV169" s="19">
        <f t="shared" si="1"/>
        <v>1.005</v>
      </c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</row>
    <row r="170">
      <c r="A170" s="33">
        <v>45332.0</v>
      </c>
      <c r="B170" s="2" t="s">
        <v>171</v>
      </c>
      <c r="C170" s="2" t="s">
        <v>190</v>
      </c>
      <c r="D170" s="2">
        <v>2.0</v>
      </c>
      <c r="E170" s="2">
        <v>15.0</v>
      </c>
      <c r="F170" s="37"/>
      <c r="G170" s="38" t="s">
        <v>263</v>
      </c>
      <c r="H170" s="38"/>
      <c r="I170" s="37"/>
      <c r="J170" s="37"/>
      <c r="K170" s="37"/>
      <c r="L170" s="37"/>
      <c r="M170" s="37"/>
      <c r="N170" s="37"/>
      <c r="O170" s="37"/>
      <c r="P170" s="38"/>
      <c r="Q170" s="38"/>
      <c r="R170" s="38"/>
      <c r="S170" s="38">
        <f>2/36</f>
        <v>0.05555555556</v>
      </c>
      <c r="T170" s="37"/>
      <c r="U170" s="37"/>
      <c r="V170" s="37"/>
      <c r="W170" s="37"/>
      <c r="X170" s="37"/>
      <c r="Y170" s="37"/>
      <c r="Z170" s="37"/>
      <c r="AA170" s="37">
        <f>2/36</f>
        <v>0.05555555556</v>
      </c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8"/>
      <c r="AQ170" s="37"/>
      <c r="AR170" s="37"/>
      <c r="AS170" s="37"/>
      <c r="AT170" s="37"/>
      <c r="AU170" s="37">
        <f>7/36</f>
        <v>0.1944444444</v>
      </c>
      <c r="AV170" s="37"/>
      <c r="AW170" s="37"/>
      <c r="AX170" s="37"/>
      <c r="AY170" s="37"/>
      <c r="AZ170" s="37"/>
      <c r="BB170" s="37">
        <f>3/36</f>
        <v>0.08333333333</v>
      </c>
      <c r="BC170" s="37"/>
      <c r="BD170" s="37"/>
      <c r="BE170" s="37"/>
      <c r="BF170" s="37"/>
      <c r="BG170" s="37"/>
      <c r="BH170" s="37">
        <f>8/36</f>
        <v>0.2222222222</v>
      </c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8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>
        <f>4/36</f>
        <v>0.1111111111</v>
      </c>
      <c r="CN170" s="37"/>
      <c r="CO170" s="37"/>
      <c r="CP170" s="37">
        <f>10/36</f>
        <v>0.2777777778</v>
      </c>
      <c r="CQ170" s="37"/>
      <c r="CR170" s="37"/>
      <c r="CS170" s="37"/>
      <c r="CT170" s="37"/>
      <c r="CU170" s="19"/>
      <c r="CV170" s="19">
        <f t="shared" si="1"/>
        <v>1</v>
      </c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</row>
    <row r="171">
      <c r="A171" s="33">
        <v>45332.0</v>
      </c>
      <c r="B171" s="2" t="s">
        <v>171</v>
      </c>
      <c r="C171" s="2" t="s">
        <v>190</v>
      </c>
      <c r="D171" s="2">
        <v>2.0</v>
      </c>
      <c r="E171" s="2">
        <v>20.0</v>
      </c>
      <c r="F171" s="37"/>
      <c r="G171" s="37"/>
      <c r="H171" s="38"/>
      <c r="I171" s="37"/>
      <c r="J171" s="37"/>
      <c r="K171" s="37"/>
      <c r="L171" s="37"/>
      <c r="M171" s="38"/>
      <c r="N171" s="38" t="s">
        <v>263</v>
      </c>
      <c r="O171" s="37"/>
      <c r="P171" s="38"/>
      <c r="Q171" s="38"/>
      <c r="R171" s="38"/>
      <c r="S171" s="38">
        <f>3/36</f>
        <v>0.08333333333</v>
      </c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8" t="s">
        <v>263</v>
      </c>
      <c r="AG171" s="37"/>
      <c r="AH171" s="37"/>
      <c r="AI171" s="37"/>
      <c r="AJ171" s="37"/>
      <c r="AK171" s="37"/>
      <c r="AL171" s="37"/>
      <c r="AM171" s="37"/>
      <c r="AN171" s="37"/>
      <c r="AO171" s="37"/>
      <c r="AP171" s="38"/>
      <c r="AQ171" s="37"/>
      <c r="AR171" s="37"/>
      <c r="AS171" s="37"/>
      <c r="AT171" s="37"/>
      <c r="AU171" s="38">
        <v>0.005</v>
      </c>
      <c r="AV171" s="37"/>
      <c r="AW171" s="37"/>
      <c r="AX171" s="37"/>
      <c r="AY171" s="37"/>
      <c r="AZ171" s="37"/>
      <c r="BB171" s="37">
        <f>4/36</f>
        <v>0.1111111111</v>
      </c>
      <c r="BC171" s="37"/>
      <c r="BD171" s="37"/>
      <c r="BE171" s="37"/>
      <c r="BF171" s="37"/>
      <c r="BG171" s="37"/>
      <c r="BH171" s="37">
        <f>20/36</f>
        <v>0.5555555556</v>
      </c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8">
        <f>3/36</f>
        <v>0.08333333333</v>
      </c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>
        <f>6/36</f>
        <v>0.1666666667</v>
      </c>
      <c r="CQ171" s="37"/>
      <c r="CR171" s="37"/>
      <c r="CS171" s="37"/>
      <c r="CT171" s="37"/>
      <c r="CU171" s="19"/>
      <c r="CV171" s="19">
        <f t="shared" si="1"/>
        <v>1.005</v>
      </c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</row>
    <row r="172">
      <c r="A172" s="33">
        <v>45332.0</v>
      </c>
      <c r="B172" s="2" t="s">
        <v>171</v>
      </c>
      <c r="C172" s="2" t="s">
        <v>190</v>
      </c>
      <c r="D172" s="2">
        <v>2.0</v>
      </c>
      <c r="E172" s="2">
        <v>25.0</v>
      </c>
      <c r="F172" s="37"/>
      <c r="G172" s="37"/>
      <c r="I172" s="38" t="s">
        <v>263</v>
      </c>
      <c r="J172" s="37"/>
      <c r="K172" s="37"/>
      <c r="L172" s="37"/>
      <c r="M172" s="37"/>
      <c r="N172" s="37"/>
      <c r="O172" s="37"/>
      <c r="P172" s="38"/>
      <c r="Q172" s="38"/>
      <c r="R172" s="38"/>
      <c r="S172" s="38">
        <f t="shared" ref="S172:S173" si="2">1/36</f>
        <v>0.02777777778</v>
      </c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8"/>
      <c r="AQ172" s="37"/>
      <c r="AR172" s="37"/>
      <c r="AS172" s="37"/>
      <c r="AT172" s="37"/>
      <c r="AU172" s="37">
        <f>7/36</f>
        <v>0.1944444444</v>
      </c>
      <c r="AV172" s="37"/>
      <c r="AW172" s="37"/>
      <c r="AX172" s="37"/>
      <c r="AY172" s="37"/>
      <c r="AZ172" s="37"/>
      <c r="BB172" s="37">
        <f>7/36</f>
        <v>0.1944444444</v>
      </c>
      <c r="BC172" s="37"/>
      <c r="BD172" s="37"/>
      <c r="BE172" s="37"/>
      <c r="BF172" s="37"/>
      <c r="BG172" s="37"/>
      <c r="BH172" s="37">
        <f>19/36</f>
        <v>0.5277777778</v>
      </c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8">
        <f>2/36</f>
        <v>0.05555555556</v>
      </c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8"/>
      <c r="CM172" s="38" t="s">
        <v>263</v>
      </c>
      <c r="CN172" s="37"/>
      <c r="CO172" s="37"/>
      <c r="CP172" s="38" t="s">
        <v>263</v>
      </c>
      <c r="CQ172" s="37"/>
      <c r="CR172" s="37"/>
      <c r="CS172" s="37"/>
      <c r="CT172" s="37"/>
      <c r="CU172" s="19"/>
      <c r="CV172" s="19">
        <f t="shared" si="1"/>
        <v>1</v>
      </c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</row>
    <row r="173">
      <c r="A173" s="33">
        <v>45332.0</v>
      </c>
      <c r="B173" s="2" t="s">
        <v>171</v>
      </c>
      <c r="C173" s="2" t="s">
        <v>190</v>
      </c>
      <c r="D173" s="2">
        <v>2.0</v>
      </c>
      <c r="E173" s="2">
        <v>30.0</v>
      </c>
      <c r="F173" s="37"/>
      <c r="G173" s="37"/>
      <c r="I173" s="38">
        <f t="shared" ref="I173:I174" si="3">1/36</f>
        <v>0.02777777778</v>
      </c>
      <c r="J173" s="37"/>
      <c r="K173" s="37"/>
      <c r="L173" s="37"/>
      <c r="M173" s="37"/>
      <c r="N173" s="37"/>
      <c r="O173" s="37"/>
      <c r="P173" s="38"/>
      <c r="Q173" s="38"/>
      <c r="R173" s="38"/>
      <c r="S173" s="38">
        <f t="shared" si="2"/>
        <v>0.02777777778</v>
      </c>
      <c r="T173" s="37"/>
      <c r="U173" s="37"/>
      <c r="V173" s="37"/>
      <c r="W173" s="37"/>
      <c r="X173" s="37"/>
      <c r="Y173" s="37"/>
      <c r="Z173" s="37">
        <f>2/36</f>
        <v>0.05555555556</v>
      </c>
      <c r="AA173" s="37"/>
      <c r="AB173" s="37"/>
      <c r="AC173" s="37"/>
      <c r="AD173" s="37"/>
      <c r="AE173" s="37"/>
      <c r="AF173" s="37"/>
      <c r="AG173" s="37"/>
      <c r="AH173" s="37"/>
      <c r="AI173" s="37"/>
      <c r="AJ173" s="38" t="s">
        <v>263</v>
      </c>
      <c r="AK173" s="37"/>
      <c r="AL173" s="37"/>
      <c r="AM173" s="37"/>
      <c r="AN173" s="37"/>
      <c r="AO173" s="37"/>
      <c r="AP173" s="38"/>
      <c r="AQ173" s="37"/>
      <c r="AR173" s="37"/>
      <c r="AS173" s="37"/>
      <c r="AT173" s="37"/>
      <c r="AU173" s="37">
        <f>12/36</f>
        <v>0.3333333333</v>
      </c>
      <c r="AV173" s="37"/>
      <c r="AW173" s="37"/>
      <c r="AX173" s="37"/>
      <c r="AY173" s="37"/>
      <c r="AZ173" s="37"/>
      <c r="BB173" s="37">
        <f t="shared" ref="BB173:BB174" si="4">1/36</f>
        <v>0.02777777778</v>
      </c>
      <c r="BC173" s="37"/>
      <c r="BD173" s="38"/>
      <c r="BE173" s="38" t="s">
        <v>263</v>
      </c>
      <c r="BF173" s="38" t="s">
        <v>263</v>
      </c>
      <c r="BG173" s="37"/>
      <c r="BH173" s="37">
        <f>1/36</f>
        <v>0.02777777778</v>
      </c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8">
        <f>6/36</f>
        <v>0.1666666667</v>
      </c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>
        <f>12/36</f>
        <v>0.3333333333</v>
      </c>
      <c r="CS173" s="37"/>
      <c r="CT173" s="37"/>
      <c r="CU173" s="19"/>
      <c r="CV173" s="19">
        <f t="shared" si="1"/>
        <v>1</v>
      </c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</row>
    <row r="174">
      <c r="A174" s="33">
        <v>45332.0</v>
      </c>
      <c r="B174" s="2" t="s">
        <v>171</v>
      </c>
      <c r="C174" s="2" t="s">
        <v>190</v>
      </c>
      <c r="D174" s="2">
        <v>2.0</v>
      </c>
      <c r="E174" s="2">
        <v>35.0</v>
      </c>
      <c r="F174" s="38" t="s">
        <v>263</v>
      </c>
      <c r="G174" s="37"/>
      <c r="I174" s="38">
        <f t="shared" si="3"/>
        <v>0.02777777778</v>
      </c>
      <c r="J174" s="37"/>
      <c r="K174" s="37"/>
      <c r="L174" s="37"/>
      <c r="M174" s="37"/>
      <c r="N174" s="37"/>
      <c r="O174" s="37"/>
      <c r="P174" s="38"/>
      <c r="Q174" s="38"/>
      <c r="R174" s="38"/>
      <c r="S174" s="38" t="s">
        <v>263</v>
      </c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8"/>
      <c r="AQ174" s="37"/>
      <c r="AR174" s="37"/>
      <c r="AS174" s="37">
        <f>12/36</f>
        <v>0.3333333333</v>
      </c>
      <c r="AT174" s="37"/>
      <c r="AU174" s="37">
        <f>10/36</f>
        <v>0.2777777778</v>
      </c>
      <c r="AV174" s="37"/>
      <c r="AW174" s="37"/>
      <c r="AX174" s="37"/>
      <c r="AY174" s="37"/>
      <c r="AZ174" s="37"/>
      <c r="BB174" s="37">
        <f t="shared" si="4"/>
        <v>0.02777777778</v>
      </c>
      <c r="BC174" s="37"/>
      <c r="BD174" s="37"/>
      <c r="BE174" s="37"/>
      <c r="BF174" s="37"/>
      <c r="BG174" s="37"/>
      <c r="BH174" s="37">
        <f>2/36</f>
        <v>0.05555555556</v>
      </c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8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>
        <f>10/36</f>
        <v>0.2777777778</v>
      </c>
      <c r="CN174" s="37"/>
      <c r="CO174" s="37"/>
      <c r="CP174" s="37"/>
      <c r="CQ174" s="37"/>
      <c r="CR174" s="38" t="s">
        <v>263</v>
      </c>
      <c r="CS174" s="37"/>
      <c r="CT174" s="37"/>
      <c r="CU174" s="19"/>
      <c r="CV174" s="19">
        <f t="shared" si="1"/>
        <v>1</v>
      </c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</row>
    <row r="175">
      <c r="A175" s="33">
        <v>45332.0</v>
      </c>
      <c r="B175" s="2" t="s">
        <v>171</v>
      </c>
      <c r="C175" s="2" t="s">
        <v>190</v>
      </c>
      <c r="D175" s="2">
        <v>2.0</v>
      </c>
      <c r="E175" s="2">
        <v>40.0</v>
      </c>
      <c r="F175" s="37"/>
      <c r="G175" s="37"/>
      <c r="I175" s="38"/>
      <c r="J175" s="37"/>
      <c r="K175" s="37"/>
      <c r="L175" s="37"/>
      <c r="M175" s="37"/>
      <c r="N175" s="37"/>
      <c r="O175" s="37"/>
      <c r="P175" s="38"/>
      <c r="Q175" s="38"/>
      <c r="R175" s="38"/>
      <c r="S175" s="38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8"/>
      <c r="AQ175" s="37"/>
      <c r="AR175" s="37"/>
      <c r="AS175" s="37"/>
      <c r="AT175" s="37"/>
      <c r="AU175" s="37">
        <f>5/36</f>
        <v>0.1388888889</v>
      </c>
      <c r="AV175" s="37">
        <f>2/36</f>
        <v>0.05555555556</v>
      </c>
      <c r="AW175" s="37"/>
      <c r="AX175" s="37"/>
      <c r="AY175" s="37"/>
      <c r="AZ175" s="37"/>
      <c r="BA175" s="37"/>
      <c r="BB175" s="37"/>
      <c r="BC175" s="37"/>
      <c r="BD175" s="37"/>
      <c r="BE175" s="37"/>
      <c r="BF175" s="38" t="s">
        <v>263</v>
      </c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8">
        <f>1/36</f>
        <v>0.02777777778</v>
      </c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>
        <f>24/36</f>
        <v>0.6666666667</v>
      </c>
      <c r="CN175" s="37"/>
      <c r="CO175" s="37"/>
      <c r="CP175" s="37">
        <f>3/36</f>
        <v>0.08333333333</v>
      </c>
      <c r="CQ175" s="37"/>
      <c r="CR175" s="37">
        <f>1/36</f>
        <v>0.02777777778</v>
      </c>
      <c r="CS175" s="37"/>
      <c r="CT175" s="37"/>
      <c r="CU175" s="19"/>
      <c r="CV175" s="19">
        <f t="shared" si="1"/>
        <v>1</v>
      </c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</row>
    <row r="176">
      <c r="A176" s="9">
        <v>45332.0</v>
      </c>
      <c r="B176" s="2" t="s">
        <v>171</v>
      </c>
      <c r="C176" s="2" t="s">
        <v>28</v>
      </c>
      <c r="D176" s="2">
        <v>3.0</v>
      </c>
      <c r="E176" s="2">
        <v>0.0</v>
      </c>
      <c r="I176" s="2">
        <v>0.25</v>
      </c>
      <c r="P176" s="2"/>
      <c r="Q176" s="2"/>
      <c r="R176" s="2"/>
      <c r="S176" s="2">
        <v>0.45</v>
      </c>
      <c r="AP176" s="2">
        <v>0.1</v>
      </c>
      <c r="BT176" s="2">
        <v>0.2</v>
      </c>
      <c r="CU176" s="19"/>
      <c r="CV176" s="19">
        <f t="shared" si="1"/>
        <v>1</v>
      </c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</row>
    <row r="177">
      <c r="A177" s="9">
        <v>45332.0</v>
      </c>
      <c r="B177" s="2" t="s">
        <v>171</v>
      </c>
      <c r="C177" s="2" t="s">
        <v>28</v>
      </c>
      <c r="D177" s="2">
        <v>3.0</v>
      </c>
      <c r="E177" s="2">
        <v>5.0</v>
      </c>
      <c r="I177" s="2">
        <v>0.4</v>
      </c>
      <c r="P177" s="2"/>
      <c r="Q177" s="2"/>
      <c r="R177" s="2"/>
      <c r="S177" s="2">
        <v>0.15</v>
      </c>
      <c r="AP177" s="2">
        <v>0.05</v>
      </c>
      <c r="BT177" s="2">
        <v>0.15</v>
      </c>
      <c r="CL177" s="2"/>
      <c r="CM177" s="2">
        <v>0.15</v>
      </c>
      <c r="CP177" s="2">
        <v>0.1</v>
      </c>
      <c r="CU177" s="19"/>
      <c r="CV177" s="19">
        <f t="shared" si="1"/>
        <v>1</v>
      </c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</row>
    <row r="178">
      <c r="A178" s="9">
        <v>45332.0</v>
      </c>
      <c r="B178" s="2" t="s">
        <v>171</v>
      </c>
      <c r="C178" s="2" t="s">
        <v>28</v>
      </c>
      <c r="D178" s="2">
        <v>3.0</v>
      </c>
      <c r="E178" s="2">
        <v>10.0</v>
      </c>
      <c r="I178" s="2">
        <v>0.4</v>
      </c>
      <c r="BT178" s="2">
        <v>0.3</v>
      </c>
      <c r="CL178" s="2"/>
      <c r="CM178" s="2">
        <v>0.1</v>
      </c>
      <c r="CO178" s="2">
        <v>0.2</v>
      </c>
      <c r="CU178" s="19"/>
      <c r="CV178" s="19">
        <f t="shared" si="1"/>
        <v>1</v>
      </c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</row>
    <row r="179">
      <c r="A179" s="9">
        <v>45332.0</v>
      </c>
      <c r="B179" s="2" t="s">
        <v>171</v>
      </c>
      <c r="C179" s="2" t="s">
        <v>28</v>
      </c>
      <c r="D179" s="2">
        <v>3.0</v>
      </c>
      <c r="E179" s="2">
        <v>15.0</v>
      </c>
      <c r="F179" s="2">
        <v>0.1</v>
      </c>
      <c r="I179" s="2">
        <v>0.4</v>
      </c>
      <c r="AP179" s="2">
        <v>0.05</v>
      </c>
      <c r="BH179" s="2">
        <v>0.1</v>
      </c>
      <c r="BT179" s="2">
        <v>0.2</v>
      </c>
      <c r="CL179" s="2"/>
      <c r="CM179" s="2">
        <v>0.05</v>
      </c>
      <c r="CO179" s="2">
        <v>0.1</v>
      </c>
      <c r="CU179" s="19"/>
      <c r="CV179" s="19">
        <f t="shared" si="1"/>
        <v>1</v>
      </c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</row>
    <row r="180">
      <c r="A180" s="9">
        <v>45332.0</v>
      </c>
      <c r="B180" s="2" t="s">
        <v>171</v>
      </c>
      <c r="C180" s="2" t="s">
        <v>28</v>
      </c>
      <c r="D180" s="2">
        <v>3.0</v>
      </c>
      <c r="E180" s="2">
        <v>20.0</v>
      </c>
      <c r="I180" s="2">
        <v>0.4</v>
      </c>
      <c r="AP180" s="2">
        <v>0.1</v>
      </c>
      <c r="BH180" s="2">
        <v>0.05</v>
      </c>
      <c r="BT180" s="2">
        <v>0.35</v>
      </c>
      <c r="CO180" s="2">
        <v>0.1</v>
      </c>
      <c r="CU180" s="19"/>
      <c r="CV180" s="19">
        <f t="shared" si="1"/>
        <v>1</v>
      </c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</row>
    <row r="181">
      <c r="A181" s="9">
        <v>45332.0</v>
      </c>
      <c r="B181" s="2" t="s">
        <v>171</v>
      </c>
      <c r="C181" s="2" t="s">
        <v>28</v>
      </c>
      <c r="D181" s="2">
        <v>3.0</v>
      </c>
      <c r="E181" s="2">
        <v>25.0</v>
      </c>
      <c r="I181" s="2">
        <v>0.2</v>
      </c>
      <c r="P181" s="2"/>
      <c r="Q181" s="2"/>
      <c r="R181" s="2"/>
      <c r="S181" s="2">
        <v>0.15</v>
      </c>
      <c r="BT181" s="2">
        <v>0.3</v>
      </c>
      <c r="CL181" s="2"/>
      <c r="CM181" s="2">
        <v>0.2</v>
      </c>
      <c r="CP181" s="2">
        <v>0.15</v>
      </c>
      <c r="CU181" s="19"/>
      <c r="CV181" s="19">
        <f t="shared" si="1"/>
        <v>1</v>
      </c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</row>
    <row r="182">
      <c r="A182" s="9">
        <v>45332.0</v>
      </c>
      <c r="B182" s="2" t="s">
        <v>171</v>
      </c>
      <c r="C182" s="2" t="s">
        <v>28</v>
      </c>
      <c r="D182" s="2">
        <v>3.0</v>
      </c>
      <c r="E182" s="2">
        <v>30.0</v>
      </c>
      <c r="I182" s="2">
        <v>0.2</v>
      </c>
      <c r="P182" s="2"/>
      <c r="Q182" s="2"/>
      <c r="R182" s="2"/>
      <c r="S182" s="2">
        <v>0.05</v>
      </c>
      <c r="AR182" s="2"/>
      <c r="AS182" s="2">
        <v>0.15</v>
      </c>
      <c r="AT182" s="2"/>
      <c r="AZ182" s="2">
        <v>0.1</v>
      </c>
      <c r="BT182" s="2">
        <v>0.2</v>
      </c>
      <c r="CL182" s="2"/>
      <c r="CM182" s="2">
        <v>0.2</v>
      </c>
      <c r="CP182" s="2">
        <v>0.1</v>
      </c>
      <c r="CU182" s="19"/>
      <c r="CV182" s="19">
        <f t="shared" si="1"/>
        <v>1</v>
      </c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</row>
    <row r="183">
      <c r="A183" s="9">
        <v>45332.0</v>
      </c>
      <c r="B183" s="2" t="s">
        <v>171</v>
      </c>
      <c r="C183" s="2" t="s">
        <v>28</v>
      </c>
      <c r="D183" s="2">
        <v>3.0</v>
      </c>
      <c r="E183" s="2">
        <v>35.0</v>
      </c>
      <c r="F183" s="2">
        <v>0.05</v>
      </c>
      <c r="I183" s="2">
        <v>0.1</v>
      </c>
      <c r="P183" s="2"/>
      <c r="Q183" s="2"/>
      <c r="R183" s="2"/>
      <c r="S183" s="2">
        <v>0.2</v>
      </c>
      <c r="AJ183" s="2"/>
      <c r="AK183" s="2">
        <v>0.25</v>
      </c>
      <c r="AR183" s="2"/>
      <c r="AS183" s="2">
        <v>0.3</v>
      </c>
      <c r="AT183" s="2"/>
      <c r="BB183" s="2">
        <v>0.1</v>
      </c>
      <c r="CU183" s="19"/>
      <c r="CV183" s="19">
        <f t="shared" si="1"/>
        <v>1</v>
      </c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</row>
    <row r="184">
      <c r="A184" s="9">
        <v>45332.0</v>
      </c>
      <c r="B184" s="2" t="s">
        <v>171</v>
      </c>
      <c r="C184" s="2" t="s">
        <v>28</v>
      </c>
      <c r="D184" s="2">
        <v>3.0</v>
      </c>
      <c r="E184" s="2">
        <v>40.0</v>
      </c>
      <c r="G184" s="2">
        <v>0.1</v>
      </c>
      <c r="I184" s="2">
        <v>0.1</v>
      </c>
      <c r="BH184" s="2">
        <v>0.05</v>
      </c>
      <c r="CP184" s="2">
        <v>0.45</v>
      </c>
      <c r="CR184" s="2">
        <v>0.3</v>
      </c>
      <c r="CU184" s="19"/>
      <c r="CV184" s="19">
        <f t="shared" si="1"/>
        <v>1</v>
      </c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</row>
    <row r="185">
      <c r="A185" s="9">
        <v>45332.0</v>
      </c>
      <c r="B185" s="2" t="s">
        <v>171</v>
      </c>
      <c r="C185" s="2" t="s">
        <v>190</v>
      </c>
      <c r="D185" s="2">
        <v>4.0</v>
      </c>
      <c r="E185" s="2">
        <v>0.0</v>
      </c>
      <c r="F185" s="37"/>
      <c r="G185" s="37"/>
      <c r="I185" s="37">
        <f>5/36</f>
        <v>0.1388888889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>
        <f>4/36</f>
        <v>0.1111111111</v>
      </c>
      <c r="T185" s="37"/>
      <c r="U185" s="37"/>
      <c r="V185" s="37"/>
      <c r="W185" s="37"/>
      <c r="X185" s="37"/>
      <c r="Y185" s="37"/>
      <c r="Z185" s="37"/>
      <c r="AA185" s="37">
        <f>1/36</f>
        <v>0.02777777778</v>
      </c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>
        <f>13/36</f>
        <v>0.3611111111</v>
      </c>
      <c r="AV185" s="37"/>
      <c r="AW185" s="37"/>
      <c r="AX185" s="37"/>
      <c r="AY185" s="37"/>
      <c r="AZ185" s="37"/>
      <c r="BB185" s="37">
        <f>2/36</f>
        <v>0.05555555556</v>
      </c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>
        <f>1/36</f>
        <v>0.02777777778</v>
      </c>
      <c r="CN185" s="37"/>
      <c r="CO185" s="37"/>
      <c r="CP185" s="37">
        <f>5/36</f>
        <v>0.1388888889</v>
      </c>
      <c r="CQ185" s="37"/>
      <c r="CR185" s="37">
        <f>5/36</f>
        <v>0.1388888889</v>
      </c>
      <c r="CS185" s="37"/>
      <c r="CT185" s="37"/>
      <c r="CU185" s="19"/>
      <c r="CV185" s="19">
        <f t="shared" si="1"/>
        <v>1</v>
      </c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</row>
    <row r="186">
      <c r="A186" s="9">
        <v>45332.0</v>
      </c>
      <c r="B186" s="2" t="s">
        <v>171</v>
      </c>
      <c r="C186" s="2" t="s">
        <v>190</v>
      </c>
      <c r="D186" s="2">
        <v>4.0</v>
      </c>
      <c r="E186" s="2">
        <v>5.0</v>
      </c>
      <c r="F186" s="37"/>
      <c r="G186" s="37"/>
      <c r="I186" s="37">
        <f>18/36</f>
        <v>0.5</v>
      </c>
      <c r="J186" s="37"/>
      <c r="K186" s="37"/>
      <c r="L186" s="37"/>
      <c r="M186" s="37"/>
      <c r="N186" s="37"/>
      <c r="O186" s="37">
        <f>1/36</f>
        <v>0.02777777778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>
        <f>2/36</f>
        <v>0.05555555556</v>
      </c>
      <c r="AV186" s="37"/>
      <c r="AW186" s="37"/>
      <c r="AX186" s="37"/>
      <c r="AY186" s="37"/>
      <c r="AZ186" s="37"/>
      <c r="BB186" s="38">
        <v>0.005</v>
      </c>
      <c r="BC186" s="37">
        <f>1/36</f>
        <v>0.02777777778</v>
      </c>
      <c r="BD186" s="37"/>
      <c r="BE186" s="37"/>
      <c r="BF186" s="37"/>
      <c r="BG186" s="37"/>
      <c r="BH186" s="37">
        <f>2/36</f>
        <v>0.05555555556</v>
      </c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>
        <f>4/36</f>
        <v>0.1111111111</v>
      </c>
      <c r="BY186" s="38" t="s">
        <v>263</v>
      </c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>
        <f>8/36</f>
        <v>0.2222222222</v>
      </c>
      <c r="CN186" s="37"/>
      <c r="CO186" s="37"/>
      <c r="CP186" s="38" t="s">
        <v>263</v>
      </c>
      <c r="CQ186" s="37"/>
      <c r="CR186" s="38" t="s">
        <v>263</v>
      </c>
      <c r="CS186" s="37"/>
      <c r="CT186" s="37"/>
      <c r="CU186" s="19"/>
      <c r="CV186" s="19">
        <f t="shared" si="1"/>
        <v>1.005</v>
      </c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</row>
    <row r="187">
      <c r="A187" s="9">
        <v>45332.0</v>
      </c>
      <c r="B187" s="2" t="s">
        <v>171</v>
      </c>
      <c r="C187" s="2" t="s">
        <v>190</v>
      </c>
      <c r="D187" s="2">
        <v>4.0</v>
      </c>
      <c r="E187" s="2">
        <v>10.0</v>
      </c>
      <c r="F187" s="37">
        <f>1/36</f>
        <v>0.02777777778</v>
      </c>
      <c r="G187" s="37"/>
      <c r="I187" s="37">
        <f>6/36</f>
        <v>0.1666666667</v>
      </c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>
        <f>3/36</f>
        <v>0.08333333333</v>
      </c>
      <c r="AV187" s="37"/>
      <c r="AW187" s="37"/>
      <c r="AX187" s="37"/>
      <c r="AY187" s="37"/>
      <c r="AZ187" s="37"/>
      <c r="BB187" s="38">
        <v>0.005</v>
      </c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>
        <f>23/36</f>
        <v>0.6388888889</v>
      </c>
      <c r="CN187" s="37"/>
      <c r="CO187" s="37"/>
      <c r="CP187" s="37">
        <f t="shared" ref="CP187:CP188" si="5">2/36</f>
        <v>0.05555555556</v>
      </c>
      <c r="CQ187" s="37"/>
      <c r="CR187" s="37">
        <f>1/36</f>
        <v>0.02777777778</v>
      </c>
      <c r="CS187" s="37"/>
      <c r="CT187" s="37"/>
      <c r="CU187" s="19"/>
      <c r="CV187" s="19">
        <f t="shared" si="1"/>
        <v>1.005</v>
      </c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</row>
    <row r="188">
      <c r="A188" s="9">
        <v>45332.0</v>
      </c>
      <c r="B188" s="2" t="s">
        <v>171</v>
      </c>
      <c r="C188" s="2" t="s">
        <v>190</v>
      </c>
      <c r="D188" s="2">
        <v>4.0</v>
      </c>
      <c r="E188" s="2">
        <v>15.0</v>
      </c>
      <c r="F188" s="37"/>
      <c r="G188" s="37">
        <f>4/36</f>
        <v>0.1111111111</v>
      </c>
      <c r="I188" s="37">
        <f>5/36</f>
        <v>0.1388888889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8" t="s">
        <v>263</v>
      </c>
      <c r="AS188" s="37"/>
      <c r="AT188" s="37"/>
      <c r="AU188" s="37"/>
      <c r="AV188" s="38">
        <v>0.005</v>
      </c>
      <c r="AW188" s="37"/>
      <c r="AX188" s="37"/>
      <c r="AY188" s="37"/>
      <c r="AZ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8" t="s">
        <v>263</v>
      </c>
      <c r="BR188" s="38" t="s">
        <v>263</v>
      </c>
      <c r="BS188" s="37"/>
      <c r="BT188" s="38" t="s">
        <v>263</v>
      </c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>
        <f>25/36</f>
        <v>0.6944444444</v>
      </c>
      <c r="CN188" s="37"/>
      <c r="CO188" s="37"/>
      <c r="CP188" s="37">
        <f t="shared" si="5"/>
        <v>0.05555555556</v>
      </c>
      <c r="CQ188" s="37"/>
      <c r="CR188" s="37"/>
      <c r="CS188" s="37"/>
      <c r="CT188" s="37"/>
      <c r="CU188" s="19"/>
      <c r="CV188" s="19">
        <f t="shared" si="1"/>
        <v>1.005</v>
      </c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</row>
    <row r="189">
      <c r="A189" s="9">
        <v>45332.0</v>
      </c>
      <c r="B189" s="2" t="s">
        <v>171</v>
      </c>
      <c r="C189" s="2" t="s">
        <v>190</v>
      </c>
      <c r="D189" s="2">
        <v>4.0</v>
      </c>
      <c r="E189" s="2">
        <v>20.0</v>
      </c>
      <c r="F189" s="37"/>
      <c r="G189" s="37">
        <f>3/36</f>
        <v>0.08333333333</v>
      </c>
      <c r="I189" s="37">
        <f>3/36</f>
        <v>0.08333333333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8" t="s">
        <v>263</v>
      </c>
      <c r="AS189" s="38" t="s">
        <v>263</v>
      </c>
      <c r="AT189" s="38"/>
      <c r="AU189" s="37">
        <f>5/36</f>
        <v>0.1388888889</v>
      </c>
      <c r="AV189" s="37">
        <f>1/36</f>
        <v>0.02777777778</v>
      </c>
      <c r="AW189" s="37"/>
      <c r="AX189" s="37"/>
      <c r="AY189" s="37"/>
      <c r="AZ189" s="37"/>
      <c r="BB189" s="37"/>
      <c r="BC189" s="37"/>
      <c r="BD189" s="37"/>
      <c r="BE189" s="37"/>
      <c r="BF189" s="38" t="s">
        <v>263</v>
      </c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8">
        <v>0.03</v>
      </c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>
        <f>20/36</f>
        <v>0.5555555556</v>
      </c>
      <c r="CN189" s="37"/>
      <c r="CO189" s="37"/>
      <c r="CP189" s="37">
        <f>4/36</f>
        <v>0.1111111111</v>
      </c>
      <c r="CQ189" s="37"/>
      <c r="CR189" s="37"/>
      <c r="CS189" s="37"/>
      <c r="CT189" s="37"/>
      <c r="CU189" s="19"/>
      <c r="CV189" s="19">
        <f t="shared" si="1"/>
        <v>1.03</v>
      </c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</row>
    <row r="190">
      <c r="A190" s="9">
        <v>45332.0</v>
      </c>
      <c r="B190" s="2" t="s">
        <v>171</v>
      </c>
      <c r="C190" s="2" t="s">
        <v>190</v>
      </c>
      <c r="D190" s="2">
        <v>4.0</v>
      </c>
      <c r="E190" s="2">
        <v>25.0</v>
      </c>
      <c r="F190" s="37"/>
      <c r="G190" s="37">
        <f>2/36</f>
        <v>0.05555555556</v>
      </c>
      <c r="I190" s="37">
        <f>7/36</f>
        <v>0.1944444444</v>
      </c>
      <c r="J190" s="37"/>
      <c r="K190" s="37"/>
      <c r="L190" s="37"/>
      <c r="M190" s="37"/>
      <c r="N190" s="37"/>
      <c r="O190" s="38" t="s">
        <v>263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>
        <f>2/36</f>
        <v>0.05555555556</v>
      </c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U190" s="37">
        <f>6/36</f>
        <v>0.1666666667</v>
      </c>
      <c r="AV190" s="37"/>
      <c r="AW190" s="37"/>
      <c r="AX190" s="37"/>
      <c r="AY190" s="37"/>
      <c r="AZ190" s="37"/>
      <c r="BB190" s="37">
        <f>3/36</f>
        <v>0.08333333333</v>
      </c>
      <c r="BC190" s="37"/>
      <c r="BD190" s="37"/>
      <c r="BE190" s="37"/>
      <c r="BF190" s="38" t="s">
        <v>263</v>
      </c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8" t="s">
        <v>263</v>
      </c>
      <c r="CM190" s="37">
        <f>1/36</f>
        <v>0.02777777778</v>
      </c>
      <c r="CN190" s="37"/>
      <c r="CO190" s="37"/>
      <c r="CP190" s="37">
        <f>15/36</f>
        <v>0.4166666667</v>
      </c>
      <c r="CQ190" s="37"/>
      <c r="CR190" s="38" t="s">
        <v>263</v>
      </c>
      <c r="CS190" s="37"/>
      <c r="CT190" s="37"/>
      <c r="CU190" s="19"/>
      <c r="CV190" s="19">
        <f t="shared" si="1"/>
        <v>1</v>
      </c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</row>
    <row r="191">
      <c r="A191" s="9">
        <v>45332.0</v>
      </c>
      <c r="B191" s="2" t="s">
        <v>171</v>
      </c>
      <c r="C191" s="2" t="s">
        <v>190</v>
      </c>
      <c r="D191" s="2">
        <v>4.0</v>
      </c>
      <c r="E191" s="2">
        <v>30.0</v>
      </c>
      <c r="F191" s="37"/>
      <c r="G191" s="37"/>
      <c r="I191" s="37">
        <f>9/36</f>
        <v>0.25</v>
      </c>
      <c r="J191" s="37"/>
      <c r="K191" s="37"/>
      <c r="L191" s="37"/>
      <c r="M191" s="37"/>
      <c r="N191" s="37"/>
      <c r="O191" s="38" t="s">
        <v>263</v>
      </c>
      <c r="P191" s="37"/>
      <c r="Q191" s="37"/>
      <c r="R191" s="38">
        <v>0.01</v>
      </c>
      <c r="S191" s="38" t="s">
        <v>263</v>
      </c>
      <c r="T191" s="37"/>
      <c r="U191" s="37"/>
      <c r="V191" s="37"/>
      <c r="W191" s="37"/>
      <c r="X191" s="37"/>
      <c r="Y191" s="37"/>
      <c r="Z191" s="37"/>
      <c r="AA191" s="38" t="s">
        <v>263</v>
      </c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8"/>
      <c r="AS191" s="38" t="s">
        <v>263</v>
      </c>
      <c r="AT191" s="38"/>
      <c r="AU191" s="37">
        <f>16/36</f>
        <v>0.4444444444</v>
      </c>
      <c r="AV191" s="37"/>
      <c r="AW191" s="37"/>
      <c r="AX191" s="37"/>
      <c r="AY191" s="37"/>
      <c r="AZ191" s="37"/>
      <c r="BB191" s="37"/>
      <c r="BC191" s="37"/>
      <c r="BD191" s="37"/>
      <c r="BE191" s="37"/>
      <c r="BF191" s="38" t="s">
        <v>263</v>
      </c>
      <c r="BG191" s="37"/>
      <c r="BH191" s="37">
        <f>9/36</f>
        <v>0.25</v>
      </c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>
        <f>1/36</f>
        <v>0.02777777778</v>
      </c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8">
        <v>0.3</v>
      </c>
      <c r="CN191" s="37"/>
      <c r="CO191" s="37"/>
      <c r="CP191" s="37">
        <f>1/36</f>
        <v>0.02777777778</v>
      </c>
      <c r="CQ191" s="37"/>
      <c r="CR191" s="37"/>
      <c r="CS191" s="37"/>
      <c r="CT191" s="37"/>
      <c r="CU191" s="19"/>
      <c r="CV191" s="19">
        <f t="shared" si="1"/>
        <v>1.31</v>
      </c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</row>
    <row r="192">
      <c r="A192" s="9">
        <v>45332.0</v>
      </c>
      <c r="B192" s="2" t="s">
        <v>171</v>
      </c>
      <c r="C192" s="2" t="s">
        <v>190</v>
      </c>
      <c r="D192" s="2">
        <v>4.0</v>
      </c>
      <c r="E192" s="2">
        <v>35.0</v>
      </c>
      <c r="F192" s="37"/>
      <c r="G192" s="37"/>
      <c r="I192" s="38">
        <v>0.3</v>
      </c>
      <c r="J192" s="37"/>
      <c r="K192" s="37"/>
      <c r="L192" s="37"/>
      <c r="M192" s="37"/>
      <c r="N192" s="37"/>
      <c r="O192" s="37"/>
      <c r="P192" s="37"/>
      <c r="Q192" s="37"/>
      <c r="R192" s="37"/>
      <c r="S192" s="38">
        <v>0.05</v>
      </c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B192" s="38">
        <v>0.1</v>
      </c>
      <c r="BC192" s="37"/>
      <c r="BD192" s="37"/>
      <c r="BE192" s="37"/>
      <c r="BF192" s="37"/>
      <c r="BG192" s="37"/>
      <c r="BH192" s="38">
        <v>0.1</v>
      </c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8">
        <v>0.15</v>
      </c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8">
        <v>0.15</v>
      </c>
      <c r="CN192" s="37"/>
      <c r="CO192" s="37"/>
      <c r="CQ192" s="37"/>
      <c r="CR192" s="37"/>
      <c r="CS192" s="38">
        <v>0.15</v>
      </c>
      <c r="CT192" s="38"/>
      <c r="CU192" s="19"/>
      <c r="CV192" s="19">
        <f t="shared" si="1"/>
        <v>1</v>
      </c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</row>
    <row r="193">
      <c r="A193" s="9">
        <v>45332.0</v>
      </c>
      <c r="B193" s="2" t="s">
        <v>171</v>
      </c>
      <c r="C193" s="2" t="s">
        <v>190</v>
      </c>
      <c r="D193" s="2">
        <v>4.0</v>
      </c>
      <c r="E193" s="2">
        <v>40.0</v>
      </c>
      <c r="F193" s="37"/>
      <c r="G193" s="38">
        <v>0.05</v>
      </c>
      <c r="I193" s="38">
        <v>0.15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8">
        <v>0.15</v>
      </c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8">
        <v>0.2</v>
      </c>
      <c r="AT193" s="38"/>
      <c r="AU193" s="37"/>
      <c r="AV193" s="37"/>
      <c r="AW193" s="37"/>
      <c r="AX193" s="37"/>
      <c r="AY193" s="37"/>
      <c r="AZ193" s="37"/>
      <c r="BB193" s="38">
        <v>0.05</v>
      </c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8">
        <v>0.05</v>
      </c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8">
        <v>0.3</v>
      </c>
      <c r="CN193" s="37"/>
      <c r="CO193" s="37"/>
      <c r="CP193" s="38">
        <v>0.05</v>
      </c>
      <c r="CQ193" s="37"/>
      <c r="CR193" s="37"/>
      <c r="CS193" s="37"/>
      <c r="CT193" s="37"/>
      <c r="CU193" s="19"/>
      <c r="CV193" s="19">
        <f t="shared" si="1"/>
        <v>1</v>
      </c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</row>
    <row r="194">
      <c r="A194" s="9">
        <v>45332.0</v>
      </c>
      <c r="B194" s="2" t="s">
        <v>57</v>
      </c>
      <c r="C194" s="2" t="s">
        <v>35</v>
      </c>
      <c r="D194" s="2">
        <v>1.0</v>
      </c>
      <c r="E194" s="2">
        <v>2.0</v>
      </c>
      <c r="W194" s="2">
        <v>0.05</v>
      </c>
      <c r="X194" s="2"/>
      <c r="AH194" s="2">
        <v>0.1</v>
      </c>
      <c r="AK194" s="2">
        <v>0.03</v>
      </c>
      <c r="BN194" s="2">
        <v>0.05</v>
      </c>
      <c r="BO194" s="2">
        <v>0.15</v>
      </c>
      <c r="BV194" s="2">
        <v>0.05</v>
      </c>
      <c r="CM194" s="2">
        <v>0.2</v>
      </c>
      <c r="CR194" s="2">
        <v>0.37</v>
      </c>
      <c r="CU194" s="19"/>
      <c r="CV194" s="19">
        <f t="shared" si="1"/>
        <v>1</v>
      </c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</row>
    <row r="195">
      <c r="A195" s="9">
        <v>45332.0</v>
      </c>
      <c r="B195" s="2" t="s">
        <v>57</v>
      </c>
      <c r="C195" s="2" t="s">
        <v>35</v>
      </c>
      <c r="D195" s="2">
        <v>1.0</v>
      </c>
      <c r="E195" s="2">
        <v>4.0</v>
      </c>
      <c r="W195" s="2">
        <v>0.15</v>
      </c>
      <c r="X195" s="2"/>
      <c r="AH195" s="2">
        <v>0.1</v>
      </c>
      <c r="AP195" s="2">
        <v>0.05</v>
      </c>
      <c r="AU195" s="2">
        <v>0.03</v>
      </c>
      <c r="BN195" s="2">
        <v>0.1</v>
      </c>
      <c r="BO195" s="2">
        <v>0.05</v>
      </c>
      <c r="BS195" s="2">
        <v>0.02</v>
      </c>
      <c r="BV195" s="2">
        <v>0.05</v>
      </c>
      <c r="CM195" s="2">
        <v>0.05</v>
      </c>
      <c r="CR195" s="2">
        <v>0.4</v>
      </c>
      <c r="CU195" s="19"/>
      <c r="CV195" s="19">
        <f t="shared" si="1"/>
        <v>1</v>
      </c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</row>
    <row r="196">
      <c r="A196" s="9">
        <v>45332.0</v>
      </c>
      <c r="B196" s="2" t="s">
        <v>57</v>
      </c>
      <c r="C196" s="2" t="s">
        <v>35</v>
      </c>
      <c r="D196" s="2">
        <v>1.0</v>
      </c>
      <c r="E196" s="2">
        <v>6.0</v>
      </c>
      <c r="W196" s="2">
        <v>0.15</v>
      </c>
      <c r="X196" s="2"/>
      <c r="AH196" s="2">
        <v>0.05</v>
      </c>
      <c r="AK196" s="2">
        <v>0.05</v>
      </c>
      <c r="AU196" s="2">
        <v>0.3</v>
      </c>
      <c r="BH196" s="2">
        <v>0.05</v>
      </c>
      <c r="BS196" s="2">
        <v>0.1</v>
      </c>
      <c r="BT196" s="2">
        <v>0.15</v>
      </c>
      <c r="CR196" s="2">
        <v>0.15</v>
      </c>
      <c r="CU196" s="19"/>
      <c r="CV196" s="19">
        <f t="shared" si="1"/>
        <v>1</v>
      </c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</row>
    <row r="197">
      <c r="A197" s="9">
        <v>45332.0</v>
      </c>
      <c r="B197" s="2" t="s">
        <v>57</v>
      </c>
      <c r="C197" s="2" t="s">
        <v>35</v>
      </c>
      <c r="D197" s="2">
        <v>1.0</v>
      </c>
      <c r="E197" s="2">
        <v>8.0</v>
      </c>
      <c r="W197" s="2">
        <v>0.05</v>
      </c>
      <c r="X197" s="2"/>
      <c r="AU197" s="2">
        <v>0.15</v>
      </c>
      <c r="BH197" s="2">
        <v>0.02</v>
      </c>
      <c r="BN197" s="2">
        <v>0.05</v>
      </c>
      <c r="BO197" s="2">
        <v>0.1</v>
      </c>
      <c r="BS197" s="2">
        <v>0.1</v>
      </c>
      <c r="BV197" s="2">
        <v>0.15</v>
      </c>
      <c r="CR197" s="2">
        <v>0.18</v>
      </c>
      <c r="CS197" s="2">
        <v>0.2</v>
      </c>
      <c r="CT197" s="2"/>
      <c r="CU197" s="19"/>
      <c r="CV197" s="19">
        <f t="shared" si="1"/>
        <v>1</v>
      </c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</row>
    <row r="198">
      <c r="A198" s="9">
        <v>45332.0</v>
      </c>
      <c r="B198" s="2" t="s">
        <v>57</v>
      </c>
      <c r="C198" s="2" t="s">
        <v>35</v>
      </c>
      <c r="D198" s="2">
        <v>1.0</v>
      </c>
      <c r="E198" s="2">
        <v>10.0</v>
      </c>
      <c r="AC198" s="2">
        <v>0.1</v>
      </c>
      <c r="AH198" s="2">
        <v>0.1</v>
      </c>
      <c r="AK198" s="2">
        <v>0.05</v>
      </c>
      <c r="AU198" s="2">
        <v>0.3</v>
      </c>
      <c r="BH198" s="2">
        <v>0.15</v>
      </c>
      <c r="BV198" s="2">
        <v>0.1</v>
      </c>
      <c r="CQ198" s="2">
        <v>0.07</v>
      </c>
      <c r="CR198" s="2">
        <v>0.13</v>
      </c>
      <c r="CU198" s="19"/>
      <c r="CV198" s="19">
        <f t="shared" si="1"/>
        <v>1</v>
      </c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</row>
    <row r="199">
      <c r="A199" s="22">
        <v>45332.0</v>
      </c>
      <c r="B199" s="2" t="s">
        <v>57</v>
      </c>
      <c r="C199" s="2" t="s">
        <v>35</v>
      </c>
      <c r="D199" s="2">
        <v>1.0</v>
      </c>
      <c r="E199" s="2">
        <v>12.0</v>
      </c>
      <c r="AC199" s="2">
        <v>0.03</v>
      </c>
      <c r="AH199" s="2">
        <v>0.05</v>
      </c>
      <c r="BN199" s="2">
        <v>0.3</v>
      </c>
      <c r="BO199" s="2">
        <v>0.2</v>
      </c>
      <c r="CM199" s="2">
        <v>0.2</v>
      </c>
      <c r="CQ199" s="2">
        <v>0.05</v>
      </c>
      <c r="CR199" s="2">
        <v>0.17</v>
      </c>
      <c r="CU199" s="19"/>
      <c r="CV199" s="19">
        <f t="shared" si="1"/>
        <v>1</v>
      </c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</row>
    <row r="200">
      <c r="A200" s="22">
        <v>45332.0</v>
      </c>
      <c r="B200" s="2" t="s">
        <v>57</v>
      </c>
      <c r="C200" s="2" t="s">
        <v>35</v>
      </c>
      <c r="D200" s="2">
        <v>1.0</v>
      </c>
      <c r="E200" s="2">
        <v>16.0</v>
      </c>
      <c r="AH200" s="2">
        <v>0.1</v>
      </c>
      <c r="BH200" s="2">
        <v>0.1</v>
      </c>
      <c r="BI200" s="2"/>
      <c r="BJ200" s="2"/>
      <c r="BK200" s="2"/>
      <c r="BL200" s="2">
        <v>0.05</v>
      </c>
      <c r="BN200" s="2">
        <v>0.1</v>
      </c>
      <c r="BO200" s="2">
        <v>0.15</v>
      </c>
      <c r="BP200" s="2">
        <v>0.05</v>
      </c>
      <c r="BV200" s="2">
        <v>0.05</v>
      </c>
      <c r="CM200" s="2">
        <v>0.37</v>
      </c>
      <c r="CQ200" s="2">
        <v>0.03</v>
      </c>
      <c r="CU200" s="19"/>
      <c r="CV200" s="19">
        <f t="shared" si="1"/>
        <v>1</v>
      </c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</row>
    <row r="201">
      <c r="A201" s="22">
        <v>45332.0</v>
      </c>
      <c r="B201" s="2" t="s">
        <v>57</v>
      </c>
      <c r="C201" s="2" t="s">
        <v>35</v>
      </c>
      <c r="D201" s="2">
        <v>1.0</v>
      </c>
      <c r="E201" s="2">
        <v>18.0</v>
      </c>
      <c r="Y201" s="2">
        <v>0.05</v>
      </c>
      <c r="AV201" s="2">
        <v>0.05</v>
      </c>
      <c r="BH201" s="2">
        <v>0.3</v>
      </c>
      <c r="BN201" s="2">
        <v>0.1</v>
      </c>
      <c r="BT201" s="2">
        <v>0.15</v>
      </c>
      <c r="CM201" s="2">
        <v>0.2</v>
      </c>
      <c r="CP201" s="2">
        <v>0.15</v>
      </c>
      <c r="CU201" s="19"/>
      <c r="CV201" s="19">
        <f t="shared" si="1"/>
        <v>1</v>
      </c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</row>
    <row r="202">
      <c r="A202" s="22">
        <v>45332.0</v>
      </c>
      <c r="B202" s="2" t="s">
        <v>57</v>
      </c>
      <c r="C202" s="2" t="s">
        <v>35</v>
      </c>
      <c r="D202" s="2">
        <v>1.0</v>
      </c>
      <c r="E202" s="2">
        <v>20.0</v>
      </c>
      <c r="Y202" s="2">
        <v>0.1</v>
      </c>
      <c r="BT202" s="2">
        <v>0.15</v>
      </c>
      <c r="CP202" s="2">
        <v>0.4</v>
      </c>
      <c r="CR202" s="2">
        <v>0.35</v>
      </c>
      <c r="CU202" s="19"/>
      <c r="CV202" s="19">
        <f t="shared" si="1"/>
        <v>1</v>
      </c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</row>
    <row r="203">
      <c r="A203" s="22">
        <v>45332.0</v>
      </c>
      <c r="B203" s="2" t="s">
        <v>57</v>
      </c>
      <c r="C203" s="2" t="s">
        <v>35</v>
      </c>
      <c r="D203" s="2">
        <v>2.0</v>
      </c>
      <c r="E203" s="2">
        <v>18.0</v>
      </c>
      <c r="CJ203" s="2">
        <v>0.05</v>
      </c>
      <c r="CR203" s="2">
        <v>0.95</v>
      </c>
      <c r="CU203" s="19"/>
      <c r="CV203" s="19">
        <f t="shared" si="1"/>
        <v>1</v>
      </c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</row>
    <row r="204">
      <c r="A204" s="22">
        <v>45332.0</v>
      </c>
      <c r="B204" s="2" t="s">
        <v>57</v>
      </c>
      <c r="C204" s="2" t="s">
        <v>35</v>
      </c>
      <c r="D204" s="2">
        <v>2.0</v>
      </c>
      <c r="E204" s="2">
        <v>16.0</v>
      </c>
      <c r="CM204" s="2">
        <v>0.9</v>
      </c>
      <c r="CN204" s="2">
        <v>0.03</v>
      </c>
      <c r="CR204" s="2">
        <v>0.07</v>
      </c>
      <c r="CU204" s="19"/>
      <c r="CV204" s="19">
        <f t="shared" si="1"/>
        <v>1</v>
      </c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</row>
    <row r="205">
      <c r="A205" s="22">
        <v>45332.0</v>
      </c>
      <c r="B205" s="2" t="s">
        <v>57</v>
      </c>
      <c r="C205" s="2" t="s">
        <v>35</v>
      </c>
      <c r="D205" s="2">
        <v>2.0</v>
      </c>
      <c r="E205" s="2">
        <v>14.0</v>
      </c>
      <c r="O205" s="2">
        <v>0.01</v>
      </c>
      <c r="BN205" s="2">
        <v>0.15</v>
      </c>
      <c r="BO205" s="2">
        <v>0.1</v>
      </c>
      <c r="CM205" s="2">
        <v>0.74</v>
      </c>
      <c r="CU205" s="19"/>
      <c r="CV205" s="19">
        <f t="shared" si="1"/>
        <v>1</v>
      </c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</row>
    <row r="206">
      <c r="A206" s="22">
        <v>45332.0</v>
      </c>
      <c r="B206" s="2" t="s">
        <v>57</v>
      </c>
      <c r="C206" s="2" t="s">
        <v>35</v>
      </c>
      <c r="D206" s="2">
        <v>2.0</v>
      </c>
      <c r="E206" s="2">
        <v>12.0</v>
      </c>
      <c r="W206" s="2">
        <v>0.02</v>
      </c>
      <c r="X206" s="2"/>
      <c r="Y206" s="2">
        <v>0.2</v>
      </c>
      <c r="BN206" s="2">
        <v>0.05</v>
      </c>
      <c r="BO206" s="2">
        <v>0.05</v>
      </c>
      <c r="CM206" s="2">
        <v>0.33</v>
      </c>
      <c r="CN206" s="2">
        <v>0.15</v>
      </c>
      <c r="CR206" s="2">
        <v>0.2</v>
      </c>
      <c r="CU206" s="19"/>
      <c r="CV206" s="19">
        <f t="shared" si="1"/>
        <v>1</v>
      </c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</row>
    <row r="207">
      <c r="A207" s="22">
        <v>45332.0</v>
      </c>
      <c r="B207" s="2" t="s">
        <v>57</v>
      </c>
      <c r="C207" s="2" t="s">
        <v>35</v>
      </c>
      <c r="D207" s="2">
        <v>2.0</v>
      </c>
      <c r="E207" s="2">
        <v>10.0</v>
      </c>
      <c r="W207" s="2">
        <v>0.05</v>
      </c>
      <c r="X207" s="2"/>
      <c r="BH207" s="2">
        <v>0.1</v>
      </c>
      <c r="BN207" s="2">
        <v>0.45</v>
      </c>
      <c r="BO207" s="2">
        <v>0.05</v>
      </c>
      <c r="CM207" s="2">
        <v>0.25</v>
      </c>
      <c r="CN207" s="2">
        <v>0.05</v>
      </c>
      <c r="CR207" s="2">
        <v>0.05</v>
      </c>
      <c r="CU207" s="19"/>
      <c r="CV207" s="19">
        <f t="shared" si="1"/>
        <v>1</v>
      </c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</row>
    <row r="208">
      <c r="A208" s="22">
        <v>45332.0</v>
      </c>
      <c r="B208" s="2" t="s">
        <v>57</v>
      </c>
      <c r="C208" s="2" t="s">
        <v>35</v>
      </c>
      <c r="D208" s="2">
        <v>2.0</v>
      </c>
      <c r="E208" s="2">
        <v>8.0</v>
      </c>
      <c r="W208" s="2">
        <v>0.1</v>
      </c>
      <c r="X208" s="2"/>
      <c r="BH208" s="2">
        <v>0.05</v>
      </c>
      <c r="BN208" s="2">
        <v>0.2</v>
      </c>
      <c r="BO208" s="2">
        <v>0.1</v>
      </c>
      <c r="CM208" s="2">
        <v>0.4</v>
      </c>
      <c r="CN208" s="2">
        <v>0.05</v>
      </c>
      <c r="CR208" s="2">
        <v>0.1</v>
      </c>
      <c r="CU208" s="19"/>
      <c r="CV208" s="19">
        <f t="shared" si="1"/>
        <v>1</v>
      </c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</row>
    <row r="209">
      <c r="A209" s="22">
        <v>45332.0</v>
      </c>
      <c r="B209" s="2" t="s">
        <v>57</v>
      </c>
      <c r="C209" s="2" t="s">
        <v>35</v>
      </c>
      <c r="D209" s="2">
        <v>2.0</v>
      </c>
      <c r="E209" s="2">
        <v>6.0</v>
      </c>
      <c r="AC209" s="2">
        <v>0.1</v>
      </c>
      <c r="AH209" s="2">
        <v>0.1</v>
      </c>
      <c r="BH209" s="2">
        <v>0.3</v>
      </c>
      <c r="BN209" s="2">
        <v>0.15</v>
      </c>
      <c r="BO209" s="2">
        <v>0.05</v>
      </c>
      <c r="BV209" s="2">
        <v>0.05</v>
      </c>
      <c r="CR209" s="2">
        <v>0.25</v>
      </c>
      <c r="CU209" s="19"/>
      <c r="CV209" s="19">
        <f t="shared" si="1"/>
        <v>1</v>
      </c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</row>
    <row r="210">
      <c r="A210" s="22">
        <v>45332.0</v>
      </c>
      <c r="B210" s="2" t="s">
        <v>57</v>
      </c>
      <c r="C210" s="2" t="s">
        <v>35</v>
      </c>
      <c r="D210" s="2">
        <v>2.0</v>
      </c>
      <c r="E210" s="2">
        <v>4.0</v>
      </c>
      <c r="W210" s="2">
        <v>0.05</v>
      </c>
      <c r="X210" s="2"/>
      <c r="AC210" s="2">
        <v>0.05</v>
      </c>
      <c r="AH210" s="2">
        <v>0.05</v>
      </c>
      <c r="BH210" s="2">
        <v>0.03</v>
      </c>
      <c r="BN210" s="2">
        <v>0.05</v>
      </c>
      <c r="BO210" s="2">
        <v>0.2</v>
      </c>
      <c r="BV210" s="2">
        <v>0.15</v>
      </c>
      <c r="CM210" s="2">
        <v>0.05</v>
      </c>
      <c r="CN210" s="2">
        <v>0.05</v>
      </c>
      <c r="CR210" s="2">
        <v>0.32</v>
      </c>
      <c r="CU210" s="19"/>
      <c r="CV210" s="19">
        <f t="shared" si="1"/>
        <v>1</v>
      </c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</row>
    <row r="211">
      <c r="A211" s="22">
        <v>45332.0</v>
      </c>
      <c r="B211" s="2" t="s">
        <v>57</v>
      </c>
      <c r="C211" s="2" t="s">
        <v>35</v>
      </c>
      <c r="D211" s="2">
        <v>2.0</v>
      </c>
      <c r="E211" s="2">
        <v>2.0</v>
      </c>
      <c r="S211" s="2">
        <v>0.4</v>
      </c>
      <c r="W211" s="2">
        <v>0.1</v>
      </c>
      <c r="X211" s="2"/>
      <c r="AH211" s="2">
        <v>0.05</v>
      </c>
      <c r="BN211" s="2">
        <v>0.05</v>
      </c>
      <c r="BO211" s="2">
        <v>0.05</v>
      </c>
      <c r="BV211" s="2">
        <v>0.15</v>
      </c>
      <c r="CR211" s="2">
        <v>0.2</v>
      </c>
      <c r="CU211" s="19"/>
      <c r="CV211" s="19">
        <f t="shared" si="1"/>
        <v>1</v>
      </c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</row>
    <row r="212">
      <c r="A212" s="9">
        <v>45332.0</v>
      </c>
      <c r="B212" s="2" t="s">
        <v>57</v>
      </c>
      <c r="C212" s="2" t="s">
        <v>79</v>
      </c>
      <c r="D212" s="2">
        <v>3.0</v>
      </c>
      <c r="E212" s="2">
        <v>20.0</v>
      </c>
      <c r="BH212" s="2"/>
      <c r="CJ212" s="2">
        <v>0.05</v>
      </c>
      <c r="CR212" s="2">
        <v>0.95</v>
      </c>
      <c r="CS212" s="2"/>
      <c r="CT212" s="2"/>
      <c r="CU212" s="20"/>
      <c r="CV212" s="19">
        <f t="shared" si="1"/>
        <v>1</v>
      </c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</row>
    <row r="213">
      <c r="A213" s="9">
        <v>45332.0</v>
      </c>
      <c r="B213" s="2" t="s">
        <v>57</v>
      </c>
      <c r="C213" s="2" t="s">
        <v>79</v>
      </c>
      <c r="D213" s="2">
        <v>3.0</v>
      </c>
      <c r="E213" s="2">
        <v>18.0</v>
      </c>
      <c r="H213" s="2">
        <v>0.03</v>
      </c>
      <c r="AV213" s="2">
        <v>0.08</v>
      </c>
      <c r="BH213" s="2"/>
      <c r="CJ213" s="2"/>
      <c r="CN213" s="2">
        <v>0.6</v>
      </c>
      <c r="CQ213" s="2">
        <v>0.14</v>
      </c>
      <c r="CR213" s="2">
        <v>0.1</v>
      </c>
      <c r="CS213" s="2"/>
      <c r="CT213" s="2"/>
      <c r="CU213" s="20"/>
      <c r="CV213" s="19">
        <f t="shared" si="1"/>
        <v>0.95</v>
      </c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</row>
    <row r="214">
      <c r="A214" s="9">
        <v>45332.0</v>
      </c>
      <c r="B214" s="2" t="s">
        <v>57</v>
      </c>
      <c r="C214" s="2" t="s">
        <v>79</v>
      </c>
      <c r="D214" s="2">
        <v>3.0</v>
      </c>
      <c r="E214" s="2">
        <v>16.0</v>
      </c>
      <c r="H214" s="2">
        <v>0.02</v>
      </c>
      <c r="M214" s="2"/>
      <c r="N214" s="2">
        <v>0.02</v>
      </c>
      <c r="AC214" s="2">
        <v>0.01</v>
      </c>
      <c r="BH214" s="2">
        <v>0.05</v>
      </c>
      <c r="BL214" s="2">
        <v>0.02</v>
      </c>
      <c r="BM214" s="2">
        <v>0.05</v>
      </c>
      <c r="CJ214" s="2"/>
      <c r="CM214" s="2">
        <v>0.78</v>
      </c>
      <c r="CR214" s="2">
        <v>0.05</v>
      </c>
      <c r="CS214" s="2"/>
      <c r="CT214" s="2"/>
      <c r="CU214" s="20"/>
      <c r="CV214" s="19">
        <f t="shared" si="1"/>
        <v>1</v>
      </c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</row>
    <row r="215">
      <c r="A215" s="9">
        <v>45332.0</v>
      </c>
      <c r="B215" s="2" t="s">
        <v>57</v>
      </c>
      <c r="C215" s="2" t="s">
        <v>79</v>
      </c>
      <c r="D215" s="2">
        <v>3.0</v>
      </c>
      <c r="E215" s="2">
        <v>14.0</v>
      </c>
      <c r="BH215" s="2">
        <v>0.02</v>
      </c>
      <c r="BL215" s="2">
        <v>0.01</v>
      </c>
      <c r="BM215" s="2">
        <v>0.15</v>
      </c>
      <c r="CJ215" s="2"/>
      <c r="CM215" s="2">
        <v>0.72</v>
      </c>
      <c r="CR215" s="2">
        <v>0.1</v>
      </c>
      <c r="CS215" s="2"/>
      <c r="CT215" s="2"/>
      <c r="CU215" s="20"/>
      <c r="CV215" s="19">
        <f t="shared" si="1"/>
        <v>1</v>
      </c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</row>
    <row r="216">
      <c r="A216" s="22">
        <v>45332.0</v>
      </c>
      <c r="B216" s="2" t="s">
        <v>57</v>
      </c>
      <c r="C216" s="2" t="s">
        <v>79</v>
      </c>
      <c r="D216" s="2">
        <v>3.0</v>
      </c>
      <c r="E216" s="2">
        <v>12.0</v>
      </c>
      <c r="M216" s="2"/>
      <c r="N216" s="2">
        <v>0.01</v>
      </c>
      <c r="W216" s="2">
        <v>0.15</v>
      </c>
      <c r="X216" s="2"/>
      <c r="BH216" s="2"/>
      <c r="BL216" s="2">
        <v>0.05</v>
      </c>
      <c r="BM216" s="2">
        <v>0.05</v>
      </c>
      <c r="BZ216" s="2">
        <v>0.03</v>
      </c>
      <c r="CJ216" s="2"/>
      <c r="CM216" s="2">
        <v>0.65</v>
      </c>
      <c r="CR216" s="2">
        <v>0.6</v>
      </c>
      <c r="CS216" s="2"/>
      <c r="CT216" s="2"/>
      <c r="CU216" s="20"/>
      <c r="CV216" s="19">
        <f t="shared" si="1"/>
        <v>1.54</v>
      </c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</row>
    <row r="217">
      <c r="A217" s="22">
        <v>45332.0</v>
      </c>
      <c r="B217" s="2" t="s">
        <v>57</v>
      </c>
      <c r="C217" s="2" t="s">
        <v>79</v>
      </c>
      <c r="D217" s="2">
        <v>3.0</v>
      </c>
      <c r="E217" s="2">
        <v>10.0</v>
      </c>
      <c r="AU217" s="2">
        <v>0.01</v>
      </c>
      <c r="BH217" s="2">
        <v>0.01</v>
      </c>
      <c r="BO217" s="2">
        <v>0.2</v>
      </c>
      <c r="BP217" s="2">
        <v>0.01</v>
      </c>
      <c r="CJ217" s="2"/>
      <c r="CM217" s="2">
        <v>0.43</v>
      </c>
      <c r="CR217" s="2">
        <v>0.35</v>
      </c>
      <c r="CS217" s="2"/>
      <c r="CT217" s="2"/>
      <c r="CU217" s="20"/>
      <c r="CV217" s="19">
        <f t="shared" si="1"/>
        <v>1.01</v>
      </c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</row>
    <row r="218">
      <c r="A218" s="22">
        <v>45332.0</v>
      </c>
      <c r="B218" s="2" t="s">
        <v>57</v>
      </c>
      <c r="C218" s="2" t="s">
        <v>79</v>
      </c>
      <c r="D218" s="2">
        <v>3.0</v>
      </c>
      <c r="E218" s="2">
        <v>8.0</v>
      </c>
      <c r="Y218" s="2">
        <v>0.05</v>
      </c>
      <c r="AJ218" s="2">
        <v>0.02</v>
      </c>
      <c r="AS218" s="2">
        <v>0.02</v>
      </c>
      <c r="AT218" s="2"/>
      <c r="BH218" s="2">
        <v>0.25</v>
      </c>
      <c r="BO218" s="2">
        <v>0.15</v>
      </c>
      <c r="BP218" s="2">
        <v>0.05</v>
      </c>
      <c r="CJ218" s="2"/>
      <c r="CM218" s="2">
        <v>0.31</v>
      </c>
      <c r="CR218" s="2"/>
      <c r="CS218" s="2"/>
      <c r="CT218" s="2"/>
      <c r="CU218" s="20"/>
      <c r="CV218" s="19">
        <f t="shared" si="1"/>
        <v>0.85</v>
      </c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</row>
    <row r="219">
      <c r="A219" s="22">
        <v>45332.0</v>
      </c>
      <c r="B219" s="2" t="s">
        <v>57</v>
      </c>
      <c r="C219" s="2" t="s">
        <v>79</v>
      </c>
      <c r="D219" s="2">
        <v>3.0</v>
      </c>
      <c r="E219" s="2">
        <v>6.0</v>
      </c>
      <c r="AJ219" s="2">
        <v>0.02</v>
      </c>
      <c r="AU219" s="2">
        <v>0.05</v>
      </c>
      <c r="BH219" s="2">
        <v>0.01</v>
      </c>
      <c r="BO219" s="2">
        <v>0.2</v>
      </c>
      <c r="BP219" s="2">
        <v>0.1</v>
      </c>
      <c r="BV219" s="2">
        <v>0.1</v>
      </c>
      <c r="CJ219" s="2"/>
      <c r="CR219" s="2">
        <v>0.37</v>
      </c>
      <c r="CS219" s="2">
        <v>0.1</v>
      </c>
      <c r="CT219" s="2"/>
      <c r="CU219" s="20"/>
      <c r="CV219" s="19">
        <f t="shared" si="1"/>
        <v>0.95</v>
      </c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</row>
    <row r="220">
      <c r="A220" s="22">
        <v>45332.0</v>
      </c>
      <c r="B220" s="2" t="s">
        <v>57</v>
      </c>
      <c r="C220" s="2" t="s">
        <v>79</v>
      </c>
      <c r="D220" s="2">
        <v>3.0</v>
      </c>
      <c r="E220" s="2">
        <v>4.0</v>
      </c>
      <c r="M220" s="2"/>
      <c r="N220" s="2">
        <v>0.01</v>
      </c>
      <c r="W220" s="2">
        <v>0.1</v>
      </c>
      <c r="X220" s="2"/>
      <c r="AJ220" s="2">
        <v>0.01</v>
      </c>
      <c r="AU220" s="2">
        <v>0.1</v>
      </c>
      <c r="AV220" s="2">
        <v>0.05</v>
      </c>
      <c r="BH220" s="2">
        <v>0.02</v>
      </c>
      <c r="BO220" s="2">
        <v>0.25</v>
      </c>
      <c r="BP220" s="2">
        <v>0.05</v>
      </c>
      <c r="BS220" s="2">
        <v>0.07</v>
      </c>
      <c r="BV220" s="2">
        <v>0.25</v>
      </c>
      <c r="CJ220" s="2"/>
      <c r="CR220" s="2">
        <v>0.09</v>
      </c>
      <c r="CS220" s="2"/>
      <c r="CT220" s="2"/>
      <c r="CU220" s="20"/>
      <c r="CV220" s="19">
        <f t="shared" si="1"/>
        <v>1</v>
      </c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</row>
    <row r="221">
      <c r="A221" s="22">
        <v>45332.0</v>
      </c>
      <c r="B221" s="2" t="s">
        <v>57</v>
      </c>
      <c r="C221" s="2" t="s">
        <v>79</v>
      </c>
      <c r="D221" s="2">
        <v>3.0</v>
      </c>
      <c r="E221" s="2">
        <v>2.0</v>
      </c>
      <c r="O221" s="2">
        <v>0.01</v>
      </c>
      <c r="W221" s="2">
        <v>0.4</v>
      </c>
      <c r="X221" s="2"/>
      <c r="AJ221" s="2">
        <v>0.03</v>
      </c>
      <c r="AU221" s="2">
        <v>0.2</v>
      </c>
      <c r="BH221" s="2">
        <v>0.05</v>
      </c>
      <c r="BO221" s="2">
        <v>0.12</v>
      </c>
      <c r="BP221" s="2">
        <v>0.05</v>
      </c>
      <c r="BS221" s="2">
        <v>0.14</v>
      </c>
      <c r="CJ221" s="2"/>
      <c r="CR221" s="2"/>
      <c r="CS221" s="2"/>
      <c r="CT221" s="2"/>
      <c r="CU221" s="20"/>
      <c r="CV221" s="19">
        <f t="shared" si="1"/>
        <v>1</v>
      </c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</row>
    <row r="222">
      <c r="A222" s="22">
        <v>45332.0</v>
      </c>
      <c r="B222" s="2" t="s">
        <v>57</v>
      </c>
      <c r="C222" s="2" t="s">
        <v>79</v>
      </c>
      <c r="D222" s="2">
        <v>4.0</v>
      </c>
      <c r="E222" s="2">
        <v>2.0</v>
      </c>
      <c r="Y222" s="2">
        <v>0.1</v>
      </c>
      <c r="AC222" s="2">
        <v>0.02</v>
      </c>
      <c r="AU222" s="2">
        <v>0.3</v>
      </c>
      <c r="BH222" s="2"/>
      <c r="BM222" s="2">
        <v>0.05</v>
      </c>
      <c r="BV222" s="2">
        <v>0.4</v>
      </c>
      <c r="CJ222" s="2"/>
      <c r="CM222" s="2">
        <v>0.1</v>
      </c>
      <c r="CR222" s="2">
        <v>0.13</v>
      </c>
      <c r="CS222" s="2"/>
      <c r="CT222" s="2"/>
      <c r="CU222" s="20"/>
      <c r="CV222" s="19">
        <f t="shared" si="1"/>
        <v>1.1</v>
      </c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</row>
    <row r="223">
      <c r="A223" s="22">
        <v>45332.0</v>
      </c>
      <c r="B223" s="2" t="s">
        <v>57</v>
      </c>
      <c r="C223" s="2" t="s">
        <v>79</v>
      </c>
      <c r="D223" s="2">
        <v>4.0</v>
      </c>
      <c r="E223" s="2">
        <v>4.0</v>
      </c>
      <c r="Y223" s="2">
        <v>0.05</v>
      </c>
      <c r="AC223" s="2">
        <v>0.15</v>
      </c>
      <c r="BH223" s="2">
        <v>0.1</v>
      </c>
      <c r="BM223" s="2">
        <v>0.1</v>
      </c>
      <c r="BV223" s="2">
        <v>0.05</v>
      </c>
      <c r="CJ223" s="2"/>
      <c r="CR223" s="2">
        <v>0.55</v>
      </c>
      <c r="CS223" s="2"/>
      <c r="CT223" s="2"/>
      <c r="CU223" s="20"/>
      <c r="CV223" s="19">
        <f t="shared" si="1"/>
        <v>1</v>
      </c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</row>
    <row r="224">
      <c r="A224" s="22">
        <v>45332.0</v>
      </c>
      <c r="B224" s="2" t="s">
        <v>57</v>
      </c>
      <c r="C224" s="2" t="s">
        <v>79</v>
      </c>
      <c r="D224" s="2">
        <v>4.0</v>
      </c>
      <c r="E224" s="2">
        <v>6.0</v>
      </c>
      <c r="W224" s="2">
        <v>0.15</v>
      </c>
      <c r="X224" s="2"/>
      <c r="AC224" s="2">
        <v>0.15</v>
      </c>
      <c r="AU224" s="2">
        <v>0.2</v>
      </c>
      <c r="BH224" s="2">
        <v>0.01</v>
      </c>
      <c r="BM224" s="2">
        <v>0.05</v>
      </c>
      <c r="BV224" s="2">
        <v>0.1</v>
      </c>
      <c r="CJ224" s="2"/>
      <c r="CR224" s="2">
        <v>0.34</v>
      </c>
      <c r="CS224" s="2"/>
      <c r="CT224" s="2"/>
      <c r="CU224" s="20"/>
      <c r="CV224" s="19">
        <f t="shared" si="1"/>
        <v>1</v>
      </c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</row>
    <row r="225">
      <c r="A225" s="22">
        <v>45332.0</v>
      </c>
      <c r="B225" s="2" t="s">
        <v>57</v>
      </c>
      <c r="C225" s="2" t="s">
        <v>79</v>
      </c>
      <c r="D225" s="2">
        <v>4.0</v>
      </c>
      <c r="E225" s="2">
        <v>8.0</v>
      </c>
      <c r="AC225" s="2">
        <v>0.05</v>
      </c>
      <c r="AJ225" s="2">
        <v>0.05</v>
      </c>
      <c r="AU225" s="2">
        <v>0.1</v>
      </c>
      <c r="BH225" s="2">
        <v>0.05</v>
      </c>
      <c r="BM225" s="2">
        <v>0.2</v>
      </c>
      <c r="CJ225" s="2"/>
      <c r="CR225" s="2">
        <v>0.55</v>
      </c>
      <c r="CS225" s="2"/>
      <c r="CT225" s="2"/>
      <c r="CU225" s="20"/>
      <c r="CV225" s="19">
        <f t="shared" si="1"/>
        <v>1</v>
      </c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</row>
    <row r="226">
      <c r="A226" s="22">
        <v>45332.0</v>
      </c>
      <c r="B226" s="2" t="s">
        <v>57</v>
      </c>
      <c r="C226" s="2" t="s">
        <v>79</v>
      </c>
      <c r="D226" s="2">
        <v>4.0</v>
      </c>
      <c r="E226" s="2">
        <v>10.0</v>
      </c>
      <c r="AC226" s="2">
        <v>0.05</v>
      </c>
      <c r="AU226" s="2">
        <v>0.1</v>
      </c>
      <c r="BH226" s="2"/>
      <c r="BM226" s="2">
        <v>0.2</v>
      </c>
      <c r="BV226" s="2">
        <v>0.05</v>
      </c>
      <c r="CJ226" s="2"/>
      <c r="CR226" s="2">
        <v>0.5</v>
      </c>
      <c r="CS226" s="2"/>
      <c r="CT226" s="2"/>
      <c r="CU226" s="20"/>
      <c r="CV226" s="19">
        <f t="shared" si="1"/>
        <v>0.9</v>
      </c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</row>
    <row r="227">
      <c r="A227" s="22">
        <v>45332.0</v>
      </c>
      <c r="B227" s="2" t="s">
        <v>57</v>
      </c>
      <c r="C227" s="2" t="s">
        <v>79</v>
      </c>
      <c r="D227" s="2">
        <v>4.0</v>
      </c>
      <c r="E227" s="2">
        <v>12.0</v>
      </c>
      <c r="M227" s="2"/>
      <c r="N227" s="2">
        <v>0.05</v>
      </c>
      <c r="W227" s="2">
        <v>0.05</v>
      </c>
      <c r="X227" s="2"/>
      <c r="AU227" s="2">
        <v>0.15</v>
      </c>
      <c r="BH227" s="2"/>
      <c r="BM227" s="2">
        <v>0.15</v>
      </c>
      <c r="CJ227" s="2"/>
      <c r="CM227" s="2">
        <v>0.15</v>
      </c>
      <c r="CP227" s="2">
        <v>0.15</v>
      </c>
      <c r="CR227" s="2">
        <v>0.7</v>
      </c>
      <c r="CS227" s="2"/>
      <c r="CT227" s="2"/>
      <c r="CU227" s="20"/>
      <c r="CV227" s="19">
        <f t="shared" si="1"/>
        <v>1.4</v>
      </c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</row>
    <row r="228">
      <c r="A228" s="22">
        <v>45332.0</v>
      </c>
      <c r="B228" s="2" t="s">
        <v>57</v>
      </c>
      <c r="C228" s="2" t="s">
        <v>79</v>
      </c>
      <c r="D228" s="2">
        <v>4.0</v>
      </c>
      <c r="E228" s="2">
        <v>14.0</v>
      </c>
      <c r="AC228" s="2">
        <v>0.05</v>
      </c>
      <c r="AU228" s="2">
        <v>0.1</v>
      </c>
      <c r="BH228" s="2">
        <v>0.1</v>
      </c>
      <c r="BM228" s="2">
        <v>0.1</v>
      </c>
      <c r="BV228" s="2">
        <v>0.1</v>
      </c>
      <c r="CJ228" s="2"/>
      <c r="CM228" s="2">
        <v>0.54</v>
      </c>
      <c r="CQ228" s="2">
        <v>0.01</v>
      </c>
      <c r="CR228" s="2"/>
      <c r="CS228" s="2"/>
      <c r="CT228" s="2"/>
      <c r="CU228" s="20"/>
      <c r="CV228" s="19">
        <f t="shared" si="1"/>
        <v>1</v>
      </c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</row>
    <row r="229">
      <c r="A229" s="22">
        <v>45332.0</v>
      </c>
      <c r="B229" s="2" t="s">
        <v>57</v>
      </c>
      <c r="C229" s="2" t="s">
        <v>79</v>
      </c>
      <c r="D229" s="2">
        <v>4.0</v>
      </c>
      <c r="E229" s="2">
        <v>16.0</v>
      </c>
      <c r="H229" s="2">
        <v>0.1</v>
      </c>
      <c r="AJ229" s="2">
        <v>0.1</v>
      </c>
      <c r="BH229" s="2">
        <v>0.02</v>
      </c>
      <c r="CJ229" s="2"/>
      <c r="CM229" s="2">
        <v>0.05</v>
      </c>
      <c r="CQ229" s="2">
        <v>0.73</v>
      </c>
      <c r="CR229" s="2"/>
      <c r="CS229" s="2"/>
      <c r="CT229" s="2"/>
      <c r="CU229" s="20"/>
      <c r="CV229" s="19">
        <f t="shared" si="1"/>
        <v>1</v>
      </c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</row>
    <row r="230">
      <c r="A230" s="22">
        <v>45332.0</v>
      </c>
      <c r="B230" s="2" t="s">
        <v>57</v>
      </c>
      <c r="C230" s="2" t="s">
        <v>79</v>
      </c>
      <c r="D230" s="2">
        <v>4.0</v>
      </c>
      <c r="E230" s="2">
        <v>18.0</v>
      </c>
      <c r="H230" s="2">
        <v>0.05</v>
      </c>
      <c r="AJ230" s="2">
        <v>0.01</v>
      </c>
      <c r="BH230" s="2"/>
      <c r="CJ230" s="2"/>
      <c r="CQ230" s="2">
        <v>0.5</v>
      </c>
      <c r="CR230" s="2">
        <v>0.44</v>
      </c>
      <c r="CS230" s="2"/>
      <c r="CT230" s="2"/>
      <c r="CU230" s="20"/>
      <c r="CV230" s="19">
        <f t="shared" si="1"/>
        <v>1</v>
      </c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</row>
    <row r="231">
      <c r="A231" s="22">
        <v>45332.0</v>
      </c>
      <c r="B231" s="2" t="s">
        <v>57</v>
      </c>
      <c r="C231" s="2" t="s">
        <v>79</v>
      </c>
      <c r="D231" s="2">
        <v>4.0</v>
      </c>
      <c r="E231" s="2">
        <v>20.0</v>
      </c>
      <c r="BH231" s="2"/>
      <c r="CJ231" s="2">
        <v>0.05</v>
      </c>
      <c r="CP231" s="2">
        <v>0.05</v>
      </c>
      <c r="CR231" s="2">
        <v>0.9</v>
      </c>
      <c r="CS231" s="2"/>
      <c r="CT231" s="2"/>
      <c r="CU231" s="20"/>
      <c r="CV231" s="19">
        <f t="shared" si="1"/>
        <v>1</v>
      </c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</row>
    <row r="232">
      <c r="A232" s="9">
        <v>45346.0</v>
      </c>
      <c r="B232" s="2" t="s">
        <v>57</v>
      </c>
      <c r="C232" s="2" t="s">
        <v>261</v>
      </c>
      <c r="D232" s="2">
        <v>1.0</v>
      </c>
      <c r="E232" s="2">
        <v>2.0</v>
      </c>
      <c r="BH232" s="2">
        <v>0.0</v>
      </c>
      <c r="CJ232" s="2">
        <v>0.02</v>
      </c>
      <c r="CR232" s="2">
        <v>0.96</v>
      </c>
      <c r="CS232" s="2">
        <v>0.02</v>
      </c>
      <c r="CT232" s="2"/>
      <c r="CU232" s="19"/>
      <c r="CV232" s="19">
        <f t="shared" si="1"/>
        <v>1</v>
      </c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</row>
    <row r="233">
      <c r="A233" s="9">
        <v>45346.0</v>
      </c>
      <c r="B233" s="2" t="s">
        <v>57</v>
      </c>
      <c r="C233" s="2" t="s">
        <v>261</v>
      </c>
      <c r="D233" s="2">
        <v>1.0</v>
      </c>
      <c r="E233" s="2">
        <v>4.0</v>
      </c>
      <c r="F233" s="2">
        <v>7.0</v>
      </c>
      <c r="W233" s="2">
        <v>0.03</v>
      </c>
      <c r="X233" s="2"/>
      <c r="AU233" s="2">
        <v>0.05</v>
      </c>
      <c r="BH233" s="2">
        <v>0.2</v>
      </c>
      <c r="BM233" s="2">
        <v>0.15</v>
      </c>
      <c r="BT233" s="2">
        <v>0.1</v>
      </c>
      <c r="CQ233" s="2">
        <v>0.1</v>
      </c>
      <c r="CR233" s="2">
        <v>0.75</v>
      </c>
      <c r="CU233" s="19"/>
      <c r="CV233" s="19">
        <f t="shared" si="1"/>
        <v>8.38</v>
      </c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</row>
    <row r="234">
      <c r="A234" s="9">
        <v>45346.0</v>
      </c>
      <c r="B234" s="2" t="s">
        <v>57</v>
      </c>
      <c r="C234" s="2" t="s">
        <v>261</v>
      </c>
      <c r="D234" s="2">
        <v>1.0</v>
      </c>
      <c r="E234" s="2">
        <v>6.0</v>
      </c>
      <c r="AU234" s="2">
        <v>0.05</v>
      </c>
      <c r="BH234" s="2">
        <v>0.1</v>
      </c>
      <c r="BM234" s="2">
        <v>0.2</v>
      </c>
      <c r="BS234" s="2">
        <v>0.01</v>
      </c>
      <c r="CM234" s="2">
        <v>0.59</v>
      </c>
      <c r="CR234" s="2">
        <v>0.05</v>
      </c>
      <c r="CU234" s="19"/>
      <c r="CV234" s="19">
        <f t="shared" si="1"/>
        <v>1</v>
      </c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</row>
    <row r="235">
      <c r="A235" s="9">
        <v>45346.0</v>
      </c>
      <c r="B235" s="2" t="s">
        <v>57</v>
      </c>
      <c r="C235" s="2" t="s">
        <v>261</v>
      </c>
      <c r="D235" s="2">
        <v>1.0</v>
      </c>
      <c r="E235" s="2">
        <v>8.0</v>
      </c>
      <c r="Y235" s="2">
        <v>0.05</v>
      </c>
      <c r="AU235" s="2">
        <v>0.1</v>
      </c>
      <c r="BH235" s="2">
        <v>0.03</v>
      </c>
      <c r="BM235" s="2">
        <v>0.1</v>
      </c>
      <c r="CM235" s="2">
        <v>0.5</v>
      </c>
      <c r="CR235" s="2">
        <v>0.1</v>
      </c>
      <c r="CU235" s="19"/>
      <c r="CV235" s="19">
        <f t="shared" si="1"/>
        <v>0.88</v>
      </c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</row>
    <row r="236">
      <c r="A236" s="9">
        <v>45346.0</v>
      </c>
      <c r="B236" s="2" t="s">
        <v>57</v>
      </c>
      <c r="C236" s="2" t="s">
        <v>261</v>
      </c>
      <c r="D236" s="2">
        <v>1.0</v>
      </c>
      <c r="E236" s="2">
        <v>10.0</v>
      </c>
      <c r="AH236" s="2">
        <v>0.25</v>
      </c>
      <c r="AU236" s="2">
        <v>0.05</v>
      </c>
      <c r="CM236" s="2">
        <v>0.47</v>
      </c>
      <c r="CU236" s="19"/>
      <c r="CV236" s="19">
        <f t="shared" si="1"/>
        <v>0.77</v>
      </c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</row>
    <row r="237">
      <c r="A237" s="9">
        <v>45346.0</v>
      </c>
      <c r="B237" s="2" t="s">
        <v>57</v>
      </c>
      <c r="C237" s="2" t="s">
        <v>261</v>
      </c>
      <c r="D237" s="2">
        <v>1.0</v>
      </c>
      <c r="E237" s="2">
        <v>12.0</v>
      </c>
      <c r="M237" s="2"/>
      <c r="N237" s="2">
        <v>0.1</v>
      </c>
      <c r="S237" s="2">
        <v>0.05</v>
      </c>
      <c r="AU237" s="2">
        <v>0.1</v>
      </c>
      <c r="BH237" s="2">
        <v>0.05</v>
      </c>
      <c r="BS237" s="2">
        <v>0.25</v>
      </c>
      <c r="CM237" s="2">
        <v>0.4</v>
      </c>
      <c r="CQ237" s="2">
        <v>0.05</v>
      </c>
      <c r="CR237" s="2">
        <v>0.2</v>
      </c>
      <c r="CU237" s="19"/>
      <c r="CV237" s="19">
        <f t="shared" si="1"/>
        <v>1.2</v>
      </c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</row>
    <row r="238">
      <c r="A238" s="9">
        <v>45346.0</v>
      </c>
      <c r="B238" s="2" t="s">
        <v>57</v>
      </c>
      <c r="C238" s="2" t="s">
        <v>261</v>
      </c>
      <c r="D238" s="2">
        <v>1.0</v>
      </c>
      <c r="E238" s="2">
        <v>14.0</v>
      </c>
      <c r="S238" s="2">
        <v>0.05</v>
      </c>
      <c r="AC238" s="2">
        <v>0.05</v>
      </c>
      <c r="BH238" s="2">
        <v>0.25</v>
      </c>
      <c r="BM238" s="2">
        <v>0.1</v>
      </c>
      <c r="BV238" s="2">
        <v>0.07</v>
      </c>
      <c r="CM238" s="2">
        <v>0.33</v>
      </c>
      <c r="CQ238" s="2">
        <v>0.05</v>
      </c>
      <c r="CR238" s="2">
        <v>0.1</v>
      </c>
      <c r="CU238" s="19"/>
      <c r="CV238" s="19">
        <f t="shared" si="1"/>
        <v>1</v>
      </c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</row>
    <row r="239">
      <c r="A239" s="9">
        <v>45346.0</v>
      </c>
      <c r="B239" s="2" t="s">
        <v>57</v>
      </c>
      <c r="C239" s="2" t="s">
        <v>261</v>
      </c>
      <c r="D239" s="2">
        <v>1.0</v>
      </c>
      <c r="E239" s="2">
        <v>16.0</v>
      </c>
      <c r="S239" s="2">
        <v>0.15</v>
      </c>
      <c r="W239" s="2">
        <v>0.05</v>
      </c>
      <c r="X239" s="2"/>
      <c r="BH239" s="2">
        <v>0.05</v>
      </c>
      <c r="BM239" s="2">
        <v>0.02</v>
      </c>
      <c r="BV239" s="2">
        <v>0.07</v>
      </c>
      <c r="CR239" s="2">
        <v>0.56</v>
      </c>
      <c r="CS239" s="2">
        <v>0.1</v>
      </c>
      <c r="CT239" s="2"/>
      <c r="CU239" s="19"/>
      <c r="CV239" s="19">
        <f t="shared" si="1"/>
        <v>1</v>
      </c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</row>
    <row r="240">
      <c r="A240" s="9">
        <v>45346.0</v>
      </c>
      <c r="B240" s="2" t="s">
        <v>57</v>
      </c>
      <c r="C240" s="2" t="s">
        <v>261</v>
      </c>
      <c r="D240" s="2">
        <v>1.0</v>
      </c>
      <c r="E240" s="2">
        <v>18.0</v>
      </c>
      <c r="W240" s="2">
        <v>0.2</v>
      </c>
      <c r="X240" s="2"/>
      <c r="AC240" s="2">
        <v>0.05</v>
      </c>
      <c r="AH240" s="2">
        <v>0.15</v>
      </c>
      <c r="AU240" s="2">
        <v>0.07</v>
      </c>
      <c r="BM240" s="2">
        <v>0.05</v>
      </c>
      <c r="BV240" s="2">
        <v>0.15</v>
      </c>
      <c r="CR240" s="2">
        <v>0.23</v>
      </c>
      <c r="CU240" s="19"/>
      <c r="CV240" s="19">
        <f t="shared" si="1"/>
        <v>0.9</v>
      </c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</row>
    <row r="241">
      <c r="A241" s="9">
        <v>45346.0</v>
      </c>
      <c r="B241" s="2" t="s">
        <v>57</v>
      </c>
      <c r="C241" s="2" t="s">
        <v>261</v>
      </c>
      <c r="D241" s="2">
        <v>1.0</v>
      </c>
      <c r="E241" s="2">
        <v>20.0</v>
      </c>
      <c r="S241" s="2">
        <v>0.05</v>
      </c>
      <c r="Y241" s="2">
        <v>0.07</v>
      </c>
      <c r="AH241" s="2">
        <v>0.17</v>
      </c>
      <c r="BS241" s="2">
        <v>0.15</v>
      </c>
      <c r="CQ241" s="2">
        <v>0.07</v>
      </c>
      <c r="CR241" s="2">
        <v>0.49</v>
      </c>
      <c r="CU241" s="19"/>
      <c r="CV241" s="19">
        <f t="shared" si="1"/>
        <v>1</v>
      </c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</row>
    <row r="242">
      <c r="A242" s="9">
        <v>45346.0</v>
      </c>
      <c r="B242" s="2" t="s">
        <v>57</v>
      </c>
      <c r="C242" s="2" t="s">
        <v>261</v>
      </c>
      <c r="D242" s="2">
        <v>2.0</v>
      </c>
      <c r="E242" s="2">
        <v>2.0</v>
      </c>
      <c r="CN242" s="2">
        <v>1.0</v>
      </c>
      <c r="CU242" s="19"/>
      <c r="CV242" s="19">
        <f t="shared" si="1"/>
        <v>1</v>
      </c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</row>
    <row r="243">
      <c r="A243" s="9">
        <v>45346.0</v>
      </c>
      <c r="B243" s="2" t="s">
        <v>57</v>
      </c>
      <c r="C243" s="2" t="s">
        <v>261</v>
      </c>
      <c r="D243" s="2">
        <v>2.0</v>
      </c>
      <c r="E243" s="2">
        <v>4.0</v>
      </c>
      <c r="AH243" s="2">
        <v>0.15</v>
      </c>
      <c r="BH243" s="2">
        <v>0.5</v>
      </c>
      <c r="BM243" s="2">
        <v>0.05</v>
      </c>
      <c r="CM243" s="2">
        <v>0.15</v>
      </c>
      <c r="CQ243" s="2">
        <v>0.15</v>
      </c>
      <c r="CU243" s="19"/>
      <c r="CV243" s="19">
        <f t="shared" si="1"/>
        <v>1</v>
      </c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</row>
    <row r="244">
      <c r="A244" s="9">
        <v>45346.0</v>
      </c>
      <c r="B244" s="2" t="s">
        <v>57</v>
      </c>
      <c r="C244" s="2" t="s">
        <v>261</v>
      </c>
      <c r="D244" s="2">
        <v>2.0</v>
      </c>
      <c r="E244" s="2">
        <v>6.0</v>
      </c>
      <c r="M244" s="2"/>
      <c r="N244" s="2">
        <v>0.3</v>
      </c>
      <c r="S244" s="2">
        <v>0.05</v>
      </c>
      <c r="W244" s="2"/>
      <c r="X244" s="2"/>
      <c r="AC244" s="2">
        <v>0.1</v>
      </c>
      <c r="AU244" s="2">
        <v>0.2</v>
      </c>
      <c r="BH244" s="2">
        <v>0.2</v>
      </c>
      <c r="BM244" s="2"/>
      <c r="CM244" s="2">
        <v>0.15</v>
      </c>
      <c r="CU244" s="19"/>
      <c r="CV244" s="19">
        <f t="shared" si="1"/>
        <v>1</v>
      </c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</row>
    <row r="245">
      <c r="A245" s="9">
        <v>45346.0</v>
      </c>
      <c r="B245" s="2" t="s">
        <v>57</v>
      </c>
      <c r="C245" s="2" t="s">
        <v>261</v>
      </c>
      <c r="D245" s="2">
        <v>2.0</v>
      </c>
      <c r="E245" s="2">
        <v>8.0</v>
      </c>
      <c r="W245" s="2">
        <v>0.05</v>
      </c>
      <c r="X245" s="2"/>
      <c r="Y245" s="2">
        <v>0.2</v>
      </c>
      <c r="AH245" s="2">
        <v>0.05</v>
      </c>
      <c r="AU245" s="2">
        <v>0.07</v>
      </c>
      <c r="BH245" s="2">
        <v>0.1</v>
      </c>
      <c r="BM245" s="2">
        <v>0.2</v>
      </c>
      <c r="CM245" s="2">
        <v>0.4</v>
      </c>
      <c r="CU245" s="19"/>
      <c r="CV245" s="19">
        <f t="shared" si="1"/>
        <v>1.07</v>
      </c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</row>
    <row r="246">
      <c r="A246" s="9">
        <v>45346.0</v>
      </c>
      <c r="B246" s="2" t="s">
        <v>57</v>
      </c>
      <c r="C246" s="2" t="s">
        <v>261</v>
      </c>
      <c r="D246" s="2">
        <v>2.0</v>
      </c>
      <c r="E246" s="2">
        <v>10.0</v>
      </c>
      <c r="S246" s="2">
        <v>0.1</v>
      </c>
      <c r="Y246" s="2">
        <v>0.07</v>
      </c>
      <c r="AC246" s="2">
        <v>0.05</v>
      </c>
      <c r="AH246" s="2">
        <v>0.05</v>
      </c>
      <c r="AU246" s="2">
        <v>0.2</v>
      </c>
      <c r="BM246" s="2">
        <v>0.1</v>
      </c>
      <c r="CM246" s="2">
        <v>0.48</v>
      </c>
      <c r="CU246" s="19"/>
      <c r="CV246" s="19">
        <f t="shared" si="1"/>
        <v>1.05</v>
      </c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</row>
    <row r="247">
      <c r="A247" s="9">
        <v>45346.0</v>
      </c>
      <c r="B247" s="2" t="s">
        <v>57</v>
      </c>
      <c r="C247" s="2" t="s">
        <v>261</v>
      </c>
      <c r="D247" s="2">
        <v>2.0</v>
      </c>
      <c r="E247" s="2">
        <v>12.0</v>
      </c>
      <c r="S247" s="2">
        <v>0.07</v>
      </c>
      <c r="Y247" s="2">
        <v>0.07</v>
      </c>
      <c r="AH247" s="2">
        <v>0.1</v>
      </c>
      <c r="AU247" s="2">
        <v>0.1</v>
      </c>
      <c r="BH247" s="2">
        <v>0.3</v>
      </c>
      <c r="BM247" s="2">
        <v>0.1</v>
      </c>
      <c r="CR247" s="2">
        <v>0.26</v>
      </c>
      <c r="CU247" s="19"/>
      <c r="CV247" s="19">
        <f t="shared" si="1"/>
        <v>1</v>
      </c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</row>
    <row r="248">
      <c r="A248" s="9">
        <v>45346.0</v>
      </c>
      <c r="B248" s="2" t="s">
        <v>57</v>
      </c>
      <c r="C248" s="2" t="s">
        <v>261</v>
      </c>
      <c r="D248" s="2">
        <v>2.0</v>
      </c>
      <c r="E248" s="2">
        <v>14.0</v>
      </c>
      <c r="S248" s="2">
        <v>0.03</v>
      </c>
      <c r="AC248" s="2">
        <v>0.7</v>
      </c>
      <c r="AH248" s="2">
        <v>0.5</v>
      </c>
      <c r="AO248" s="2">
        <v>0.07</v>
      </c>
      <c r="AU248" s="2">
        <v>0.2</v>
      </c>
      <c r="BH248" s="2">
        <v>0.1</v>
      </c>
      <c r="BM248" s="2">
        <v>0.7</v>
      </c>
      <c r="CR248" s="2">
        <v>0.48</v>
      </c>
      <c r="CU248" s="19"/>
      <c r="CV248" s="19">
        <f t="shared" si="1"/>
        <v>2.78</v>
      </c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</row>
    <row r="249">
      <c r="A249" s="9">
        <v>45346.0</v>
      </c>
      <c r="B249" s="2" t="s">
        <v>57</v>
      </c>
      <c r="C249" s="2" t="s">
        <v>261</v>
      </c>
      <c r="D249" s="2">
        <v>2.0</v>
      </c>
      <c r="E249" s="2">
        <v>16.0</v>
      </c>
      <c r="AC249" s="2">
        <v>0.7</v>
      </c>
      <c r="AH249" s="2">
        <v>0.15</v>
      </c>
      <c r="BH249" s="2">
        <v>0.05</v>
      </c>
      <c r="BM249" s="2">
        <v>0.2</v>
      </c>
      <c r="BV249" s="2">
        <v>0.05</v>
      </c>
      <c r="CR249" s="2">
        <v>0.48</v>
      </c>
      <c r="CU249" s="19"/>
      <c r="CV249" s="19">
        <f t="shared" si="1"/>
        <v>1.63</v>
      </c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</row>
    <row r="250">
      <c r="A250" s="9">
        <v>45346.0</v>
      </c>
      <c r="B250" s="2" t="s">
        <v>57</v>
      </c>
      <c r="C250" s="2" t="s">
        <v>261</v>
      </c>
      <c r="D250" s="2">
        <v>2.0</v>
      </c>
      <c r="E250" s="2">
        <v>18.0</v>
      </c>
      <c r="S250" s="2">
        <v>0.15</v>
      </c>
      <c r="AC250" s="2">
        <v>0.1</v>
      </c>
      <c r="AH250" s="2">
        <v>0.01</v>
      </c>
      <c r="AU250" s="2">
        <v>0.05</v>
      </c>
      <c r="BH250" s="2">
        <v>0.1</v>
      </c>
      <c r="BM250" s="2">
        <v>0.15</v>
      </c>
      <c r="BS250" s="2">
        <v>0.05</v>
      </c>
      <c r="CR250" s="2">
        <v>0.39</v>
      </c>
      <c r="CU250" s="19"/>
      <c r="CV250" s="19">
        <f t="shared" si="1"/>
        <v>1</v>
      </c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</row>
    <row r="251">
      <c r="A251" s="9">
        <v>45346.0</v>
      </c>
      <c r="B251" s="2" t="s">
        <v>57</v>
      </c>
      <c r="C251" s="2" t="s">
        <v>261</v>
      </c>
      <c r="D251" s="2">
        <v>2.0</v>
      </c>
      <c r="E251" s="2">
        <v>20.0</v>
      </c>
      <c r="F251" s="2">
        <v>0.1</v>
      </c>
      <c r="I251" s="2"/>
      <c r="J251" s="2">
        <v>0.3</v>
      </c>
      <c r="S251" s="2">
        <v>0.05</v>
      </c>
      <c r="AH251" s="2">
        <v>0.05</v>
      </c>
      <c r="BH251" s="2">
        <v>0.7</v>
      </c>
      <c r="BS251" s="2">
        <v>0.01</v>
      </c>
      <c r="CR251" s="2">
        <v>0.42</v>
      </c>
      <c r="CU251" s="19"/>
      <c r="CV251" s="19">
        <f t="shared" si="1"/>
        <v>1.63</v>
      </c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</row>
    <row r="252">
      <c r="A252" s="9">
        <v>45346.0</v>
      </c>
      <c r="B252" s="2" t="s">
        <v>57</v>
      </c>
      <c r="C252" s="2" t="s">
        <v>261</v>
      </c>
      <c r="D252" s="2">
        <v>3.0</v>
      </c>
      <c r="E252" s="2">
        <v>2.0</v>
      </c>
      <c r="M252" s="2"/>
      <c r="N252" s="2">
        <v>0.1</v>
      </c>
      <c r="V252" s="2">
        <v>0.05</v>
      </c>
      <c r="AC252" s="2">
        <v>0.05</v>
      </c>
      <c r="AK252" s="2">
        <v>0.1</v>
      </c>
      <c r="BH252" s="2"/>
      <c r="BM252" s="2">
        <v>0.15</v>
      </c>
      <c r="CR252" s="2">
        <v>0.3</v>
      </c>
      <c r="CS252" s="2">
        <v>0.1</v>
      </c>
      <c r="CT252" s="2"/>
      <c r="CU252" s="19"/>
      <c r="CV252" s="19">
        <f t="shared" si="1"/>
        <v>0.85</v>
      </c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</row>
    <row r="253">
      <c r="A253" s="9">
        <v>45346.0</v>
      </c>
      <c r="B253" s="2" t="s">
        <v>57</v>
      </c>
      <c r="C253" s="2" t="s">
        <v>261</v>
      </c>
      <c r="D253" s="2">
        <v>3.0</v>
      </c>
      <c r="E253" s="2">
        <v>4.0</v>
      </c>
      <c r="M253" s="2"/>
      <c r="N253" s="2">
        <v>0.1</v>
      </c>
      <c r="V253" s="2">
        <v>0.1</v>
      </c>
      <c r="AC253" s="2">
        <v>0.05</v>
      </c>
      <c r="AU253" s="2">
        <v>0.05</v>
      </c>
      <c r="BM253" s="2">
        <v>0.15</v>
      </c>
      <c r="CR253" s="2">
        <v>0.35</v>
      </c>
      <c r="CS253" s="2">
        <v>0.05</v>
      </c>
      <c r="CT253" s="2"/>
      <c r="CU253" s="19"/>
      <c r="CV253" s="19">
        <f t="shared" si="1"/>
        <v>0.85</v>
      </c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</row>
    <row r="254">
      <c r="A254" s="9">
        <v>45346.0</v>
      </c>
      <c r="B254" s="2" t="s">
        <v>57</v>
      </c>
      <c r="C254" s="2" t="s">
        <v>261</v>
      </c>
      <c r="D254" s="2">
        <v>3.0</v>
      </c>
      <c r="E254" s="2">
        <v>6.0</v>
      </c>
      <c r="V254" s="2">
        <v>0.05</v>
      </c>
      <c r="AH254" s="2"/>
      <c r="AU254" s="2">
        <v>0.05</v>
      </c>
      <c r="BH254" s="2">
        <v>0.05</v>
      </c>
      <c r="BI254" s="2"/>
      <c r="BJ254" s="2"/>
      <c r="BK254" s="2">
        <v>0.05</v>
      </c>
      <c r="BM254" s="2">
        <v>0.1</v>
      </c>
      <c r="CR254" s="2">
        <v>0.2</v>
      </c>
      <c r="CS254" s="2">
        <v>0.5</v>
      </c>
      <c r="CT254" s="2"/>
      <c r="CU254" s="19"/>
      <c r="CV254" s="19">
        <f t="shared" si="1"/>
        <v>1</v>
      </c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</row>
    <row r="255">
      <c r="A255" s="9">
        <v>45346.0</v>
      </c>
      <c r="B255" s="2" t="s">
        <v>57</v>
      </c>
      <c r="C255" s="2" t="s">
        <v>261</v>
      </c>
      <c r="D255" s="2">
        <v>3.0</v>
      </c>
      <c r="E255" s="2">
        <v>8.0</v>
      </c>
      <c r="AC255" s="2">
        <v>0.15</v>
      </c>
      <c r="AH255" s="2">
        <v>0.1</v>
      </c>
      <c r="AK255" s="2">
        <v>0.05</v>
      </c>
      <c r="AU255" s="2">
        <v>0.1</v>
      </c>
      <c r="AV255" s="2">
        <v>0.05</v>
      </c>
      <c r="BH255" s="2">
        <v>0.05</v>
      </c>
      <c r="BM255" s="2">
        <v>0.15</v>
      </c>
      <c r="BP255" s="2">
        <v>0.05</v>
      </c>
      <c r="CR255" s="2">
        <v>0.3</v>
      </c>
      <c r="CU255" s="19"/>
      <c r="CV255" s="19">
        <f t="shared" si="1"/>
        <v>1</v>
      </c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</row>
    <row r="256">
      <c r="A256" s="9">
        <v>45346.0</v>
      </c>
      <c r="B256" s="2" t="s">
        <v>57</v>
      </c>
      <c r="C256" s="2" t="s">
        <v>261</v>
      </c>
      <c r="D256" s="2">
        <v>3.0</v>
      </c>
      <c r="E256" s="2">
        <v>10.0</v>
      </c>
      <c r="V256" s="2">
        <v>0.1</v>
      </c>
      <c r="AC256" s="2">
        <v>0.5</v>
      </c>
      <c r="AH256" s="2"/>
      <c r="AI256" s="2">
        <v>0.05</v>
      </c>
      <c r="AJ256" s="2">
        <v>0.05</v>
      </c>
      <c r="AU256" s="2">
        <v>0.15</v>
      </c>
      <c r="BH256" s="2">
        <v>0.1</v>
      </c>
      <c r="BM256" s="2">
        <v>0.1</v>
      </c>
      <c r="CR256" s="2">
        <v>0.25</v>
      </c>
      <c r="CS256" s="2">
        <v>0.05</v>
      </c>
      <c r="CT256" s="2"/>
      <c r="CU256" s="19"/>
      <c r="CV256" s="19">
        <f t="shared" si="1"/>
        <v>1.35</v>
      </c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</row>
    <row r="257">
      <c r="A257" s="9">
        <v>45346.0</v>
      </c>
      <c r="B257" s="2" t="s">
        <v>57</v>
      </c>
      <c r="C257" s="2" t="s">
        <v>261</v>
      </c>
      <c r="D257" s="2">
        <v>3.0</v>
      </c>
      <c r="E257" s="2">
        <v>12.0</v>
      </c>
      <c r="W257" s="2">
        <v>0.05</v>
      </c>
      <c r="X257" s="2"/>
      <c r="AC257" s="2">
        <v>0.01</v>
      </c>
      <c r="AU257" s="2">
        <v>0.15</v>
      </c>
      <c r="BM257" s="2">
        <v>0.1</v>
      </c>
      <c r="CN257" s="2">
        <v>0.3</v>
      </c>
      <c r="CR257" s="2">
        <v>0.39</v>
      </c>
      <c r="CU257" s="19"/>
      <c r="CV257" s="19">
        <f t="shared" si="1"/>
        <v>1</v>
      </c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</row>
    <row r="258">
      <c r="A258" s="9">
        <v>45346.0</v>
      </c>
      <c r="B258" s="2" t="s">
        <v>57</v>
      </c>
      <c r="C258" s="2" t="s">
        <v>261</v>
      </c>
      <c r="D258" s="2">
        <v>3.0</v>
      </c>
      <c r="E258" s="2">
        <v>14.0</v>
      </c>
      <c r="M258" s="2"/>
      <c r="N258" s="2">
        <v>0.05</v>
      </c>
      <c r="W258" s="2">
        <v>0.15</v>
      </c>
      <c r="X258" s="2"/>
      <c r="AU258" s="2">
        <v>0.1</v>
      </c>
      <c r="BH258" s="2">
        <v>0.05</v>
      </c>
      <c r="BM258" s="2">
        <v>0.1</v>
      </c>
      <c r="BV258" s="2">
        <v>0.05</v>
      </c>
      <c r="CR258" s="2">
        <v>0.2</v>
      </c>
      <c r="CS258" s="2">
        <v>0.3</v>
      </c>
      <c r="CT258" s="2"/>
      <c r="CU258" s="19"/>
      <c r="CV258" s="19">
        <f t="shared" si="1"/>
        <v>1</v>
      </c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</row>
    <row r="259">
      <c r="A259" s="9">
        <v>45346.0</v>
      </c>
      <c r="B259" s="2" t="s">
        <v>57</v>
      </c>
      <c r="C259" s="2" t="s">
        <v>261</v>
      </c>
      <c r="D259" s="2">
        <v>3.0</v>
      </c>
      <c r="E259" s="2">
        <v>16.0</v>
      </c>
      <c r="M259" s="2"/>
      <c r="N259" s="2">
        <v>0.1</v>
      </c>
      <c r="AC259" s="2">
        <v>0.01</v>
      </c>
      <c r="AH259" s="2">
        <v>0.1</v>
      </c>
      <c r="BH259" s="2">
        <v>0.15</v>
      </c>
      <c r="BM259" s="2">
        <v>0.15</v>
      </c>
      <c r="CR259" s="2">
        <v>0.49</v>
      </c>
      <c r="CU259" s="19"/>
      <c r="CV259" s="19">
        <f t="shared" si="1"/>
        <v>1</v>
      </c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</row>
    <row r="260">
      <c r="A260" s="9">
        <v>45346.0</v>
      </c>
      <c r="B260" s="2" t="s">
        <v>57</v>
      </c>
      <c r="C260" s="2" t="s">
        <v>261</v>
      </c>
      <c r="D260" s="2">
        <v>3.0</v>
      </c>
      <c r="E260" s="2">
        <v>18.0</v>
      </c>
      <c r="M260" s="2"/>
      <c r="N260" s="2">
        <v>0.1</v>
      </c>
      <c r="AC260" s="2">
        <v>0.05</v>
      </c>
      <c r="AH260" s="2">
        <v>0.05</v>
      </c>
      <c r="BH260" s="2">
        <v>0.3</v>
      </c>
      <c r="BM260" s="2">
        <v>0.15</v>
      </c>
      <c r="BP260" s="2">
        <v>0.05</v>
      </c>
      <c r="CM260" s="2">
        <v>0.05</v>
      </c>
      <c r="CR260" s="2">
        <v>0.25</v>
      </c>
      <c r="CU260" s="19"/>
      <c r="CV260" s="19">
        <f t="shared" si="1"/>
        <v>1</v>
      </c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</row>
    <row r="261">
      <c r="A261" s="9">
        <v>45346.0</v>
      </c>
      <c r="B261" s="2" t="s">
        <v>57</v>
      </c>
      <c r="C261" s="2" t="s">
        <v>261</v>
      </c>
      <c r="D261" s="2">
        <v>3.0</v>
      </c>
      <c r="E261" s="2">
        <v>20.0</v>
      </c>
      <c r="BP261" s="2">
        <v>0.05</v>
      </c>
      <c r="CM261" s="2">
        <v>0.05</v>
      </c>
      <c r="CN261" s="2">
        <v>0.6</v>
      </c>
      <c r="CR261" s="2">
        <v>0.1</v>
      </c>
      <c r="CU261" s="19"/>
      <c r="CV261" s="19">
        <f t="shared" si="1"/>
        <v>0.8</v>
      </c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</row>
    <row r="262">
      <c r="A262" s="9">
        <v>45346.0</v>
      </c>
      <c r="B262" s="2" t="s">
        <v>57</v>
      </c>
      <c r="C262" s="2" t="s">
        <v>261</v>
      </c>
      <c r="D262" s="2">
        <v>4.0</v>
      </c>
      <c r="E262" s="2">
        <v>2.0</v>
      </c>
      <c r="W262" s="2">
        <v>0.25</v>
      </c>
      <c r="X262" s="2"/>
      <c r="AC262" s="2">
        <v>0.1</v>
      </c>
      <c r="BC262" s="2">
        <v>0.01</v>
      </c>
      <c r="BD262" s="2"/>
      <c r="BE262" s="2">
        <v>0.01</v>
      </c>
      <c r="BH262" s="2">
        <v>0.01</v>
      </c>
      <c r="BM262" s="2">
        <v>0.15</v>
      </c>
      <c r="BV262" s="2">
        <v>0.1</v>
      </c>
      <c r="CM262" s="2">
        <v>0.37</v>
      </c>
      <c r="CU262" s="19"/>
      <c r="CV262" s="19">
        <f t="shared" si="1"/>
        <v>1</v>
      </c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</row>
    <row r="263">
      <c r="A263" s="9">
        <v>45346.0</v>
      </c>
      <c r="B263" s="2" t="s">
        <v>57</v>
      </c>
      <c r="C263" s="2" t="s">
        <v>261</v>
      </c>
      <c r="D263" s="2">
        <v>4.0</v>
      </c>
      <c r="E263" s="2">
        <v>4.0</v>
      </c>
      <c r="W263" s="2">
        <v>0.05</v>
      </c>
      <c r="X263" s="2"/>
      <c r="AC263" s="2">
        <v>0.05</v>
      </c>
      <c r="AU263" s="2">
        <v>0.1</v>
      </c>
      <c r="BF263" s="2">
        <v>0.01</v>
      </c>
      <c r="BH263" s="2">
        <v>0.05</v>
      </c>
      <c r="BI263" s="2"/>
      <c r="BJ263" s="2"/>
      <c r="BK263" s="2">
        <v>0.05</v>
      </c>
      <c r="BM263" s="2">
        <v>0.1</v>
      </c>
      <c r="BV263" s="2">
        <v>0.1</v>
      </c>
      <c r="CM263" s="2">
        <v>0.49</v>
      </c>
      <c r="CU263" s="19"/>
      <c r="CV263" s="19">
        <f t="shared" si="1"/>
        <v>1</v>
      </c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</row>
    <row r="264">
      <c r="A264" s="9">
        <v>45346.0</v>
      </c>
      <c r="B264" s="2" t="s">
        <v>57</v>
      </c>
      <c r="C264" s="2" t="s">
        <v>261</v>
      </c>
      <c r="D264" s="2">
        <v>4.0</v>
      </c>
      <c r="E264" s="2">
        <v>6.0</v>
      </c>
      <c r="AC264" s="2">
        <v>0.1</v>
      </c>
      <c r="AH264" s="2">
        <v>0.05</v>
      </c>
      <c r="AU264" s="2">
        <v>0.15</v>
      </c>
      <c r="BF264" s="2">
        <v>0.01</v>
      </c>
      <c r="BH264" s="2">
        <v>0.05</v>
      </c>
      <c r="BM264" s="2">
        <v>0.1</v>
      </c>
      <c r="BV264" s="2">
        <v>0.05</v>
      </c>
      <c r="CR264" s="2">
        <v>0.49</v>
      </c>
      <c r="CU264" s="19"/>
      <c r="CV264" s="19">
        <f t="shared" si="1"/>
        <v>1</v>
      </c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</row>
    <row r="265">
      <c r="A265" s="9">
        <v>45346.0</v>
      </c>
      <c r="B265" s="2" t="s">
        <v>57</v>
      </c>
      <c r="C265" s="2" t="s">
        <v>261</v>
      </c>
      <c r="D265" s="2">
        <v>4.0</v>
      </c>
      <c r="E265" s="2">
        <v>8.0</v>
      </c>
      <c r="Y265" s="2">
        <v>0.05</v>
      </c>
      <c r="AC265" s="2">
        <v>0.05</v>
      </c>
      <c r="AU265" s="2">
        <v>0.15</v>
      </c>
      <c r="BH265" s="2">
        <v>0.1</v>
      </c>
      <c r="BM265" s="2">
        <v>0.15</v>
      </c>
      <c r="BV265" s="2">
        <v>0.1</v>
      </c>
      <c r="CM265" s="2">
        <v>0.4</v>
      </c>
      <c r="CU265" s="19"/>
      <c r="CV265" s="19">
        <f t="shared" si="1"/>
        <v>1</v>
      </c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</row>
    <row r="266">
      <c r="A266" s="9">
        <v>45346.0</v>
      </c>
      <c r="B266" s="2" t="s">
        <v>57</v>
      </c>
      <c r="C266" s="2" t="s">
        <v>261</v>
      </c>
      <c r="D266" s="2">
        <v>4.0</v>
      </c>
      <c r="E266" s="2">
        <v>10.0</v>
      </c>
      <c r="AC266" s="2">
        <v>0.05</v>
      </c>
      <c r="AU266" s="2">
        <v>0.1</v>
      </c>
      <c r="BH266" s="2">
        <v>0.05</v>
      </c>
      <c r="BM266" s="2">
        <v>0.15</v>
      </c>
      <c r="CR266" s="2">
        <v>0.65</v>
      </c>
      <c r="CU266" s="19"/>
      <c r="CV266" s="19">
        <f t="shared" si="1"/>
        <v>1</v>
      </c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</row>
    <row r="267">
      <c r="A267" s="9">
        <v>45346.0</v>
      </c>
      <c r="B267" s="2" t="s">
        <v>57</v>
      </c>
      <c r="C267" s="2" t="s">
        <v>261</v>
      </c>
      <c r="D267" s="2">
        <v>4.0</v>
      </c>
      <c r="E267" s="2">
        <v>12.0</v>
      </c>
      <c r="AU267" s="2">
        <v>0.05</v>
      </c>
      <c r="BM267" s="2">
        <v>0.15</v>
      </c>
      <c r="BV267" s="2">
        <v>0.05</v>
      </c>
      <c r="CR267" s="2">
        <v>0.7</v>
      </c>
      <c r="CU267" s="19"/>
      <c r="CV267" s="19">
        <f t="shared" si="1"/>
        <v>0.95</v>
      </c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</row>
    <row r="268">
      <c r="A268" s="9">
        <v>45346.0</v>
      </c>
      <c r="B268" s="2" t="s">
        <v>57</v>
      </c>
      <c r="C268" s="2" t="s">
        <v>261</v>
      </c>
      <c r="D268" s="2">
        <v>4.0</v>
      </c>
      <c r="E268" s="2">
        <v>14.0</v>
      </c>
      <c r="AC268" s="2">
        <v>0.01</v>
      </c>
      <c r="AU268" s="2">
        <v>0.15</v>
      </c>
      <c r="BH268" s="2">
        <v>0.03</v>
      </c>
      <c r="BM268" s="2">
        <v>0.1</v>
      </c>
      <c r="CR268" s="2">
        <v>0.68</v>
      </c>
      <c r="CU268" s="19"/>
      <c r="CV268" s="19">
        <f t="shared" si="1"/>
        <v>0.97</v>
      </c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</row>
    <row r="269">
      <c r="A269" s="9">
        <v>45346.0</v>
      </c>
      <c r="B269" s="2" t="s">
        <v>57</v>
      </c>
      <c r="C269" s="2" t="s">
        <v>261</v>
      </c>
      <c r="D269" s="2">
        <v>4.0</v>
      </c>
      <c r="E269" s="2">
        <v>16.0</v>
      </c>
      <c r="BH269" s="2">
        <v>0.2</v>
      </c>
      <c r="BM269" s="2">
        <v>0.2</v>
      </c>
      <c r="CM269" s="2">
        <v>0.1</v>
      </c>
      <c r="CR269" s="2">
        <v>0.5</v>
      </c>
      <c r="CU269" s="19"/>
      <c r="CV269" s="19">
        <f t="shared" si="1"/>
        <v>1</v>
      </c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</row>
    <row r="270">
      <c r="A270" s="9">
        <v>45346.0</v>
      </c>
      <c r="B270" s="2" t="s">
        <v>57</v>
      </c>
      <c r="C270" s="2" t="s">
        <v>261</v>
      </c>
      <c r="D270" s="2">
        <v>4.0</v>
      </c>
      <c r="E270" s="2">
        <v>18.0</v>
      </c>
      <c r="H270" s="2">
        <v>0.05</v>
      </c>
      <c r="CQ270" s="2">
        <v>0.2</v>
      </c>
      <c r="CR270" s="2">
        <v>0.75</v>
      </c>
      <c r="CU270" s="19"/>
      <c r="CV270" s="19">
        <f t="shared" si="1"/>
        <v>1</v>
      </c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</row>
    <row r="271">
      <c r="A271" s="9">
        <v>45346.0</v>
      </c>
      <c r="B271" s="2" t="s">
        <v>57</v>
      </c>
      <c r="C271" s="2" t="s">
        <v>261</v>
      </c>
      <c r="D271" s="2">
        <v>4.0</v>
      </c>
      <c r="E271" s="2">
        <v>20.0</v>
      </c>
      <c r="BL271" s="2">
        <v>0.1</v>
      </c>
      <c r="CQ271" s="2">
        <v>0.1</v>
      </c>
      <c r="CR271" s="2">
        <v>0.8</v>
      </c>
      <c r="CU271" s="19"/>
      <c r="CV271" s="19">
        <f t="shared" si="1"/>
        <v>1</v>
      </c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</row>
    <row r="272">
      <c r="A272" s="9">
        <v>45346.0</v>
      </c>
      <c r="B272" s="2" t="s">
        <v>237</v>
      </c>
      <c r="C272" s="2" t="s">
        <v>129</v>
      </c>
      <c r="D272" s="2">
        <v>4.0</v>
      </c>
      <c r="E272" s="2">
        <v>2.0</v>
      </c>
      <c r="O272" s="2"/>
      <c r="S272" s="2">
        <v>0.05</v>
      </c>
      <c r="T272" s="2">
        <v>0.01</v>
      </c>
      <c r="AH272" s="2">
        <v>0.02</v>
      </c>
      <c r="AL272" s="2">
        <v>0.2</v>
      </c>
      <c r="AM272" s="2"/>
      <c r="AU272" s="2">
        <v>0.01</v>
      </c>
      <c r="AX272" s="2">
        <v>0.4</v>
      </c>
      <c r="BC272" s="2"/>
      <c r="BN272" s="2">
        <v>0.15</v>
      </c>
      <c r="BO272" s="2"/>
      <c r="CR272" s="2">
        <v>0.16</v>
      </c>
      <c r="CU272" s="19"/>
      <c r="CV272" s="19">
        <f t="shared" si="1"/>
        <v>1</v>
      </c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</row>
    <row r="273">
      <c r="A273" s="9">
        <v>45346.0</v>
      </c>
      <c r="B273" s="2" t="s">
        <v>237</v>
      </c>
      <c r="C273" s="2" t="s">
        <v>129</v>
      </c>
      <c r="D273" s="2">
        <v>4.0</v>
      </c>
      <c r="E273" s="2">
        <v>3.0</v>
      </c>
      <c r="O273" s="2"/>
      <c r="S273" s="2">
        <v>0.01</v>
      </c>
      <c r="T273" s="2">
        <v>0.05</v>
      </c>
      <c r="AL273" s="2"/>
      <c r="AM273" s="2"/>
      <c r="AQ273" s="2">
        <v>0.01</v>
      </c>
      <c r="AX273" s="2"/>
      <c r="BC273" s="2"/>
      <c r="BN273" s="2">
        <v>0.75</v>
      </c>
      <c r="BO273" s="2"/>
      <c r="CR273" s="2">
        <v>0.18</v>
      </c>
      <c r="CU273" s="19"/>
      <c r="CV273" s="19">
        <f t="shared" si="1"/>
        <v>1</v>
      </c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</row>
    <row r="274">
      <c r="A274" s="9">
        <v>45346.0</v>
      </c>
      <c r="B274" s="2" t="s">
        <v>237</v>
      </c>
      <c r="C274" s="2" t="s">
        <v>129</v>
      </c>
      <c r="D274" s="2">
        <v>4.0</v>
      </c>
      <c r="E274" s="2">
        <v>4.0</v>
      </c>
      <c r="O274" s="2">
        <v>0.01</v>
      </c>
      <c r="S274" s="2"/>
      <c r="T274" s="2">
        <v>0.01</v>
      </c>
      <c r="AL274" s="2"/>
      <c r="AM274" s="2"/>
      <c r="AV274" s="2">
        <v>0.01</v>
      </c>
      <c r="AX274" s="2">
        <v>0.01</v>
      </c>
      <c r="BC274" s="2"/>
      <c r="BF274" s="2">
        <v>0.02</v>
      </c>
      <c r="BH274" s="2">
        <v>0.4</v>
      </c>
      <c r="BN274" s="2">
        <v>0.4</v>
      </c>
      <c r="BO274" s="2"/>
      <c r="CR274" s="2">
        <v>0.14</v>
      </c>
      <c r="CU274" s="19"/>
      <c r="CV274" s="19">
        <f t="shared" si="1"/>
        <v>1</v>
      </c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</row>
    <row r="275">
      <c r="A275" s="9">
        <v>45346.0</v>
      </c>
      <c r="B275" s="2" t="s">
        <v>237</v>
      </c>
      <c r="C275" s="2" t="s">
        <v>129</v>
      </c>
      <c r="D275" s="2">
        <v>4.0</v>
      </c>
      <c r="E275" s="2">
        <v>5.0</v>
      </c>
      <c r="O275" s="2"/>
      <c r="S275" s="2"/>
      <c r="T275" s="2">
        <v>0.01</v>
      </c>
      <c r="AL275" s="2"/>
      <c r="AM275" s="2"/>
      <c r="AQ275" s="2">
        <v>0.2</v>
      </c>
      <c r="AX275" s="2"/>
      <c r="BC275" s="2"/>
      <c r="BD275" s="2"/>
      <c r="BE275" s="2">
        <v>0.1</v>
      </c>
      <c r="BF275" s="2">
        <v>0.02</v>
      </c>
      <c r="BH275" s="2">
        <v>0.3</v>
      </c>
      <c r="BN275" s="2">
        <v>0.15</v>
      </c>
      <c r="BO275" s="2"/>
      <c r="CR275" s="2">
        <v>0.22</v>
      </c>
      <c r="CU275" s="19"/>
      <c r="CV275" s="19">
        <f t="shared" si="1"/>
        <v>1</v>
      </c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</row>
    <row r="276">
      <c r="A276" s="9">
        <v>45346.0</v>
      </c>
      <c r="B276" s="2" t="s">
        <v>237</v>
      </c>
      <c r="C276" s="2" t="s">
        <v>129</v>
      </c>
      <c r="D276" s="2">
        <v>4.0</v>
      </c>
      <c r="E276" s="2">
        <v>6.0</v>
      </c>
      <c r="O276" s="2"/>
      <c r="S276" s="2"/>
      <c r="AL276" s="2"/>
      <c r="AM276" s="2"/>
      <c r="AQ276" s="2">
        <v>0.01</v>
      </c>
      <c r="AU276" s="2">
        <v>0.01</v>
      </c>
      <c r="AX276" s="2"/>
      <c r="BC276" s="2"/>
      <c r="BF276" s="2">
        <v>0.01</v>
      </c>
      <c r="BH276" s="2">
        <v>0.93</v>
      </c>
      <c r="BN276" s="2">
        <v>0.01</v>
      </c>
      <c r="BO276" s="2"/>
      <c r="CR276" s="2">
        <v>0.03</v>
      </c>
      <c r="CU276" s="19"/>
      <c r="CV276" s="19">
        <f t="shared" si="1"/>
        <v>1</v>
      </c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</row>
    <row r="277">
      <c r="A277" s="9">
        <v>45346.0</v>
      </c>
      <c r="B277" s="2" t="s">
        <v>237</v>
      </c>
      <c r="C277" s="2" t="s">
        <v>129</v>
      </c>
      <c r="D277" s="2">
        <v>4.0</v>
      </c>
      <c r="E277" s="2">
        <v>7.0</v>
      </c>
      <c r="O277" s="2"/>
      <c r="S277" s="2"/>
      <c r="AL277" s="2"/>
      <c r="AM277" s="2"/>
      <c r="AQ277" s="2">
        <v>0.01</v>
      </c>
      <c r="AU277" s="2">
        <v>0.05</v>
      </c>
      <c r="AX277" s="2"/>
      <c r="BC277" s="2"/>
      <c r="BD277" s="2"/>
      <c r="BE277" s="2">
        <v>0.01</v>
      </c>
      <c r="BH277" s="2">
        <v>0.85</v>
      </c>
      <c r="BN277" s="2">
        <v>0.03</v>
      </c>
      <c r="BO277" s="2">
        <v>0.01</v>
      </c>
      <c r="CM277" s="2">
        <v>0.04</v>
      </c>
      <c r="CR277" s="2"/>
      <c r="CU277" s="19"/>
      <c r="CV277" s="19">
        <f t="shared" si="1"/>
        <v>1</v>
      </c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</row>
    <row r="278">
      <c r="A278" s="9">
        <v>45346.0</v>
      </c>
      <c r="B278" s="2" t="s">
        <v>237</v>
      </c>
      <c r="C278" s="2" t="s">
        <v>129</v>
      </c>
      <c r="D278" s="2">
        <v>4.0</v>
      </c>
      <c r="E278" s="2">
        <v>8.0</v>
      </c>
      <c r="O278" s="2"/>
      <c r="S278" s="2"/>
      <c r="T278" s="2">
        <v>0.02</v>
      </c>
      <c r="AL278" s="2"/>
      <c r="AM278" s="2"/>
      <c r="AQ278" s="2">
        <v>0.03</v>
      </c>
      <c r="AX278" s="2"/>
      <c r="BC278" s="2"/>
      <c r="BH278" s="2">
        <v>0.5</v>
      </c>
      <c r="BN278" s="2">
        <v>0.1</v>
      </c>
      <c r="BO278" s="2"/>
      <c r="CE278" s="2">
        <v>0.05</v>
      </c>
      <c r="CM278" s="2">
        <v>0.3</v>
      </c>
      <c r="CR278" s="2"/>
      <c r="CU278" s="19"/>
      <c r="CV278" s="19">
        <f t="shared" si="1"/>
        <v>1</v>
      </c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</row>
    <row r="279">
      <c r="A279" s="9">
        <v>45346.0</v>
      </c>
      <c r="B279" s="2" t="s">
        <v>237</v>
      </c>
      <c r="C279" s="2" t="s">
        <v>129</v>
      </c>
      <c r="D279" s="2">
        <v>4.0</v>
      </c>
      <c r="E279" s="2">
        <v>9.0</v>
      </c>
      <c r="O279" s="2"/>
      <c r="S279" s="2"/>
      <c r="AL279" s="2"/>
      <c r="AM279" s="2"/>
      <c r="AU279" s="2">
        <v>0.5</v>
      </c>
      <c r="AX279" s="2"/>
      <c r="BC279" s="2"/>
      <c r="BH279" s="2">
        <v>0.3</v>
      </c>
      <c r="BN279" s="2"/>
      <c r="BO279" s="2"/>
      <c r="CM279" s="2">
        <v>0.2</v>
      </c>
      <c r="CR279" s="2"/>
      <c r="CU279" s="19"/>
      <c r="CV279" s="19">
        <f t="shared" si="1"/>
        <v>1</v>
      </c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</row>
    <row r="280">
      <c r="A280" s="9">
        <v>45346.0</v>
      </c>
      <c r="B280" s="2" t="s">
        <v>237</v>
      </c>
      <c r="C280" s="2" t="s">
        <v>129</v>
      </c>
      <c r="D280" s="2">
        <v>4.0</v>
      </c>
      <c r="E280" s="2">
        <v>10.0</v>
      </c>
      <c r="O280" s="2"/>
      <c r="S280" s="2"/>
      <c r="AL280" s="2"/>
      <c r="AM280" s="2"/>
      <c r="AU280" s="2">
        <v>0.2</v>
      </c>
      <c r="AX280" s="2"/>
      <c r="BC280" s="2"/>
      <c r="BH280" s="2">
        <v>0.2</v>
      </c>
      <c r="BN280" s="2"/>
      <c r="BO280" s="2"/>
      <c r="CM280" s="2">
        <v>0.2</v>
      </c>
      <c r="CR280" s="2">
        <v>0.4</v>
      </c>
      <c r="CU280" s="19"/>
      <c r="CV280" s="19">
        <f t="shared" si="1"/>
        <v>1</v>
      </c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</row>
    <row r="281">
      <c r="A281" s="9">
        <v>45346.0</v>
      </c>
      <c r="B281" s="2" t="s">
        <v>237</v>
      </c>
      <c r="C281" s="2" t="s">
        <v>129</v>
      </c>
      <c r="D281" s="2">
        <v>4.0</v>
      </c>
      <c r="E281" s="2">
        <v>11.0</v>
      </c>
      <c r="O281" s="2"/>
      <c r="S281" s="2"/>
      <c r="AL281" s="2"/>
      <c r="AM281" s="2"/>
      <c r="AX281" s="2"/>
      <c r="BC281" s="2"/>
      <c r="BN281" s="2"/>
      <c r="BO281" s="2"/>
      <c r="BT281" s="2">
        <v>0.8</v>
      </c>
      <c r="CE281" s="2">
        <v>0.05</v>
      </c>
      <c r="CR281" s="2">
        <v>0.15</v>
      </c>
      <c r="CU281" s="19"/>
      <c r="CV281" s="19">
        <f t="shared" si="1"/>
        <v>1</v>
      </c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</row>
    <row r="282">
      <c r="A282" s="9">
        <v>45346.0</v>
      </c>
      <c r="B282" s="2" t="s">
        <v>237</v>
      </c>
      <c r="C282" s="2" t="s">
        <v>129</v>
      </c>
      <c r="D282" s="2">
        <v>4.0</v>
      </c>
      <c r="E282" s="2">
        <v>12.0</v>
      </c>
      <c r="O282" s="2"/>
      <c r="S282" s="2"/>
      <c r="AL282" s="2"/>
      <c r="AM282" s="2"/>
      <c r="AX282" s="2"/>
      <c r="BC282" s="2"/>
      <c r="BN282" s="2"/>
      <c r="BO282" s="2"/>
      <c r="CM282" s="2">
        <v>0.3</v>
      </c>
      <c r="CN282" s="2">
        <v>0.7</v>
      </c>
      <c r="CR282" s="2"/>
      <c r="CU282" s="19"/>
      <c r="CV282" s="19">
        <f t="shared" si="1"/>
        <v>1</v>
      </c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</row>
    <row r="283">
      <c r="A283" s="9">
        <v>45346.0</v>
      </c>
      <c r="B283" s="2" t="s">
        <v>237</v>
      </c>
      <c r="C283" s="2" t="s">
        <v>117</v>
      </c>
      <c r="D283" s="2">
        <v>3.0</v>
      </c>
      <c r="E283" s="2">
        <v>3.0</v>
      </c>
      <c r="O283" s="2">
        <v>0.01</v>
      </c>
      <c r="S283" s="2">
        <v>0.04</v>
      </c>
      <c r="AL283" s="2">
        <v>0.01</v>
      </c>
      <c r="AM283" s="2"/>
      <c r="AX283" s="2">
        <v>0.02</v>
      </c>
      <c r="BC283" s="2">
        <v>0.01</v>
      </c>
      <c r="BN283" s="2">
        <v>0.35</v>
      </c>
      <c r="BO283" s="2">
        <v>0.07</v>
      </c>
      <c r="CR283" s="2">
        <v>0.49</v>
      </c>
      <c r="CU283" s="19"/>
      <c r="CV283" s="19">
        <f t="shared" si="1"/>
        <v>1</v>
      </c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</row>
    <row r="284">
      <c r="A284" s="9">
        <v>45346.0</v>
      </c>
      <c r="B284" s="2" t="s">
        <v>237</v>
      </c>
      <c r="C284" s="2" t="s">
        <v>117</v>
      </c>
      <c r="D284" s="2">
        <v>3.0</v>
      </c>
      <c r="E284" s="2">
        <v>4.0</v>
      </c>
      <c r="S284" s="2">
        <v>0.04</v>
      </c>
      <c r="AK284" s="2">
        <v>0.01</v>
      </c>
      <c r="AS284" s="2">
        <v>0.01</v>
      </c>
      <c r="AT284" s="2"/>
      <c r="AV284" s="2">
        <v>0.01</v>
      </c>
      <c r="BD284" s="2"/>
      <c r="BE284" s="2">
        <v>0.02</v>
      </c>
      <c r="BH284" s="2">
        <v>0.3</v>
      </c>
      <c r="BN284" s="2">
        <v>0.02</v>
      </c>
      <c r="BS284" s="2">
        <v>0.01</v>
      </c>
      <c r="BT284" s="2">
        <v>0.01</v>
      </c>
      <c r="CE284" s="2">
        <v>0.01</v>
      </c>
      <c r="CR284" s="2">
        <v>0.56</v>
      </c>
      <c r="CU284" s="19"/>
      <c r="CV284" s="19">
        <f t="shared" si="1"/>
        <v>1</v>
      </c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</row>
    <row r="285">
      <c r="A285" s="9">
        <v>45346.0</v>
      </c>
      <c r="B285" s="2" t="s">
        <v>237</v>
      </c>
      <c r="C285" s="2" t="s">
        <v>117</v>
      </c>
      <c r="D285" s="2">
        <v>3.0</v>
      </c>
      <c r="E285" s="2">
        <v>5.0</v>
      </c>
      <c r="O285" s="2">
        <v>0.01</v>
      </c>
      <c r="S285" s="2">
        <v>0.01</v>
      </c>
      <c r="AL285" s="2">
        <v>0.01</v>
      </c>
      <c r="AM285" s="2"/>
      <c r="AU285" s="2">
        <v>0.01</v>
      </c>
      <c r="BF285" s="2">
        <v>0.01</v>
      </c>
      <c r="BH285" s="2">
        <v>0.4</v>
      </c>
      <c r="BN285" s="2">
        <v>0.07</v>
      </c>
      <c r="CM285" s="2">
        <v>0.48</v>
      </c>
      <c r="CU285" s="19"/>
      <c r="CV285" s="19">
        <f t="shared" si="1"/>
        <v>1</v>
      </c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</row>
    <row r="286">
      <c r="A286" s="9">
        <v>45346.0</v>
      </c>
      <c r="B286" s="2" t="s">
        <v>237</v>
      </c>
      <c r="C286" s="2" t="s">
        <v>117</v>
      </c>
      <c r="D286" s="2">
        <v>3.0</v>
      </c>
      <c r="E286" s="2">
        <v>6.0</v>
      </c>
      <c r="O286" s="2">
        <v>0.01</v>
      </c>
      <c r="S286" s="2">
        <v>0.01</v>
      </c>
      <c r="AQ286" s="2">
        <v>0.01</v>
      </c>
      <c r="AU286" s="2">
        <v>0.01</v>
      </c>
      <c r="BC286" s="2">
        <v>0.01</v>
      </c>
      <c r="BF286" s="2">
        <v>0.01</v>
      </c>
      <c r="BH286" s="2">
        <v>0.83</v>
      </c>
      <c r="CM286" s="2">
        <v>0.11</v>
      </c>
      <c r="CU286" s="19"/>
      <c r="CV286" s="19">
        <f t="shared" si="1"/>
        <v>1</v>
      </c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</row>
    <row r="287">
      <c r="A287" s="9">
        <v>45346.0</v>
      </c>
      <c r="B287" s="2" t="s">
        <v>237</v>
      </c>
      <c r="C287" s="2" t="s">
        <v>117</v>
      </c>
      <c r="D287" s="2">
        <v>3.0</v>
      </c>
      <c r="E287" s="2">
        <v>7.0</v>
      </c>
      <c r="O287" s="2">
        <v>0.01</v>
      </c>
      <c r="U287" s="2">
        <v>0.01</v>
      </c>
      <c r="AQ287" s="2">
        <v>0.01</v>
      </c>
      <c r="AU287" s="2">
        <v>0.01</v>
      </c>
      <c r="AV287" s="2">
        <v>0.01</v>
      </c>
      <c r="BC287" s="2">
        <v>0.01</v>
      </c>
      <c r="BF287" s="2">
        <v>0.01</v>
      </c>
      <c r="BH287" s="2">
        <v>0.12</v>
      </c>
      <c r="CM287" s="2">
        <v>0.81</v>
      </c>
      <c r="CU287" s="19"/>
      <c r="CV287" s="19">
        <f t="shared" si="1"/>
        <v>1</v>
      </c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</row>
    <row r="288">
      <c r="A288" s="9">
        <v>45346.0</v>
      </c>
      <c r="B288" s="2" t="s">
        <v>237</v>
      </c>
      <c r="C288" s="2" t="s">
        <v>117</v>
      </c>
      <c r="D288" s="2">
        <v>3.0</v>
      </c>
      <c r="E288" s="2">
        <v>8.0</v>
      </c>
      <c r="O288" s="2">
        <v>0.01</v>
      </c>
      <c r="AL288" s="2">
        <v>0.01</v>
      </c>
      <c r="AM288" s="2"/>
      <c r="AQ288" s="2">
        <v>0.01</v>
      </c>
      <c r="AV288" s="2">
        <v>0.01</v>
      </c>
      <c r="BC288" s="2">
        <v>0.01</v>
      </c>
      <c r="BH288" s="2">
        <v>0.07</v>
      </c>
      <c r="CM288" s="2">
        <v>0.88</v>
      </c>
      <c r="CU288" s="19"/>
      <c r="CV288" s="19">
        <f t="shared" si="1"/>
        <v>1</v>
      </c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</row>
    <row r="289">
      <c r="A289" s="9">
        <v>45346.0</v>
      </c>
      <c r="B289" s="2" t="s">
        <v>237</v>
      </c>
      <c r="C289" s="2" t="s">
        <v>117</v>
      </c>
      <c r="D289" s="2">
        <v>3.0</v>
      </c>
      <c r="E289" s="2">
        <v>9.0</v>
      </c>
      <c r="O289" s="2">
        <v>0.01</v>
      </c>
      <c r="AU289" s="2">
        <v>0.01</v>
      </c>
      <c r="BC289" s="2">
        <v>0.02</v>
      </c>
      <c r="BH289" s="2">
        <v>0.01</v>
      </c>
      <c r="CM289" s="2">
        <v>0.85</v>
      </c>
      <c r="CR289" s="2">
        <v>0.1</v>
      </c>
      <c r="CU289" s="19"/>
      <c r="CV289" s="19">
        <f t="shared" si="1"/>
        <v>1</v>
      </c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</row>
    <row r="290">
      <c r="A290" s="9">
        <v>45346.0</v>
      </c>
      <c r="B290" s="2" t="s">
        <v>237</v>
      </c>
      <c r="C290" s="2" t="s">
        <v>117</v>
      </c>
      <c r="D290" s="2">
        <v>3.0</v>
      </c>
      <c r="E290" s="2">
        <v>10.0</v>
      </c>
      <c r="BN290" s="2">
        <v>0.02</v>
      </c>
      <c r="BT290" s="2">
        <v>0.01</v>
      </c>
      <c r="CE290" s="2">
        <v>0.14</v>
      </c>
      <c r="CM290" s="2">
        <v>0.03</v>
      </c>
      <c r="CN290" s="2">
        <v>0.77</v>
      </c>
      <c r="CR290" s="2">
        <v>0.03</v>
      </c>
      <c r="CU290" s="19"/>
      <c r="CV290" s="19">
        <f t="shared" si="1"/>
        <v>1</v>
      </c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</row>
    <row r="291">
      <c r="A291" s="9">
        <v>45346.0</v>
      </c>
      <c r="B291" s="2" t="s">
        <v>237</v>
      </c>
      <c r="C291" s="2" t="s">
        <v>117</v>
      </c>
      <c r="D291" s="2">
        <v>3.0</v>
      </c>
      <c r="E291" s="2">
        <v>11.0</v>
      </c>
      <c r="BC291" s="2">
        <v>0.01</v>
      </c>
      <c r="CE291" s="2">
        <v>0.06</v>
      </c>
      <c r="CJ291" s="2">
        <v>0.03</v>
      </c>
      <c r="CR291" s="2">
        <v>0.9</v>
      </c>
      <c r="CU291" s="19"/>
      <c r="CV291" s="19">
        <f t="shared" si="1"/>
        <v>1</v>
      </c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</row>
    <row r="292">
      <c r="A292" s="9">
        <v>45346.0</v>
      </c>
      <c r="B292" s="2" t="s">
        <v>237</v>
      </c>
      <c r="C292" s="2" t="s">
        <v>117</v>
      </c>
      <c r="D292" s="2">
        <v>3.0</v>
      </c>
      <c r="E292" s="2">
        <v>12.0</v>
      </c>
      <c r="CE292" s="2">
        <v>0.03</v>
      </c>
      <c r="CJ292" s="2">
        <v>0.01</v>
      </c>
      <c r="CM292" s="2">
        <v>0.01</v>
      </c>
      <c r="CR292" s="2">
        <v>0.95</v>
      </c>
      <c r="CU292" s="19"/>
      <c r="CV292" s="19">
        <f t="shared" si="1"/>
        <v>1</v>
      </c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</row>
    <row r="293">
      <c r="A293" s="9">
        <v>45346.0</v>
      </c>
      <c r="B293" s="2" t="s">
        <v>237</v>
      </c>
      <c r="C293" s="2" t="s">
        <v>97</v>
      </c>
      <c r="D293" s="2">
        <v>2.0</v>
      </c>
      <c r="E293" s="2">
        <v>3.0</v>
      </c>
      <c r="H293" s="2">
        <v>0.01</v>
      </c>
      <c r="O293" s="2">
        <v>0.01</v>
      </c>
      <c r="S293" s="2">
        <v>0.06</v>
      </c>
      <c r="AX293" s="2">
        <v>0.02</v>
      </c>
      <c r="BD293" s="2"/>
      <c r="BE293" s="2">
        <v>0.02</v>
      </c>
      <c r="BF293" s="2">
        <v>0.01</v>
      </c>
      <c r="BN293" s="2">
        <v>0.4</v>
      </c>
      <c r="BO293" s="2">
        <v>0.2</v>
      </c>
      <c r="BT293" s="2">
        <v>0.01</v>
      </c>
      <c r="CR293" s="2">
        <v>0.26</v>
      </c>
      <c r="CU293" s="19"/>
      <c r="CV293" s="19">
        <f t="shared" si="1"/>
        <v>1</v>
      </c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</row>
    <row r="294">
      <c r="A294" s="9">
        <v>45346.0</v>
      </c>
      <c r="B294" s="2" t="s">
        <v>237</v>
      </c>
      <c r="C294" s="2" t="s">
        <v>97</v>
      </c>
      <c r="D294" s="2">
        <v>2.0</v>
      </c>
      <c r="E294" s="2">
        <v>4.0</v>
      </c>
      <c r="O294" s="2">
        <v>0.01</v>
      </c>
      <c r="S294" s="2">
        <v>0.04</v>
      </c>
      <c r="AK294" s="2">
        <v>0.01</v>
      </c>
      <c r="AQ294" s="2">
        <v>0.01</v>
      </c>
      <c r="AU294" s="2">
        <v>0.01</v>
      </c>
      <c r="BD294" s="2"/>
      <c r="BE294" s="2">
        <v>0.01</v>
      </c>
      <c r="BH294" s="2">
        <v>0.2</v>
      </c>
      <c r="BN294" s="2">
        <v>0.43</v>
      </c>
      <c r="BO294" s="2">
        <v>0.01</v>
      </c>
      <c r="CM294" s="2">
        <v>0.27</v>
      </c>
      <c r="CU294" s="19"/>
      <c r="CV294" s="19">
        <f t="shared" si="1"/>
        <v>1</v>
      </c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</row>
    <row r="295">
      <c r="A295" s="9">
        <v>45346.0</v>
      </c>
      <c r="B295" s="2" t="s">
        <v>237</v>
      </c>
      <c r="C295" s="2" t="s">
        <v>97</v>
      </c>
      <c r="D295" s="2">
        <v>2.0</v>
      </c>
      <c r="E295" s="2">
        <v>5.0</v>
      </c>
      <c r="H295" s="2">
        <v>0.02</v>
      </c>
      <c r="BD295" s="2"/>
      <c r="BE295" s="2">
        <v>0.01</v>
      </c>
      <c r="BF295" s="2">
        <v>0.01</v>
      </c>
      <c r="BH295" s="2">
        <v>0.73</v>
      </c>
      <c r="BN295" s="2">
        <v>0.04</v>
      </c>
      <c r="CM295" s="2">
        <v>0.15</v>
      </c>
      <c r="CR295" s="2">
        <v>0.04</v>
      </c>
      <c r="CU295" s="19"/>
      <c r="CV295" s="19">
        <f t="shared" si="1"/>
        <v>1</v>
      </c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</row>
    <row r="296">
      <c r="A296" s="9">
        <v>45346.0</v>
      </c>
      <c r="B296" s="2" t="s">
        <v>237</v>
      </c>
      <c r="C296" s="2" t="s">
        <v>97</v>
      </c>
      <c r="D296" s="2">
        <v>2.0</v>
      </c>
      <c r="E296" s="2">
        <v>6.0</v>
      </c>
      <c r="AI296" s="2">
        <v>0.01</v>
      </c>
      <c r="BC296" s="2">
        <v>0.02</v>
      </c>
      <c r="BH296" s="2">
        <v>0.25</v>
      </c>
      <c r="BN296" s="2">
        <v>0.04</v>
      </c>
      <c r="BT296" s="2">
        <v>0.04</v>
      </c>
      <c r="CM296" s="2">
        <v>0.6</v>
      </c>
      <c r="CR296" s="2">
        <v>0.04</v>
      </c>
      <c r="CU296" s="19"/>
      <c r="CV296" s="19">
        <f t="shared" si="1"/>
        <v>1</v>
      </c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</row>
    <row r="297">
      <c r="A297" s="9">
        <v>45346.0</v>
      </c>
      <c r="B297" s="2" t="s">
        <v>237</v>
      </c>
      <c r="C297" s="2" t="s">
        <v>97</v>
      </c>
      <c r="D297" s="2">
        <v>2.0</v>
      </c>
      <c r="E297" s="2">
        <v>7.0</v>
      </c>
      <c r="AK297" s="2">
        <v>0.02</v>
      </c>
      <c r="BC297" s="2">
        <v>0.02</v>
      </c>
      <c r="BH297" s="2">
        <v>0.45</v>
      </c>
      <c r="BT297" s="2">
        <v>0.04</v>
      </c>
      <c r="CM297" s="2">
        <v>0.43</v>
      </c>
      <c r="CR297" s="2">
        <v>0.04</v>
      </c>
      <c r="CU297" s="19"/>
      <c r="CV297" s="19">
        <f t="shared" si="1"/>
        <v>1</v>
      </c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</row>
    <row r="298">
      <c r="A298" s="9">
        <v>45346.0</v>
      </c>
      <c r="B298" s="2" t="s">
        <v>237</v>
      </c>
      <c r="C298" s="2" t="s">
        <v>97</v>
      </c>
      <c r="D298" s="2">
        <v>2.0</v>
      </c>
      <c r="E298" s="2">
        <v>8.0</v>
      </c>
      <c r="BC298" s="2">
        <v>0.01</v>
      </c>
      <c r="BH298" s="2">
        <v>0.1</v>
      </c>
      <c r="BT298" s="2">
        <v>0.1</v>
      </c>
      <c r="CM298" s="2">
        <v>0.79</v>
      </c>
      <c r="CU298" s="19"/>
      <c r="CV298" s="19">
        <f t="shared" si="1"/>
        <v>1</v>
      </c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</row>
    <row r="299">
      <c r="A299" s="9">
        <v>45346.0</v>
      </c>
      <c r="B299" s="2" t="s">
        <v>237</v>
      </c>
      <c r="C299" s="2" t="s">
        <v>97</v>
      </c>
      <c r="D299" s="2">
        <v>2.0</v>
      </c>
      <c r="E299" s="2">
        <v>9.0</v>
      </c>
      <c r="AI299" s="2">
        <v>0.01</v>
      </c>
      <c r="BD299" s="2"/>
      <c r="BE299" s="2">
        <v>0.01</v>
      </c>
      <c r="BF299" s="2">
        <v>0.01</v>
      </c>
      <c r="BH299" s="2">
        <v>0.01</v>
      </c>
      <c r="BT299" s="2">
        <v>0.2</v>
      </c>
      <c r="CM299" s="2">
        <v>0.2</v>
      </c>
      <c r="CR299" s="2">
        <v>0.56</v>
      </c>
      <c r="CU299" s="19"/>
      <c r="CV299" s="19">
        <f t="shared" si="1"/>
        <v>1</v>
      </c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</row>
    <row r="300">
      <c r="A300" s="9">
        <v>45346.0</v>
      </c>
      <c r="B300" s="2" t="s">
        <v>237</v>
      </c>
      <c r="C300" s="2" t="s">
        <v>97</v>
      </c>
      <c r="D300" s="2">
        <v>2.0</v>
      </c>
      <c r="E300" s="2">
        <v>10.0</v>
      </c>
      <c r="BC300" s="2">
        <v>0.25</v>
      </c>
      <c r="BT300" s="2">
        <v>0.15</v>
      </c>
      <c r="CE300" s="2">
        <v>0.2</v>
      </c>
      <c r="CM300" s="2">
        <v>0.04</v>
      </c>
      <c r="CR300" s="2">
        <v>0.36</v>
      </c>
      <c r="CU300" s="19"/>
      <c r="CV300" s="19">
        <f t="shared" si="1"/>
        <v>1</v>
      </c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</row>
    <row r="301">
      <c r="A301" s="9">
        <v>45346.0</v>
      </c>
      <c r="B301" s="2" t="s">
        <v>237</v>
      </c>
      <c r="C301" s="2" t="s">
        <v>97</v>
      </c>
      <c r="D301" s="2">
        <v>2.0</v>
      </c>
      <c r="E301" s="2">
        <v>11.0</v>
      </c>
      <c r="CE301" s="2">
        <v>0.1</v>
      </c>
      <c r="CJ301" s="2">
        <v>0.1</v>
      </c>
      <c r="CR301" s="2">
        <v>0.8</v>
      </c>
      <c r="CU301" s="19"/>
      <c r="CV301" s="19">
        <f t="shared" si="1"/>
        <v>1</v>
      </c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</row>
    <row r="302">
      <c r="A302" s="9">
        <v>45346.0</v>
      </c>
      <c r="B302" s="2" t="s">
        <v>237</v>
      </c>
      <c r="C302" s="2" t="s">
        <v>97</v>
      </c>
      <c r="D302" s="2">
        <v>2.0</v>
      </c>
      <c r="E302" s="2">
        <v>12.0</v>
      </c>
      <c r="CE302" s="2">
        <v>0.02</v>
      </c>
      <c r="CJ302" s="2">
        <v>0.01</v>
      </c>
      <c r="CM302" s="2">
        <v>0.04</v>
      </c>
      <c r="CR302" s="2">
        <v>0.93</v>
      </c>
      <c r="CU302" s="19"/>
      <c r="CV302" s="19">
        <f t="shared" si="1"/>
        <v>1</v>
      </c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</row>
    <row r="303">
      <c r="A303" s="9">
        <v>45346.0</v>
      </c>
      <c r="B303" s="2" t="s">
        <v>237</v>
      </c>
      <c r="C303" s="2" t="s">
        <v>129</v>
      </c>
      <c r="D303" s="2">
        <v>1.0</v>
      </c>
      <c r="E303" s="2">
        <v>1.0</v>
      </c>
      <c r="S303" s="2"/>
      <c r="T303" s="2"/>
      <c r="AC303" s="2"/>
      <c r="AK303" s="2"/>
      <c r="AL303" s="2">
        <v>0.6</v>
      </c>
      <c r="AM303" s="2"/>
      <c r="AQ303" s="2"/>
      <c r="AU303" s="2"/>
      <c r="AX303" s="2">
        <v>0.2</v>
      </c>
      <c r="BD303" s="2"/>
      <c r="BE303" s="2"/>
      <c r="BN303" s="2">
        <v>0.05</v>
      </c>
      <c r="BO303" s="2"/>
      <c r="BT303" s="2">
        <v>0.03</v>
      </c>
      <c r="CR303" s="2">
        <v>0.12</v>
      </c>
      <c r="CU303" s="19"/>
      <c r="CV303" s="19">
        <f t="shared" si="1"/>
        <v>1</v>
      </c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</row>
    <row r="304">
      <c r="A304" s="9">
        <v>45346.0</v>
      </c>
      <c r="B304" s="2" t="s">
        <v>237</v>
      </c>
      <c r="C304" s="2" t="s">
        <v>129</v>
      </c>
      <c r="D304" s="2">
        <v>1.0</v>
      </c>
      <c r="E304" s="2">
        <v>2.0</v>
      </c>
      <c r="S304" s="2"/>
      <c r="T304" s="2">
        <v>0.05</v>
      </c>
      <c r="U304" s="2">
        <v>0.02</v>
      </c>
      <c r="AC304" s="2"/>
      <c r="AK304" s="2"/>
      <c r="AL304" s="2">
        <v>0.1</v>
      </c>
      <c r="AM304" s="2"/>
      <c r="AQ304" s="2"/>
      <c r="AU304" s="2"/>
      <c r="AX304" s="2">
        <v>0.2</v>
      </c>
      <c r="BD304" s="2"/>
      <c r="BE304" s="2"/>
      <c r="BF304" s="2">
        <v>0.01</v>
      </c>
      <c r="BN304" s="2">
        <v>0.5</v>
      </c>
      <c r="BO304" s="2"/>
      <c r="BT304" s="2"/>
      <c r="CR304" s="2">
        <v>0.12</v>
      </c>
      <c r="CU304" s="19"/>
      <c r="CV304" s="19">
        <f t="shared" si="1"/>
        <v>1</v>
      </c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</row>
    <row r="305">
      <c r="A305" s="9">
        <v>45346.0</v>
      </c>
      <c r="B305" s="2" t="s">
        <v>237</v>
      </c>
      <c r="C305" s="2" t="s">
        <v>129</v>
      </c>
      <c r="D305" s="2">
        <v>1.0</v>
      </c>
      <c r="E305" s="2">
        <v>3.0</v>
      </c>
      <c r="S305" s="2"/>
      <c r="T305" s="2"/>
      <c r="AC305" s="2"/>
      <c r="AK305" s="2"/>
      <c r="AQ305" s="2"/>
      <c r="AU305" s="2"/>
      <c r="AX305" s="2">
        <v>0.05</v>
      </c>
      <c r="BD305" s="2"/>
      <c r="BE305" s="2"/>
      <c r="BN305" s="2">
        <v>0.5</v>
      </c>
      <c r="BO305" s="2">
        <v>0.3</v>
      </c>
      <c r="BT305" s="2"/>
      <c r="CR305" s="2">
        <v>0.15</v>
      </c>
      <c r="CU305" s="19"/>
      <c r="CV305" s="19">
        <f t="shared" si="1"/>
        <v>1</v>
      </c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</row>
    <row r="306">
      <c r="A306" s="9">
        <v>45346.0</v>
      </c>
      <c r="B306" s="2" t="s">
        <v>237</v>
      </c>
      <c r="C306" s="2" t="s">
        <v>129</v>
      </c>
      <c r="D306" s="2">
        <v>1.0</v>
      </c>
      <c r="E306" s="2">
        <v>4.0</v>
      </c>
      <c r="S306" s="2"/>
      <c r="T306" s="2"/>
      <c r="U306" s="2">
        <v>0.05</v>
      </c>
      <c r="AC306" s="2"/>
      <c r="AK306" s="2"/>
      <c r="AQ306" s="2"/>
      <c r="AU306" s="2"/>
      <c r="AX306" s="2"/>
      <c r="BD306" s="2"/>
      <c r="BE306" s="2">
        <v>0.1</v>
      </c>
      <c r="BH306" s="2">
        <v>0.25</v>
      </c>
      <c r="BN306" s="2">
        <v>0.2</v>
      </c>
      <c r="BO306" s="2">
        <v>0.2</v>
      </c>
      <c r="BT306" s="2"/>
      <c r="CR306" s="2">
        <v>0.2</v>
      </c>
      <c r="CU306" s="19"/>
      <c r="CV306" s="19">
        <f t="shared" si="1"/>
        <v>1</v>
      </c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</row>
    <row r="307">
      <c r="A307" s="9">
        <v>45346.0</v>
      </c>
      <c r="B307" s="2" t="s">
        <v>237</v>
      </c>
      <c r="C307" s="2" t="s">
        <v>129</v>
      </c>
      <c r="D307" s="2">
        <v>1.0</v>
      </c>
      <c r="E307" s="2">
        <v>5.0</v>
      </c>
      <c r="S307" s="2">
        <v>0.01</v>
      </c>
      <c r="T307" s="2"/>
      <c r="AC307" s="2"/>
      <c r="AK307" s="2">
        <v>0.02</v>
      </c>
      <c r="AQ307" s="2"/>
      <c r="AU307" s="2"/>
      <c r="AX307" s="2"/>
      <c r="BD307" s="2"/>
      <c r="BE307" s="2">
        <v>0.05</v>
      </c>
      <c r="BH307" s="2">
        <v>0.4</v>
      </c>
      <c r="BN307" s="2">
        <v>0.3</v>
      </c>
      <c r="BO307" s="2"/>
      <c r="BT307" s="2"/>
      <c r="CR307" s="2">
        <v>0.22</v>
      </c>
      <c r="CU307" s="19"/>
      <c r="CV307" s="19">
        <f t="shared" si="1"/>
        <v>1</v>
      </c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</row>
    <row r="308">
      <c r="A308" s="9">
        <v>45346.0</v>
      </c>
      <c r="B308" s="2" t="s">
        <v>237</v>
      </c>
      <c r="C308" s="2" t="s">
        <v>129</v>
      </c>
      <c r="D308" s="2">
        <v>1.0</v>
      </c>
      <c r="E308" s="2">
        <v>6.0</v>
      </c>
      <c r="O308" s="2">
        <v>0.1</v>
      </c>
      <c r="S308" s="2"/>
      <c r="T308" s="2">
        <v>0.01</v>
      </c>
      <c r="AC308" s="2"/>
      <c r="AK308" s="2"/>
      <c r="AQ308" s="2"/>
      <c r="AU308" s="2"/>
      <c r="AV308" s="2">
        <v>0.2</v>
      </c>
      <c r="AX308" s="2"/>
      <c r="BD308" s="2"/>
      <c r="BE308" s="2"/>
      <c r="BH308" s="2">
        <v>0.4</v>
      </c>
      <c r="BN308" s="2"/>
      <c r="BO308" s="2"/>
      <c r="BT308" s="2"/>
      <c r="CM308" s="2">
        <v>0.29</v>
      </c>
      <c r="CR308" s="2"/>
      <c r="CU308" s="19"/>
      <c r="CV308" s="19">
        <f t="shared" si="1"/>
        <v>1</v>
      </c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</row>
    <row r="309">
      <c r="A309" s="9">
        <v>45346.0</v>
      </c>
      <c r="B309" s="2" t="s">
        <v>237</v>
      </c>
      <c r="C309" s="2" t="s">
        <v>129</v>
      </c>
      <c r="D309" s="2">
        <v>1.0</v>
      </c>
      <c r="E309" s="2">
        <v>7.0</v>
      </c>
      <c r="O309" s="2">
        <v>0.01</v>
      </c>
      <c r="S309" s="2"/>
      <c r="T309" s="2"/>
      <c r="AC309" s="2"/>
      <c r="AH309" s="2">
        <v>0.01</v>
      </c>
      <c r="AK309" s="2">
        <v>0.02</v>
      </c>
      <c r="AQ309" s="2"/>
      <c r="AU309" s="2">
        <v>0.2</v>
      </c>
      <c r="AX309" s="2"/>
      <c r="BD309" s="2"/>
      <c r="BE309" s="2"/>
      <c r="BH309" s="2">
        <v>0.15</v>
      </c>
      <c r="BN309" s="2">
        <v>0.3</v>
      </c>
      <c r="BO309" s="2"/>
      <c r="BT309" s="2"/>
      <c r="CM309" s="2">
        <v>0.2</v>
      </c>
      <c r="CR309" s="2">
        <v>0.11</v>
      </c>
      <c r="CU309" s="19"/>
      <c r="CV309" s="19">
        <f t="shared" si="1"/>
        <v>1</v>
      </c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</row>
    <row r="310">
      <c r="A310" s="9">
        <v>45346.0</v>
      </c>
      <c r="B310" s="2" t="s">
        <v>237</v>
      </c>
      <c r="C310" s="2" t="s">
        <v>129</v>
      </c>
      <c r="D310" s="2">
        <v>1.0</v>
      </c>
      <c r="E310" s="2">
        <v>8.0</v>
      </c>
      <c r="O310" s="2">
        <v>0.01</v>
      </c>
      <c r="S310" s="2"/>
      <c r="T310" s="2"/>
      <c r="AC310" s="2"/>
      <c r="AK310" s="2"/>
      <c r="AL310" s="2">
        <v>0.01</v>
      </c>
      <c r="AM310" s="2"/>
      <c r="AQ310" s="2">
        <v>0.01</v>
      </c>
      <c r="AU310" s="2">
        <v>0.93</v>
      </c>
      <c r="AX310" s="2"/>
      <c r="BD310" s="2"/>
      <c r="BE310" s="2"/>
      <c r="BF310" s="2">
        <v>0.01</v>
      </c>
      <c r="BN310" s="2"/>
      <c r="BO310" s="2"/>
      <c r="BT310" s="2"/>
      <c r="CM310" s="2">
        <v>0.03</v>
      </c>
      <c r="CR310" s="2"/>
      <c r="CU310" s="19"/>
      <c r="CV310" s="19">
        <f t="shared" si="1"/>
        <v>1</v>
      </c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</row>
    <row r="311">
      <c r="A311" s="9">
        <v>45346.0</v>
      </c>
      <c r="B311" s="2" t="s">
        <v>237</v>
      </c>
      <c r="C311" s="2" t="s">
        <v>129</v>
      </c>
      <c r="D311" s="2">
        <v>1.0</v>
      </c>
      <c r="E311" s="2">
        <v>9.0</v>
      </c>
      <c r="O311" s="2">
        <v>0.01</v>
      </c>
      <c r="S311" s="2"/>
      <c r="T311" s="2"/>
      <c r="AC311" s="2"/>
      <c r="AK311" s="2"/>
      <c r="AQ311" s="2"/>
      <c r="AU311" s="2">
        <v>0.9</v>
      </c>
      <c r="AX311" s="2"/>
      <c r="BD311" s="2"/>
      <c r="BE311" s="2"/>
      <c r="BH311" s="2">
        <v>0.05</v>
      </c>
      <c r="BN311" s="2"/>
      <c r="BO311" s="2"/>
      <c r="BT311" s="2"/>
      <c r="CR311" s="2">
        <v>0.04</v>
      </c>
      <c r="CU311" s="19"/>
      <c r="CV311" s="19">
        <f t="shared" si="1"/>
        <v>1</v>
      </c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</row>
    <row r="312">
      <c r="A312" s="9">
        <v>45346.0</v>
      </c>
      <c r="B312" s="2" t="s">
        <v>237</v>
      </c>
      <c r="C312" s="2" t="s">
        <v>129</v>
      </c>
      <c r="D312" s="2">
        <v>1.0</v>
      </c>
      <c r="E312" s="2">
        <v>10.0</v>
      </c>
      <c r="O312" s="2">
        <v>0.01</v>
      </c>
      <c r="S312" s="2"/>
      <c r="T312" s="2"/>
      <c r="AC312" s="2"/>
      <c r="AK312" s="2"/>
      <c r="AQ312" s="2"/>
      <c r="AU312" s="2"/>
      <c r="AX312" s="2"/>
      <c r="BC312" s="2">
        <v>0.2</v>
      </c>
      <c r="BD312" s="2"/>
      <c r="BE312" s="2"/>
      <c r="BN312" s="2"/>
      <c r="BO312" s="2"/>
      <c r="BT312" s="2">
        <v>0.6</v>
      </c>
      <c r="CE312" s="2">
        <v>0.15</v>
      </c>
      <c r="CR312" s="2">
        <v>0.04</v>
      </c>
      <c r="CU312" s="19"/>
      <c r="CV312" s="19">
        <f t="shared" si="1"/>
        <v>1</v>
      </c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</row>
    <row r="313">
      <c r="A313" s="9">
        <v>45346.0</v>
      </c>
      <c r="B313" s="2" t="s">
        <v>237</v>
      </c>
      <c r="C313" s="2" t="s">
        <v>129</v>
      </c>
      <c r="D313" s="2">
        <v>1.0</v>
      </c>
      <c r="E313" s="2">
        <v>11.0</v>
      </c>
      <c r="S313" s="2"/>
      <c r="T313" s="2"/>
      <c r="AC313" s="2"/>
      <c r="AK313" s="2"/>
      <c r="AQ313" s="2"/>
      <c r="AU313" s="2"/>
      <c r="AX313" s="2"/>
      <c r="BD313" s="2"/>
      <c r="BE313" s="2"/>
      <c r="BN313" s="2"/>
      <c r="BO313" s="2"/>
      <c r="BT313" s="2"/>
      <c r="CJ313" s="2">
        <v>0.03</v>
      </c>
      <c r="CR313" s="2">
        <v>0.97</v>
      </c>
      <c r="CU313" s="19"/>
      <c r="CV313" s="19">
        <f t="shared" si="1"/>
        <v>1</v>
      </c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</row>
    <row r="314">
      <c r="A314" s="9">
        <v>45347.0</v>
      </c>
      <c r="B314" s="2" t="s">
        <v>237</v>
      </c>
      <c r="C314" s="2" t="s">
        <v>97</v>
      </c>
      <c r="D314" s="2">
        <v>3.0</v>
      </c>
      <c r="E314" s="2">
        <v>2.0</v>
      </c>
      <c r="S314" s="2">
        <v>0.04</v>
      </c>
      <c r="T314" s="2">
        <v>0.04</v>
      </c>
      <c r="AC314" s="2">
        <v>0.03</v>
      </c>
      <c r="AK314" s="2">
        <v>0.01</v>
      </c>
      <c r="AQ314" s="2">
        <v>0.01</v>
      </c>
      <c r="AU314" s="2">
        <v>0.01</v>
      </c>
      <c r="AX314" s="2">
        <v>0.01</v>
      </c>
      <c r="BD314" s="2"/>
      <c r="BE314" s="2">
        <v>0.05</v>
      </c>
      <c r="BN314" s="2">
        <v>0.2</v>
      </c>
      <c r="BO314" s="2">
        <v>0.08</v>
      </c>
      <c r="BT314" s="2">
        <v>0.02</v>
      </c>
      <c r="CR314" s="2">
        <v>0.5</v>
      </c>
      <c r="CU314" s="19"/>
      <c r="CV314" s="19">
        <f t="shared" si="1"/>
        <v>1</v>
      </c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</row>
    <row r="315">
      <c r="A315" s="9">
        <v>45347.0</v>
      </c>
      <c r="B315" s="2" t="s">
        <v>237</v>
      </c>
      <c r="C315" s="2" t="s">
        <v>97</v>
      </c>
      <c r="D315" s="2">
        <v>3.0</v>
      </c>
      <c r="E315" s="2">
        <v>3.0</v>
      </c>
      <c r="AQ315" s="2">
        <v>0.01</v>
      </c>
      <c r="BD315" s="2"/>
      <c r="BE315" s="2">
        <v>0.01</v>
      </c>
      <c r="BF315" s="2">
        <v>0.01</v>
      </c>
      <c r="BH315" s="2">
        <v>0.1</v>
      </c>
      <c r="BN315" s="2">
        <v>0.78</v>
      </c>
      <c r="BT315" s="2">
        <v>0.02</v>
      </c>
      <c r="CN315" s="2">
        <v>0.03</v>
      </c>
      <c r="CR315" s="2">
        <v>0.04</v>
      </c>
      <c r="CU315" s="19"/>
      <c r="CV315" s="19">
        <f t="shared" si="1"/>
        <v>1</v>
      </c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</row>
    <row r="316">
      <c r="A316" s="9">
        <v>45347.0</v>
      </c>
      <c r="B316" s="2" t="s">
        <v>237</v>
      </c>
      <c r="C316" s="2" t="s">
        <v>97</v>
      </c>
      <c r="D316" s="2">
        <v>3.0</v>
      </c>
      <c r="E316" s="2">
        <v>4.0</v>
      </c>
      <c r="S316" s="2">
        <v>0.02</v>
      </c>
      <c r="AK316" s="2">
        <v>0.02</v>
      </c>
      <c r="AV316" s="2">
        <v>0.04</v>
      </c>
      <c r="BF316" s="2">
        <v>0.02</v>
      </c>
      <c r="BH316" s="2">
        <v>0.15</v>
      </c>
      <c r="BN316" s="2">
        <v>0.2</v>
      </c>
      <c r="BT316" s="2">
        <v>0.1</v>
      </c>
      <c r="CR316" s="2">
        <v>0.45</v>
      </c>
      <c r="CU316" s="19"/>
      <c r="CV316" s="19">
        <f t="shared" si="1"/>
        <v>1</v>
      </c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</row>
    <row r="317">
      <c r="A317" s="9">
        <v>45347.0</v>
      </c>
      <c r="B317" s="2" t="s">
        <v>237</v>
      </c>
      <c r="C317" s="2" t="s">
        <v>97</v>
      </c>
      <c r="D317" s="2">
        <v>3.0</v>
      </c>
      <c r="E317" s="2">
        <v>5.0</v>
      </c>
      <c r="S317" s="2">
        <v>0.04</v>
      </c>
      <c r="AK317" s="2">
        <v>0.01</v>
      </c>
      <c r="AQ317" s="2">
        <v>0.01</v>
      </c>
      <c r="BH317" s="2">
        <v>0.79</v>
      </c>
      <c r="BT317" s="2">
        <v>0.1</v>
      </c>
      <c r="CR317" s="2">
        <v>0.05</v>
      </c>
      <c r="CU317" s="19"/>
      <c r="CV317" s="19">
        <f t="shared" si="1"/>
        <v>1</v>
      </c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</row>
    <row r="318">
      <c r="A318" s="9">
        <v>45347.0</v>
      </c>
      <c r="B318" s="2" t="s">
        <v>237</v>
      </c>
      <c r="C318" s="2" t="s">
        <v>97</v>
      </c>
      <c r="D318" s="2">
        <v>3.0</v>
      </c>
      <c r="E318" s="2">
        <v>6.0</v>
      </c>
      <c r="O318" s="2">
        <v>0.02</v>
      </c>
      <c r="BC318" s="2">
        <v>0.02</v>
      </c>
      <c r="BF318" s="2">
        <v>0.02</v>
      </c>
      <c r="BH318" s="2">
        <v>0.35</v>
      </c>
      <c r="BN318" s="2">
        <v>0.03</v>
      </c>
      <c r="BT318" s="2">
        <v>0.56</v>
      </c>
      <c r="CU318" s="19"/>
      <c r="CV318" s="19">
        <f t="shared" si="1"/>
        <v>1</v>
      </c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</row>
    <row r="319">
      <c r="A319" s="9">
        <v>45347.0</v>
      </c>
      <c r="B319" s="2" t="s">
        <v>237</v>
      </c>
      <c r="C319" s="2" t="s">
        <v>97</v>
      </c>
      <c r="D319" s="2">
        <v>3.0</v>
      </c>
      <c r="E319" s="2">
        <v>7.0</v>
      </c>
      <c r="O319" s="2">
        <v>0.02</v>
      </c>
      <c r="AL319" s="2">
        <v>0.04</v>
      </c>
      <c r="AM319" s="2"/>
      <c r="BC319" s="2">
        <v>0.01</v>
      </c>
      <c r="BF319" s="2">
        <v>0.01</v>
      </c>
      <c r="BH319" s="2">
        <v>0.1</v>
      </c>
      <c r="BT319" s="2">
        <v>0.62</v>
      </c>
      <c r="CE319" s="2">
        <v>0.15</v>
      </c>
      <c r="CR319" s="2">
        <v>0.05</v>
      </c>
      <c r="CU319" s="19"/>
      <c r="CV319" s="19">
        <f t="shared" si="1"/>
        <v>1</v>
      </c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</row>
    <row r="320">
      <c r="A320" s="9">
        <v>45347.0</v>
      </c>
      <c r="B320" s="2" t="s">
        <v>237</v>
      </c>
      <c r="C320" s="2" t="s">
        <v>97</v>
      </c>
      <c r="D320" s="2">
        <v>3.0</v>
      </c>
      <c r="E320" s="2">
        <v>8.0</v>
      </c>
      <c r="BC320" s="2">
        <v>0.01</v>
      </c>
      <c r="BH320" s="2">
        <v>0.1</v>
      </c>
      <c r="BT320" s="2">
        <v>0.8</v>
      </c>
      <c r="CE320" s="2">
        <v>0.04</v>
      </c>
      <c r="CR320" s="2">
        <v>0.05</v>
      </c>
      <c r="CU320" s="19"/>
      <c r="CV320" s="19">
        <f t="shared" si="1"/>
        <v>1</v>
      </c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</row>
    <row r="321">
      <c r="A321" s="9">
        <v>45347.0</v>
      </c>
      <c r="B321" s="2" t="s">
        <v>237</v>
      </c>
      <c r="C321" s="2" t="s">
        <v>97</v>
      </c>
      <c r="D321" s="2">
        <v>3.0</v>
      </c>
      <c r="E321" s="2">
        <v>9.0</v>
      </c>
      <c r="BC321" s="2">
        <v>0.2</v>
      </c>
      <c r="CE321" s="2">
        <v>0.3</v>
      </c>
      <c r="CM321" s="2">
        <v>0.04</v>
      </c>
      <c r="CR321" s="2">
        <v>0.46</v>
      </c>
      <c r="CU321" s="19"/>
      <c r="CV321" s="19">
        <f t="shared" si="1"/>
        <v>1</v>
      </c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</row>
    <row r="322">
      <c r="A322" s="9">
        <v>45347.0</v>
      </c>
      <c r="B322" s="2" t="s">
        <v>237</v>
      </c>
      <c r="C322" s="2" t="s">
        <v>97</v>
      </c>
      <c r="D322" s="2">
        <v>3.0</v>
      </c>
      <c r="E322" s="2">
        <v>10.0</v>
      </c>
      <c r="BC322" s="2">
        <v>0.15</v>
      </c>
      <c r="CE322" s="2">
        <v>0.4</v>
      </c>
      <c r="CJ322" s="2">
        <v>0.04</v>
      </c>
      <c r="CR322" s="2">
        <v>0.41</v>
      </c>
      <c r="CU322" s="19"/>
      <c r="CV322" s="19">
        <f t="shared" si="1"/>
        <v>1</v>
      </c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</row>
    <row r="323">
      <c r="A323" s="9">
        <v>45347.0</v>
      </c>
      <c r="B323" s="2" t="s">
        <v>237</v>
      </c>
      <c r="C323" s="2" t="s">
        <v>97</v>
      </c>
      <c r="D323" s="2">
        <v>3.0</v>
      </c>
      <c r="E323" s="2">
        <v>11.0</v>
      </c>
      <c r="CE323" s="2">
        <v>0.1</v>
      </c>
      <c r="CJ323" s="2">
        <v>0.02</v>
      </c>
      <c r="CM323" s="2">
        <v>0.05</v>
      </c>
      <c r="CR323" s="2">
        <v>0.83</v>
      </c>
      <c r="CU323" s="19"/>
      <c r="CV323" s="19">
        <f t="shared" si="1"/>
        <v>1</v>
      </c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</row>
    <row r="324">
      <c r="A324" s="9">
        <v>45347.0</v>
      </c>
      <c r="B324" s="2" t="s">
        <v>237</v>
      </c>
      <c r="C324" s="2" t="s">
        <v>117</v>
      </c>
      <c r="D324" s="2">
        <v>4.0</v>
      </c>
      <c r="E324" s="2">
        <v>3.0</v>
      </c>
      <c r="S324" s="2">
        <v>0.03</v>
      </c>
      <c r="AC324" s="2">
        <v>0.01</v>
      </c>
      <c r="AQ324" s="2">
        <v>0.01</v>
      </c>
      <c r="AV324" s="2">
        <v>0.01</v>
      </c>
      <c r="AX324" s="2">
        <v>0.02</v>
      </c>
      <c r="BD324" s="2"/>
      <c r="BE324" s="2">
        <v>0.12</v>
      </c>
      <c r="BH324" s="2">
        <v>0.05</v>
      </c>
      <c r="BT324" s="2">
        <v>0.4</v>
      </c>
      <c r="CE324" s="2">
        <v>0.02</v>
      </c>
      <c r="CN324" s="2">
        <v>0.05</v>
      </c>
      <c r="CR324" s="2">
        <v>0.28</v>
      </c>
      <c r="CU324" s="19"/>
      <c r="CV324" s="19">
        <f t="shared" si="1"/>
        <v>1</v>
      </c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</row>
    <row r="325">
      <c r="A325" s="33">
        <v>45347.0</v>
      </c>
      <c r="B325" s="2" t="s">
        <v>237</v>
      </c>
      <c r="C325" s="2" t="s">
        <v>117</v>
      </c>
      <c r="D325" s="2">
        <v>4.0</v>
      </c>
      <c r="E325" s="2">
        <v>4.0</v>
      </c>
      <c r="O325" s="2">
        <v>0.01</v>
      </c>
      <c r="S325" s="2">
        <v>0.03</v>
      </c>
      <c r="AQ325" s="2">
        <v>0.01</v>
      </c>
      <c r="BC325" s="2">
        <v>0.01</v>
      </c>
      <c r="BH325" s="2">
        <v>0.86</v>
      </c>
      <c r="BN325" s="2">
        <v>0.03</v>
      </c>
      <c r="BT325" s="2">
        <v>0.05</v>
      </c>
      <c r="CU325" s="19"/>
      <c r="CV325" s="19">
        <f t="shared" si="1"/>
        <v>1</v>
      </c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</row>
    <row r="326">
      <c r="A326" s="33">
        <v>45347.0</v>
      </c>
      <c r="B326" s="2" t="s">
        <v>237</v>
      </c>
      <c r="C326" s="2" t="s">
        <v>117</v>
      </c>
      <c r="D326" s="2">
        <v>4.0</v>
      </c>
      <c r="E326" s="2">
        <v>5.0</v>
      </c>
      <c r="O326" s="2">
        <v>0.01</v>
      </c>
      <c r="S326" s="2">
        <v>0.02</v>
      </c>
      <c r="AQ326" s="2">
        <v>0.01</v>
      </c>
      <c r="BD326" s="2"/>
      <c r="BE326" s="2">
        <v>0.02</v>
      </c>
      <c r="BF326" s="2">
        <v>0.01</v>
      </c>
      <c r="BH326" s="2">
        <v>0.32</v>
      </c>
      <c r="BN326" s="2">
        <v>0.1</v>
      </c>
      <c r="BO326" s="2">
        <v>0.03</v>
      </c>
      <c r="BT326" s="2">
        <v>0.39</v>
      </c>
      <c r="CM326" s="2">
        <v>0.02</v>
      </c>
      <c r="CN326" s="2">
        <v>0.05</v>
      </c>
      <c r="CR326" s="2">
        <v>0.02</v>
      </c>
      <c r="CU326" s="19"/>
      <c r="CV326" s="19">
        <f t="shared" si="1"/>
        <v>1</v>
      </c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</row>
    <row r="327">
      <c r="A327" s="33">
        <v>45347.0</v>
      </c>
      <c r="B327" s="2" t="s">
        <v>237</v>
      </c>
      <c r="C327" s="2" t="s">
        <v>117</v>
      </c>
      <c r="D327" s="2">
        <v>4.0</v>
      </c>
      <c r="E327" s="2">
        <v>6.0</v>
      </c>
      <c r="O327" s="2">
        <v>0.01</v>
      </c>
      <c r="S327" s="2">
        <v>0.01</v>
      </c>
      <c r="U327" s="2">
        <v>0.04</v>
      </c>
      <c r="AQ327" s="2">
        <v>0.03</v>
      </c>
      <c r="AU327" s="2">
        <v>0.01</v>
      </c>
      <c r="BF327" s="2">
        <v>0.01</v>
      </c>
      <c r="BH327" s="2">
        <v>0.25</v>
      </c>
      <c r="BN327" s="2">
        <v>0.02</v>
      </c>
      <c r="BT327" s="2">
        <v>0.62</v>
      </c>
      <c r="CU327" s="19"/>
      <c r="CV327" s="19">
        <f t="shared" si="1"/>
        <v>1</v>
      </c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</row>
    <row r="328">
      <c r="A328" s="33">
        <v>45347.0</v>
      </c>
      <c r="B328" s="2" t="s">
        <v>237</v>
      </c>
      <c r="C328" s="2" t="s">
        <v>117</v>
      </c>
      <c r="D328" s="2">
        <v>4.0</v>
      </c>
      <c r="E328" s="2">
        <v>7.0</v>
      </c>
      <c r="O328" s="2">
        <v>0.01</v>
      </c>
      <c r="AV328" s="2">
        <v>0.01</v>
      </c>
      <c r="BF328" s="2">
        <v>0.01</v>
      </c>
      <c r="BH328" s="2">
        <v>0.18</v>
      </c>
      <c r="BT328" s="2">
        <v>0.79</v>
      </c>
      <c r="CU328" s="19"/>
      <c r="CV328" s="19">
        <f t="shared" si="1"/>
        <v>1</v>
      </c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</row>
    <row r="329">
      <c r="A329" s="33">
        <v>45347.0</v>
      </c>
      <c r="B329" s="2" t="s">
        <v>237</v>
      </c>
      <c r="C329" s="2" t="s">
        <v>117</v>
      </c>
      <c r="D329" s="2">
        <v>4.0</v>
      </c>
      <c r="E329" s="2">
        <v>8.0</v>
      </c>
      <c r="H329" s="2">
        <v>0.01</v>
      </c>
      <c r="O329" s="2">
        <v>0.01</v>
      </c>
      <c r="AU329" s="2">
        <v>0.01</v>
      </c>
      <c r="AV329" s="2">
        <v>0.01</v>
      </c>
      <c r="AX329" s="2">
        <v>0.01</v>
      </c>
      <c r="BH329" s="2">
        <v>0.02</v>
      </c>
      <c r="BT329" s="2">
        <v>0.93</v>
      </c>
      <c r="CU329" s="19"/>
      <c r="CV329" s="19">
        <f t="shared" si="1"/>
        <v>1</v>
      </c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</row>
    <row r="330">
      <c r="A330" s="33">
        <v>45347.0</v>
      </c>
      <c r="B330" s="2" t="s">
        <v>237</v>
      </c>
      <c r="C330" s="2" t="s">
        <v>117</v>
      </c>
      <c r="D330" s="2">
        <v>4.0</v>
      </c>
      <c r="E330" s="2">
        <v>9.0</v>
      </c>
      <c r="O330" s="2">
        <v>0.01</v>
      </c>
      <c r="AV330" s="2">
        <v>0.01</v>
      </c>
      <c r="BC330" s="2">
        <v>0.01</v>
      </c>
      <c r="BH330" s="2">
        <v>0.01</v>
      </c>
      <c r="BT330" s="2">
        <v>0.7</v>
      </c>
      <c r="CE330" s="2">
        <v>0.2</v>
      </c>
      <c r="CM330" s="2">
        <v>0.04</v>
      </c>
      <c r="CR330" s="2">
        <v>0.02</v>
      </c>
      <c r="CU330" s="19"/>
      <c r="CV330" s="19">
        <f t="shared" si="1"/>
        <v>1</v>
      </c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</row>
    <row r="331">
      <c r="A331" s="33">
        <v>45347.0</v>
      </c>
      <c r="B331" s="2" t="s">
        <v>237</v>
      </c>
      <c r="C331" s="2" t="s">
        <v>117</v>
      </c>
      <c r="D331" s="2">
        <v>4.0</v>
      </c>
      <c r="E331" s="2">
        <v>10.0</v>
      </c>
      <c r="BT331" s="2">
        <v>0.02</v>
      </c>
      <c r="CE331" s="2">
        <v>0.44</v>
      </c>
      <c r="CM331" s="2">
        <v>0.04</v>
      </c>
      <c r="CN331" s="2">
        <v>0.47</v>
      </c>
      <c r="CR331" s="2">
        <v>0.03</v>
      </c>
      <c r="CU331" s="19"/>
      <c r="CV331" s="19">
        <f t="shared" si="1"/>
        <v>1</v>
      </c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</row>
    <row r="332">
      <c r="A332" s="33">
        <v>45347.0</v>
      </c>
      <c r="B332" s="2" t="s">
        <v>237</v>
      </c>
      <c r="C332" s="2" t="s">
        <v>117</v>
      </c>
      <c r="D332" s="2">
        <v>4.0</v>
      </c>
      <c r="E332" s="2">
        <v>11.0</v>
      </c>
      <c r="CE332" s="2">
        <v>0.03</v>
      </c>
      <c r="CJ332" s="2">
        <v>0.02</v>
      </c>
      <c r="CR332" s="2">
        <v>0.95</v>
      </c>
      <c r="CU332" s="19"/>
      <c r="CV332" s="19">
        <f t="shared" si="1"/>
        <v>1</v>
      </c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</row>
    <row r="333">
      <c r="A333" s="33">
        <v>45347.0</v>
      </c>
      <c r="B333" s="2" t="s">
        <v>237</v>
      </c>
      <c r="C333" s="2" t="s">
        <v>117</v>
      </c>
      <c r="D333" s="2">
        <v>4.0</v>
      </c>
      <c r="E333" s="2">
        <v>12.0</v>
      </c>
      <c r="CE333" s="2">
        <v>0.05</v>
      </c>
      <c r="CJ333" s="2">
        <v>0.01</v>
      </c>
      <c r="CR333" s="2">
        <v>0.94</v>
      </c>
      <c r="CU333" s="19"/>
      <c r="CV333" s="19">
        <f t="shared" si="1"/>
        <v>1</v>
      </c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</row>
    <row r="334">
      <c r="A334" s="9">
        <v>45346.0</v>
      </c>
      <c r="B334" s="2" t="s">
        <v>264</v>
      </c>
      <c r="C334" s="2" t="s">
        <v>199</v>
      </c>
      <c r="D334" s="2">
        <v>1.0</v>
      </c>
      <c r="E334" s="2">
        <v>40.0</v>
      </c>
      <c r="CM334" s="2">
        <v>0.25</v>
      </c>
      <c r="CP334" s="2">
        <v>0.5</v>
      </c>
      <c r="CR334" s="2">
        <v>0.25</v>
      </c>
      <c r="CU334" s="19"/>
      <c r="CV334" s="19">
        <f t="shared" si="1"/>
        <v>1</v>
      </c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</row>
    <row r="335">
      <c r="A335" s="9">
        <v>45346.0</v>
      </c>
      <c r="B335" s="2" t="s">
        <v>264</v>
      </c>
      <c r="C335" s="2" t="s">
        <v>199</v>
      </c>
      <c r="D335" s="2">
        <v>1.0</v>
      </c>
      <c r="E335" s="2">
        <v>35.0</v>
      </c>
      <c r="I335" s="2">
        <v>0.15</v>
      </c>
      <c r="S335" s="2">
        <v>0.1</v>
      </c>
      <c r="AK335" s="2">
        <v>0.05</v>
      </c>
      <c r="CM335" s="2">
        <v>0.5</v>
      </c>
      <c r="CR335" s="2">
        <v>0.2</v>
      </c>
      <c r="CU335" s="19"/>
      <c r="CV335" s="19">
        <f t="shared" si="1"/>
        <v>1</v>
      </c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</row>
    <row r="336">
      <c r="A336" s="9">
        <v>45346.0</v>
      </c>
      <c r="B336" s="2" t="s">
        <v>264</v>
      </c>
      <c r="C336" s="2" t="s">
        <v>199</v>
      </c>
      <c r="D336" s="2">
        <v>1.0</v>
      </c>
      <c r="E336" s="2">
        <v>30.0</v>
      </c>
      <c r="I336" s="2">
        <v>0.15</v>
      </c>
      <c r="S336" s="2">
        <v>0.2</v>
      </c>
      <c r="AK336" s="2">
        <v>0.1</v>
      </c>
      <c r="AS336" s="2">
        <v>0.1</v>
      </c>
      <c r="AT336" s="2"/>
      <c r="BL336" s="2">
        <v>0.05</v>
      </c>
      <c r="CM336" s="2">
        <v>0.4</v>
      </c>
      <c r="CU336" s="19"/>
      <c r="CV336" s="19">
        <f t="shared" si="1"/>
        <v>1</v>
      </c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</row>
    <row r="337">
      <c r="A337" s="9">
        <v>45346.0</v>
      </c>
      <c r="B337" s="2" t="s">
        <v>264</v>
      </c>
      <c r="C337" s="2" t="s">
        <v>199</v>
      </c>
      <c r="D337" s="2">
        <v>1.0</v>
      </c>
      <c r="E337" s="2">
        <v>25.0</v>
      </c>
      <c r="I337" s="2">
        <v>0.1</v>
      </c>
      <c r="S337" s="2">
        <v>0.15</v>
      </c>
      <c r="AK337" s="2">
        <v>0.2</v>
      </c>
      <c r="AP337" s="2">
        <v>0.05</v>
      </c>
      <c r="AS337" s="2">
        <v>0.05</v>
      </c>
      <c r="AT337" s="2"/>
      <c r="BH337" s="2">
        <v>0.2</v>
      </c>
      <c r="CM337" s="2">
        <v>0.25</v>
      </c>
      <c r="CR337" s="2">
        <v>0.1</v>
      </c>
      <c r="CU337" s="19"/>
      <c r="CV337" s="19">
        <f t="shared" si="1"/>
        <v>1.1</v>
      </c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</row>
    <row r="338">
      <c r="A338" s="9">
        <v>45346.0</v>
      </c>
      <c r="B338" s="2" t="s">
        <v>264</v>
      </c>
      <c r="C338" s="2" t="s">
        <v>199</v>
      </c>
      <c r="D338" s="2">
        <v>1.0</v>
      </c>
      <c r="E338" s="2">
        <v>20.0</v>
      </c>
      <c r="I338" s="2">
        <v>0.15</v>
      </c>
      <c r="S338" s="2">
        <v>0.15</v>
      </c>
      <c r="BH338" s="2">
        <v>0.15</v>
      </c>
      <c r="BT338" s="2">
        <v>0.15</v>
      </c>
      <c r="CP338" s="2">
        <v>0.15</v>
      </c>
      <c r="CQ338" s="2">
        <v>0.2</v>
      </c>
      <c r="CR338" s="2">
        <v>0.05</v>
      </c>
      <c r="CU338" s="19"/>
      <c r="CV338" s="19">
        <f t="shared" si="1"/>
        <v>1</v>
      </c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</row>
    <row r="339">
      <c r="A339" s="9">
        <v>45346.0</v>
      </c>
      <c r="B339" s="2" t="s">
        <v>264</v>
      </c>
      <c r="C339" s="2" t="s">
        <v>199</v>
      </c>
      <c r="D339" s="2">
        <v>1.0</v>
      </c>
      <c r="E339" s="2">
        <v>15.0</v>
      </c>
      <c r="I339" s="2">
        <v>0.05</v>
      </c>
      <c r="S339" s="2">
        <v>0.2</v>
      </c>
      <c r="BH339" s="2">
        <v>0.05</v>
      </c>
      <c r="BP339" s="2">
        <v>0.05</v>
      </c>
      <c r="BT339" s="2">
        <v>0.2</v>
      </c>
      <c r="CM339" s="2">
        <v>0.3</v>
      </c>
      <c r="CP339" s="2">
        <v>0.15</v>
      </c>
      <c r="CU339" s="19"/>
      <c r="CV339" s="19">
        <f t="shared" si="1"/>
        <v>1</v>
      </c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</row>
    <row r="340">
      <c r="A340" s="9">
        <v>45346.0</v>
      </c>
      <c r="B340" s="2" t="s">
        <v>264</v>
      </c>
      <c r="C340" s="2" t="s">
        <v>199</v>
      </c>
      <c r="D340" s="2">
        <v>1.0</v>
      </c>
      <c r="E340" s="2">
        <v>10.0</v>
      </c>
      <c r="I340" s="2">
        <v>0.1</v>
      </c>
      <c r="S340" s="2">
        <v>0.15</v>
      </c>
      <c r="BF340" s="2">
        <v>0.05</v>
      </c>
      <c r="BH340" s="2">
        <v>0.25</v>
      </c>
      <c r="BT340" s="2">
        <v>0.35</v>
      </c>
      <c r="CS340" s="2">
        <v>0.1</v>
      </c>
      <c r="CU340" s="19"/>
      <c r="CV340" s="19">
        <f t="shared" si="1"/>
        <v>1</v>
      </c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</row>
    <row r="341">
      <c r="A341" s="9">
        <v>45346.0</v>
      </c>
      <c r="B341" s="2" t="s">
        <v>264</v>
      </c>
      <c r="C341" s="2" t="s">
        <v>199</v>
      </c>
      <c r="D341" s="2">
        <v>1.0</v>
      </c>
      <c r="E341" s="2">
        <v>5.0</v>
      </c>
      <c r="I341" s="2">
        <v>0.05</v>
      </c>
      <c r="S341" s="2">
        <v>0.1</v>
      </c>
      <c r="AM341" s="2">
        <v>0.1</v>
      </c>
      <c r="AS341" s="2">
        <v>0.1</v>
      </c>
      <c r="AT341" s="2"/>
      <c r="BH341" s="2">
        <v>0.55</v>
      </c>
      <c r="BT341" s="2">
        <v>0.05</v>
      </c>
      <c r="CS341" s="2">
        <v>0.05</v>
      </c>
      <c r="CU341" s="19"/>
      <c r="CV341" s="19">
        <f t="shared" si="1"/>
        <v>1</v>
      </c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</row>
    <row r="342">
      <c r="A342" s="9">
        <v>45346.0</v>
      </c>
      <c r="B342" s="2" t="s">
        <v>264</v>
      </c>
      <c r="C342" s="2" t="s">
        <v>199</v>
      </c>
      <c r="D342" s="2">
        <v>1.0</v>
      </c>
      <c r="E342" s="2">
        <v>0.0</v>
      </c>
      <c r="AV342" s="2">
        <v>0.05</v>
      </c>
      <c r="BH342" s="2">
        <v>0.65</v>
      </c>
      <c r="BT342" s="2">
        <v>0.15</v>
      </c>
      <c r="CQ342" s="2">
        <v>0.15</v>
      </c>
      <c r="CU342" s="19"/>
      <c r="CV342" s="19">
        <f t="shared" si="1"/>
        <v>1</v>
      </c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</row>
    <row r="343">
      <c r="A343" s="9">
        <v>45346.0</v>
      </c>
      <c r="B343" s="2" t="s">
        <v>264</v>
      </c>
      <c r="C343" s="2" t="s">
        <v>199</v>
      </c>
      <c r="D343" s="2">
        <v>2.0</v>
      </c>
      <c r="E343" s="2">
        <v>40.0</v>
      </c>
      <c r="G343" s="2">
        <v>0.01</v>
      </c>
      <c r="BB343" s="2">
        <v>0.0556</v>
      </c>
      <c r="BF343" s="2">
        <v>0.01</v>
      </c>
      <c r="BH343" s="2">
        <v>0.01</v>
      </c>
      <c r="CM343" s="2">
        <v>0.64</v>
      </c>
      <c r="CP343" s="2">
        <v>0.0556</v>
      </c>
      <c r="CR343" s="2">
        <v>0.222</v>
      </c>
      <c r="CU343" s="19"/>
      <c r="CV343" s="19">
        <f t="shared" si="1"/>
        <v>1.0032</v>
      </c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</row>
    <row r="344">
      <c r="A344" s="9">
        <v>45346.0</v>
      </c>
      <c r="B344" s="2" t="s">
        <v>264</v>
      </c>
      <c r="C344" s="2" t="s">
        <v>199</v>
      </c>
      <c r="D344" s="2">
        <v>2.0</v>
      </c>
      <c r="E344" s="2">
        <v>35.0</v>
      </c>
      <c r="AS344" s="2">
        <v>0.0833</v>
      </c>
      <c r="AT344" s="2"/>
      <c r="AU344" s="2">
        <v>0.0833</v>
      </c>
      <c r="BF344" s="2">
        <v>0.01</v>
      </c>
      <c r="BH344" s="2">
        <v>0.01</v>
      </c>
      <c r="BT344" s="2">
        <v>0.0556</v>
      </c>
      <c r="CM344" s="2">
        <v>0.361</v>
      </c>
      <c r="CP344" s="2">
        <v>0.0278</v>
      </c>
      <c r="CR344" s="2">
        <v>0.389</v>
      </c>
      <c r="CU344" s="19"/>
      <c r="CV344" s="19">
        <f t="shared" si="1"/>
        <v>1.02</v>
      </c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</row>
    <row r="345">
      <c r="A345" s="9">
        <v>45346.0</v>
      </c>
      <c r="B345" s="2" t="s">
        <v>264</v>
      </c>
      <c r="C345" s="2" t="s">
        <v>199</v>
      </c>
      <c r="D345" s="2">
        <v>2.0</v>
      </c>
      <c r="E345" s="2">
        <v>30.0</v>
      </c>
      <c r="F345" s="2">
        <v>0.01</v>
      </c>
      <c r="G345" s="2">
        <v>0.01</v>
      </c>
      <c r="I345" s="2">
        <v>0.01</v>
      </c>
      <c r="O345" s="2">
        <v>0.01</v>
      </c>
      <c r="AS345" s="2">
        <f>7/36</f>
        <v>0.1944444444</v>
      </c>
      <c r="AT345" s="2"/>
      <c r="BB345" s="2">
        <v>0.02</v>
      </c>
      <c r="BF345" s="2">
        <v>0.01</v>
      </c>
      <c r="BH345" s="2">
        <v>0.01</v>
      </c>
      <c r="BT345" s="2">
        <f>26/36</f>
        <v>0.7222222222</v>
      </c>
      <c r="CP345" s="2">
        <f>2/36</f>
        <v>0.05555555556</v>
      </c>
      <c r="CR345" s="2">
        <f>1/36</f>
        <v>0.02777777778</v>
      </c>
      <c r="CU345" s="19"/>
      <c r="CV345" s="19">
        <f t="shared" si="1"/>
        <v>1.08</v>
      </c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</row>
    <row r="346">
      <c r="A346" s="9">
        <v>45346.0</v>
      </c>
      <c r="B346" s="2" t="s">
        <v>264</v>
      </c>
      <c r="C346" s="2" t="s">
        <v>199</v>
      </c>
      <c r="D346" s="2">
        <v>2.0</v>
      </c>
      <c r="E346" s="2">
        <v>25.0</v>
      </c>
      <c r="F346" s="2">
        <v>0.01</v>
      </c>
      <c r="I346" s="2">
        <v>0.01</v>
      </c>
      <c r="O346" s="2">
        <v>0.01</v>
      </c>
      <c r="AJ346" s="2">
        <v>0.01</v>
      </c>
      <c r="AT346" s="2">
        <v>0.01</v>
      </c>
      <c r="AU346" s="2">
        <v>0.0278</v>
      </c>
      <c r="BB346" s="2">
        <v>0.01</v>
      </c>
      <c r="BC346" s="2">
        <v>0.111</v>
      </c>
      <c r="BF346" s="2">
        <v>0.01</v>
      </c>
      <c r="BH346" s="2">
        <v>0.0556</v>
      </c>
      <c r="BT346" s="2">
        <v>0.49</v>
      </c>
      <c r="CM346" s="2">
        <v>0.111</v>
      </c>
      <c r="CP346" s="2">
        <v>0.111</v>
      </c>
      <c r="CR346" s="2">
        <v>0.0278</v>
      </c>
      <c r="CU346" s="19"/>
      <c r="CV346" s="19">
        <f t="shared" si="1"/>
        <v>1.0042</v>
      </c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</row>
    <row r="347">
      <c r="A347" s="9">
        <v>45346.0</v>
      </c>
      <c r="B347" s="2" t="s">
        <v>264</v>
      </c>
      <c r="C347" s="2" t="s">
        <v>199</v>
      </c>
      <c r="D347" s="2">
        <v>2.0</v>
      </c>
      <c r="E347" s="2">
        <v>20.0</v>
      </c>
      <c r="O347" s="2">
        <v>0.01</v>
      </c>
      <c r="S347" s="2">
        <v>0.0278</v>
      </c>
      <c r="AJ347" s="2">
        <v>0.01</v>
      </c>
      <c r="AS347" s="2">
        <v>0.0278</v>
      </c>
      <c r="AT347" s="2"/>
      <c r="AU347" s="2">
        <v>0.0833</v>
      </c>
      <c r="BB347" s="2">
        <v>0.0278</v>
      </c>
      <c r="BF347" s="2">
        <v>0.01</v>
      </c>
      <c r="BH347" s="2">
        <v>0.194</v>
      </c>
      <c r="BT347" s="2">
        <v>0.0556</v>
      </c>
      <c r="CM347" s="2">
        <v>0.0556</v>
      </c>
      <c r="CP347" s="2">
        <v>0.167</v>
      </c>
      <c r="CR347" s="2">
        <v>0.33</v>
      </c>
      <c r="CU347" s="19"/>
      <c r="CV347" s="19">
        <f t="shared" si="1"/>
        <v>0.9989</v>
      </c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</row>
    <row r="348">
      <c r="A348" s="9">
        <v>45346.0</v>
      </c>
      <c r="B348" s="2" t="s">
        <v>264</v>
      </c>
      <c r="C348" s="2" t="s">
        <v>199</v>
      </c>
      <c r="D348" s="2">
        <v>2.0</v>
      </c>
      <c r="E348" s="2">
        <v>15.0</v>
      </c>
      <c r="G348" s="2">
        <v>0.01</v>
      </c>
      <c r="O348" s="2">
        <v>0.01</v>
      </c>
      <c r="S348" s="2">
        <v>0.0278</v>
      </c>
      <c r="AS348" s="2">
        <v>0.01</v>
      </c>
      <c r="AT348" s="2"/>
      <c r="AV348" s="2">
        <v>0.0278</v>
      </c>
      <c r="BB348" s="2">
        <v>0.0278</v>
      </c>
      <c r="BF348" s="2">
        <v>0.01</v>
      </c>
      <c r="BH348" s="2">
        <v>0.167</v>
      </c>
      <c r="BY348" s="2">
        <v>0.01</v>
      </c>
      <c r="CP348" s="2">
        <v>0.278</v>
      </c>
      <c r="CR348" s="2">
        <v>0.42</v>
      </c>
      <c r="CU348" s="19"/>
      <c r="CV348" s="19">
        <f t="shared" si="1"/>
        <v>0.9984</v>
      </c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</row>
    <row r="349">
      <c r="A349" s="9">
        <v>45346.0</v>
      </c>
      <c r="B349" s="2" t="s">
        <v>264</v>
      </c>
      <c r="C349" s="2" t="s">
        <v>199</v>
      </c>
      <c r="D349" s="2">
        <v>2.0</v>
      </c>
      <c r="E349" s="2">
        <v>10.0</v>
      </c>
      <c r="S349" s="2">
        <v>0.111</v>
      </c>
      <c r="AA349" s="2">
        <v>0.01</v>
      </c>
      <c r="AS349" s="2">
        <v>0.0278</v>
      </c>
      <c r="AT349" s="2"/>
      <c r="AU349" s="2">
        <v>0.0556</v>
      </c>
      <c r="AV349" s="2">
        <v>0.01</v>
      </c>
      <c r="BB349" s="2">
        <v>0.01</v>
      </c>
      <c r="BF349" s="2">
        <v>0.01</v>
      </c>
      <c r="BH349" s="2">
        <v>0.194</v>
      </c>
      <c r="BT349" s="2">
        <v>0.138</v>
      </c>
      <c r="CM349" s="2">
        <v>0.0833</v>
      </c>
      <c r="CP349" s="2">
        <v>0.222</v>
      </c>
      <c r="CR349" s="2">
        <v>0.13</v>
      </c>
      <c r="CU349" s="19"/>
      <c r="CV349" s="19">
        <f t="shared" si="1"/>
        <v>1.0017</v>
      </c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</row>
    <row r="350">
      <c r="A350" s="9">
        <v>45346.0</v>
      </c>
      <c r="B350" s="2" t="s">
        <v>264</v>
      </c>
      <c r="C350" s="2" t="s">
        <v>199</v>
      </c>
      <c r="D350" s="2">
        <v>2.0</v>
      </c>
      <c r="E350" s="2">
        <v>5.0</v>
      </c>
      <c r="S350" s="2">
        <f>3/36</f>
        <v>0.08333333333</v>
      </c>
      <c r="AA350" s="2">
        <f>2/36</f>
        <v>0.05555555556</v>
      </c>
      <c r="AK350" s="2">
        <v>0.01</v>
      </c>
      <c r="AT350" s="2">
        <f>4/36</f>
        <v>0.1111111111</v>
      </c>
      <c r="AU350" s="2">
        <f>2/36</f>
        <v>0.05555555556</v>
      </c>
      <c r="BB350" s="2">
        <f>2/36</f>
        <v>0.05555555556</v>
      </c>
      <c r="BF350" s="2">
        <v>0.005</v>
      </c>
      <c r="BH350" s="2">
        <f>4/36</f>
        <v>0.1111111111</v>
      </c>
      <c r="BI350" s="2">
        <v>0.111</v>
      </c>
      <c r="BT350" s="2">
        <f>2/36</f>
        <v>0.05555555556</v>
      </c>
      <c r="CM350" s="2">
        <f>4/36</f>
        <v>0.1111111111</v>
      </c>
      <c r="CP350" s="2">
        <f>7/36</f>
        <v>0.1944444444</v>
      </c>
      <c r="CR350" s="2">
        <f>2/36</f>
        <v>0.05555555556</v>
      </c>
      <c r="CU350" s="19"/>
      <c r="CV350" s="19">
        <f t="shared" si="1"/>
        <v>1.014888889</v>
      </c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</row>
    <row r="351">
      <c r="A351" s="9">
        <v>45346.0</v>
      </c>
      <c r="B351" s="2" t="s">
        <v>264</v>
      </c>
      <c r="C351" s="2" t="s">
        <v>199</v>
      </c>
      <c r="D351" s="2">
        <v>2.0</v>
      </c>
      <c r="E351" s="2">
        <v>0.0</v>
      </c>
      <c r="G351" s="2">
        <v>0.01</v>
      </c>
      <c r="I351" s="2">
        <v>0.01</v>
      </c>
      <c r="S351" s="2">
        <v>0.0278</v>
      </c>
      <c r="AB351" s="2">
        <v>0.01</v>
      </c>
      <c r="AU351" s="2">
        <v>0.138</v>
      </c>
      <c r="BB351" s="2">
        <v>0.0556</v>
      </c>
      <c r="BF351" s="2">
        <v>0.01</v>
      </c>
      <c r="BH351" s="2">
        <v>0.111</v>
      </c>
      <c r="BI351" s="2">
        <v>0.167</v>
      </c>
      <c r="BT351" s="2">
        <v>0.0833</v>
      </c>
      <c r="CM351" s="2">
        <v>0.0278</v>
      </c>
      <c r="CP351" s="2">
        <v>0.0556</v>
      </c>
      <c r="CR351" s="2">
        <v>0.29</v>
      </c>
      <c r="CU351" s="19"/>
      <c r="CV351" s="19">
        <f t="shared" si="1"/>
        <v>0.9961</v>
      </c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</row>
    <row r="352">
      <c r="A352" s="9">
        <v>45346.0</v>
      </c>
      <c r="B352" s="2" t="s">
        <v>264</v>
      </c>
      <c r="C352" s="2" t="s">
        <v>199</v>
      </c>
      <c r="D352" s="2">
        <v>3.0</v>
      </c>
      <c r="E352" s="26">
        <v>0.0</v>
      </c>
      <c r="S352" s="2">
        <v>0.05</v>
      </c>
      <c r="Y352" s="2">
        <v>0.05</v>
      </c>
      <c r="AV352" s="2">
        <v>0.2</v>
      </c>
      <c r="BH352" s="2">
        <v>0.1</v>
      </c>
      <c r="BT352" s="2">
        <v>0.5</v>
      </c>
      <c r="CP352" s="2">
        <v>0.1</v>
      </c>
      <c r="CU352" s="19"/>
      <c r="CV352" s="19">
        <f t="shared" si="1"/>
        <v>1</v>
      </c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</row>
    <row r="353">
      <c r="A353" s="9">
        <v>45346.0</v>
      </c>
      <c r="B353" s="2" t="s">
        <v>264</v>
      </c>
      <c r="C353" s="2" t="s">
        <v>199</v>
      </c>
      <c r="D353" s="2">
        <v>3.0</v>
      </c>
      <c r="E353" s="26">
        <v>5.0</v>
      </c>
      <c r="F353" s="2">
        <v>0.05</v>
      </c>
      <c r="S353" s="2">
        <v>0.05</v>
      </c>
      <c r="AK353" s="2">
        <v>0.2</v>
      </c>
      <c r="BB353" s="2">
        <v>0.35</v>
      </c>
      <c r="BH353" s="2">
        <v>0.05</v>
      </c>
      <c r="BT353" s="2">
        <v>0.05</v>
      </c>
      <c r="BY353" s="2">
        <v>0.2</v>
      </c>
      <c r="CO353" s="2">
        <v>0.05</v>
      </c>
      <c r="CU353" s="19"/>
      <c r="CV353" s="19">
        <f t="shared" si="1"/>
        <v>1</v>
      </c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</row>
    <row r="354">
      <c r="A354" s="9">
        <v>45346.0</v>
      </c>
      <c r="B354" s="2" t="s">
        <v>264</v>
      </c>
      <c r="C354" s="2" t="s">
        <v>199</v>
      </c>
      <c r="D354" s="2">
        <v>3.0</v>
      </c>
      <c r="E354" s="26">
        <v>10.0</v>
      </c>
      <c r="S354" s="2">
        <v>0.1</v>
      </c>
      <c r="AK354" s="2">
        <v>0.4</v>
      </c>
      <c r="BB354" s="2">
        <v>0.05</v>
      </c>
      <c r="BT354" s="2">
        <v>0.1</v>
      </c>
      <c r="BY354" s="2">
        <v>0.1</v>
      </c>
      <c r="CM354" s="2">
        <v>0.1</v>
      </c>
      <c r="CO354" s="2">
        <v>0.15</v>
      </c>
      <c r="CU354" s="19"/>
      <c r="CV354" s="19">
        <f t="shared" si="1"/>
        <v>1</v>
      </c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</row>
    <row r="355">
      <c r="A355" s="9">
        <v>45346.0</v>
      </c>
      <c r="B355" s="2" t="s">
        <v>264</v>
      </c>
      <c r="C355" s="2" t="s">
        <v>199</v>
      </c>
      <c r="D355" s="2">
        <v>3.0</v>
      </c>
      <c r="E355" s="26">
        <v>15.0</v>
      </c>
      <c r="O355" s="2">
        <v>0.05</v>
      </c>
      <c r="AK355" s="2">
        <v>0.45</v>
      </c>
      <c r="BT355" s="2">
        <v>0.2</v>
      </c>
      <c r="BY355" s="2">
        <v>0.1</v>
      </c>
      <c r="CM355" s="2">
        <v>0.1</v>
      </c>
      <c r="CS355" s="2">
        <v>0.1</v>
      </c>
      <c r="CU355" s="19"/>
      <c r="CV355" s="19">
        <f t="shared" si="1"/>
        <v>1</v>
      </c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</row>
    <row r="356">
      <c r="A356" s="9">
        <v>45346.0</v>
      </c>
      <c r="B356" s="2" t="s">
        <v>264</v>
      </c>
      <c r="C356" s="2" t="s">
        <v>199</v>
      </c>
      <c r="D356" s="2">
        <v>3.0</v>
      </c>
      <c r="E356" s="26">
        <v>20.0</v>
      </c>
      <c r="S356" s="2">
        <v>0.05</v>
      </c>
      <c r="AK356" s="2">
        <v>0.5</v>
      </c>
      <c r="BB356" s="2">
        <v>0.1</v>
      </c>
      <c r="BY356" s="2">
        <v>0.05</v>
      </c>
      <c r="CM356" s="2">
        <v>0.2</v>
      </c>
      <c r="CO356" s="2">
        <v>0.1</v>
      </c>
      <c r="CU356" s="19"/>
      <c r="CV356" s="19">
        <f t="shared" si="1"/>
        <v>1</v>
      </c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</row>
    <row r="357">
      <c r="A357" s="9">
        <v>45346.0</v>
      </c>
      <c r="B357" s="2" t="s">
        <v>264</v>
      </c>
      <c r="C357" s="2" t="s">
        <v>199</v>
      </c>
      <c r="D357" s="2">
        <v>3.0</v>
      </c>
      <c r="E357" s="26">
        <v>25.0</v>
      </c>
      <c r="S357" s="2">
        <v>0.15</v>
      </c>
      <c r="Y357" s="2">
        <v>0.25</v>
      </c>
      <c r="BI357" s="2">
        <v>0.2</v>
      </c>
      <c r="BT357" s="2">
        <v>0.25</v>
      </c>
      <c r="CM357" s="2">
        <v>0.05</v>
      </c>
      <c r="CS357" s="2">
        <v>0.1</v>
      </c>
      <c r="CU357" s="19"/>
      <c r="CV357" s="19">
        <f t="shared" si="1"/>
        <v>1</v>
      </c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</row>
    <row r="358">
      <c r="A358" s="9">
        <v>45346.0</v>
      </c>
      <c r="B358" s="2" t="s">
        <v>264</v>
      </c>
      <c r="C358" s="2" t="s">
        <v>199</v>
      </c>
      <c r="D358" s="2">
        <v>3.0</v>
      </c>
      <c r="E358" s="26">
        <v>30.0</v>
      </c>
      <c r="S358" s="2">
        <v>0.25</v>
      </c>
      <c r="AK358" s="2">
        <v>0.2</v>
      </c>
      <c r="BF358" s="2">
        <v>0.05</v>
      </c>
      <c r="BH358" s="2">
        <v>0.05</v>
      </c>
      <c r="BT358" s="2">
        <v>0.3</v>
      </c>
      <c r="CM358" s="2">
        <v>0.05</v>
      </c>
      <c r="CO358" s="2">
        <v>0.1</v>
      </c>
      <c r="CU358" s="19"/>
      <c r="CV358" s="19">
        <f t="shared" si="1"/>
        <v>1</v>
      </c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</row>
    <row r="359">
      <c r="A359" s="9">
        <v>45346.0</v>
      </c>
      <c r="B359" s="2" t="s">
        <v>264</v>
      </c>
      <c r="C359" s="2" t="s">
        <v>199</v>
      </c>
      <c r="D359" s="2">
        <v>3.0</v>
      </c>
      <c r="E359" s="26">
        <v>35.0</v>
      </c>
      <c r="O359" s="2">
        <v>0.05</v>
      </c>
      <c r="AP359" s="2">
        <v>0.1</v>
      </c>
      <c r="BB359" s="2">
        <v>0.1</v>
      </c>
      <c r="BF359" s="2">
        <v>0.05</v>
      </c>
      <c r="BT359" s="2">
        <v>0.7</v>
      </c>
      <c r="CU359" s="19"/>
      <c r="CV359" s="19">
        <f t="shared" si="1"/>
        <v>1</v>
      </c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</row>
    <row r="360">
      <c r="A360" s="9">
        <v>45346.0</v>
      </c>
      <c r="B360" s="2" t="s">
        <v>264</v>
      </c>
      <c r="C360" s="2" t="s">
        <v>199</v>
      </c>
      <c r="D360" s="2">
        <v>3.0</v>
      </c>
      <c r="E360" s="26">
        <v>40.0</v>
      </c>
      <c r="BC360" s="2">
        <v>0.05</v>
      </c>
      <c r="BT360" s="2">
        <v>0.9</v>
      </c>
      <c r="CR360" s="2">
        <v>0.05</v>
      </c>
      <c r="CU360" s="19"/>
      <c r="CV360" s="19">
        <f t="shared" si="1"/>
        <v>1</v>
      </c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</row>
    <row r="361">
      <c r="A361" s="9">
        <v>45346.0</v>
      </c>
      <c r="B361" s="2" t="s">
        <v>264</v>
      </c>
      <c r="C361" s="2" t="s">
        <v>235</v>
      </c>
      <c r="D361" s="26">
        <v>4.0</v>
      </c>
      <c r="E361" s="2">
        <v>0.0</v>
      </c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5">
        <v>0.01</v>
      </c>
      <c r="AS361" s="23"/>
      <c r="AT361" s="23"/>
      <c r="AU361" s="23"/>
      <c r="AV361" s="23"/>
      <c r="AW361" s="23"/>
      <c r="AX361" s="23"/>
      <c r="AY361" s="23"/>
      <c r="AZ361" s="25">
        <f>5/36</f>
        <v>0.1388888889</v>
      </c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5">
        <f>3/36</f>
        <v>0.08333333333</v>
      </c>
      <c r="BM361" s="23"/>
      <c r="BN361" s="23"/>
      <c r="BO361" s="23"/>
      <c r="BP361" s="23"/>
      <c r="BQ361" s="25">
        <v>0.005</v>
      </c>
      <c r="BR361" s="23"/>
      <c r="BS361" s="25">
        <f>2/36</f>
        <v>0.05555555556</v>
      </c>
      <c r="BT361" s="23"/>
      <c r="BU361" s="23"/>
      <c r="BV361" s="23"/>
      <c r="BW361" s="23"/>
      <c r="BX361" s="23"/>
      <c r="BY361" s="25">
        <v>0.01</v>
      </c>
      <c r="BZ361" s="23"/>
      <c r="CA361" s="23"/>
      <c r="CB361" s="23"/>
      <c r="CC361" s="25">
        <v>0.005</v>
      </c>
      <c r="CD361" s="23"/>
      <c r="CE361" s="25">
        <f t="shared" ref="CE361:CE362" si="6">2/36</f>
        <v>0.05555555556</v>
      </c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S361" s="23"/>
      <c r="CT361" s="23"/>
      <c r="CU361" s="59"/>
      <c r="CV361" s="19">
        <f t="shared" si="1"/>
        <v>0.3633333333</v>
      </c>
      <c r="CW361" s="59"/>
      <c r="CX361" s="58">
        <v>0.01</v>
      </c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8">
        <f>3/36</f>
        <v>0.08333333333</v>
      </c>
      <c r="DL361" s="59"/>
      <c r="DM361" s="59"/>
      <c r="DN361" s="58">
        <f>9/36</f>
        <v>0.25</v>
      </c>
      <c r="DO361" s="59"/>
      <c r="DP361" s="58">
        <f>4/36</f>
        <v>0.1111111111</v>
      </c>
      <c r="DQ361" s="59"/>
      <c r="DR361" s="59"/>
      <c r="DS361" s="58">
        <f t="shared" ref="DS361:DS369" si="7">sum(AF361:DQ361)</f>
        <v>1.181111111</v>
      </c>
    </row>
    <row r="362">
      <c r="A362" s="9">
        <v>45346.0</v>
      </c>
      <c r="B362" s="2" t="s">
        <v>264</v>
      </c>
      <c r="C362" s="2" t="s">
        <v>235</v>
      </c>
      <c r="D362" s="2">
        <v>4.0</v>
      </c>
      <c r="E362" s="2">
        <v>5.0</v>
      </c>
      <c r="AF362" s="23"/>
      <c r="AG362" s="25">
        <v>0.005</v>
      </c>
      <c r="AH362" s="25">
        <v>0.01</v>
      </c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5">
        <v>0.01</v>
      </c>
      <c r="BS362" s="25">
        <f>4/36</f>
        <v>0.1111111111</v>
      </c>
      <c r="BT362" s="25">
        <v>0.005</v>
      </c>
      <c r="BU362" s="23"/>
      <c r="BV362" s="23"/>
      <c r="BW362" s="23"/>
      <c r="BX362" s="23"/>
      <c r="BY362" s="23"/>
      <c r="BZ362" s="23"/>
      <c r="CA362" s="23"/>
      <c r="CB362" s="23"/>
      <c r="CC362" s="25">
        <v>0.005</v>
      </c>
      <c r="CD362" s="23"/>
      <c r="CE362" s="25">
        <f t="shared" si="6"/>
        <v>0.05555555556</v>
      </c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5">
        <f>10/36</f>
        <v>0.2777777778</v>
      </c>
      <c r="CS362" s="23"/>
      <c r="CT362" s="23"/>
      <c r="CU362" s="59"/>
      <c r="CV362" s="19">
        <f t="shared" si="1"/>
        <v>0.4794444444</v>
      </c>
      <c r="CW362" s="59"/>
      <c r="CX362" s="58">
        <v>0.01</v>
      </c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8">
        <f>9/36</f>
        <v>0.25</v>
      </c>
      <c r="DL362" s="59"/>
      <c r="DM362" s="59"/>
      <c r="DN362" s="58">
        <f>8/36</f>
        <v>0.2222222222</v>
      </c>
      <c r="DO362" s="59"/>
      <c r="DP362" s="59"/>
      <c r="DQ362" s="59"/>
      <c r="DR362" s="59"/>
      <c r="DS362" s="58">
        <f t="shared" si="7"/>
        <v>1.441111111</v>
      </c>
    </row>
    <row r="363">
      <c r="A363" s="9">
        <v>45346.0</v>
      </c>
      <c r="B363" s="2" t="s">
        <v>264</v>
      </c>
      <c r="C363" s="2" t="s">
        <v>235</v>
      </c>
      <c r="D363" s="2">
        <v>4.0</v>
      </c>
      <c r="E363" s="2">
        <v>10.0</v>
      </c>
      <c r="AF363" s="23"/>
      <c r="AG363" s="25">
        <v>0.01</v>
      </c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5">
        <f>1/36</f>
        <v>0.02777777778</v>
      </c>
      <c r="BS363" s="25">
        <v>0.01</v>
      </c>
      <c r="BT363" s="25">
        <v>0.01</v>
      </c>
      <c r="BU363" s="23"/>
      <c r="BV363" s="23"/>
      <c r="BW363" s="23"/>
      <c r="BX363" s="23"/>
      <c r="BY363" s="25">
        <v>0.005</v>
      </c>
      <c r="BZ363" s="23"/>
      <c r="CA363" s="23"/>
      <c r="CB363" s="23"/>
      <c r="CC363" s="23"/>
      <c r="CD363" s="23"/>
      <c r="CE363" s="25">
        <f>0.01</f>
        <v>0.01</v>
      </c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5">
        <f>3/36</f>
        <v>0.08333333333</v>
      </c>
      <c r="CS363" s="23"/>
      <c r="CT363" s="23"/>
      <c r="CU363" s="59"/>
      <c r="CV363" s="19">
        <f t="shared" si="1"/>
        <v>0.1561111111</v>
      </c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8">
        <f>3/36</f>
        <v>0.08333333333</v>
      </c>
      <c r="DO363" s="59"/>
      <c r="DP363" s="58">
        <f>1-0.24</f>
        <v>0.76</v>
      </c>
      <c r="DQ363" s="59"/>
      <c r="DR363" s="59"/>
      <c r="DS363" s="58">
        <f t="shared" si="7"/>
        <v>1.155555556</v>
      </c>
    </row>
    <row r="364">
      <c r="A364" s="9">
        <v>45346.0</v>
      </c>
      <c r="B364" s="2" t="s">
        <v>264</v>
      </c>
      <c r="C364" s="2" t="s">
        <v>235</v>
      </c>
      <c r="D364" s="2">
        <v>4.0</v>
      </c>
      <c r="E364" s="2">
        <v>15.0</v>
      </c>
      <c r="AF364" s="23"/>
      <c r="AG364" s="25">
        <f t="shared" ref="AG364:AG365" si="8">3/36</f>
        <v>0.08333333333</v>
      </c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5">
        <f>1/36</f>
        <v>0.02777777778</v>
      </c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5">
        <f t="shared" ref="BL364:BL365" si="9">2/36</f>
        <v>0.05555555556</v>
      </c>
      <c r="BM364" s="23"/>
      <c r="BN364" s="23"/>
      <c r="BO364" s="23"/>
      <c r="BP364" s="23"/>
      <c r="BQ364" s="23"/>
      <c r="BR364" s="25">
        <v>0.01</v>
      </c>
      <c r="BS364" s="23"/>
      <c r="BT364" s="25">
        <f>1/36</f>
        <v>0.02777777778</v>
      </c>
      <c r="BU364" s="23"/>
      <c r="BV364" s="23"/>
      <c r="BW364" s="23"/>
      <c r="BX364" s="23"/>
      <c r="BY364" s="25">
        <v>0.01</v>
      </c>
      <c r="BZ364" s="23"/>
      <c r="CA364" s="23"/>
      <c r="CB364" s="23"/>
      <c r="CC364" s="23"/>
      <c r="CD364" s="23"/>
      <c r="CE364" s="25">
        <f>1/36</f>
        <v>0.02777777778</v>
      </c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5">
        <f>1-0.77</f>
        <v>0.23</v>
      </c>
      <c r="CS364" s="23"/>
      <c r="CT364" s="23"/>
      <c r="CU364" s="59"/>
      <c r="CV364" s="19">
        <f t="shared" si="1"/>
        <v>0.4722222222</v>
      </c>
      <c r="CW364" s="59"/>
      <c r="CX364" s="58">
        <f>2/36</f>
        <v>0.05555555556</v>
      </c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8">
        <f t="shared" ref="DK364:DK365" si="10">4/36</f>
        <v>0.1111111111</v>
      </c>
      <c r="DL364" s="59"/>
      <c r="DM364" s="59"/>
      <c r="DN364" s="58">
        <f>7/36</f>
        <v>0.1944444444</v>
      </c>
      <c r="DO364" s="59"/>
      <c r="DP364" s="58">
        <f>6/36</f>
        <v>0.1666666667</v>
      </c>
      <c r="DQ364" s="59"/>
      <c r="DR364" s="59"/>
      <c r="DS364" s="58">
        <f t="shared" si="7"/>
        <v>1.472222222</v>
      </c>
    </row>
    <row r="365">
      <c r="A365" s="9">
        <v>45346.0</v>
      </c>
      <c r="B365" s="2" t="s">
        <v>264</v>
      </c>
      <c r="C365" s="2" t="s">
        <v>235</v>
      </c>
      <c r="D365" s="2">
        <v>4.0</v>
      </c>
      <c r="E365" s="2">
        <v>20.0</v>
      </c>
      <c r="AF365" s="25">
        <v>0.005</v>
      </c>
      <c r="AG365" s="25">
        <f t="shared" si="8"/>
        <v>0.08333333333</v>
      </c>
      <c r="AH365" s="23"/>
      <c r="AI365" s="23"/>
      <c r="AJ365" s="23"/>
      <c r="AK365" s="23"/>
      <c r="AL365" s="23"/>
      <c r="AM365" s="23"/>
      <c r="AN365" s="25">
        <v>0.005</v>
      </c>
      <c r="AO365" s="23"/>
      <c r="AP365" s="23"/>
      <c r="AQ365" s="23"/>
      <c r="AR365" s="25">
        <v>0.005</v>
      </c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5">
        <f t="shared" si="9"/>
        <v>0.05555555556</v>
      </c>
      <c r="BM365" s="23"/>
      <c r="BN365" s="23"/>
      <c r="BO365" s="23"/>
      <c r="BP365" s="23"/>
      <c r="BQ365" s="23"/>
      <c r="BR365" s="23"/>
      <c r="BS365" s="25">
        <f>1/36</f>
        <v>0.02777777778</v>
      </c>
      <c r="BT365" s="23"/>
      <c r="BU365" s="23"/>
      <c r="BV365" s="23"/>
      <c r="BW365" s="23"/>
      <c r="BX365" s="23"/>
      <c r="BY365" s="25">
        <f>2/36</f>
        <v>0.05555555556</v>
      </c>
      <c r="BZ365" s="23"/>
      <c r="CA365" s="23"/>
      <c r="CB365" s="23"/>
      <c r="CC365" s="25">
        <v>0.005</v>
      </c>
      <c r="CD365" s="23"/>
      <c r="CE365" s="25">
        <v>0.01</v>
      </c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5">
        <f>1-0.45</f>
        <v>0.55</v>
      </c>
      <c r="CS365" s="23"/>
      <c r="CT365" s="23"/>
      <c r="CU365" s="59"/>
      <c r="CV365" s="19">
        <f t="shared" si="1"/>
        <v>0.8022222222</v>
      </c>
      <c r="CW365" s="59"/>
      <c r="CX365" s="58">
        <f>1/36</f>
        <v>0.02777777778</v>
      </c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8">
        <f t="shared" si="10"/>
        <v>0.1111111111</v>
      </c>
      <c r="DL365" s="59"/>
      <c r="DM365" s="59"/>
      <c r="DN365" s="58">
        <f>1/36</f>
        <v>0.02777777778</v>
      </c>
      <c r="DO365" s="59"/>
      <c r="DP365" s="58">
        <f>1/36</f>
        <v>0.02777777778</v>
      </c>
      <c r="DQ365" s="59"/>
      <c r="DR365" s="59"/>
      <c r="DS365" s="58">
        <f t="shared" si="7"/>
        <v>1.798888889</v>
      </c>
    </row>
    <row r="366">
      <c r="A366" s="9">
        <v>45346.0</v>
      </c>
      <c r="B366" s="2" t="s">
        <v>264</v>
      </c>
      <c r="C366" s="2" t="s">
        <v>235</v>
      </c>
      <c r="D366" s="2">
        <v>4.0</v>
      </c>
      <c r="E366" s="2">
        <v>25.0</v>
      </c>
      <c r="AF366" s="23"/>
      <c r="AG366" s="23"/>
      <c r="AH366" s="23"/>
      <c r="AI366" s="23"/>
      <c r="AJ366" s="23"/>
      <c r="AK366" s="23"/>
      <c r="AL366" s="23"/>
      <c r="AM366" s="23"/>
      <c r="AN366" s="25">
        <v>0.005</v>
      </c>
      <c r="AO366" s="23"/>
      <c r="AP366" s="23"/>
      <c r="AQ366" s="23"/>
      <c r="AR366" s="25">
        <v>0.005</v>
      </c>
      <c r="AS366" s="23"/>
      <c r="AT366" s="23"/>
      <c r="AU366" s="23"/>
      <c r="AV366" s="23"/>
      <c r="AW366" s="23"/>
      <c r="AX366" s="23"/>
      <c r="AY366" s="23"/>
      <c r="AZ366" s="25">
        <v>0.01</v>
      </c>
      <c r="BB366" s="25">
        <f>2/36</f>
        <v>0.05555555556</v>
      </c>
      <c r="BC366" s="23"/>
      <c r="BD366" s="23"/>
      <c r="BE366" s="23"/>
      <c r="BF366" s="23"/>
      <c r="BG366" s="23"/>
      <c r="BH366" s="23"/>
      <c r="BI366" s="23"/>
      <c r="BJ366" s="23"/>
      <c r="BK366" s="23"/>
      <c r="BL366" s="25">
        <f>1/36</f>
        <v>0.02777777778</v>
      </c>
      <c r="BM366" s="23"/>
      <c r="BN366" s="23"/>
      <c r="BO366" s="23"/>
      <c r="BP366" s="23"/>
      <c r="BQ366" s="23"/>
      <c r="BR366" s="23"/>
      <c r="BS366" s="23"/>
      <c r="BT366" s="25">
        <v>0.005</v>
      </c>
      <c r="BU366" s="23"/>
      <c r="BV366" s="23"/>
      <c r="BW366" s="23"/>
      <c r="BX366" s="23"/>
      <c r="BY366" s="25">
        <v>0.01</v>
      </c>
      <c r="BZ366" s="23"/>
      <c r="CA366" s="23"/>
      <c r="CB366" s="23"/>
      <c r="CC366" s="23"/>
      <c r="CD366" s="23"/>
      <c r="CE366" s="25">
        <v>0.005</v>
      </c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5">
        <f>1-0.41</f>
        <v>0.59</v>
      </c>
      <c r="CS366" s="23"/>
      <c r="CT366" s="23"/>
      <c r="CU366" s="59"/>
      <c r="CV366" s="19">
        <f t="shared" si="1"/>
        <v>0.7133333333</v>
      </c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8">
        <f>10/36</f>
        <v>0.2777777778</v>
      </c>
      <c r="DL366" s="59"/>
      <c r="DM366" s="59"/>
      <c r="DN366" s="59"/>
      <c r="DO366" s="59"/>
      <c r="DP366" s="58">
        <f>0.01</f>
        <v>0.01</v>
      </c>
      <c r="DQ366" s="59"/>
      <c r="DR366" s="59"/>
      <c r="DS366" s="58">
        <f t="shared" si="7"/>
        <v>1.714444444</v>
      </c>
    </row>
    <row r="367">
      <c r="A367" s="9">
        <v>45346.0</v>
      </c>
      <c r="B367" s="2" t="s">
        <v>264</v>
      </c>
      <c r="C367" s="2" t="s">
        <v>235</v>
      </c>
      <c r="D367" s="2">
        <v>4.0</v>
      </c>
      <c r="E367" s="2">
        <v>30.0</v>
      </c>
      <c r="AF367" s="23"/>
      <c r="AG367" s="25">
        <f>1/36</f>
        <v>0.02777777778</v>
      </c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5">
        <f>2/36</f>
        <v>0.05555555556</v>
      </c>
      <c r="AS367" s="23"/>
      <c r="AT367" s="23"/>
      <c r="AU367" s="23"/>
      <c r="AV367" s="23"/>
      <c r="AW367" s="23"/>
      <c r="AX367" s="23"/>
      <c r="AY367" s="23"/>
      <c r="AZ367" s="25">
        <f>1/36</f>
        <v>0.02777777778</v>
      </c>
      <c r="BB367" s="23"/>
      <c r="BC367" s="23"/>
      <c r="BD367" s="23"/>
      <c r="BE367" s="23"/>
      <c r="BF367" s="23"/>
      <c r="BG367" s="23"/>
      <c r="BH367" s="23"/>
      <c r="BI367" s="23"/>
      <c r="BJ367" s="23" t="s">
        <v>273</v>
      </c>
      <c r="BK367" s="23"/>
      <c r="BL367" s="25">
        <f>4/36</f>
        <v>0.1111111111</v>
      </c>
      <c r="BM367" s="23"/>
      <c r="BN367" s="23"/>
      <c r="BO367" s="23"/>
      <c r="BP367" s="23"/>
      <c r="BQ367" s="23"/>
      <c r="BR367" s="23"/>
      <c r="BS367" s="25">
        <v>0.01</v>
      </c>
      <c r="BT367" s="23"/>
      <c r="BU367" s="23"/>
      <c r="BV367" s="23"/>
      <c r="BW367" s="23"/>
      <c r="BX367" s="23"/>
      <c r="BY367" s="23"/>
      <c r="BZ367" s="23"/>
      <c r="CA367" s="23"/>
      <c r="CB367" s="23"/>
      <c r="CC367" s="25">
        <v>0.01</v>
      </c>
      <c r="CD367" s="23"/>
      <c r="CE367" s="25">
        <v>0.005</v>
      </c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5">
        <f>1-0.53</f>
        <v>0.47</v>
      </c>
      <c r="CS367" s="23"/>
      <c r="CT367" s="23"/>
      <c r="CU367" s="59"/>
      <c r="CV367" s="19">
        <f t="shared" si="1"/>
        <v>0.7172222222</v>
      </c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8">
        <f>2/36</f>
        <v>0.05555555556</v>
      </c>
      <c r="DL367" s="59"/>
      <c r="DM367" s="59"/>
      <c r="DN367" s="58">
        <f>6/36</f>
        <v>0.1666666667</v>
      </c>
      <c r="DO367" s="59"/>
      <c r="DP367" s="58">
        <f t="shared" ref="DP367:DP368" si="11">2/36</f>
        <v>0.05555555556</v>
      </c>
      <c r="DQ367" s="59"/>
      <c r="DR367" s="59"/>
      <c r="DS367" s="58">
        <f t="shared" si="7"/>
        <v>1.712222222</v>
      </c>
    </row>
    <row r="368">
      <c r="A368" s="9">
        <v>45346.0</v>
      </c>
      <c r="B368" s="2" t="s">
        <v>264</v>
      </c>
      <c r="C368" s="2" t="s">
        <v>235</v>
      </c>
      <c r="D368" s="2">
        <v>4.0</v>
      </c>
      <c r="E368" s="2">
        <v>35.0</v>
      </c>
      <c r="AF368" s="23"/>
      <c r="AG368" s="25">
        <f>3/36</f>
        <v>0.08333333333</v>
      </c>
      <c r="AH368" s="25">
        <v>0.005</v>
      </c>
      <c r="AI368" s="23"/>
      <c r="AJ368" s="23"/>
      <c r="AK368" s="23"/>
      <c r="AL368" s="23"/>
      <c r="AM368" s="23"/>
      <c r="AN368" s="23"/>
      <c r="AO368" s="23"/>
      <c r="AP368" s="23"/>
      <c r="AQ368" s="23"/>
      <c r="AR368" s="25">
        <v>0.01</v>
      </c>
      <c r="AS368" s="23"/>
      <c r="AT368" s="23"/>
      <c r="AU368" s="23"/>
      <c r="AV368" s="23"/>
      <c r="AW368" s="23"/>
      <c r="AX368" s="23"/>
      <c r="AY368" s="23"/>
      <c r="AZ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5">
        <f>2/36</f>
        <v>0.05555555556</v>
      </c>
      <c r="BM368" s="23"/>
      <c r="BN368" s="23"/>
      <c r="BO368" s="23"/>
      <c r="BP368" s="23"/>
      <c r="BQ368" s="23"/>
      <c r="BR368" s="23"/>
      <c r="BS368" s="25">
        <f>11/36</f>
        <v>0.3055555556</v>
      </c>
      <c r="BT368" s="23"/>
      <c r="BU368" s="23"/>
      <c r="BV368" s="23"/>
      <c r="BW368" s="23"/>
      <c r="BX368" s="23"/>
      <c r="BY368" s="23"/>
      <c r="BZ368" s="23"/>
      <c r="CA368" s="23"/>
      <c r="CB368" s="23"/>
      <c r="CC368" s="25">
        <v>0.005</v>
      </c>
      <c r="CD368" s="23"/>
      <c r="CE368" s="25">
        <f>1/36</f>
        <v>0.02777777778</v>
      </c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5">
        <f>10/36</f>
        <v>0.2777777778</v>
      </c>
      <c r="CS368" s="23"/>
      <c r="CT368" s="23"/>
      <c r="CU368" s="59"/>
      <c r="CV368" s="19">
        <f t="shared" si="1"/>
        <v>0.77</v>
      </c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8">
        <f>4/36</f>
        <v>0.1111111111</v>
      </c>
      <c r="DL368" s="59"/>
      <c r="DM368" s="59"/>
      <c r="DN368" s="58">
        <f>3/36</f>
        <v>0.08333333333</v>
      </c>
      <c r="DO368" s="59"/>
      <c r="DP368" s="58">
        <f t="shared" si="11"/>
        <v>0.05555555556</v>
      </c>
      <c r="DQ368" s="59"/>
      <c r="DR368" s="59"/>
      <c r="DS368" s="58">
        <f t="shared" si="7"/>
        <v>1.79</v>
      </c>
    </row>
    <row r="369">
      <c r="A369" s="9">
        <v>45346.0</v>
      </c>
      <c r="B369" s="2" t="s">
        <v>264</v>
      </c>
      <c r="C369" s="2" t="s">
        <v>235</v>
      </c>
      <c r="D369" s="2">
        <v>4.0</v>
      </c>
      <c r="E369" s="2">
        <v>40.0</v>
      </c>
      <c r="AF369" s="23"/>
      <c r="AG369" s="25">
        <f>1/36</f>
        <v>0.02777777778</v>
      </c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5">
        <f>1/36</f>
        <v>0.02777777778</v>
      </c>
      <c r="AS369" s="23"/>
      <c r="AT369" s="23"/>
      <c r="AU369" s="23"/>
      <c r="AV369" s="23"/>
      <c r="AW369" s="23"/>
      <c r="AX369" s="23"/>
      <c r="AY369" s="23"/>
      <c r="AZ369" s="23"/>
      <c r="BB369" s="23"/>
      <c r="BC369" s="23"/>
      <c r="BD369" s="25">
        <v>0.005</v>
      </c>
      <c r="BE369" s="23"/>
      <c r="BF369" s="23"/>
      <c r="BG369" s="23"/>
      <c r="BH369" s="23"/>
      <c r="BI369" s="23"/>
      <c r="BJ369" s="25">
        <v>0.005</v>
      </c>
      <c r="BK369" s="23"/>
      <c r="BL369" s="25">
        <v>0.01</v>
      </c>
      <c r="BM369" s="23"/>
      <c r="BN369" s="23"/>
      <c r="BO369" s="23"/>
      <c r="BP369" s="23"/>
      <c r="BQ369" s="23"/>
      <c r="BR369" s="25">
        <f>1/36</f>
        <v>0.02777777778</v>
      </c>
      <c r="BS369" s="25">
        <f>1-0.38</f>
        <v>0.62</v>
      </c>
      <c r="BT369" s="25">
        <v>0.01</v>
      </c>
      <c r="BU369" s="23"/>
      <c r="BV369" s="23"/>
      <c r="BW369" s="23"/>
      <c r="BX369" s="23"/>
      <c r="BY369" s="25">
        <v>0.005</v>
      </c>
      <c r="BZ369" s="23"/>
      <c r="CA369" s="23"/>
      <c r="CB369" s="23"/>
      <c r="CC369" s="25">
        <v>0.005</v>
      </c>
      <c r="CD369" s="23"/>
      <c r="CE369" s="25">
        <v>0.005</v>
      </c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5">
        <v>0.0</v>
      </c>
      <c r="CS369" s="23"/>
      <c r="CT369" s="23"/>
      <c r="CU369" s="59"/>
      <c r="CV369" s="19">
        <f t="shared" si="1"/>
        <v>0.7483333333</v>
      </c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8">
        <f>2/36</f>
        <v>0.05555555556</v>
      </c>
      <c r="DL369" s="59"/>
      <c r="DM369" s="59"/>
      <c r="DN369" s="58">
        <f>6/36</f>
        <v>0.1666666667</v>
      </c>
      <c r="DO369" s="59"/>
      <c r="DP369" s="58">
        <f>1/36</f>
        <v>0.02777777778</v>
      </c>
      <c r="DQ369" s="59"/>
      <c r="DR369" s="59"/>
      <c r="DS369" s="58">
        <f t="shared" si="7"/>
        <v>1.746666667</v>
      </c>
    </row>
    <row r="370">
      <c r="A370" s="6">
        <v>45347.0</v>
      </c>
      <c r="B370" s="2" t="s">
        <v>264</v>
      </c>
      <c r="C370" s="2" t="s">
        <v>199</v>
      </c>
      <c r="D370" s="2">
        <v>1.0</v>
      </c>
      <c r="E370" s="2">
        <v>0.0</v>
      </c>
      <c r="S370" s="2">
        <v>0.1</v>
      </c>
      <c r="AM370" s="2">
        <v>0.15</v>
      </c>
      <c r="BB370" s="2">
        <v>0.25</v>
      </c>
      <c r="BH370" s="2">
        <v>0.25</v>
      </c>
      <c r="BT370" s="2">
        <v>0.25</v>
      </c>
      <c r="CU370" s="19"/>
      <c r="CV370" s="19">
        <f t="shared" si="1"/>
        <v>1</v>
      </c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</row>
    <row r="371">
      <c r="A371" s="9">
        <v>45347.0</v>
      </c>
      <c r="B371" s="2" t="s">
        <v>264</v>
      </c>
      <c r="C371" s="2" t="s">
        <v>199</v>
      </c>
      <c r="D371" s="2">
        <v>1.0</v>
      </c>
      <c r="E371" s="2">
        <v>5.0</v>
      </c>
      <c r="S371" s="2">
        <v>0.15</v>
      </c>
      <c r="AM371" s="2">
        <v>0.1</v>
      </c>
      <c r="BB371" s="2">
        <v>0.25</v>
      </c>
      <c r="BH371" s="2">
        <v>0.2</v>
      </c>
      <c r="BI371" s="2">
        <v>0.05</v>
      </c>
      <c r="BJ371" s="2"/>
      <c r="BT371" s="2">
        <v>0.25</v>
      </c>
      <c r="CU371" s="19"/>
      <c r="CV371" s="19">
        <f t="shared" si="1"/>
        <v>1</v>
      </c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</row>
    <row r="372">
      <c r="A372" s="9">
        <v>45347.0</v>
      </c>
      <c r="B372" s="2" t="s">
        <v>264</v>
      </c>
      <c r="C372" s="2" t="s">
        <v>199</v>
      </c>
      <c r="D372" s="2">
        <v>1.0</v>
      </c>
      <c r="E372" s="2">
        <v>10.0</v>
      </c>
      <c r="S372" s="2">
        <v>0.2</v>
      </c>
      <c r="AM372" s="2">
        <v>0.1</v>
      </c>
      <c r="BB372" s="2">
        <v>0.1</v>
      </c>
      <c r="BH372" s="2">
        <v>0.1</v>
      </c>
      <c r="BT372" s="2">
        <v>0.45</v>
      </c>
      <c r="CM372" s="2">
        <v>0.05</v>
      </c>
      <c r="CU372" s="19"/>
      <c r="CV372" s="19">
        <f t="shared" si="1"/>
        <v>1</v>
      </c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</row>
    <row r="373">
      <c r="A373" s="9">
        <v>45347.0</v>
      </c>
      <c r="B373" s="2" t="s">
        <v>264</v>
      </c>
      <c r="C373" s="2" t="s">
        <v>199</v>
      </c>
      <c r="D373" s="2">
        <v>1.0</v>
      </c>
      <c r="E373" s="2">
        <v>15.0</v>
      </c>
      <c r="F373" s="2">
        <v>0.05</v>
      </c>
      <c r="S373" s="2">
        <v>0.25</v>
      </c>
      <c r="AM373" s="2">
        <v>0.05</v>
      </c>
      <c r="AS373" s="2">
        <v>0.05</v>
      </c>
      <c r="AT373" s="2"/>
      <c r="BB373" s="2">
        <v>0.2</v>
      </c>
      <c r="BH373" s="2">
        <v>0.2</v>
      </c>
      <c r="BT373" s="2">
        <v>0.1</v>
      </c>
      <c r="CM373" s="2">
        <v>0.1</v>
      </c>
      <c r="CU373" s="19"/>
      <c r="CV373" s="19">
        <f t="shared" si="1"/>
        <v>1</v>
      </c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</row>
    <row r="374">
      <c r="A374" s="9">
        <v>45347.0</v>
      </c>
      <c r="B374" s="2" t="s">
        <v>264</v>
      </c>
      <c r="C374" s="2" t="s">
        <v>199</v>
      </c>
      <c r="D374" s="2">
        <v>1.0</v>
      </c>
      <c r="E374" s="2">
        <v>20.0</v>
      </c>
      <c r="O374" s="2">
        <v>0.05</v>
      </c>
      <c r="S374" s="2">
        <v>0.05</v>
      </c>
      <c r="AQ374" s="2">
        <v>0.05</v>
      </c>
      <c r="BB374" s="2">
        <v>0.25</v>
      </c>
      <c r="BH374" s="2">
        <v>0.15</v>
      </c>
      <c r="BP374" s="2">
        <v>0.1</v>
      </c>
      <c r="BT374" s="2">
        <v>0.15</v>
      </c>
      <c r="CM374" s="2">
        <v>0.1</v>
      </c>
      <c r="CR374" s="2">
        <v>0.1</v>
      </c>
      <c r="CU374" s="19"/>
      <c r="CV374" s="19">
        <f t="shared" si="1"/>
        <v>1</v>
      </c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</row>
    <row r="375">
      <c r="A375" s="9">
        <v>45347.0</v>
      </c>
      <c r="B375" s="2" t="s">
        <v>264</v>
      </c>
      <c r="C375" s="2" t="s">
        <v>199</v>
      </c>
      <c r="D375" s="2">
        <v>1.0</v>
      </c>
      <c r="E375" s="2">
        <v>25.0</v>
      </c>
      <c r="S375" s="2">
        <v>0.05</v>
      </c>
      <c r="AJ375" s="2">
        <v>0.05</v>
      </c>
      <c r="AS375" s="2">
        <v>0.1</v>
      </c>
      <c r="AT375" s="2"/>
      <c r="AU375" s="2">
        <v>0.1</v>
      </c>
      <c r="BH375" s="2">
        <v>0.05</v>
      </c>
      <c r="BT375" s="2">
        <v>0.5</v>
      </c>
      <c r="CM375" s="2">
        <v>0.15</v>
      </c>
      <c r="CU375" s="19"/>
      <c r="CV375" s="19">
        <f t="shared" si="1"/>
        <v>1</v>
      </c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</row>
    <row r="376">
      <c r="A376" s="9">
        <v>45347.0</v>
      </c>
      <c r="B376" s="2" t="s">
        <v>264</v>
      </c>
      <c r="C376" s="2" t="s">
        <v>199</v>
      </c>
      <c r="D376" s="2">
        <v>1.0</v>
      </c>
      <c r="E376" s="2">
        <v>30.0</v>
      </c>
      <c r="S376" s="2">
        <v>0.05</v>
      </c>
      <c r="BB376" s="2">
        <v>0.03</v>
      </c>
      <c r="BT376" s="2">
        <v>0.77</v>
      </c>
      <c r="CM376" s="2">
        <v>0.1</v>
      </c>
      <c r="CO376" s="2">
        <v>0.05</v>
      </c>
      <c r="CU376" s="19"/>
      <c r="CV376" s="19">
        <f t="shared" si="1"/>
        <v>1</v>
      </c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</row>
    <row r="377">
      <c r="A377" s="9">
        <v>45347.0</v>
      </c>
      <c r="B377" s="2" t="s">
        <v>264</v>
      </c>
      <c r="C377" s="2" t="s">
        <v>199</v>
      </c>
      <c r="D377" s="2">
        <v>1.0</v>
      </c>
      <c r="E377" s="2">
        <v>35.0</v>
      </c>
      <c r="F377" s="2">
        <v>0.05</v>
      </c>
      <c r="S377" s="2">
        <v>0.05</v>
      </c>
      <c r="AS377" s="2">
        <v>0.1</v>
      </c>
      <c r="AT377" s="2"/>
      <c r="BB377" s="2">
        <v>0.1</v>
      </c>
      <c r="BT377" s="2">
        <v>0.3</v>
      </c>
      <c r="CM377" s="2">
        <v>0.4</v>
      </c>
      <c r="CU377" s="19"/>
      <c r="CV377" s="19">
        <f t="shared" si="1"/>
        <v>1</v>
      </c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</row>
    <row r="378">
      <c r="A378" s="9">
        <v>45347.0</v>
      </c>
      <c r="B378" s="2" t="s">
        <v>264</v>
      </c>
      <c r="C378" s="2" t="s">
        <v>199</v>
      </c>
      <c r="D378" s="2">
        <v>1.0</v>
      </c>
      <c r="E378" s="2">
        <v>40.0</v>
      </c>
      <c r="S378" s="2">
        <v>0.25</v>
      </c>
      <c r="AS378" s="2">
        <v>0.2</v>
      </c>
      <c r="AT378" s="2"/>
      <c r="BB378" s="2">
        <v>0.15</v>
      </c>
      <c r="BH378" s="2">
        <v>0.05</v>
      </c>
      <c r="BT378" s="2">
        <v>0.15</v>
      </c>
      <c r="CM378" s="2">
        <v>0.05</v>
      </c>
      <c r="CP378" s="2">
        <v>0.1</v>
      </c>
      <c r="CQ378" s="2">
        <v>0.05</v>
      </c>
      <c r="CU378" s="19"/>
      <c r="CV378" s="19">
        <f t="shared" si="1"/>
        <v>1</v>
      </c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</row>
    <row r="379">
      <c r="A379" s="9">
        <v>45347.0</v>
      </c>
      <c r="B379" s="2" t="s">
        <v>264</v>
      </c>
      <c r="C379" s="2" t="s">
        <v>199</v>
      </c>
      <c r="D379" s="2">
        <v>2.0</v>
      </c>
      <c r="E379" s="2">
        <v>40.0</v>
      </c>
      <c r="F379" s="2">
        <v>0.01</v>
      </c>
      <c r="O379" s="2">
        <v>0.01</v>
      </c>
      <c r="AS379" s="2">
        <v>0.01</v>
      </c>
      <c r="AT379" s="2"/>
      <c r="AZ379" s="2">
        <v>0.01</v>
      </c>
      <c r="BB379" s="2">
        <v>0.0278</v>
      </c>
      <c r="BH379" s="2">
        <v>0.01</v>
      </c>
      <c r="BT379" s="2">
        <v>0.25</v>
      </c>
      <c r="CM379" s="2">
        <v>0.278</v>
      </c>
      <c r="CP379" s="2">
        <v>0.306</v>
      </c>
      <c r="CR379" s="2">
        <v>0.0833</v>
      </c>
      <c r="CU379" s="19"/>
      <c r="CV379" s="19">
        <f t="shared" si="1"/>
        <v>0.9951</v>
      </c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</row>
    <row r="380">
      <c r="A380" s="9">
        <v>45347.0</v>
      </c>
      <c r="B380" s="2" t="s">
        <v>264</v>
      </c>
      <c r="C380" s="2" t="s">
        <v>199</v>
      </c>
      <c r="D380" s="2">
        <v>2.0</v>
      </c>
      <c r="E380" s="2">
        <v>35.0</v>
      </c>
      <c r="F380" s="2">
        <v>0.005</v>
      </c>
      <c r="I380" s="2">
        <v>0.005</v>
      </c>
      <c r="S380" s="2">
        <v>0.01</v>
      </c>
      <c r="AS380" s="2">
        <f>11/36</f>
        <v>0.3055555556</v>
      </c>
      <c r="AT380" s="2"/>
      <c r="AU380" s="2">
        <f>6/36</f>
        <v>0.1666666667</v>
      </c>
      <c r="BB380" s="2">
        <v>0.0278</v>
      </c>
      <c r="BF380" s="2">
        <v>0.005</v>
      </c>
      <c r="BH380" s="2">
        <v>0.005</v>
      </c>
      <c r="BT380" s="15">
        <f>11/36</f>
        <v>0.3055555556</v>
      </c>
      <c r="CM380" s="2">
        <v>0.0278</v>
      </c>
      <c r="CP380" s="2">
        <f>6/36</f>
        <v>0.1666666667</v>
      </c>
      <c r="CU380" s="19"/>
      <c r="CV380" s="19">
        <f t="shared" si="1"/>
        <v>1.030044444</v>
      </c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</row>
    <row r="381">
      <c r="A381" s="9">
        <v>45347.0</v>
      </c>
      <c r="B381" s="2" t="s">
        <v>264</v>
      </c>
      <c r="C381" s="2" t="s">
        <v>199</v>
      </c>
      <c r="D381" s="2">
        <v>2.0</v>
      </c>
      <c r="E381" s="2">
        <v>30.0</v>
      </c>
      <c r="I381" s="2">
        <v>0.01</v>
      </c>
      <c r="O381" s="2">
        <v>0.01</v>
      </c>
      <c r="S381" s="2">
        <v>0.0833</v>
      </c>
      <c r="AS381" s="2">
        <v>0.0556</v>
      </c>
      <c r="AT381" s="2"/>
      <c r="BB381" s="2">
        <v>0.0278</v>
      </c>
      <c r="BF381" s="2">
        <v>0.01</v>
      </c>
      <c r="BH381" s="2">
        <v>0.0278</v>
      </c>
      <c r="BP381" s="2">
        <v>0.0556</v>
      </c>
      <c r="BT381" s="2">
        <v>0.38</v>
      </c>
      <c r="CM381" s="2">
        <v>0.01</v>
      </c>
      <c r="CP381" s="2">
        <v>0.111</v>
      </c>
      <c r="CR381" s="2">
        <v>0.222</v>
      </c>
      <c r="CU381" s="19"/>
      <c r="CV381" s="19">
        <f t="shared" si="1"/>
        <v>1.0031</v>
      </c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</row>
    <row r="382">
      <c r="A382" s="9">
        <v>45347.0</v>
      </c>
      <c r="B382" s="2" t="s">
        <v>264</v>
      </c>
      <c r="C382" s="2" t="s">
        <v>199</v>
      </c>
      <c r="D382" s="2">
        <v>2.0</v>
      </c>
      <c r="E382" s="2">
        <v>25.0</v>
      </c>
      <c r="F382" s="2">
        <v>0.005</v>
      </c>
      <c r="O382" s="2">
        <v>0.005</v>
      </c>
      <c r="S382" s="2">
        <v>0.111</v>
      </c>
      <c r="AB382" s="2">
        <v>0.0278</v>
      </c>
      <c r="AJ382" s="2">
        <v>0.0278</v>
      </c>
      <c r="AV382" s="2">
        <v>0.005</v>
      </c>
      <c r="BB382" s="2">
        <v>0.0278</v>
      </c>
      <c r="BH382" s="2">
        <v>0.0833</v>
      </c>
      <c r="BP382" s="2">
        <v>0.0556</v>
      </c>
      <c r="BT382" s="15">
        <f>8/36</f>
        <v>0.2222222222</v>
      </c>
      <c r="BY382" s="2">
        <v>0.005</v>
      </c>
      <c r="CM382" s="2">
        <v>0.194</v>
      </c>
      <c r="CO382" s="2">
        <v>0.0833</v>
      </c>
      <c r="CP382" s="2">
        <v>0.0833</v>
      </c>
      <c r="CR382" s="2">
        <v>0.0833</v>
      </c>
      <c r="CU382" s="19"/>
      <c r="CV382" s="19">
        <f t="shared" si="1"/>
        <v>1.019422222</v>
      </c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</row>
    <row r="383">
      <c r="A383" s="9">
        <v>45347.0</v>
      </c>
      <c r="B383" s="2" t="s">
        <v>264</v>
      </c>
      <c r="C383" s="2" t="s">
        <v>199</v>
      </c>
      <c r="D383" s="2">
        <v>2.0</v>
      </c>
      <c r="E383" s="2">
        <v>20.0</v>
      </c>
      <c r="G383" s="2">
        <v>0.0278</v>
      </c>
      <c r="O383" s="2">
        <v>0.01</v>
      </c>
      <c r="S383" s="2">
        <v>0.0278</v>
      </c>
      <c r="AJ383" s="2">
        <v>0.01</v>
      </c>
      <c r="AK383" s="2">
        <v>0.01</v>
      </c>
      <c r="AV383" s="2">
        <v>0.01</v>
      </c>
      <c r="AZ383" s="2">
        <v>0.0278</v>
      </c>
      <c r="BB383" s="2">
        <v>0.0278</v>
      </c>
      <c r="BF383" s="2">
        <v>0.01</v>
      </c>
      <c r="BH383" s="2">
        <v>0.0278</v>
      </c>
      <c r="BP383" s="2">
        <v>0.01</v>
      </c>
      <c r="BT383" s="15">
        <f>23/36</f>
        <v>0.6388888889</v>
      </c>
      <c r="CM383" s="2">
        <v>0.05</v>
      </c>
      <c r="CP383" s="2">
        <v>0.0833</v>
      </c>
      <c r="CR383" s="2">
        <v>0.0278</v>
      </c>
      <c r="CU383" s="19"/>
      <c r="CV383" s="19">
        <f t="shared" si="1"/>
        <v>0.9989888889</v>
      </c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</row>
    <row r="384">
      <c r="A384" s="9">
        <v>45347.0</v>
      </c>
      <c r="B384" s="2" t="s">
        <v>264</v>
      </c>
      <c r="C384" s="2" t="s">
        <v>199</v>
      </c>
      <c r="D384" s="2">
        <v>2.0</v>
      </c>
      <c r="E384" s="2">
        <v>15.0</v>
      </c>
      <c r="G384" s="2">
        <v>0.0278</v>
      </c>
      <c r="J384" s="2">
        <v>0.01</v>
      </c>
      <c r="O384" s="2">
        <v>0.005</v>
      </c>
      <c r="AJ384" s="2">
        <v>0.005</v>
      </c>
      <c r="AK384" s="2">
        <v>0.0278</v>
      </c>
      <c r="AS384" s="2">
        <v>0.139</v>
      </c>
      <c r="AT384" s="2"/>
      <c r="AU384" s="2">
        <v>0.111</v>
      </c>
      <c r="AV384" s="2">
        <v>0.0278</v>
      </c>
      <c r="BB384" s="2">
        <v>0.0556</v>
      </c>
      <c r="BF384" s="2">
        <v>0.005</v>
      </c>
      <c r="BH384" s="2">
        <v>0.0833</v>
      </c>
      <c r="BT384" s="2">
        <v>0.22</v>
      </c>
      <c r="CM384" s="2">
        <v>0.0833</v>
      </c>
      <c r="CO384" s="2">
        <v>0.01</v>
      </c>
      <c r="CP384" s="2">
        <v>0.167</v>
      </c>
      <c r="CR384" s="2">
        <v>0.01</v>
      </c>
      <c r="CT384" s="2">
        <v>0.005</v>
      </c>
      <c r="CU384" s="19"/>
      <c r="CV384" s="19">
        <f t="shared" si="1"/>
        <v>0.9926</v>
      </c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</row>
    <row r="385">
      <c r="A385" s="9">
        <v>45347.0</v>
      </c>
      <c r="B385" s="2" t="s">
        <v>264</v>
      </c>
      <c r="C385" s="2" t="s">
        <v>199</v>
      </c>
      <c r="D385" s="2">
        <v>2.0</v>
      </c>
      <c r="E385" s="2">
        <v>10.0</v>
      </c>
      <c r="S385" s="2">
        <v>0.0278</v>
      </c>
      <c r="Z385" s="2">
        <v>0.01</v>
      </c>
      <c r="AA385" s="2">
        <v>0.0556</v>
      </c>
      <c r="AQ385" s="2">
        <v>0.01</v>
      </c>
      <c r="AU385" s="2">
        <v>0.25</v>
      </c>
      <c r="AZ385" s="2">
        <v>0.0278</v>
      </c>
      <c r="BB385" s="2">
        <v>0.01</v>
      </c>
      <c r="BH385" s="2">
        <v>0.0833</v>
      </c>
      <c r="BT385" s="2">
        <v>0.33</v>
      </c>
      <c r="CM385" s="2">
        <v>0.0556</v>
      </c>
      <c r="CO385" s="2">
        <v>0.0278</v>
      </c>
      <c r="CP385" s="2">
        <v>0.111</v>
      </c>
      <c r="CU385" s="19"/>
      <c r="CV385" s="19">
        <f t="shared" si="1"/>
        <v>0.9989</v>
      </c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</row>
    <row r="386">
      <c r="A386" s="9">
        <v>45347.0</v>
      </c>
      <c r="B386" s="2" t="s">
        <v>264</v>
      </c>
      <c r="C386" s="2" t="s">
        <v>199</v>
      </c>
      <c r="D386" s="2">
        <v>2.0</v>
      </c>
      <c r="E386" s="2">
        <v>5.0</v>
      </c>
      <c r="O386" s="2">
        <v>0.01</v>
      </c>
      <c r="S386" s="2">
        <v>0.111</v>
      </c>
      <c r="AA386" s="2">
        <v>0.0278</v>
      </c>
      <c r="AZ386" s="2">
        <v>0.01</v>
      </c>
      <c r="BB386" s="2">
        <v>0.0278</v>
      </c>
      <c r="BH386" s="2">
        <v>0.0278</v>
      </c>
      <c r="BJ386" s="2">
        <v>0.0278</v>
      </c>
      <c r="BT386" s="2">
        <v>0.41</v>
      </c>
      <c r="BY386" s="2">
        <v>0.01</v>
      </c>
      <c r="CM386" s="2">
        <v>0.0278</v>
      </c>
      <c r="CP386" s="2">
        <v>0.306</v>
      </c>
      <c r="CU386" s="19"/>
      <c r="CV386" s="19">
        <f t="shared" si="1"/>
        <v>0.996</v>
      </c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</row>
    <row r="387">
      <c r="A387" s="9">
        <v>45347.0</v>
      </c>
      <c r="B387" s="2" t="s">
        <v>264</v>
      </c>
      <c r="C387" s="2" t="s">
        <v>199</v>
      </c>
      <c r="D387" s="2">
        <v>2.0</v>
      </c>
      <c r="E387" s="2">
        <v>0.0</v>
      </c>
      <c r="G387" s="2">
        <v>0.167</v>
      </c>
      <c r="S387" s="2">
        <v>0.01</v>
      </c>
      <c r="AA387" s="2">
        <v>0.005</v>
      </c>
      <c r="AK387" s="2">
        <v>0.0278</v>
      </c>
      <c r="AU387" s="2">
        <v>0.306</v>
      </c>
      <c r="AV387" s="2">
        <v>0.005</v>
      </c>
      <c r="BB387" s="2">
        <v>0.0278</v>
      </c>
      <c r="BH387" s="2">
        <v>0.0833</v>
      </c>
      <c r="BT387" s="15">
        <f>6/36</f>
        <v>0.1666666667</v>
      </c>
      <c r="CM387" s="2">
        <v>0.0278</v>
      </c>
      <c r="CO387" s="2">
        <v>0.0278</v>
      </c>
      <c r="CP387" s="2">
        <v>0.167</v>
      </c>
      <c r="CU387" s="19"/>
      <c r="CV387" s="19">
        <f t="shared" si="1"/>
        <v>1.021166667</v>
      </c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</row>
    <row r="388">
      <c r="A388" s="9">
        <v>45347.0</v>
      </c>
      <c r="B388" s="2" t="s">
        <v>264</v>
      </c>
      <c r="C388" s="2" t="s">
        <v>199</v>
      </c>
      <c r="D388" s="2">
        <v>3.0</v>
      </c>
      <c r="E388" s="2">
        <v>0.0</v>
      </c>
      <c r="S388" s="2">
        <v>0.1</v>
      </c>
      <c r="AK388" s="2">
        <v>0.05</v>
      </c>
      <c r="AS388" s="2">
        <v>0.05</v>
      </c>
      <c r="AT388" s="2"/>
      <c r="AU388" s="2">
        <v>0.05</v>
      </c>
      <c r="BH388" s="2">
        <v>0.3</v>
      </c>
      <c r="BJ388" s="2">
        <v>0.1</v>
      </c>
      <c r="BT388" s="2">
        <v>0.2</v>
      </c>
      <c r="CO388" s="2">
        <v>0.15</v>
      </c>
      <c r="CU388" s="19"/>
      <c r="CV388" s="19">
        <f t="shared" si="1"/>
        <v>1</v>
      </c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</row>
    <row r="389">
      <c r="A389" s="9">
        <v>45347.0</v>
      </c>
      <c r="B389" s="2" t="s">
        <v>264</v>
      </c>
      <c r="C389" s="2" t="s">
        <v>199</v>
      </c>
      <c r="D389" s="2">
        <v>3.0</v>
      </c>
      <c r="E389" s="2">
        <v>5.0</v>
      </c>
      <c r="S389" s="2">
        <v>0.15</v>
      </c>
      <c r="AS389" s="2">
        <v>0.05</v>
      </c>
      <c r="AT389" s="2"/>
      <c r="AU389" s="2">
        <v>0.2</v>
      </c>
      <c r="BH389" s="2">
        <v>0.4</v>
      </c>
      <c r="BT389" s="2">
        <v>0.1</v>
      </c>
      <c r="CP389" s="2">
        <v>0.1</v>
      </c>
      <c r="CU389" s="19"/>
      <c r="CV389" s="19">
        <f t="shared" si="1"/>
        <v>1</v>
      </c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</row>
    <row r="390">
      <c r="A390" s="9">
        <v>45347.0</v>
      </c>
      <c r="B390" s="2" t="s">
        <v>264</v>
      </c>
      <c r="C390" s="2" t="s">
        <v>199</v>
      </c>
      <c r="D390" s="2">
        <v>3.0</v>
      </c>
      <c r="E390" s="2">
        <v>10.0</v>
      </c>
      <c r="S390" s="2">
        <v>0.2</v>
      </c>
      <c r="AA390" s="2">
        <v>0.1</v>
      </c>
      <c r="AU390" s="2">
        <v>0.05</v>
      </c>
      <c r="BH390" s="2">
        <v>0.2</v>
      </c>
      <c r="BT390" s="2">
        <v>0.05</v>
      </c>
      <c r="CO390" s="2">
        <v>0.35</v>
      </c>
      <c r="CP390" s="2">
        <v>0.05</v>
      </c>
      <c r="CU390" s="19"/>
      <c r="CV390" s="19">
        <f t="shared" si="1"/>
        <v>1</v>
      </c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</row>
    <row r="391">
      <c r="A391" s="9">
        <v>45347.0</v>
      </c>
      <c r="B391" s="2" t="s">
        <v>264</v>
      </c>
      <c r="C391" s="2" t="s">
        <v>199</v>
      </c>
      <c r="D391" s="2">
        <v>3.0</v>
      </c>
      <c r="E391" s="2">
        <v>15.0</v>
      </c>
      <c r="S391" s="2">
        <v>0.2</v>
      </c>
      <c r="U391" s="2">
        <v>0.05</v>
      </c>
      <c r="AU391" s="2">
        <v>0.1</v>
      </c>
      <c r="BB391" s="2">
        <v>0.15</v>
      </c>
      <c r="BH391" s="2">
        <v>0.3</v>
      </c>
      <c r="CM391" s="2">
        <v>0.05</v>
      </c>
      <c r="CP391" s="2">
        <v>0.15</v>
      </c>
      <c r="CU391" s="19"/>
      <c r="CV391" s="19">
        <f t="shared" si="1"/>
        <v>1</v>
      </c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</row>
    <row r="392">
      <c r="A392" s="9">
        <v>45347.0</v>
      </c>
      <c r="B392" s="2" t="s">
        <v>264</v>
      </c>
      <c r="C392" s="2" t="s">
        <v>199</v>
      </c>
      <c r="D392" s="2">
        <v>3.0</v>
      </c>
      <c r="E392" s="2">
        <v>20.0</v>
      </c>
      <c r="F392" s="2">
        <v>0.05</v>
      </c>
      <c r="S392" s="2">
        <v>0.25</v>
      </c>
      <c r="AS392" s="2">
        <v>0.05</v>
      </c>
      <c r="AT392" s="2"/>
      <c r="AU392" s="2">
        <v>0.1</v>
      </c>
      <c r="BH392" s="2">
        <v>0.35</v>
      </c>
      <c r="BT392" s="2">
        <v>0.1</v>
      </c>
      <c r="CP392" s="2">
        <v>0.1</v>
      </c>
      <c r="CU392" s="19"/>
      <c r="CV392" s="19">
        <f t="shared" si="1"/>
        <v>1</v>
      </c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</row>
    <row r="393">
      <c r="A393" s="9">
        <v>45347.0</v>
      </c>
      <c r="B393" s="2" t="s">
        <v>264</v>
      </c>
      <c r="C393" s="2" t="s">
        <v>199</v>
      </c>
      <c r="D393" s="2">
        <v>3.0</v>
      </c>
      <c r="E393" s="2">
        <v>25.0</v>
      </c>
      <c r="S393" s="2">
        <v>0.1</v>
      </c>
      <c r="AA393" s="2">
        <v>0.05</v>
      </c>
      <c r="AS393" s="2">
        <v>0.1</v>
      </c>
      <c r="AT393" s="2"/>
      <c r="BB393" s="2">
        <v>0.05</v>
      </c>
      <c r="BH393" s="2">
        <v>0.2</v>
      </c>
      <c r="BT393" s="2">
        <v>0.1</v>
      </c>
      <c r="CM393" s="2">
        <v>0.35</v>
      </c>
      <c r="CP393" s="2">
        <v>0.05</v>
      </c>
      <c r="CU393" s="19"/>
      <c r="CV393" s="19">
        <f t="shared" si="1"/>
        <v>1</v>
      </c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</row>
    <row r="394">
      <c r="A394" s="9">
        <v>45347.0</v>
      </c>
      <c r="B394" s="2" t="s">
        <v>264</v>
      </c>
      <c r="C394" s="2" t="s">
        <v>199</v>
      </c>
      <c r="D394" s="2">
        <v>3.0</v>
      </c>
      <c r="E394" s="2">
        <v>30.0</v>
      </c>
      <c r="S394" s="2">
        <v>0.2</v>
      </c>
      <c r="AS394" s="2">
        <v>0.1</v>
      </c>
      <c r="AT394" s="2"/>
      <c r="AU394" s="2">
        <v>0.1</v>
      </c>
      <c r="BB394" s="2">
        <v>0.05</v>
      </c>
      <c r="BF394" s="2">
        <v>0.05</v>
      </c>
      <c r="BH394" s="2">
        <v>0.2</v>
      </c>
      <c r="BT394" s="2">
        <v>0.2</v>
      </c>
      <c r="CM394" s="2">
        <v>0.05</v>
      </c>
      <c r="CP394" s="2">
        <v>0.05</v>
      </c>
      <c r="CU394" s="19"/>
      <c r="CV394" s="19">
        <f t="shared" si="1"/>
        <v>1</v>
      </c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</row>
    <row r="395">
      <c r="A395" s="9">
        <v>45347.0</v>
      </c>
      <c r="B395" s="2" t="s">
        <v>264</v>
      </c>
      <c r="C395" s="2" t="s">
        <v>199</v>
      </c>
      <c r="D395" s="2">
        <v>3.0</v>
      </c>
      <c r="E395" s="2">
        <v>35.0</v>
      </c>
      <c r="I395" s="2">
        <v>0.05</v>
      </c>
      <c r="S395" s="2">
        <v>0.1</v>
      </c>
      <c r="BB395" s="2">
        <v>0.1</v>
      </c>
      <c r="BH395" s="2">
        <v>0.1</v>
      </c>
      <c r="BT395" s="2">
        <v>0.25</v>
      </c>
      <c r="CM395" s="2">
        <v>0.15</v>
      </c>
      <c r="CP395" s="2">
        <v>0.2</v>
      </c>
      <c r="CS395" s="2">
        <v>0.05</v>
      </c>
      <c r="CT395" s="2"/>
      <c r="CU395" s="19"/>
      <c r="CV395" s="19">
        <f t="shared" si="1"/>
        <v>1</v>
      </c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</row>
    <row r="396">
      <c r="A396" s="9">
        <v>45347.0</v>
      </c>
      <c r="B396" s="2" t="s">
        <v>264</v>
      </c>
      <c r="C396" s="2" t="s">
        <v>199</v>
      </c>
      <c r="D396" s="2">
        <v>3.0</v>
      </c>
      <c r="E396" s="2">
        <v>40.0</v>
      </c>
      <c r="S396" s="2">
        <v>0.05</v>
      </c>
      <c r="AK396" s="2">
        <v>0.05</v>
      </c>
      <c r="AS396" s="2">
        <v>0.05</v>
      </c>
      <c r="AT396" s="2"/>
      <c r="BF396" s="2">
        <v>0.05</v>
      </c>
      <c r="BH396" s="2">
        <v>0.05</v>
      </c>
      <c r="CM396" s="2">
        <v>0.75</v>
      </c>
      <c r="CU396" s="19"/>
      <c r="CV396" s="19">
        <f t="shared" si="1"/>
        <v>1</v>
      </c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</row>
    <row r="397">
      <c r="A397" s="9">
        <v>45347.0</v>
      </c>
      <c r="B397" s="2" t="s">
        <v>264</v>
      </c>
      <c r="C397" s="2" t="s">
        <v>199</v>
      </c>
      <c r="D397" s="2">
        <v>4.0</v>
      </c>
      <c r="E397" s="2">
        <v>0.0</v>
      </c>
      <c r="S397" s="2">
        <v>0.0278</v>
      </c>
      <c r="AA397" s="2">
        <v>0.0278</v>
      </c>
      <c r="AK397" s="2">
        <v>0.0833</v>
      </c>
      <c r="AU397" s="2">
        <v>0.4</v>
      </c>
      <c r="AZ397" s="2">
        <v>0.01</v>
      </c>
      <c r="BB397" s="2">
        <v>0.0278</v>
      </c>
      <c r="BF397" s="2">
        <v>0.005</v>
      </c>
      <c r="BH397" s="2">
        <v>0.0278</v>
      </c>
      <c r="BT397" s="2">
        <v>0.0556</v>
      </c>
      <c r="CO397" s="2">
        <v>0.0278</v>
      </c>
      <c r="CP397" s="2">
        <f>11/36</f>
        <v>0.3055555556</v>
      </c>
      <c r="CU397" s="19"/>
      <c r="CV397" s="19">
        <f t="shared" si="1"/>
        <v>0.9984555556</v>
      </c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</row>
    <row r="398">
      <c r="A398" s="9">
        <v>45347.0</v>
      </c>
      <c r="B398" s="2" t="s">
        <v>264</v>
      </c>
      <c r="C398" s="2" t="s">
        <v>199</v>
      </c>
      <c r="D398" s="2">
        <v>4.0</v>
      </c>
      <c r="E398" s="2">
        <v>5.0</v>
      </c>
      <c r="G398" s="2">
        <v>0.0278</v>
      </c>
      <c r="S398" s="2">
        <v>0.0556</v>
      </c>
      <c r="AA398" s="2">
        <v>0.0139</v>
      </c>
      <c r="AU398" s="2">
        <f>6/36</f>
        <v>0.1666666667</v>
      </c>
      <c r="BH398" s="2">
        <v>0.0278</v>
      </c>
      <c r="BT398" s="2">
        <v>0.08333</v>
      </c>
      <c r="BY398" s="2">
        <v>0.005</v>
      </c>
      <c r="CM398" s="2">
        <f>6/36</f>
        <v>0.1666666667</v>
      </c>
      <c r="CO398" s="2">
        <v>0.0556</v>
      </c>
      <c r="CP398" s="2">
        <v>0.31</v>
      </c>
      <c r="CR398" s="2">
        <v>0.0833</v>
      </c>
      <c r="CU398" s="19"/>
      <c r="CV398" s="19">
        <f t="shared" si="1"/>
        <v>0.9956633333</v>
      </c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</row>
    <row r="399">
      <c r="A399" s="9">
        <v>45347.0</v>
      </c>
      <c r="B399" s="2" t="s">
        <v>264</v>
      </c>
      <c r="C399" s="2" t="s">
        <v>199</v>
      </c>
      <c r="D399" s="2">
        <v>4.0</v>
      </c>
      <c r="E399" s="2">
        <v>10.0</v>
      </c>
      <c r="G399" s="2">
        <v>0.0278</v>
      </c>
      <c r="S399" s="2">
        <v>0.0833</v>
      </c>
      <c r="AA399" s="2">
        <v>0.111</v>
      </c>
      <c r="AF399" s="2">
        <v>0.01</v>
      </c>
      <c r="AK399" s="2">
        <v>0.0278</v>
      </c>
      <c r="AU399" s="2">
        <v>0.111</v>
      </c>
      <c r="BB399" s="2">
        <v>0.01</v>
      </c>
      <c r="BH399" s="2">
        <v>0.01</v>
      </c>
      <c r="BT399" s="2">
        <v>0.194</v>
      </c>
      <c r="CP399" s="2">
        <v>0.39</v>
      </c>
      <c r="CR399" s="2">
        <v>0.0278</v>
      </c>
      <c r="CU399" s="19"/>
      <c r="CV399" s="19">
        <f t="shared" si="1"/>
        <v>1.0027</v>
      </c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</row>
    <row r="400">
      <c r="A400" s="9">
        <v>45347.0</v>
      </c>
      <c r="B400" s="2" t="s">
        <v>264</v>
      </c>
      <c r="C400" s="2" t="s">
        <v>199</v>
      </c>
      <c r="D400" s="2">
        <v>4.0</v>
      </c>
      <c r="E400" s="2">
        <v>15.0</v>
      </c>
      <c r="S400" s="2">
        <v>0.01</v>
      </c>
      <c r="AA400" s="2">
        <v>0.01</v>
      </c>
      <c r="AJ400" s="2">
        <v>0.01</v>
      </c>
      <c r="AK400" s="2">
        <v>0.167</v>
      </c>
      <c r="AU400" s="2">
        <v>0.25</v>
      </c>
      <c r="AV400" s="2">
        <v>0.01</v>
      </c>
      <c r="BB400" s="2">
        <v>0.0278</v>
      </c>
      <c r="BF400" s="2">
        <v>0.01</v>
      </c>
      <c r="BH400" s="2">
        <v>0.01</v>
      </c>
      <c r="BT400" s="2">
        <v>0.139</v>
      </c>
      <c r="BY400" s="2">
        <v>0.111</v>
      </c>
      <c r="CM400" s="2">
        <v>0.111</v>
      </c>
      <c r="CO400" s="2">
        <v>0.139</v>
      </c>
      <c r="CU400" s="19"/>
      <c r="CV400" s="19">
        <f t="shared" si="1"/>
        <v>1.0048</v>
      </c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</row>
    <row r="401">
      <c r="A401" s="9">
        <v>45347.0</v>
      </c>
      <c r="B401" s="2" t="s">
        <v>264</v>
      </c>
      <c r="C401" s="2" t="s">
        <v>199</v>
      </c>
      <c r="D401" s="2">
        <v>4.0</v>
      </c>
      <c r="E401" s="2">
        <v>20.0</v>
      </c>
      <c r="G401" s="2">
        <v>0.0556</v>
      </c>
      <c r="O401" s="2">
        <v>0.01</v>
      </c>
      <c r="S401" s="2">
        <v>0.222</v>
      </c>
      <c r="AK401" s="2">
        <v>0.0556</v>
      </c>
      <c r="BB401" s="2">
        <v>0.0278</v>
      </c>
      <c r="BF401" s="2">
        <v>0.01</v>
      </c>
      <c r="BI401" s="2" t="s">
        <v>274</v>
      </c>
      <c r="BT401" s="2">
        <v>0.0278</v>
      </c>
      <c r="CM401" s="2">
        <v>0.111</v>
      </c>
      <c r="CO401" s="2">
        <v>0.06</v>
      </c>
      <c r="CP401" s="2">
        <v>0.417</v>
      </c>
      <c r="CU401" s="19"/>
      <c r="CV401" s="19">
        <f t="shared" si="1"/>
        <v>0.9968</v>
      </c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</row>
    <row r="402">
      <c r="A402" s="9">
        <v>45347.0</v>
      </c>
      <c r="B402" s="2" t="s">
        <v>264</v>
      </c>
      <c r="C402" s="2" t="s">
        <v>199</v>
      </c>
      <c r="D402" s="2">
        <v>4.0</v>
      </c>
      <c r="E402" s="2">
        <v>25.0</v>
      </c>
      <c r="S402" s="2">
        <v>0.0278</v>
      </c>
      <c r="AK402" s="2">
        <v>0.194</v>
      </c>
      <c r="AU402" s="2">
        <v>0.0556</v>
      </c>
      <c r="AZ402" s="2">
        <v>0.01</v>
      </c>
      <c r="BF402" s="2">
        <v>0.01</v>
      </c>
      <c r="BT402" s="2">
        <v>0.0556</v>
      </c>
      <c r="CM402" s="2">
        <v>0.61</v>
      </c>
      <c r="CO402" s="2">
        <v>0.01</v>
      </c>
      <c r="CP402" s="2">
        <v>0.0278</v>
      </c>
      <c r="CU402" s="19"/>
      <c r="CV402" s="19">
        <f t="shared" si="1"/>
        <v>1.0008</v>
      </c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</row>
    <row r="403">
      <c r="A403" s="9">
        <v>45347.0</v>
      </c>
      <c r="B403" s="2" t="s">
        <v>264</v>
      </c>
      <c r="C403" s="2" t="s">
        <v>199</v>
      </c>
      <c r="D403" s="2">
        <v>4.0</v>
      </c>
      <c r="E403" s="2">
        <v>30.0</v>
      </c>
      <c r="J403" s="2">
        <v>0.01</v>
      </c>
      <c r="O403" s="2">
        <v>0.01</v>
      </c>
      <c r="S403" s="2">
        <v>0.111</v>
      </c>
      <c r="AK403" s="2">
        <v>0.0833</v>
      </c>
      <c r="AU403" s="2">
        <v>0.0556</v>
      </c>
      <c r="AV403" s="2">
        <v>0.0278</v>
      </c>
      <c r="AZ403" s="2">
        <v>0.01</v>
      </c>
      <c r="BB403" s="2">
        <v>0.0556</v>
      </c>
      <c r="BF403" s="2">
        <v>0.01</v>
      </c>
      <c r="BH403" s="2">
        <v>0.01</v>
      </c>
      <c r="BI403" s="2">
        <v>0.0556</v>
      </c>
      <c r="BT403" s="2">
        <v>0.0278</v>
      </c>
      <c r="CM403" s="2">
        <v>0.194</v>
      </c>
      <c r="CO403" s="2">
        <v>0.0278</v>
      </c>
      <c r="CP403" s="2">
        <v>0.31</v>
      </c>
      <c r="CU403" s="19"/>
      <c r="CV403" s="19">
        <f t="shared" si="1"/>
        <v>0.9985</v>
      </c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</row>
    <row r="404">
      <c r="A404" s="9">
        <v>45347.0</v>
      </c>
      <c r="B404" s="2" t="s">
        <v>264</v>
      </c>
      <c r="C404" s="2" t="s">
        <v>199</v>
      </c>
      <c r="D404" s="2">
        <v>4.0</v>
      </c>
      <c r="E404" s="2">
        <v>35.0</v>
      </c>
      <c r="S404" s="2">
        <v>0.125</v>
      </c>
      <c r="W404" s="2">
        <v>0.0278</v>
      </c>
      <c r="X404" s="2"/>
      <c r="AK404" s="2">
        <v>0.0278</v>
      </c>
      <c r="AU404" s="2">
        <v>0.38</v>
      </c>
      <c r="AV404" s="2">
        <v>0.0278</v>
      </c>
      <c r="BF404" s="2">
        <v>0.0139</v>
      </c>
      <c r="BH404" s="2">
        <v>0.01</v>
      </c>
      <c r="CM404" s="2">
        <v>0.0833</v>
      </c>
      <c r="CP404" s="2">
        <v>0.306</v>
      </c>
      <c r="CU404" s="19"/>
      <c r="CV404" s="19">
        <f t="shared" si="1"/>
        <v>1.0016</v>
      </c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</row>
    <row r="405">
      <c r="A405" s="9">
        <v>45347.0</v>
      </c>
      <c r="B405" s="2" t="s">
        <v>264</v>
      </c>
      <c r="C405" s="2" t="s">
        <v>199</v>
      </c>
      <c r="D405" s="2">
        <v>4.0</v>
      </c>
      <c r="E405" s="2">
        <v>40.0</v>
      </c>
      <c r="I405" s="2">
        <v>0.39</v>
      </c>
      <c r="O405" s="2">
        <v>0.01</v>
      </c>
      <c r="S405" s="2">
        <v>0.01</v>
      </c>
      <c r="BB405" s="2">
        <v>0.0278</v>
      </c>
      <c r="BD405" s="2">
        <v>0.01</v>
      </c>
      <c r="BF405" s="2">
        <v>0.01</v>
      </c>
      <c r="BH405" s="2">
        <v>0.0278</v>
      </c>
      <c r="CM405" s="2">
        <v>0.417</v>
      </c>
      <c r="CO405" s="2">
        <v>0.0417</v>
      </c>
      <c r="CP405" s="2">
        <v>0.0555</v>
      </c>
      <c r="CU405" s="19"/>
      <c r="CV405" s="19">
        <f t="shared" si="1"/>
        <v>0.9998</v>
      </c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</row>
    <row r="406">
      <c r="A406" s="9">
        <v>45347.0</v>
      </c>
      <c r="B406" s="2" t="s">
        <v>146</v>
      </c>
      <c r="C406" s="2" t="s">
        <v>148</v>
      </c>
      <c r="D406" s="2">
        <v>1.0</v>
      </c>
      <c r="E406" s="2">
        <v>2.0</v>
      </c>
      <c r="AK406" s="2">
        <v>0.2</v>
      </c>
      <c r="BE406" s="2">
        <v>0.01</v>
      </c>
      <c r="BN406" s="2">
        <v>0.4</v>
      </c>
      <c r="BO406" s="2">
        <v>0.3</v>
      </c>
      <c r="BT406" s="2">
        <v>0.05</v>
      </c>
      <c r="CR406" s="2">
        <v>0.04</v>
      </c>
      <c r="CU406" s="19"/>
      <c r="CV406" s="19">
        <f t="shared" si="1"/>
        <v>1</v>
      </c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</row>
    <row r="407">
      <c r="A407" s="9">
        <v>45347.0</v>
      </c>
      <c r="B407" s="2" t="s">
        <v>146</v>
      </c>
      <c r="C407" s="2" t="s">
        <v>148</v>
      </c>
      <c r="D407" s="2">
        <v>1.0</v>
      </c>
      <c r="E407" s="2">
        <v>3.0</v>
      </c>
      <c r="AQ407" s="2">
        <v>0.02</v>
      </c>
      <c r="BE407" s="2">
        <v>0.01</v>
      </c>
      <c r="BF407" s="2">
        <v>0.02</v>
      </c>
      <c r="BH407" s="2">
        <v>0.5</v>
      </c>
      <c r="BN407" s="2">
        <v>0.25</v>
      </c>
      <c r="CR407" s="2">
        <v>0.2</v>
      </c>
      <c r="CU407" s="19"/>
      <c r="CV407" s="19">
        <f t="shared" si="1"/>
        <v>1</v>
      </c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</row>
    <row r="408">
      <c r="A408" s="9">
        <v>45347.0</v>
      </c>
      <c r="B408" s="2" t="s">
        <v>146</v>
      </c>
      <c r="C408" s="2" t="s">
        <v>148</v>
      </c>
      <c r="D408" s="2">
        <v>1.0</v>
      </c>
      <c r="E408" s="2">
        <v>4.0</v>
      </c>
      <c r="O408" s="2">
        <v>0.02</v>
      </c>
      <c r="AK408" s="2">
        <v>0.01</v>
      </c>
      <c r="AQ408" s="2">
        <v>0.01</v>
      </c>
      <c r="BE408" s="2">
        <v>0.05</v>
      </c>
      <c r="BH408" s="2">
        <v>0.87</v>
      </c>
      <c r="CR408" s="2">
        <v>0.04</v>
      </c>
      <c r="CU408" s="19"/>
      <c r="CV408" s="19">
        <f t="shared" si="1"/>
        <v>1</v>
      </c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</row>
    <row r="409">
      <c r="A409" s="9">
        <v>45347.0</v>
      </c>
      <c r="B409" s="2" t="s">
        <v>146</v>
      </c>
      <c r="C409" s="2" t="s">
        <v>148</v>
      </c>
      <c r="D409" s="2">
        <v>1.0</v>
      </c>
      <c r="E409" s="2">
        <v>5.0</v>
      </c>
      <c r="O409" s="2">
        <v>0.02</v>
      </c>
      <c r="BE409" s="2">
        <v>0.03</v>
      </c>
      <c r="BH409" s="2">
        <v>0.84</v>
      </c>
      <c r="CR409" s="2">
        <v>0.11</v>
      </c>
      <c r="CU409" s="19"/>
      <c r="CV409" s="19">
        <f t="shared" si="1"/>
        <v>1</v>
      </c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</row>
    <row r="410">
      <c r="A410" s="9">
        <v>45347.0</v>
      </c>
      <c r="B410" s="2" t="s">
        <v>146</v>
      </c>
      <c r="C410" s="2" t="s">
        <v>148</v>
      </c>
      <c r="D410" s="2">
        <v>1.0</v>
      </c>
      <c r="E410" s="2">
        <v>6.0</v>
      </c>
      <c r="O410" s="2">
        <v>0.02</v>
      </c>
      <c r="AQ410" s="2">
        <v>0.03</v>
      </c>
      <c r="AU410" s="2">
        <v>0.7</v>
      </c>
      <c r="BF410" s="2">
        <v>0.01</v>
      </c>
      <c r="BH410" s="2">
        <v>0.1</v>
      </c>
      <c r="BN410" s="2">
        <v>0.1</v>
      </c>
      <c r="CM410" s="2">
        <v>0.02</v>
      </c>
      <c r="CN410" s="2">
        <v>0.02</v>
      </c>
      <c r="CU410" s="19"/>
      <c r="CV410" s="19">
        <f t="shared" si="1"/>
        <v>1</v>
      </c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</row>
    <row r="411">
      <c r="A411" s="9">
        <v>45347.0</v>
      </c>
      <c r="B411" s="2" t="s">
        <v>146</v>
      </c>
      <c r="C411" s="2" t="s">
        <v>148</v>
      </c>
      <c r="D411" s="2">
        <v>1.0</v>
      </c>
      <c r="E411" s="2">
        <v>7.0</v>
      </c>
      <c r="AL411" s="2">
        <v>0.03</v>
      </c>
      <c r="AQ411" s="2">
        <v>0.05</v>
      </c>
      <c r="AU411" s="2">
        <v>0.52</v>
      </c>
      <c r="BH411" s="2">
        <v>0.1</v>
      </c>
      <c r="CM411" s="2">
        <v>0.3</v>
      </c>
      <c r="CU411" s="19"/>
      <c r="CV411" s="19">
        <f t="shared" si="1"/>
        <v>1</v>
      </c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</row>
    <row r="412">
      <c r="A412" s="9">
        <v>45347.0</v>
      </c>
      <c r="B412" s="2" t="s">
        <v>146</v>
      </c>
      <c r="C412" s="2" t="s">
        <v>148</v>
      </c>
      <c r="D412" s="2">
        <v>1.0</v>
      </c>
      <c r="E412" s="2">
        <v>8.0</v>
      </c>
      <c r="AU412" s="2">
        <v>0.5</v>
      </c>
      <c r="BH412" s="2">
        <v>0.25</v>
      </c>
      <c r="CM412" s="2">
        <v>0.25</v>
      </c>
      <c r="CU412" s="19"/>
      <c r="CV412" s="19">
        <f t="shared" si="1"/>
        <v>1</v>
      </c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</row>
    <row r="413">
      <c r="A413" s="9">
        <v>45347.0</v>
      </c>
      <c r="B413" s="2" t="s">
        <v>146</v>
      </c>
      <c r="C413" s="2" t="s">
        <v>148</v>
      </c>
      <c r="D413" s="2">
        <v>1.0</v>
      </c>
      <c r="E413" s="2">
        <v>9.0</v>
      </c>
      <c r="O413" s="2">
        <v>0.1</v>
      </c>
      <c r="BC413" s="2">
        <v>0.5</v>
      </c>
      <c r="BH413" s="2">
        <v>0.1</v>
      </c>
      <c r="BT413" s="2">
        <v>0.2</v>
      </c>
      <c r="CR413" s="2">
        <v>0.1</v>
      </c>
      <c r="CU413" s="19"/>
      <c r="CV413" s="19">
        <f t="shared" si="1"/>
        <v>1</v>
      </c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</row>
    <row r="414">
      <c r="A414" s="9">
        <v>45347.0</v>
      </c>
      <c r="B414" s="2" t="s">
        <v>146</v>
      </c>
      <c r="C414" s="2" t="s">
        <v>148</v>
      </c>
      <c r="D414" s="2">
        <v>1.0</v>
      </c>
      <c r="E414" s="2">
        <v>10.0</v>
      </c>
      <c r="T414" s="2">
        <v>0.15</v>
      </c>
      <c r="AQ414" s="2">
        <v>0.05</v>
      </c>
      <c r="AU414" s="2">
        <v>0.05</v>
      </c>
      <c r="BF414" s="2">
        <v>0.05</v>
      </c>
      <c r="BH414" s="2">
        <v>0.1</v>
      </c>
      <c r="BN414" s="2">
        <v>0.05</v>
      </c>
      <c r="CE414" s="2">
        <v>0.1</v>
      </c>
      <c r="CN414" s="2">
        <v>0.15</v>
      </c>
      <c r="CR414" s="2">
        <v>0.3</v>
      </c>
      <c r="CU414" s="19"/>
      <c r="CV414" s="19">
        <f t="shared" si="1"/>
        <v>1</v>
      </c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</row>
    <row r="415">
      <c r="A415" s="9">
        <v>45347.0</v>
      </c>
      <c r="B415" s="2" t="s">
        <v>146</v>
      </c>
      <c r="C415" s="2" t="s">
        <v>148</v>
      </c>
      <c r="D415" s="2">
        <v>1.0</v>
      </c>
      <c r="E415" s="2">
        <v>11.0</v>
      </c>
      <c r="O415" s="2">
        <v>0.05</v>
      </c>
      <c r="BH415" s="2">
        <v>0.1</v>
      </c>
      <c r="BT415" s="2">
        <v>0.15</v>
      </c>
      <c r="CE415" s="2">
        <v>0.15</v>
      </c>
      <c r="CJ415" s="2">
        <v>0.03</v>
      </c>
      <c r="CR415" s="2">
        <v>0.52</v>
      </c>
      <c r="CU415" s="19"/>
      <c r="CV415" s="19">
        <f t="shared" si="1"/>
        <v>1</v>
      </c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</row>
    <row r="416">
      <c r="A416" s="9">
        <v>45347.0</v>
      </c>
      <c r="B416" s="2" t="s">
        <v>146</v>
      </c>
      <c r="C416" s="2" t="s">
        <v>148</v>
      </c>
      <c r="D416" s="2">
        <v>1.0</v>
      </c>
      <c r="E416" s="2">
        <v>12.0</v>
      </c>
      <c r="BT416" s="2">
        <v>0.25</v>
      </c>
      <c r="CE416" s="2">
        <v>0.15</v>
      </c>
      <c r="CJ416" s="2">
        <v>0.04</v>
      </c>
      <c r="CR416" s="2">
        <v>0.56</v>
      </c>
      <c r="CU416" s="19"/>
      <c r="CV416" s="19">
        <f t="shared" si="1"/>
        <v>1</v>
      </c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</row>
    <row r="417">
      <c r="A417" s="9">
        <v>45347.0</v>
      </c>
      <c r="B417" s="2" t="s">
        <v>146</v>
      </c>
      <c r="C417" s="2" t="s">
        <v>148</v>
      </c>
      <c r="D417" s="2">
        <v>2.0</v>
      </c>
      <c r="E417" s="2">
        <v>2.0</v>
      </c>
      <c r="AC417" s="2">
        <v>0.01</v>
      </c>
      <c r="AL417" s="2">
        <v>0.3</v>
      </c>
      <c r="AX417" s="2">
        <v>0.6</v>
      </c>
      <c r="BN417" s="2">
        <v>0.08</v>
      </c>
      <c r="CR417" s="2">
        <v>0.01</v>
      </c>
      <c r="CU417" s="19"/>
      <c r="CV417" s="19">
        <f t="shared" si="1"/>
        <v>1</v>
      </c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</row>
    <row r="418">
      <c r="A418" s="9">
        <v>45347.0</v>
      </c>
      <c r="B418" s="2" t="s">
        <v>146</v>
      </c>
      <c r="C418" s="2" t="s">
        <v>148</v>
      </c>
      <c r="D418" s="2">
        <v>2.0</v>
      </c>
      <c r="E418" s="2">
        <v>3.0</v>
      </c>
      <c r="O418" s="2">
        <v>0.02</v>
      </c>
      <c r="AC418" s="2">
        <v>0.1</v>
      </c>
      <c r="AL418" s="2">
        <v>0.01</v>
      </c>
      <c r="BE418" s="2">
        <v>0.02</v>
      </c>
      <c r="BN418" s="2">
        <v>0.6</v>
      </c>
      <c r="BO418" s="2">
        <v>0.1</v>
      </c>
      <c r="CR418" s="2">
        <v>0.15</v>
      </c>
      <c r="CU418" s="19"/>
      <c r="CV418" s="19">
        <f t="shared" si="1"/>
        <v>1</v>
      </c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</row>
    <row r="419">
      <c r="A419" s="9">
        <v>45347.0</v>
      </c>
      <c r="B419" s="2" t="s">
        <v>146</v>
      </c>
      <c r="C419" s="2" t="s">
        <v>148</v>
      </c>
      <c r="D419" s="2">
        <v>2.0</v>
      </c>
      <c r="E419" s="2">
        <v>4.0</v>
      </c>
      <c r="S419" s="2">
        <v>0.02</v>
      </c>
      <c r="BF419" s="2">
        <v>0.02</v>
      </c>
      <c r="BH419" s="2">
        <v>0.02</v>
      </c>
      <c r="BN419" s="2">
        <v>0.5</v>
      </c>
      <c r="BO419" s="2">
        <v>0.4</v>
      </c>
      <c r="CR419" s="2">
        <v>0.04</v>
      </c>
      <c r="CU419" s="19"/>
      <c r="CV419" s="19">
        <f t="shared" si="1"/>
        <v>1</v>
      </c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</row>
    <row r="420">
      <c r="A420" s="9">
        <v>45347.0</v>
      </c>
      <c r="B420" s="2" t="s">
        <v>146</v>
      </c>
      <c r="C420" s="2" t="s">
        <v>148</v>
      </c>
      <c r="D420" s="2">
        <v>2.0</v>
      </c>
      <c r="E420" s="2">
        <v>5.0</v>
      </c>
      <c r="AQ420" s="2">
        <v>0.02</v>
      </c>
      <c r="BE420" s="2">
        <v>0.01</v>
      </c>
      <c r="BH420" s="2">
        <v>0.85</v>
      </c>
      <c r="BN420" s="2">
        <v>0.12</v>
      </c>
      <c r="CU420" s="19"/>
      <c r="CV420" s="19">
        <f t="shared" si="1"/>
        <v>1</v>
      </c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</row>
    <row r="421">
      <c r="A421" s="9">
        <v>45347.0</v>
      </c>
      <c r="B421" s="2" t="s">
        <v>146</v>
      </c>
      <c r="C421" s="2" t="s">
        <v>148</v>
      </c>
      <c r="D421" s="2">
        <v>2.0</v>
      </c>
      <c r="E421" s="2">
        <v>6.0</v>
      </c>
      <c r="AL421" s="2">
        <v>0.01</v>
      </c>
      <c r="BF421" s="2">
        <v>0.01</v>
      </c>
      <c r="BH421" s="2">
        <v>0.9</v>
      </c>
      <c r="BN421" s="2">
        <v>0.08</v>
      </c>
      <c r="CU421" s="19"/>
      <c r="CV421" s="19">
        <f t="shared" si="1"/>
        <v>1</v>
      </c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</row>
    <row r="422">
      <c r="A422" s="9">
        <v>45347.0</v>
      </c>
      <c r="B422" s="2" t="s">
        <v>146</v>
      </c>
      <c r="C422" s="2" t="s">
        <v>148</v>
      </c>
      <c r="D422" s="2">
        <v>2.0</v>
      </c>
      <c r="E422" s="2">
        <v>7.0</v>
      </c>
      <c r="O422" s="2">
        <v>0.03</v>
      </c>
      <c r="AL422" s="2">
        <v>0.01</v>
      </c>
      <c r="AQ422" s="2">
        <v>0.01</v>
      </c>
      <c r="BH422" s="2">
        <v>0.6</v>
      </c>
      <c r="BN422" s="2">
        <v>0.1</v>
      </c>
      <c r="CR422" s="2">
        <v>0.25</v>
      </c>
      <c r="CU422" s="19"/>
      <c r="CV422" s="19">
        <f t="shared" si="1"/>
        <v>1</v>
      </c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</row>
    <row r="423">
      <c r="A423" s="9">
        <v>45347.0</v>
      </c>
      <c r="B423" s="2" t="s">
        <v>146</v>
      </c>
      <c r="C423" s="2" t="s">
        <v>148</v>
      </c>
      <c r="D423" s="2">
        <v>2.0</v>
      </c>
      <c r="E423" s="2">
        <v>8.0</v>
      </c>
      <c r="AL423" s="2">
        <v>0.05</v>
      </c>
      <c r="AU423" s="2">
        <v>0.65</v>
      </c>
      <c r="BH423" s="2">
        <v>0.15</v>
      </c>
      <c r="BN423" s="2">
        <v>0.1</v>
      </c>
      <c r="CM423" s="2">
        <v>0.05</v>
      </c>
      <c r="CU423" s="19"/>
      <c r="CV423" s="19">
        <f t="shared" si="1"/>
        <v>1</v>
      </c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</row>
    <row r="424">
      <c r="A424" s="9">
        <v>45347.0</v>
      </c>
      <c r="B424" s="2" t="s">
        <v>146</v>
      </c>
      <c r="C424" s="2" t="s">
        <v>148</v>
      </c>
      <c r="D424" s="2">
        <v>2.0</v>
      </c>
      <c r="E424" s="2">
        <v>9.0</v>
      </c>
      <c r="O424" s="2">
        <v>0.01</v>
      </c>
      <c r="AU424" s="2">
        <v>0.95</v>
      </c>
      <c r="BH424" s="2">
        <v>0.03</v>
      </c>
      <c r="CM424" s="2">
        <v>0.01</v>
      </c>
      <c r="CU424" s="19"/>
      <c r="CV424" s="19">
        <f t="shared" si="1"/>
        <v>1</v>
      </c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</row>
    <row r="425">
      <c r="A425" s="9">
        <v>45347.0</v>
      </c>
      <c r="B425" s="2" t="s">
        <v>146</v>
      </c>
      <c r="C425" s="2" t="s">
        <v>148</v>
      </c>
      <c r="D425" s="2">
        <v>2.0</v>
      </c>
      <c r="E425" s="2">
        <v>10.0</v>
      </c>
      <c r="AU425" s="2">
        <v>0.08</v>
      </c>
      <c r="BT425" s="2">
        <v>0.4</v>
      </c>
      <c r="CJ425" s="2">
        <v>0.02</v>
      </c>
      <c r="CR425" s="2">
        <v>0.5</v>
      </c>
      <c r="CU425" s="19"/>
      <c r="CV425" s="19">
        <f t="shared" si="1"/>
        <v>1</v>
      </c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</row>
    <row r="426">
      <c r="A426" s="9">
        <v>45347.0</v>
      </c>
      <c r="B426" s="2" t="s">
        <v>146</v>
      </c>
      <c r="C426" s="2" t="s">
        <v>148</v>
      </c>
      <c r="D426" s="2">
        <v>2.0</v>
      </c>
      <c r="E426" s="2">
        <v>11.0</v>
      </c>
      <c r="BN426" s="2">
        <v>0.02</v>
      </c>
      <c r="CN426" s="2">
        <v>0.88</v>
      </c>
      <c r="CR426" s="2">
        <v>0.1</v>
      </c>
      <c r="CU426" s="19"/>
      <c r="CV426" s="19">
        <f t="shared" si="1"/>
        <v>1</v>
      </c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</row>
    <row r="427">
      <c r="A427" s="9">
        <v>45347.0</v>
      </c>
      <c r="B427" s="2" t="s">
        <v>146</v>
      </c>
      <c r="C427" s="2" t="s">
        <v>148</v>
      </c>
      <c r="D427" s="2">
        <v>2.0</v>
      </c>
      <c r="E427" s="2">
        <v>12.0</v>
      </c>
      <c r="CJ427" s="2">
        <v>0.04</v>
      </c>
      <c r="CR427" s="2">
        <v>0.96</v>
      </c>
      <c r="CU427" s="19"/>
      <c r="CV427" s="19">
        <f t="shared" si="1"/>
        <v>1</v>
      </c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</row>
    <row r="428">
      <c r="A428" s="9">
        <v>45353.0</v>
      </c>
      <c r="B428" s="2" t="s">
        <v>57</v>
      </c>
      <c r="C428" s="2" t="s">
        <v>65</v>
      </c>
      <c r="D428" s="2">
        <v>1.0</v>
      </c>
      <c r="E428" s="2">
        <v>2.0</v>
      </c>
      <c r="AU428" s="2">
        <v>0.15</v>
      </c>
      <c r="BH428" s="2">
        <v>0.05</v>
      </c>
      <c r="BS428" s="2">
        <v>0.05</v>
      </c>
      <c r="BT428" s="2">
        <v>0.1</v>
      </c>
      <c r="CJ428" s="2"/>
      <c r="CR428" s="2">
        <v>0.65</v>
      </c>
      <c r="CU428" s="19"/>
      <c r="CV428" s="19">
        <f t="shared" si="1"/>
        <v>1</v>
      </c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</row>
    <row r="429">
      <c r="A429" s="9">
        <v>45353.0</v>
      </c>
      <c r="B429" s="2" t="s">
        <v>57</v>
      </c>
      <c r="C429" s="2" t="s">
        <v>65</v>
      </c>
      <c r="D429" s="2">
        <v>1.0</v>
      </c>
      <c r="E429" s="2">
        <v>4.0</v>
      </c>
      <c r="AU429" s="2">
        <v>0.1</v>
      </c>
      <c r="BH429" s="2">
        <v>0.15</v>
      </c>
      <c r="BN429" s="2">
        <v>0.4</v>
      </c>
      <c r="BS429" s="2">
        <v>0.02</v>
      </c>
      <c r="BT429" s="2">
        <v>0.05</v>
      </c>
      <c r="CJ429" s="2"/>
      <c r="CR429" s="2">
        <v>0.28</v>
      </c>
      <c r="CU429" s="19"/>
      <c r="CV429" s="19">
        <f t="shared" si="1"/>
        <v>1</v>
      </c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</row>
    <row r="430">
      <c r="A430" s="9">
        <v>45353.0</v>
      </c>
      <c r="B430" s="2" t="s">
        <v>57</v>
      </c>
      <c r="C430" s="2" t="s">
        <v>65</v>
      </c>
      <c r="D430" s="2">
        <v>1.0</v>
      </c>
      <c r="E430" s="2">
        <v>6.0</v>
      </c>
      <c r="W430" s="2">
        <v>0.15</v>
      </c>
      <c r="AU430" s="2">
        <v>0.05</v>
      </c>
      <c r="BN430" s="2">
        <v>0.1</v>
      </c>
      <c r="BS430" s="2">
        <v>0.05</v>
      </c>
      <c r="BT430" s="2">
        <v>0.05</v>
      </c>
      <c r="CJ430" s="2"/>
      <c r="CR430" s="2">
        <v>0.6</v>
      </c>
      <c r="CU430" s="19"/>
      <c r="CV430" s="19">
        <f t="shared" si="1"/>
        <v>1</v>
      </c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</row>
    <row r="431">
      <c r="A431" s="9">
        <v>45353.0</v>
      </c>
      <c r="B431" s="2" t="s">
        <v>57</v>
      </c>
      <c r="C431" s="2" t="s">
        <v>65</v>
      </c>
      <c r="D431" s="2">
        <v>1.0</v>
      </c>
      <c r="E431" s="2">
        <v>8.0</v>
      </c>
      <c r="AU431" s="2">
        <v>0.1</v>
      </c>
      <c r="BE431" s="2">
        <v>0.02</v>
      </c>
      <c r="BH431" s="2">
        <v>0.05</v>
      </c>
      <c r="BN431" s="2">
        <v>0.2</v>
      </c>
      <c r="BT431" s="2">
        <v>0.1</v>
      </c>
      <c r="CJ431" s="2"/>
      <c r="CR431" s="2">
        <v>0.53</v>
      </c>
      <c r="CU431" s="19"/>
      <c r="CV431" s="19">
        <f t="shared" si="1"/>
        <v>1</v>
      </c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</row>
    <row r="432">
      <c r="A432" s="9">
        <v>45353.0</v>
      </c>
      <c r="B432" s="2" t="s">
        <v>57</v>
      </c>
      <c r="C432" s="2" t="s">
        <v>65</v>
      </c>
      <c r="D432" s="2">
        <v>1.0</v>
      </c>
      <c r="E432" s="2">
        <v>10.0</v>
      </c>
      <c r="AC432" s="2">
        <v>0.05</v>
      </c>
      <c r="AU432" s="2">
        <v>0.05</v>
      </c>
      <c r="BE432" s="2">
        <v>0.02</v>
      </c>
      <c r="BH432" s="2">
        <v>0.2</v>
      </c>
      <c r="BN432" s="2">
        <v>0.2</v>
      </c>
      <c r="CJ432" s="2"/>
      <c r="CR432" s="2">
        <v>0.48</v>
      </c>
      <c r="CU432" s="19"/>
      <c r="CV432" s="19">
        <f t="shared" si="1"/>
        <v>1</v>
      </c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</row>
    <row r="433">
      <c r="A433" s="9">
        <v>45353.0</v>
      </c>
      <c r="B433" s="2" t="s">
        <v>57</v>
      </c>
      <c r="C433" s="2" t="s">
        <v>65</v>
      </c>
      <c r="D433" s="2">
        <v>1.0</v>
      </c>
      <c r="E433" s="2">
        <v>12.0</v>
      </c>
      <c r="AC433" s="2"/>
      <c r="AU433" s="2">
        <v>0.05</v>
      </c>
      <c r="BE433" s="2"/>
      <c r="BF433" s="2">
        <v>0.02</v>
      </c>
      <c r="BH433" s="2">
        <v>0.1</v>
      </c>
      <c r="BN433" s="2">
        <v>0.2</v>
      </c>
      <c r="CJ433" s="2"/>
      <c r="CM433" s="2">
        <v>0.1</v>
      </c>
      <c r="CR433" s="2">
        <v>0.53</v>
      </c>
      <c r="CU433" s="19"/>
      <c r="CV433" s="19">
        <f t="shared" si="1"/>
        <v>1</v>
      </c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</row>
    <row r="434">
      <c r="A434" s="9">
        <v>45353.0</v>
      </c>
      <c r="B434" s="2" t="s">
        <v>57</v>
      </c>
      <c r="C434" s="2" t="s">
        <v>65</v>
      </c>
      <c r="D434" s="2">
        <v>1.0</v>
      </c>
      <c r="E434" s="2">
        <v>14.0</v>
      </c>
      <c r="AC434" s="2">
        <v>0.05</v>
      </c>
      <c r="AU434" s="2"/>
      <c r="BE434" s="2"/>
      <c r="BH434" s="2"/>
      <c r="BN434" s="2">
        <v>0.35</v>
      </c>
      <c r="CJ434" s="2"/>
      <c r="CM434" s="2">
        <v>0.6</v>
      </c>
      <c r="CR434" s="2"/>
      <c r="CU434" s="19"/>
      <c r="CV434" s="19">
        <f t="shared" si="1"/>
        <v>1</v>
      </c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</row>
    <row r="435">
      <c r="A435" s="9">
        <v>45353.0</v>
      </c>
      <c r="B435" s="2" t="s">
        <v>57</v>
      </c>
      <c r="C435" s="2" t="s">
        <v>65</v>
      </c>
      <c r="D435" s="2">
        <v>1.0</v>
      </c>
      <c r="E435" s="2">
        <v>16.0</v>
      </c>
      <c r="AC435" s="2"/>
      <c r="AU435" s="2"/>
      <c r="BE435" s="2"/>
      <c r="BH435" s="2">
        <v>0.15</v>
      </c>
      <c r="BN435" s="2">
        <v>0.25</v>
      </c>
      <c r="CJ435" s="2"/>
      <c r="CM435" s="2">
        <v>0.6</v>
      </c>
      <c r="CR435" s="2"/>
      <c r="CU435" s="19"/>
      <c r="CV435" s="19">
        <f t="shared" si="1"/>
        <v>1</v>
      </c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</row>
    <row r="436">
      <c r="A436" s="9">
        <v>45353.0</v>
      </c>
      <c r="B436" s="2" t="s">
        <v>57</v>
      </c>
      <c r="C436" s="2" t="s">
        <v>65</v>
      </c>
      <c r="D436" s="2">
        <v>1.0</v>
      </c>
      <c r="E436" s="2">
        <v>18.0</v>
      </c>
      <c r="H436" s="2">
        <v>0.1</v>
      </c>
      <c r="AC436" s="2"/>
      <c r="AU436" s="2"/>
      <c r="BE436" s="2"/>
      <c r="BH436" s="2">
        <v>0.35</v>
      </c>
      <c r="BN436" s="2"/>
      <c r="CJ436" s="2"/>
      <c r="CM436" s="2">
        <v>0.1</v>
      </c>
      <c r="CN436" s="2">
        <v>0.1</v>
      </c>
      <c r="CR436" s="2">
        <v>0.35</v>
      </c>
      <c r="CU436" s="19"/>
      <c r="CV436" s="19">
        <f t="shared" si="1"/>
        <v>1</v>
      </c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</row>
    <row r="437">
      <c r="A437" s="9">
        <v>45353.0</v>
      </c>
      <c r="B437" s="2" t="s">
        <v>57</v>
      </c>
      <c r="C437" s="2" t="s">
        <v>65</v>
      </c>
      <c r="D437" s="2">
        <v>1.0</v>
      </c>
      <c r="E437" s="2">
        <v>20.0</v>
      </c>
      <c r="AC437" s="2"/>
      <c r="AU437" s="2"/>
      <c r="BE437" s="2"/>
      <c r="BH437" s="2"/>
      <c r="BN437" s="2"/>
      <c r="CG437" s="2">
        <v>0.01</v>
      </c>
      <c r="CJ437" s="2"/>
      <c r="CR437" s="2">
        <v>0.99</v>
      </c>
      <c r="CU437" s="19"/>
      <c r="CV437" s="19">
        <f t="shared" si="1"/>
        <v>1</v>
      </c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</row>
    <row r="438">
      <c r="A438" s="9">
        <v>45353.0</v>
      </c>
      <c r="B438" s="2" t="s">
        <v>57</v>
      </c>
      <c r="C438" s="2" t="s">
        <v>65</v>
      </c>
      <c r="D438" s="2">
        <v>2.0</v>
      </c>
      <c r="E438" s="2">
        <v>2.0</v>
      </c>
      <c r="W438" s="2">
        <v>0.15</v>
      </c>
      <c r="Y438" s="2">
        <v>0.15</v>
      </c>
      <c r="AC438" s="2"/>
      <c r="AU438" s="2">
        <v>0.05</v>
      </c>
      <c r="BE438" s="2"/>
      <c r="BH438" s="2"/>
      <c r="BN438" s="2"/>
      <c r="BT438" s="2">
        <v>0.05</v>
      </c>
      <c r="CG438" s="2"/>
      <c r="CJ438" s="2"/>
      <c r="CR438" s="2">
        <v>0.6</v>
      </c>
      <c r="CU438" s="19"/>
      <c r="CV438" s="19">
        <f t="shared" si="1"/>
        <v>1</v>
      </c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</row>
    <row r="439">
      <c r="A439" s="9">
        <v>45353.0</v>
      </c>
      <c r="B439" s="2" t="s">
        <v>57</v>
      </c>
      <c r="C439" s="2" t="s">
        <v>65</v>
      </c>
      <c r="D439" s="2">
        <v>2.0</v>
      </c>
      <c r="E439" s="2">
        <v>4.0</v>
      </c>
      <c r="W439" s="2">
        <v>0.2</v>
      </c>
      <c r="AC439" s="2"/>
      <c r="AU439" s="2">
        <v>0.05</v>
      </c>
      <c r="BE439" s="2"/>
      <c r="BH439" s="2">
        <v>0.05</v>
      </c>
      <c r="BN439" s="2"/>
      <c r="BS439" s="2">
        <v>0.1</v>
      </c>
      <c r="CG439" s="2"/>
      <c r="CJ439" s="2"/>
      <c r="CR439" s="2">
        <v>0.6</v>
      </c>
      <c r="CU439" s="19"/>
      <c r="CV439" s="19">
        <f t="shared" si="1"/>
        <v>1</v>
      </c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</row>
    <row r="440">
      <c r="A440" s="9">
        <v>45353.0</v>
      </c>
      <c r="B440" s="2" t="s">
        <v>57</v>
      </c>
      <c r="C440" s="2" t="s">
        <v>65</v>
      </c>
      <c r="D440" s="2">
        <v>2.0</v>
      </c>
      <c r="E440" s="2">
        <v>6.0</v>
      </c>
      <c r="W440" s="2">
        <v>0.05</v>
      </c>
      <c r="AC440" s="2"/>
      <c r="AU440" s="2">
        <v>0.15</v>
      </c>
      <c r="BE440" s="2"/>
      <c r="BH440" s="2">
        <v>0.05</v>
      </c>
      <c r="BN440" s="2"/>
      <c r="CG440" s="2"/>
      <c r="CJ440" s="2"/>
      <c r="CM440" s="2">
        <v>0.65</v>
      </c>
      <c r="CR440" s="2">
        <v>0.1</v>
      </c>
      <c r="CU440" s="19"/>
      <c r="CV440" s="19">
        <f t="shared" si="1"/>
        <v>1</v>
      </c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</row>
    <row r="441">
      <c r="A441" s="9">
        <v>45353.0</v>
      </c>
      <c r="B441" s="2" t="s">
        <v>57</v>
      </c>
      <c r="C441" s="2" t="s">
        <v>65</v>
      </c>
      <c r="D441" s="2">
        <v>2.0</v>
      </c>
      <c r="E441" s="2">
        <v>8.0</v>
      </c>
      <c r="S441" s="2">
        <v>0.25</v>
      </c>
      <c r="AC441" s="2"/>
      <c r="AU441" s="2"/>
      <c r="BE441" s="2">
        <v>0.05</v>
      </c>
      <c r="BH441" s="2">
        <v>0.02</v>
      </c>
      <c r="BN441" s="2"/>
      <c r="CG441" s="2"/>
      <c r="CJ441" s="2"/>
      <c r="CM441" s="2">
        <v>0.48</v>
      </c>
      <c r="CR441" s="2">
        <v>0.2</v>
      </c>
      <c r="CU441" s="19"/>
      <c r="CV441" s="19">
        <f t="shared" si="1"/>
        <v>1</v>
      </c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</row>
    <row r="442">
      <c r="A442" s="9">
        <v>45353.0</v>
      </c>
      <c r="B442" s="2" t="s">
        <v>57</v>
      </c>
      <c r="C442" s="2" t="s">
        <v>65</v>
      </c>
      <c r="D442" s="2">
        <v>2.0</v>
      </c>
      <c r="E442" s="2">
        <v>10.0</v>
      </c>
      <c r="W442" s="2">
        <v>0.15</v>
      </c>
      <c r="AC442" s="2">
        <v>0.1</v>
      </c>
      <c r="AU442" s="2"/>
      <c r="BE442" s="2"/>
      <c r="BH442" s="2">
        <v>0.2</v>
      </c>
      <c r="BN442" s="2"/>
      <c r="CG442" s="2"/>
      <c r="CJ442" s="2"/>
      <c r="CM442" s="2">
        <v>0.55</v>
      </c>
      <c r="CR442" s="2"/>
      <c r="CU442" s="19"/>
      <c r="CV442" s="19">
        <f t="shared" si="1"/>
        <v>1</v>
      </c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</row>
    <row r="443">
      <c r="A443" s="9">
        <v>45353.0</v>
      </c>
      <c r="B443" s="2" t="s">
        <v>57</v>
      </c>
      <c r="C443" s="2" t="s">
        <v>65</v>
      </c>
      <c r="D443" s="2">
        <v>2.0</v>
      </c>
      <c r="E443" s="2">
        <v>12.0</v>
      </c>
      <c r="W443" s="2"/>
      <c r="AC443" s="2"/>
      <c r="AU443" s="2">
        <v>0.4</v>
      </c>
      <c r="BE443" s="2"/>
      <c r="BH443" s="2">
        <v>0.05</v>
      </c>
      <c r="BN443" s="2">
        <v>0.2</v>
      </c>
      <c r="BT443" s="2">
        <v>0.05</v>
      </c>
      <c r="CG443" s="2"/>
      <c r="CJ443" s="2"/>
      <c r="CM443" s="2">
        <v>0.3</v>
      </c>
      <c r="CR443" s="2"/>
      <c r="CU443" s="19"/>
      <c r="CV443" s="19">
        <f t="shared" si="1"/>
        <v>1</v>
      </c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</row>
    <row r="444">
      <c r="A444" s="9">
        <v>45353.0</v>
      </c>
      <c r="B444" s="2" t="s">
        <v>57</v>
      </c>
      <c r="C444" s="2" t="s">
        <v>65</v>
      </c>
      <c r="D444" s="2">
        <v>2.0</v>
      </c>
      <c r="E444" s="2">
        <v>14.0</v>
      </c>
      <c r="W444" s="2"/>
      <c r="AC444" s="2"/>
      <c r="AU444" s="2"/>
      <c r="BE444" s="2"/>
      <c r="BH444" s="2">
        <v>0.03</v>
      </c>
      <c r="BN444" s="2">
        <v>0.4</v>
      </c>
      <c r="BT444" s="2">
        <v>0.2</v>
      </c>
      <c r="CG444" s="2"/>
      <c r="CJ444" s="2"/>
      <c r="CM444" s="2">
        <v>0.19</v>
      </c>
      <c r="CN444" s="2">
        <v>0.18</v>
      </c>
      <c r="CR444" s="2"/>
      <c r="CU444" s="19"/>
      <c r="CV444" s="19">
        <f t="shared" si="1"/>
        <v>1</v>
      </c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</row>
    <row r="445">
      <c r="A445" s="9">
        <v>45353.0</v>
      </c>
      <c r="B445" s="2" t="s">
        <v>57</v>
      </c>
      <c r="C445" s="2" t="s">
        <v>65</v>
      </c>
      <c r="D445" s="2">
        <v>2.0</v>
      </c>
      <c r="E445" s="2">
        <v>16.0</v>
      </c>
      <c r="W445" s="2"/>
      <c r="AC445" s="2"/>
      <c r="AU445" s="2"/>
      <c r="BE445" s="2"/>
      <c r="BH445" s="2">
        <v>0.05</v>
      </c>
      <c r="BN445" s="2">
        <v>0.75</v>
      </c>
      <c r="BT445" s="2">
        <v>0.05</v>
      </c>
      <c r="CG445" s="2"/>
      <c r="CJ445" s="2"/>
      <c r="CM445" s="2">
        <v>0.15</v>
      </c>
      <c r="CR445" s="2"/>
      <c r="CU445" s="19"/>
      <c r="CV445" s="19">
        <f t="shared" si="1"/>
        <v>1</v>
      </c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</row>
    <row r="446">
      <c r="A446" s="9">
        <v>45353.0</v>
      </c>
      <c r="B446" s="2" t="s">
        <v>57</v>
      </c>
      <c r="C446" s="2" t="s">
        <v>65</v>
      </c>
      <c r="D446" s="2">
        <v>2.0</v>
      </c>
      <c r="E446" s="2">
        <v>18.0</v>
      </c>
      <c r="W446" s="2"/>
      <c r="AC446" s="2"/>
      <c r="AU446" s="2"/>
      <c r="BE446" s="2"/>
      <c r="BH446" s="2">
        <v>0.5</v>
      </c>
      <c r="BN446" s="2">
        <v>0.1</v>
      </c>
      <c r="BT446" s="2">
        <v>0.1</v>
      </c>
      <c r="CG446" s="2"/>
      <c r="CJ446" s="2"/>
      <c r="CM446" s="2">
        <v>0.3</v>
      </c>
      <c r="CR446" s="2"/>
      <c r="CU446" s="19"/>
      <c r="CV446" s="19">
        <f t="shared" si="1"/>
        <v>1</v>
      </c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</row>
    <row r="447">
      <c r="A447" s="9">
        <v>45353.0</v>
      </c>
      <c r="B447" s="2" t="s">
        <v>57</v>
      </c>
      <c r="C447" s="2" t="s">
        <v>65</v>
      </c>
      <c r="D447" s="2">
        <v>2.0</v>
      </c>
      <c r="E447" s="2">
        <v>20.0</v>
      </c>
      <c r="W447" s="2"/>
      <c r="AC447" s="2"/>
      <c r="AU447" s="2"/>
      <c r="BE447" s="2"/>
      <c r="BH447" s="2"/>
      <c r="BN447" s="2"/>
      <c r="CG447" s="2">
        <v>0.01</v>
      </c>
      <c r="CJ447" s="2"/>
      <c r="CM447" s="2"/>
      <c r="CR447" s="2">
        <v>0.99</v>
      </c>
      <c r="CU447" s="19"/>
      <c r="CV447" s="19">
        <f t="shared" si="1"/>
        <v>1</v>
      </c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</row>
    <row r="448">
      <c r="A448" s="9">
        <v>45353.0</v>
      </c>
      <c r="B448" s="2" t="s">
        <v>57</v>
      </c>
      <c r="C448" s="2" t="s">
        <v>65</v>
      </c>
      <c r="D448" s="2">
        <v>3.0</v>
      </c>
      <c r="E448" s="2">
        <v>2.0</v>
      </c>
      <c r="S448" s="2">
        <v>0.3</v>
      </c>
      <c r="W448" s="2">
        <v>0.07</v>
      </c>
      <c r="AC448" s="2">
        <v>0.05</v>
      </c>
      <c r="AU448" s="2">
        <v>0.1</v>
      </c>
      <c r="BE448" s="2"/>
      <c r="BH448" s="2">
        <v>0.05</v>
      </c>
      <c r="BN448" s="2">
        <v>0.1</v>
      </c>
      <c r="BS448" s="2">
        <v>0.05</v>
      </c>
      <c r="BV448" s="2">
        <v>0.28</v>
      </c>
      <c r="CG448" s="2"/>
      <c r="CJ448" s="2"/>
      <c r="CM448" s="2"/>
      <c r="CR448" s="2"/>
      <c r="CU448" s="19"/>
      <c r="CV448" s="19">
        <f t="shared" si="1"/>
        <v>1</v>
      </c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</row>
    <row r="449">
      <c r="A449" s="9">
        <v>45353.0</v>
      </c>
      <c r="B449" s="2" t="s">
        <v>57</v>
      </c>
      <c r="C449" s="2" t="s">
        <v>65</v>
      </c>
      <c r="D449" s="2">
        <v>3.0</v>
      </c>
      <c r="E449" s="2">
        <v>4.0</v>
      </c>
      <c r="W449" s="2"/>
      <c r="AC449" s="2"/>
      <c r="AU449" s="2">
        <v>0.1</v>
      </c>
      <c r="BE449" s="2"/>
      <c r="BH449" s="2">
        <v>0.05</v>
      </c>
      <c r="BL449" s="2">
        <v>0.05</v>
      </c>
      <c r="BN449" s="2">
        <v>0.1</v>
      </c>
      <c r="BP449" s="2">
        <v>0.03</v>
      </c>
      <c r="BS449" s="2">
        <v>0.05</v>
      </c>
      <c r="CG449" s="2"/>
      <c r="CJ449" s="2"/>
      <c r="CM449" s="2">
        <v>0.3</v>
      </c>
      <c r="CQ449" s="2">
        <v>0.05</v>
      </c>
      <c r="CR449" s="2">
        <v>0.27</v>
      </c>
      <c r="CU449" s="19"/>
      <c r="CV449" s="19">
        <f t="shared" si="1"/>
        <v>1</v>
      </c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</row>
    <row r="450">
      <c r="A450" s="9">
        <v>45353.0</v>
      </c>
      <c r="B450" s="2" t="s">
        <v>57</v>
      </c>
      <c r="C450" s="2" t="s">
        <v>65</v>
      </c>
      <c r="D450" s="2">
        <v>3.0</v>
      </c>
      <c r="E450" s="2">
        <v>6.0</v>
      </c>
      <c r="S450" s="2">
        <v>0.5</v>
      </c>
      <c r="W450" s="2"/>
      <c r="AC450" s="2"/>
      <c r="AI450" s="2">
        <v>0.05</v>
      </c>
      <c r="AU450" s="2">
        <v>0.1</v>
      </c>
      <c r="BE450" s="2"/>
      <c r="BH450" s="2">
        <v>0.2</v>
      </c>
      <c r="BN450" s="2">
        <v>0.05</v>
      </c>
      <c r="BS450" s="2">
        <v>0.1</v>
      </c>
      <c r="CG450" s="2"/>
      <c r="CJ450" s="2"/>
      <c r="CM450" s="2"/>
      <c r="CR450" s="2"/>
      <c r="CU450" s="19"/>
      <c r="CV450" s="19">
        <f t="shared" si="1"/>
        <v>1</v>
      </c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</row>
    <row r="451">
      <c r="A451" s="9">
        <v>45353.0</v>
      </c>
      <c r="B451" s="2" t="s">
        <v>57</v>
      </c>
      <c r="C451" s="2" t="s">
        <v>65</v>
      </c>
      <c r="D451" s="2">
        <v>3.0</v>
      </c>
      <c r="E451" s="2">
        <v>8.0</v>
      </c>
      <c r="W451" s="2"/>
      <c r="Y451" s="2">
        <v>0.05</v>
      </c>
      <c r="AC451" s="2">
        <v>0.1</v>
      </c>
      <c r="AI451" s="2">
        <v>0.05</v>
      </c>
      <c r="AU451" s="2"/>
      <c r="BE451" s="2"/>
      <c r="BH451" s="2"/>
      <c r="BN451" s="2">
        <v>0.1</v>
      </c>
      <c r="BP451" s="2">
        <v>0.03</v>
      </c>
      <c r="BV451" s="2">
        <v>0.15</v>
      </c>
      <c r="CG451" s="2"/>
      <c r="CJ451" s="2"/>
      <c r="CM451" s="2"/>
      <c r="CR451" s="2">
        <v>0.22</v>
      </c>
      <c r="CS451" s="2">
        <v>0.3</v>
      </c>
      <c r="CU451" s="19"/>
      <c r="CV451" s="19">
        <f t="shared" si="1"/>
        <v>1</v>
      </c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</row>
    <row r="452">
      <c r="A452" s="9">
        <v>45353.0</v>
      </c>
      <c r="B452" s="2" t="s">
        <v>57</v>
      </c>
      <c r="C452" s="2" t="s">
        <v>65</v>
      </c>
      <c r="D452" s="2">
        <v>3.0</v>
      </c>
      <c r="E452" s="2">
        <v>10.0</v>
      </c>
      <c r="W452" s="2"/>
      <c r="AC452" s="2">
        <v>0.1</v>
      </c>
      <c r="AU452" s="2"/>
      <c r="BE452" s="2"/>
      <c r="BH452" s="2"/>
      <c r="BN452" s="2">
        <v>0.15</v>
      </c>
      <c r="CG452" s="2"/>
      <c r="CJ452" s="2"/>
      <c r="CM452" s="2"/>
      <c r="CR452" s="2">
        <v>0.75</v>
      </c>
      <c r="CU452" s="19"/>
      <c r="CV452" s="19">
        <f t="shared" si="1"/>
        <v>1</v>
      </c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</row>
    <row r="453">
      <c r="A453" s="9">
        <v>45353.0</v>
      </c>
      <c r="B453" s="2" t="s">
        <v>57</v>
      </c>
      <c r="C453" s="2" t="s">
        <v>65</v>
      </c>
      <c r="D453" s="2">
        <v>3.0</v>
      </c>
      <c r="E453" s="2">
        <v>12.0</v>
      </c>
      <c r="W453" s="2"/>
      <c r="Y453" s="2">
        <v>0.05</v>
      </c>
      <c r="AC453" s="2">
        <v>0.1</v>
      </c>
      <c r="AI453" s="2">
        <v>0.1</v>
      </c>
      <c r="AU453" s="2"/>
      <c r="BE453" s="2"/>
      <c r="BH453" s="2">
        <v>0.05</v>
      </c>
      <c r="BN453" s="2">
        <v>0.15</v>
      </c>
      <c r="CG453" s="2"/>
      <c r="CJ453" s="2"/>
      <c r="CM453" s="2"/>
      <c r="CR453" s="2">
        <v>0.55</v>
      </c>
      <c r="CU453" s="19"/>
      <c r="CV453" s="19">
        <f t="shared" si="1"/>
        <v>1</v>
      </c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</row>
    <row r="454">
      <c r="A454" s="9">
        <v>45353.0</v>
      </c>
      <c r="B454" s="2" t="s">
        <v>57</v>
      </c>
      <c r="C454" s="2" t="s">
        <v>65</v>
      </c>
      <c r="D454" s="2">
        <v>3.0</v>
      </c>
      <c r="E454" s="2">
        <v>14.0</v>
      </c>
      <c r="W454" s="2"/>
      <c r="Y454" s="2">
        <v>0.02</v>
      </c>
      <c r="AC454" s="2">
        <v>0.02</v>
      </c>
      <c r="AI454" s="2">
        <v>0.02</v>
      </c>
      <c r="AU454" s="2"/>
      <c r="BE454" s="2"/>
      <c r="BF454" s="2">
        <v>0.02</v>
      </c>
      <c r="BH454" s="2">
        <v>0.02</v>
      </c>
      <c r="BN454" s="2">
        <v>0.1</v>
      </c>
      <c r="BP454" s="2">
        <v>0.02</v>
      </c>
      <c r="CG454" s="2"/>
      <c r="CJ454" s="2"/>
      <c r="CR454" s="2">
        <v>0.78</v>
      </c>
      <c r="CU454" s="19"/>
      <c r="CV454" s="19">
        <f t="shared" si="1"/>
        <v>1</v>
      </c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</row>
    <row r="455">
      <c r="A455" s="9">
        <v>45353.0</v>
      </c>
      <c r="B455" s="2" t="s">
        <v>57</v>
      </c>
      <c r="C455" s="2" t="s">
        <v>65</v>
      </c>
      <c r="D455" s="2">
        <v>3.0</v>
      </c>
      <c r="E455" s="2">
        <v>16.0</v>
      </c>
      <c r="W455" s="2"/>
      <c r="AC455" s="2"/>
      <c r="AU455" s="2">
        <v>0.05</v>
      </c>
      <c r="BE455" s="2"/>
      <c r="BH455" s="2"/>
      <c r="BL455" s="2">
        <v>0.05</v>
      </c>
      <c r="BN455" s="2">
        <v>0.1</v>
      </c>
      <c r="CG455" s="2"/>
      <c r="CJ455" s="2"/>
      <c r="CM455" s="2">
        <v>0.8</v>
      </c>
      <c r="CR455" s="2"/>
      <c r="CU455" s="19"/>
      <c r="CV455" s="19">
        <f t="shared" si="1"/>
        <v>1</v>
      </c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</row>
    <row r="456">
      <c r="A456" s="9">
        <v>45353.0</v>
      </c>
      <c r="B456" s="2" t="s">
        <v>57</v>
      </c>
      <c r="C456" s="2" t="s">
        <v>65</v>
      </c>
      <c r="D456" s="2">
        <v>3.0</v>
      </c>
      <c r="E456" s="2">
        <v>18.0</v>
      </c>
      <c r="W456" s="2"/>
      <c r="AC456" s="2"/>
      <c r="AU456" s="2">
        <v>0.05</v>
      </c>
      <c r="BE456" s="2"/>
      <c r="BH456" s="2">
        <v>0.5</v>
      </c>
      <c r="BN456" s="2">
        <v>0.05</v>
      </c>
      <c r="CG456" s="2"/>
      <c r="CJ456" s="2"/>
      <c r="CM456" s="2">
        <v>0.4</v>
      </c>
      <c r="CR456" s="2"/>
      <c r="CU456" s="19"/>
      <c r="CV456" s="19">
        <f t="shared" si="1"/>
        <v>1</v>
      </c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</row>
    <row r="457">
      <c r="A457" s="9">
        <v>45353.0</v>
      </c>
      <c r="B457" s="2" t="s">
        <v>57</v>
      </c>
      <c r="C457" s="2" t="s">
        <v>65</v>
      </c>
      <c r="D457" s="2">
        <v>3.0</v>
      </c>
      <c r="E457" s="2">
        <v>20.0</v>
      </c>
      <c r="S457" s="2">
        <v>0.1</v>
      </c>
      <c r="W457" s="2"/>
      <c r="AC457" s="2"/>
      <c r="AU457" s="2"/>
      <c r="BE457" s="2"/>
      <c r="BH457" s="2"/>
      <c r="BN457" s="2"/>
      <c r="CG457" s="2"/>
      <c r="CJ457" s="2"/>
      <c r="CM457" s="2"/>
      <c r="CR457" s="2">
        <v>0.9</v>
      </c>
      <c r="CU457" s="19"/>
      <c r="CV457" s="19">
        <f t="shared" si="1"/>
        <v>1</v>
      </c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</row>
    <row r="458">
      <c r="A458" s="9">
        <v>45353.0</v>
      </c>
      <c r="B458" s="2" t="s">
        <v>57</v>
      </c>
      <c r="C458" s="2" t="s">
        <v>65</v>
      </c>
      <c r="D458" s="2">
        <v>4.0</v>
      </c>
      <c r="E458" s="2">
        <v>2.0</v>
      </c>
      <c r="S458" s="2">
        <v>0.07</v>
      </c>
      <c r="W458" s="2">
        <v>0.2</v>
      </c>
      <c r="AC458" s="2">
        <v>0.05</v>
      </c>
      <c r="AU458" s="2">
        <v>0.15</v>
      </c>
      <c r="BE458" s="2"/>
      <c r="BH458" s="2"/>
      <c r="BK458" s="2">
        <v>0.03</v>
      </c>
      <c r="BN458" s="2">
        <v>0.03</v>
      </c>
      <c r="BS458" s="2">
        <v>0.15</v>
      </c>
      <c r="CG458" s="2"/>
      <c r="CJ458" s="2"/>
      <c r="CM458" s="2"/>
      <c r="CQ458" s="2">
        <v>0.03</v>
      </c>
      <c r="CR458" s="2">
        <v>0.29</v>
      </c>
      <c r="CU458" s="19"/>
      <c r="CV458" s="19">
        <f t="shared" si="1"/>
        <v>1</v>
      </c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</row>
    <row r="459">
      <c r="A459" s="9">
        <v>45353.0</v>
      </c>
      <c r="B459" s="2" t="s">
        <v>57</v>
      </c>
      <c r="C459" s="2" t="s">
        <v>65</v>
      </c>
      <c r="D459" s="2">
        <v>4.0</v>
      </c>
      <c r="E459" s="2">
        <v>4.0</v>
      </c>
      <c r="O459" s="2">
        <v>0.02</v>
      </c>
      <c r="S459" s="2"/>
      <c r="W459" s="2"/>
      <c r="AC459" s="2">
        <v>0.02</v>
      </c>
      <c r="AU459" s="2">
        <v>0.1</v>
      </c>
      <c r="BE459" s="2"/>
      <c r="BH459" s="2">
        <v>0.05</v>
      </c>
      <c r="BL459" s="2">
        <v>0.05</v>
      </c>
      <c r="BN459" s="2">
        <v>0.2</v>
      </c>
      <c r="BP459" s="2">
        <v>0.02</v>
      </c>
      <c r="CG459" s="2"/>
      <c r="CJ459" s="2"/>
      <c r="CM459" s="2"/>
      <c r="CR459" s="2">
        <v>0.54</v>
      </c>
      <c r="CU459" s="19"/>
      <c r="CV459" s="19">
        <f t="shared" si="1"/>
        <v>1</v>
      </c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</row>
    <row r="460">
      <c r="A460" s="9">
        <v>45353.0</v>
      </c>
      <c r="B460" s="2" t="s">
        <v>57</v>
      </c>
      <c r="C460" s="2" t="s">
        <v>65</v>
      </c>
      <c r="D460" s="2">
        <v>4.0</v>
      </c>
      <c r="E460" s="2">
        <v>6.0</v>
      </c>
      <c r="S460" s="2"/>
      <c r="W460" s="2">
        <v>0.05</v>
      </c>
      <c r="AC460" s="2">
        <v>0.05</v>
      </c>
      <c r="AU460" s="2">
        <v>0.15</v>
      </c>
      <c r="BE460" s="2"/>
      <c r="BH460" s="2"/>
      <c r="BK460" s="2">
        <v>0.03</v>
      </c>
      <c r="BN460" s="2">
        <v>0.1</v>
      </c>
      <c r="BP460" s="2">
        <v>0.05</v>
      </c>
      <c r="CG460" s="2"/>
      <c r="CJ460" s="2"/>
      <c r="CM460" s="2"/>
      <c r="CQ460" s="2">
        <v>0.05</v>
      </c>
      <c r="CR460" s="2">
        <v>0.52</v>
      </c>
      <c r="CU460" s="19"/>
      <c r="CV460" s="19">
        <f t="shared" si="1"/>
        <v>1</v>
      </c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</row>
    <row r="461">
      <c r="A461" s="9">
        <v>45353.0</v>
      </c>
      <c r="B461" s="2" t="s">
        <v>57</v>
      </c>
      <c r="C461" s="2" t="s">
        <v>65</v>
      </c>
      <c r="D461" s="2">
        <v>4.0</v>
      </c>
      <c r="E461" s="2">
        <v>8.0</v>
      </c>
      <c r="S461" s="2">
        <v>0.05</v>
      </c>
      <c r="W461" s="2">
        <v>0.1</v>
      </c>
      <c r="AC461" s="2">
        <v>0.03</v>
      </c>
      <c r="AU461" s="2">
        <v>0.05</v>
      </c>
      <c r="AV461" s="2">
        <v>0.05</v>
      </c>
      <c r="BE461" s="2"/>
      <c r="BH461" s="2">
        <v>0.05</v>
      </c>
      <c r="BN461" s="2">
        <v>0.1</v>
      </c>
      <c r="BU461" s="2">
        <v>0.05</v>
      </c>
      <c r="BV461" s="2">
        <v>0.1</v>
      </c>
      <c r="CG461" s="2"/>
      <c r="CJ461" s="2"/>
      <c r="CM461" s="2"/>
      <c r="CR461" s="2">
        <v>0.42</v>
      </c>
      <c r="CU461" s="19"/>
      <c r="CV461" s="19">
        <f t="shared" si="1"/>
        <v>1</v>
      </c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</row>
    <row r="462">
      <c r="A462" s="9">
        <v>45353.0</v>
      </c>
      <c r="B462" s="2" t="s">
        <v>57</v>
      </c>
      <c r="C462" s="2" t="s">
        <v>65</v>
      </c>
      <c r="D462" s="2">
        <v>4.0</v>
      </c>
      <c r="E462" s="2">
        <v>10.0</v>
      </c>
      <c r="S462" s="2"/>
      <c r="W462" s="2"/>
      <c r="AC462" s="2">
        <v>0.05</v>
      </c>
      <c r="AI462" s="2">
        <v>0.03</v>
      </c>
      <c r="AU462" s="2">
        <v>0.05</v>
      </c>
      <c r="BE462" s="2"/>
      <c r="BH462" s="2">
        <v>0.07</v>
      </c>
      <c r="BN462" s="2">
        <v>0.25</v>
      </c>
      <c r="BU462" s="2">
        <v>0.05</v>
      </c>
      <c r="BV462" s="2">
        <v>0.05</v>
      </c>
      <c r="CG462" s="2"/>
      <c r="CJ462" s="2"/>
      <c r="CM462" s="2"/>
      <c r="CR462" s="2">
        <v>0.45</v>
      </c>
      <c r="CU462" s="19"/>
      <c r="CV462" s="19">
        <f t="shared" si="1"/>
        <v>1</v>
      </c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</row>
    <row r="463">
      <c r="A463" s="9">
        <v>45353.0</v>
      </c>
      <c r="B463" s="2" t="s">
        <v>57</v>
      </c>
      <c r="C463" s="2" t="s">
        <v>65</v>
      </c>
      <c r="D463" s="2">
        <v>4.0</v>
      </c>
      <c r="E463" s="2">
        <v>12.0</v>
      </c>
      <c r="S463" s="2"/>
      <c r="W463" s="2"/>
      <c r="AC463" s="2"/>
      <c r="AI463" s="2">
        <v>0.02</v>
      </c>
      <c r="AU463" s="2">
        <v>0.08</v>
      </c>
      <c r="BE463" s="2"/>
      <c r="BH463" s="2">
        <v>0.12</v>
      </c>
      <c r="BL463" s="2">
        <v>0.08</v>
      </c>
      <c r="BN463" s="2">
        <v>0.35</v>
      </c>
      <c r="BU463" s="2"/>
      <c r="BV463" s="2"/>
      <c r="CG463" s="2"/>
      <c r="CJ463" s="2"/>
      <c r="CM463" s="2"/>
      <c r="CR463" s="2">
        <v>0.35</v>
      </c>
      <c r="CU463" s="19"/>
      <c r="CV463" s="19">
        <f t="shared" si="1"/>
        <v>1</v>
      </c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</row>
    <row r="464">
      <c r="A464" s="9">
        <v>45353.0</v>
      </c>
      <c r="B464" s="2" t="s">
        <v>57</v>
      </c>
      <c r="C464" s="2" t="s">
        <v>65</v>
      </c>
      <c r="D464" s="2">
        <v>4.0</v>
      </c>
      <c r="E464" s="2">
        <v>14.0</v>
      </c>
      <c r="S464" s="2"/>
      <c r="W464" s="2">
        <v>0.1</v>
      </c>
      <c r="AC464" s="2">
        <v>0.03</v>
      </c>
      <c r="AI464" s="2"/>
      <c r="AU464" s="2"/>
      <c r="BE464" s="2"/>
      <c r="BH464" s="2">
        <v>0.05</v>
      </c>
      <c r="BN464" s="2">
        <v>0.3</v>
      </c>
      <c r="BU464" s="2"/>
      <c r="BV464" s="2"/>
      <c r="CG464" s="2"/>
      <c r="CJ464" s="2"/>
      <c r="CM464" s="2"/>
      <c r="CQ464" s="2">
        <v>0.02</v>
      </c>
      <c r="CR464" s="2">
        <v>0.5</v>
      </c>
      <c r="CU464" s="19"/>
      <c r="CV464" s="19">
        <f t="shared" si="1"/>
        <v>1</v>
      </c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</row>
    <row r="465">
      <c r="A465" s="9">
        <v>45353.0</v>
      </c>
      <c r="B465" s="2" t="s">
        <v>57</v>
      </c>
      <c r="C465" s="2" t="s">
        <v>65</v>
      </c>
      <c r="D465" s="2">
        <v>4.0</v>
      </c>
      <c r="E465" s="2">
        <v>16.0</v>
      </c>
      <c r="S465" s="2"/>
      <c r="W465" s="2"/>
      <c r="AC465" s="2"/>
      <c r="AI465" s="2"/>
      <c r="AU465" s="2">
        <v>0.02</v>
      </c>
      <c r="BE465" s="2"/>
      <c r="BH465" s="2">
        <v>0.5</v>
      </c>
      <c r="BN465" s="2">
        <v>0.15</v>
      </c>
      <c r="BP465" s="2">
        <v>0.05</v>
      </c>
      <c r="BU465" s="2"/>
      <c r="BV465" s="2"/>
      <c r="CG465" s="2"/>
      <c r="CJ465" s="2"/>
      <c r="CM465" s="2">
        <v>0.2</v>
      </c>
      <c r="CR465" s="2">
        <v>0.08</v>
      </c>
      <c r="CU465" s="19"/>
      <c r="CV465" s="19">
        <f t="shared" si="1"/>
        <v>1</v>
      </c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</row>
    <row r="466">
      <c r="A466" s="9">
        <v>45353.0</v>
      </c>
      <c r="B466" s="2" t="s">
        <v>57</v>
      </c>
      <c r="C466" s="2" t="s">
        <v>65</v>
      </c>
      <c r="D466" s="2">
        <v>4.0</v>
      </c>
      <c r="E466" s="2">
        <v>18.0</v>
      </c>
      <c r="S466" s="2"/>
      <c r="W466" s="2"/>
      <c r="AC466" s="2"/>
      <c r="AI466" s="2">
        <v>0.15</v>
      </c>
      <c r="AU466" s="2"/>
      <c r="BE466" s="2"/>
      <c r="BH466" s="2">
        <v>0.15</v>
      </c>
      <c r="BN466" s="2"/>
      <c r="BP466" s="2">
        <v>0.03</v>
      </c>
      <c r="BU466" s="2"/>
      <c r="BV466" s="2"/>
      <c r="CG466" s="2"/>
      <c r="CJ466" s="2"/>
      <c r="CM466" s="2"/>
      <c r="CQ466" s="2">
        <v>0.62</v>
      </c>
      <c r="CR466" s="2">
        <v>0.05</v>
      </c>
      <c r="CU466" s="19"/>
      <c r="CV466" s="19">
        <f t="shared" si="1"/>
        <v>1</v>
      </c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</row>
    <row r="467">
      <c r="A467" s="9">
        <v>45353.0</v>
      </c>
      <c r="B467" s="2" t="s">
        <v>57</v>
      </c>
      <c r="C467" s="2" t="s">
        <v>65</v>
      </c>
      <c r="D467" s="2">
        <v>4.0</v>
      </c>
      <c r="E467" s="2">
        <v>20.0</v>
      </c>
      <c r="S467" s="2"/>
      <c r="W467" s="2"/>
      <c r="AC467" s="2"/>
      <c r="AI467" s="2"/>
      <c r="AU467" s="2"/>
      <c r="BE467" s="2"/>
      <c r="BH467" s="2"/>
      <c r="BN467" s="2"/>
      <c r="BU467" s="2"/>
      <c r="BV467" s="2"/>
      <c r="CF467" s="2">
        <v>0.05</v>
      </c>
      <c r="CG467" s="2"/>
      <c r="CJ467" s="2"/>
      <c r="CM467" s="2"/>
      <c r="CQ467" s="2">
        <v>0.1</v>
      </c>
      <c r="CR467" s="2">
        <v>0.85</v>
      </c>
      <c r="CU467" s="19"/>
      <c r="CV467" s="19">
        <f t="shared" si="1"/>
        <v>1</v>
      </c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</row>
    <row r="468">
      <c r="A468" s="6">
        <v>45360.0</v>
      </c>
      <c r="B468" s="2" t="s">
        <v>57</v>
      </c>
      <c r="C468" s="2" t="s">
        <v>69</v>
      </c>
      <c r="D468" s="2">
        <v>1.0</v>
      </c>
      <c r="E468" s="2">
        <v>2.0</v>
      </c>
      <c r="W468" s="2">
        <v>0.05</v>
      </c>
      <c r="X468" s="2"/>
      <c r="AV468" s="2">
        <v>0.05</v>
      </c>
      <c r="BN468" s="2">
        <v>0.1</v>
      </c>
      <c r="BS468" s="2">
        <v>0.01</v>
      </c>
      <c r="BT468" s="2">
        <v>0.15</v>
      </c>
      <c r="CR468" s="15">
        <f>1-0.36</f>
        <v>0.64</v>
      </c>
      <c r="CU468" s="19"/>
      <c r="CV468" s="19">
        <f t="shared" si="1"/>
        <v>1</v>
      </c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</row>
    <row r="469">
      <c r="A469" s="6">
        <v>45360.0</v>
      </c>
      <c r="B469" s="2" t="s">
        <v>57</v>
      </c>
      <c r="C469" s="2" t="s">
        <v>69</v>
      </c>
      <c r="D469" s="2">
        <v>1.0</v>
      </c>
      <c r="E469" s="2">
        <v>4.0</v>
      </c>
      <c r="AU469" s="2">
        <v>0.1</v>
      </c>
      <c r="AV469" s="2">
        <v>0.02</v>
      </c>
      <c r="BN469" s="2">
        <v>0.1</v>
      </c>
      <c r="BT469" s="2">
        <v>0.15</v>
      </c>
      <c r="CR469" s="15">
        <f>1-0.37</f>
        <v>0.63</v>
      </c>
      <c r="CU469" s="19"/>
      <c r="CV469" s="19">
        <f t="shared" si="1"/>
        <v>1</v>
      </c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</row>
    <row r="470">
      <c r="A470" s="6">
        <v>45360.0</v>
      </c>
      <c r="B470" s="2" t="s">
        <v>57</v>
      </c>
      <c r="C470" s="2" t="s">
        <v>69</v>
      </c>
      <c r="D470" s="2">
        <v>1.0</v>
      </c>
      <c r="E470" s="2">
        <v>6.0</v>
      </c>
      <c r="J470" s="2">
        <v>0.2</v>
      </c>
      <c r="BN470" s="2">
        <v>0.1</v>
      </c>
      <c r="BS470" s="2">
        <v>0.02</v>
      </c>
      <c r="BT470" s="15">
        <f>1-0.62</f>
        <v>0.38</v>
      </c>
      <c r="CR470" s="2">
        <v>0.3</v>
      </c>
      <c r="CU470" s="19"/>
      <c r="CV470" s="19">
        <f t="shared" si="1"/>
        <v>1</v>
      </c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</row>
    <row r="471">
      <c r="A471" s="6">
        <v>45360.0</v>
      </c>
      <c r="B471" s="2" t="s">
        <v>57</v>
      </c>
      <c r="C471" s="2" t="s">
        <v>69</v>
      </c>
      <c r="D471" s="2">
        <v>1.0</v>
      </c>
      <c r="E471" s="2">
        <v>8.0</v>
      </c>
      <c r="CR471" s="2">
        <v>1.0</v>
      </c>
      <c r="CU471" s="19"/>
      <c r="CV471" s="19">
        <f t="shared" si="1"/>
        <v>1</v>
      </c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</row>
    <row r="472">
      <c r="A472" s="6">
        <v>45360.0</v>
      </c>
      <c r="B472" s="2" t="s">
        <v>57</v>
      </c>
      <c r="C472" s="2" t="s">
        <v>69</v>
      </c>
      <c r="D472" s="2">
        <v>1.0</v>
      </c>
      <c r="E472" s="2">
        <v>10.0</v>
      </c>
      <c r="CR472" s="2">
        <v>1.0</v>
      </c>
      <c r="CU472" s="19"/>
      <c r="CV472" s="19">
        <f t="shared" si="1"/>
        <v>1</v>
      </c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</row>
    <row r="473">
      <c r="A473" s="6">
        <v>45360.0</v>
      </c>
      <c r="B473" s="2" t="s">
        <v>57</v>
      </c>
      <c r="C473" s="2" t="s">
        <v>69</v>
      </c>
      <c r="D473" s="2">
        <v>1.0</v>
      </c>
      <c r="E473" s="2">
        <v>12.0</v>
      </c>
      <c r="BH473" s="2">
        <v>0.3</v>
      </c>
      <c r="BN473" s="2">
        <v>0.4</v>
      </c>
      <c r="CM473" s="2">
        <v>0.3</v>
      </c>
      <c r="CU473" s="19"/>
      <c r="CV473" s="19">
        <f t="shared" si="1"/>
        <v>1</v>
      </c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</row>
    <row r="474">
      <c r="A474" s="6">
        <v>45360.0</v>
      </c>
      <c r="B474" s="2" t="s">
        <v>57</v>
      </c>
      <c r="C474" s="2" t="s">
        <v>69</v>
      </c>
      <c r="D474" s="2">
        <v>1.0</v>
      </c>
      <c r="E474" s="2">
        <v>14.0</v>
      </c>
      <c r="AC474" s="2">
        <v>0.01</v>
      </c>
      <c r="BH474" s="2">
        <v>0.05</v>
      </c>
      <c r="BN474" s="2">
        <v>0.7</v>
      </c>
      <c r="CM474" s="15">
        <f>1-0.76</f>
        <v>0.24</v>
      </c>
      <c r="CU474" s="19"/>
      <c r="CV474" s="19">
        <f t="shared" si="1"/>
        <v>1</v>
      </c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</row>
    <row r="475">
      <c r="A475" s="6">
        <v>45360.0</v>
      </c>
      <c r="B475" s="2" t="s">
        <v>57</v>
      </c>
      <c r="C475" s="2" t="s">
        <v>69</v>
      </c>
      <c r="D475" s="2">
        <v>1.0</v>
      </c>
      <c r="E475" s="2">
        <v>16.0</v>
      </c>
      <c r="BH475" s="2">
        <v>0.1</v>
      </c>
      <c r="BN475" s="2">
        <v>0.75</v>
      </c>
      <c r="CM475" s="15">
        <f>1-0.85</f>
        <v>0.15</v>
      </c>
      <c r="CU475" s="19"/>
      <c r="CV475" s="19">
        <f t="shared" si="1"/>
        <v>1</v>
      </c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</row>
    <row r="476">
      <c r="A476" s="6">
        <v>45360.0</v>
      </c>
      <c r="B476" s="2" t="s">
        <v>57</v>
      </c>
      <c r="C476" s="2" t="s">
        <v>69</v>
      </c>
      <c r="D476" s="2">
        <v>1.0</v>
      </c>
      <c r="E476" s="2">
        <v>18.0</v>
      </c>
      <c r="AC476" s="2">
        <v>0.05</v>
      </c>
      <c r="AJ476" s="2">
        <v>0.05</v>
      </c>
      <c r="BH476" s="2">
        <v>0.45</v>
      </c>
      <c r="BN476" s="2">
        <v>0.15</v>
      </c>
      <c r="BT476" s="2">
        <v>0.1</v>
      </c>
      <c r="CR476" s="2">
        <v>0.2</v>
      </c>
      <c r="CU476" s="19"/>
      <c r="CV476" s="19">
        <f t="shared" si="1"/>
        <v>1</v>
      </c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</row>
    <row r="477">
      <c r="A477" s="6">
        <v>45360.0</v>
      </c>
      <c r="B477" s="2" t="s">
        <v>57</v>
      </c>
      <c r="C477" s="2" t="s">
        <v>69</v>
      </c>
      <c r="D477" s="2">
        <v>1.0</v>
      </c>
      <c r="E477" s="2">
        <v>20.0</v>
      </c>
      <c r="CR477" s="2">
        <v>1.0</v>
      </c>
      <c r="CU477" s="19"/>
      <c r="CV477" s="19">
        <f t="shared" si="1"/>
        <v>1</v>
      </c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</row>
    <row r="478">
      <c r="A478" s="6">
        <v>45360.0</v>
      </c>
      <c r="B478" s="2" t="s">
        <v>57</v>
      </c>
      <c r="C478" s="2" t="s">
        <v>69</v>
      </c>
      <c r="D478" s="2">
        <v>2.0</v>
      </c>
      <c r="E478" s="2">
        <v>2.0</v>
      </c>
      <c r="AC478" s="2">
        <v>0.02</v>
      </c>
      <c r="AU478" s="2">
        <v>0.2</v>
      </c>
      <c r="BN478" s="2">
        <v>0.05</v>
      </c>
      <c r="BS478" s="2">
        <v>0.05</v>
      </c>
      <c r="BT478" s="2">
        <v>0.2</v>
      </c>
      <c r="CR478" s="15">
        <f>1-0.52</f>
        <v>0.48</v>
      </c>
      <c r="CU478" s="19"/>
      <c r="CV478" s="19">
        <f t="shared" si="1"/>
        <v>1</v>
      </c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</row>
    <row r="479">
      <c r="A479" s="6">
        <v>45360.0</v>
      </c>
      <c r="B479" s="2" t="s">
        <v>57</v>
      </c>
      <c r="C479" s="2" t="s">
        <v>69</v>
      </c>
      <c r="D479" s="2">
        <v>2.0</v>
      </c>
      <c r="E479" s="2">
        <v>4.0</v>
      </c>
      <c r="AU479" s="2">
        <v>0.15</v>
      </c>
      <c r="BN479" s="2">
        <v>0.05</v>
      </c>
      <c r="BS479" s="2">
        <v>0.05</v>
      </c>
      <c r="BT479" s="2">
        <v>0.2</v>
      </c>
      <c r="CR479" s="15">
        <f>1-0.45</f>
        <v>0.55</v>
      </c>
      <c r="CU479" s="19"/>
      <c r="CV479" s="19">
        <f t="shared" si="1"/>
        <v>1</v>
      </c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</row>
    <row r="480">
      <c r="A480" s="6">
        <v>45360.0</v>
      </c>
      <c r="B480" s="2" t="s">
        <v>57</v>
      </c>
      <c r="C480" s="2" t="s">
        <v>69</v>
      </c>
      <c r="D480" s="2">
        <v>2.0</v>
      </c>
      <c r="E480" s="2">
        <v>6.0</v>
      </c>
      <c r="AJ480" s="2">
        <v>0.05</v>
      </c>
      <c r="AU480" s="2">
        <v>0.05</v>
      </c>
      <c r="BH480" s="2">
        <v>0.15</v>
      </c>
      <c r="BN480" s="2">
        <v>0.2</v>
      </c>
      <c r="BS480" s="2">
        <v>0.05</v>
      </c>
      <c r="BT480" s="2">
        <v>0.05</v>
      </c>
      <c r="CR480" s="15">
        <f>1-0.55</f>
        <v>0.45</v>
      </c>
      <c r="CU480" s="19"/>
      <c r="CV480" s="19">
        <f t="shared" si="1"/>
        <v>1</v>
      </c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</row>
    <row r="481">
      <c r="A481" s="6">
        <v>45360.0</v>
      </c>
      <c r="B481" s="2" t="s">
        <v>57</v>
      </c>
      <c r="C481" s="2" t="s">
        <v>69</v>
      </c>
      <c r="D481" s="2">
        <v>2.0</v>
      </c>
      <c r="E481" s="2">
        <v>8.0</v>
      </c>
      <c r="S481" s="2">
        <v>0.1</v>
      </c>
      <c r="W481" s="2">
        <v>0.02</v>
      </c>
      <c r="X481" s="2"/>
      <c r="AJ481" s="2">
        <v>0.1</v>
      </c>
      <c r="AU481" s="2">
        <v>0.2</v>
      </c>
      <c r="BH481" s="2">
        <v>0.05</v>
      </c>
      <c r="BN481" s="2">
        <v>0.05</v>
      </c>
      <c r="BT481" s="2">
        <v>0.1</v>
      </c>
      <c r="CR481" s="15">
        <f>1-0.62</f>
        <v>0.38</v>
      </c>
      <c r="CU481" s="19"/>
      <c r="CV481" s="19">
        <f t="shared" si="1"/>
        <v>1</v>
      </c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</row>
    <row r="482">
      <c r="A482" s="6">
        <v>45360.0</v>
      </c>
      <c r="B482" s="2" t="s">
        <v>57</v>
      </c>
      <c r="C482" s="2" t="s">
        <v>69</v>
      </c>
      <c r="D482" s="2">
        <v>2.0</v>
      </c>
      <c r="E482" s="2">
        <v>10.0</v>
      </c>
      <c r="S482" s="2">
        <v>0.02</v>
      </c>
      <c r="AC482" s="2">
        <v>0.1</v>
      </c>
      <c r="AJ482" s="2">
        <v>0.05</v>
      </c>
      <c r="AU482" s="2">
        <v>0.15</v>
      </c>
      <c r="BH482" s="2">
        <v>0.1</v>
      </c>
      <c r="BN482" s="2">
        <v>0.3</v>
      </c>
      <c r="BT482" s="2">
        <v>0.1</v>
      </c>
      <c r="CM482" s="15">
        <f>1-0.87</f>
        <v>0.13</v>
      </c>
      <c r="CR482" s="2">
        <v>0.05</v>
      </c>
      <c r="CU482" s="19"/>
      <c r="CV482" s="19">
        <f t="shared" si="1"/>
        <v>1</v>
      </c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</row>
    <row r="483">
      <c r="A483" s="6">
        <v>45360.0</v>
      </c>
      <c r="B483" s="2" t="s">
        <v>57</v>
      </c>
      <c r="C483" s="2" t="s">
        <v>69</v>
      </c>
      <c r="D483" s="2">
        <v>2.0</v>
      </c>
      <c r="E483" s="2">
        <v>12.0</v>
      </c>
      <c r="AC483" s="2">
        <v>0.01</v>
      </c>
      <c r="BH483" s="2">
        <v>0.02</v>
      </c>
      <c r="BN483" s="2">
        <v>0.8</v>
      </c>
      <c r="CM483" s="15">
        <f>1-0.83</f>
        <v>0.17</v>
      </c>
      <c r="CU483" s="19"/>
      <c r="CV483" s="19">
        <f t="shared" si="1"/>
        <v>1</v>
      </c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</row>
    <row r="484">
      <c r="A484" s="6">
        <v>45360.0</v>
      </c>
      <c r="B484" s="2" t="s">
        <v>57</v>
      </c>
      <c r="C484" s="2" t="s">
        <v>69</v>
      </c>
      <c r="D484" s="2">
        <v>2.0</v>
      </c>
      <c r="E484" s="2">
        <v>14.0</v>
      </c>
      <c r="CM484" s="2">
        <v>0.2</v>
      </c>
      <c r="CR484" s="2">
        <v>0.8</v>
      </c>
      <c r="CU484" s="19"/>
      <c r="CV484" s="19">
        <f t="shared" si="1"/>
        <v>1</v>
      </c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</row>
    <row r="485">
      <c r="A485" s="6">
        <v>45360.0</v>
      </c>
      <c r="B485" s="2" t="s">
        <v>57</v>
      </c>
      <c r="C485" s="2" t="s">
        <v>69</v>
      </c>
      <c r="D485" s="2">
        <v>2.0</v>
      </c>
      <c r="E485" s="2">
        <v>16.0</v>
      </c>
      <c r="AC485" s="2">
        <v>0.01</v>
      </c>
      <c r="BH485" s="2">
        <v>0.15</v>
      </c>
      <c r="BN485" s="2">
        <v>0.6</v>
      </c>
      <c r="CM485" s="15">
        <f>1-0.78</f>
        <v>0.22</v>
      </c>
      <c r="CR485" s="2">
        <v>0.02</v>
      </c>
      <c r="CU485" s="19"/>
      <c r="CV485" s="19">
        <f t="shared" si="1"/>
        <v>1</v>
      </c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</row>
    <row r="486">
      <c r="A486" s="6">
        <v>45360.0</v>
      </c>
      <c r="B486" s="2" t="s">
        <v>57</v>
      </c>
      <c r="C486" s="2" t="s">
        <v>69</v>
      </c>
      <c r="D486" s="2">
        <v>2.0</v>
      </c>
      <c r="E486" s="2">
        <v>18.0</v>
      </c>
      <c r="M486" s="2"/>
      <c r="N486" s="2">
        <v>0.5</v>
      </c>
      <c r="S486" s="2">
        <v>0.02</v>
      </c>
      <c r="AC486" s="2">
        <v>0.1</v>
      </c>
      <c r="BH486" s="2">
        <v>0.1</v>
      </c>
      <c r="BN486" s="2">
        <v>0.02</v>
      </c>
      <c r="BT486" s="2">
        <v>0.02</v>
      </c>
      <c r="CM486" s="15">
        <f>1-0.76</f>
        <v>0.24</v>
      </c>
      <c r="CU486" s="19"/>
      <c r="CV486" s="19">
        <f t="shared" si="1"/>
        <v>1</v>
      </c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</row>
    <row r="487">
      <c r="A487" s="6">
        <v>45360.0</v>
      </c>
      <c r="B487" s="2" t="s">
        <v>57</v>
      </c>
      <c r="C487" s="2" t="s">
        <v>69</v>
      </c>
      <c r="D487" s="2">
        <v>2.0</v>
      </c>
      <c r="E487" s="2">
        <v>20.0</v>
      </c>
      <c r="AJ487" s="2">
        <v>0.1</v>
      </c>
      <c r="BH487" s="2">
        <v>0.05</v>
      </c>
      <c r="BN487" s="2">
        <v>0.05</v>
      </c>
      <c r="CR487" s="2">
        <v>0.8</v>
      </c>
      <c r="CU487" s="19"/>
      <c r="CV487" s="19">
        <f t="shared" si="1"/>
        <v>1</v>
      </c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</row>
    <row r="488">
      <c r="A488" s="6">
        <v>45360.0</v>
      </c>
      <c r="B488" s="2" t="s">
        <v>57</v>
      </c>
      <c r="C488" s="2" t="s">
        <v>69</v>
      </c>
      <c r="D488" s="2">
        <v>3.0</v>
      </c>
      <c r="E488" s="2">
        <v>2.0</v>
      </c>
      <c r="M488" s="2"/>
      <c r="N488" s="2">
        <v>0.02</v>
      </c>
      <c r="AU488" s="2">
        <v>0.05</v>
      </c>
      <c r="BN488" s="2">
        <v>0.05</v>
      </c>
      <c r="BT488" s="2">
        <v>0.05</v>
      </c>
      <c r="CR488" s="2">
        <v>0.2</v>
      </c>
      <c r="CS488" s="15">
        <f>1-0.37</f>
        <v>0.63</v>
      </c>
      <c r="CU488" s="19"/>
      <c r="CV488" s="19">
        <f t="shared" si="1"/>
        <v>1</v>
      </c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</row>
    <row r="489">
      <c r="A489" s="6">
        <v>45360.0</v>
      </c>
      <c r="B489" s="2" t="s">
        <v>57</v>
      </c>
      <c r="C489" s="2" t="s">
        <v>69</v>
      </c>
      <c r="D489" s="2">
        <v>3.0</v>
      </c>
      <c r="E489" s="2">
        <v>4.0</v>
      </c>
      <c r="W489" s="2">
        <v>0.1</v>
      </c>
      <c r="X489" s="2"/>
      <c r="AC489" s="2">
        <v>0.01</v>
      </c>
      <c r="AJ489" s="2">
        <v>0.02</v>
      </c>
      <c r="AU489" s="2">
        <v>0.15</v>
      </c>
      <c r="BH489" s="2">
        <v>0.01</v>
      </c>
      <c r="BN489" s="2">
        <v>0.1</v>
      </c>
      <c r="BS489" s="2">
        <v>0.02</v>
      </c>
      <c r="BV489" s="2">
        <v>0.05</v>
      </c>
      <c r="CR489" s="15">
        <f>1-0.46</f>
        <v>0.54</v>
      </c>
      <c r="CU489" s="19"/>
      <c r="CV489" s="19">
        <f t="shared" si="1"/>
        <v>1</v>
      </c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</row>
    <row r="490">
      <c r="A490" s="6">
        <v>45360.0</v>
      </c>
      <c r="B490" s="2" t="s">
        <v>57</v>
      </c>
      <c r="C490" s="2" t="s">
        <v>69</v>
      </c>
      <c r="D490" s="2">
        <v>3.0</v>
      </c>
      <c r="E490" s="2">
        <v>6.0</v>
      </c>
      <c r="W490" s="2">
        <v>0.15</v>
      </c>
      <c r="X490" s="2"/>
      <c r="AF490" s="2">
        <v>0.02</v>
      </c>
      <c r="AU490" s="2">
        <v>0.15</v>
      </c>
      <c r="BF490" s="2">
        <v>0.01</v>
      </c>
      <c r="BH490" s="2">
        <v>0.02</v>
      </c>
      <c r="BN490" s="2">
        <v>0.15</v>
      </c>
      <c r="BP490" s="2">
        <v>0.03</v>
      </c>
      <c r="BV490" s="2">
        <v>0.05</v>
      </c>
      <c r="CR490" s="15">
        <f>1-0.68</f>
        <v>0.32</v>
      </c>
      <c r="CS490" s="2">
        <v>0.1</v>
      </c>
      <c r="CU490" s="19"/>
      <c r="CV490" s="19">
        <f t="shared" si="1"/>
        <v>1</v>
      </c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</row>
    <row r="491">
      <c r="A491" s="6">
        <v>45360.0</v>
      </c>
      <c r="B491" s="2" t="s">
        <v>57</v>
      </c>
      <c r="C491" s="2" t="s">
        <v>69</v>
      </c>
      <c r="D491" s="2">
        <v>3.0</v>
      </c>
      <c r="E491" s="2">
        <v>8.0</v>
      </c>
      <c r="W491" s="2">
        <v>0.1</v>
      </c>
      <c r="X491" s="2"/>
      <c r="AJ491" s="2">
        <v>0.02</v>
      </c>
      <c r="BH491" s="2">
        <v>0.02</v>
      </c>
      <c r="BN491" s="2">
        <v>0.2</v>
      </c>
      <c r="BT491" s="2">
        <v>0.1</v>
      </c>
      <c r="BV491" s="2">
        <v>0.05</v>
      </c>
      <c r="CR491" s="15">
        <f>1-0.54</f>
        <v>0.46</v>
      </c>
      <c r="CS491" s="2">
        <v>0.05</v>
      </c>
      <c r="CU491" s="19"/>
      <c r="CV491" s="19">
        <f t="shared" si="1"/>
        <v>1</v>
      </c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</row>
    <row r="492">
      <c r="A492" s="6">
        <v>45360.0</v>
      </c>
      <c r="B492" s="2" t="s">
        <v>57</v>
      </c>
      <c r="C492" s="2" t="s">
        <v>69</v>
      </c>
      <c r="D492" s="2">
        <v>3.0</v>
      </c>
      <c r="E492" s="2">
        <v>10.0</v>
      </c>
      <c r="AJ492" s="2">
        <v>0.02</v>
      </c>
      <c r="AU492" s="2">
        <v>0.1</v>
      </c>
      <c r="BF492" s="2">
        <v>0.01</v>
      </c>
      <c r="BH492" s="2">
        <v>0.2</v>
      </c>
      <c r="BN492" s="2">
        <v>0.05</v>
      </c>
      <c r="BT492" s="2">
        <v>0.05</v>
      </c>
      <c r="BZ492" s="2">
        <v>0.05</v>
      </c>
      <c r="CR492" s="15">
        <f>1-0.48</f>
        <v>0.52</v>
      </c>
      <c r="CU492" s="19"/>
      <c r="CV492" s="19">
        <f t="shared" si="1"/>
        <v>1</v>
      </c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</row>
    <row r="493">
      <c r="A493" s="6">
        <v>45360.0</v>
      </c>
      <c r="B493" s="2" t="s">
        <v>57</v>
      </c>
      <c r="C493" s="2" t="s">
        <v>69</v>
      </c>
      <c r="D493" s="2">
        <v>3.0</v>
      </c>
      <c r="E493" s="2">
        <v>12.0</v>
      </c>
      <c r="F493" s="2">
        <v>0.01</v>
      </c>
      <c r="W493" s="2">
        <v>0.15</v>
      </c>
      <c r="X493" s="2"/>
      <c r="AJ493" s="2">
        <v>0.02</v>
      </c>
      <c r="AU493" s="2">
        <v>0.05</v>
      </c>
      <c r="BH493" s="2">
        <v>0.05</v>
      </c>
      <c r="BN493" s="2">
        <v>0.15</v>
      </c>
      <c r="BV493" s="2">
        <v>0.05</v>
      </c>
      <c r="CR493" s="15">
        <f>1-0.58</f>
        <v>0.42</v>
      </c>
      <c r="CS493" s="2">
        <v>0.1</v>
      </c>
      <c r="CU493" s="19"/>
      <c r="CV493" s="19">
        <f t="shared" si="1"/>
        <v>1</v>
      </c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</row>
    <row r="494">
      <c r="A494" s="6">
        <v>45360.0</v>
      </c>
      <c r="B494" s="2" t="s">
        <v>57</v>
      </c>
      <c r="C494" s="2" t="s">
        <v>69</v>
      </c>
      <c r="D494" s="2">
        <v>3.0</v>
      </c>
      <c r="E494" s="2">
        <v>14.0</v>
      </c>
      <c r="W494" s="2">
        <v>0.05</v>
      </c>
      <c r="X494" s="2"/>
      <c r="AC494" s="2">
        <v>0.02</v>
      </c>
      <c r="AJ494" s="2">
        <v>0.05</v>
      </c>
      <c r="AU494" s="2">
        <v>0.1</v>
      </c>
      <c r="BF494" s="2">
        <v>0.01</v>
      </c>
      <c r="BH494" s="2">
        <v>0.1</v>
      </c>
      <c r="BN494" s="2">
        <v>0.1</v>
      </c>
      <c r="CR494" s="15">
        <f>1-0.43</f>
        <v>0.57</v>
      </c>
      <c r="CU494" s="19"/>
      <c r="CV494" s="19">
        <f t="shared" si="1"/>
        <v>1</v>
      </c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</row>
    <row r="495">
      <c r="A495" s="6">
        <v>45360.0</v>
      </c>
      <c r="B495" s="2" t="s">
        <v>57</v>
      </c>
      <c r="C495" s="2" t="s">
        <v>69</v>
      </c>
      <c r="D495" s="2">
        <v>3.0</v>
      </c>
      <c r="E495" s="2">
        <v>16.0</v>
      </c>
      <c r="M495" s="2"/>
      <c r="N495" s="2">
        <v>0.05</v>
      </c>
      <c r="AJ495" s="2">
        <v>0.05</v>
      </c>
      <c r="AK495" s="2">
        <v>0.05</v>
      </c>
      <c r="BH495" s="2">
        <v>0.1</v>
      </c>
      <c r="BN495" s="2">
        <v>0.1</v>
      </c>
      <c r="CM495" s="2">
        <v>0.1</v>
      </c>
      <c r="CR495" s="2">
        <v>0.55</v>
      </c>
      <c r="CU495" s="19"/>
      <c r="CV495" s="19">
        <f t="shared" si="1"/>
        <v>1</v>
      </c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</row>
    <row r="496">
      <c r="A496" s="6">
        <v>45360.0</v>
      </c>
      <c r="B496" s="2" t="s">
        <v>57</v>
      </c>
      <c r="C496" s="2" t="s">
        <v>69</v>
      </c>
      <c r="D496" s="2">
        <v>3.0</v>
      </c>
      <c r="E496" s="2">
        <v>18.0</v>
      </c>
      <c r="M496" s="2"/>
      <c r="N496" s="2">
        <v>0.1</v>
      </c>
      <c r="AC496" s="2">
        <v>0.05</v>
      </c>
      <c r="AJ496" s="2">
        <v>0.1</v>
      </c>
      <c r="BH496" s="2">
        <v>0.1</v>
      </c>
      <c r="BV496" s="2">
        <v>0.1</v>
      </c>
      <c r="CN496" s="2">
        <v>0.02</v>
      </c>
      <c r="CQ496" s="15">
        <f>1-0.47</f>
        <v>0.53</v>
      </c>
      <c r="CU496" s="19"/>
      <c r="CV496" s="19">
        <f t="shared" si="1"/>
        <v>1</v>
      </c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</row>
    <row r="497">
      <c r="A497" s="6">
        <v>45360.0</v>
      </c>
      <c r="B497" s="2" t="s">
        <v>57</v>
      </c>
      <c r="C497" s="2" t="s">
        <v>69</v>
      </c>
      <c r="D497" s="2">
        <v>3.0</v>
      </c>
      <c r="E497" s="2">
        <v>20.0</v>
      </c>
      <c r="CQ497" s="2">
        <v>0.05</v>
      </c>
      <c r="CR497" s="2">
        <v>0.75</v>
      </c>
      <c r="CS497" s="2">
        <v>0.2</v>
      </c>
      <c r="CU497" s="19"/>
      <c r="CV497" s="19">
        <f t="shared" si="1"/>
        <v>1</v>
      </c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</row>
    <row r="498">
      <c r="A498" s="6">
        <v>45360.0</v>
      </c>
      <c r="B498" s="2" t="s">
        <v>57</v>
      </c>
      <c r="C498" s="2" t="s">
        <v>69</v>
      </c>
      <c r="D498" s="2">
        <v>4.0</v>
      </c>
      <c r="E498" s="2">
        <v>2.0</v>
      </c>
      <c r="W498" s="2">
        <v>0.1</v>
      </c>
      <c r="X498" s="2"/>
      <c r="AJ498" s="2">
        <v>0.02</v>
      </c>
      <c r="AU498" s="2">
        <v>0.15</v>
      </c>
      <c r="BH498" s="2">
        <v>0.02</v>
      </c>
      <c r="BN498" s="2">
        <v>0.15</v>
      </c>
      <c r="CR498" s="15">
        <f>1-0.44</f>
        <v>0.56</v>
      </c>
      <c r="CU498" s="19"/>
      <c r="CV498" s="19">
        <f t="shared" si="1"/>
        <v>1</v>
      </c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</row>
    <row r="499">
      <c r="A499" s="6">
        <v>45360.0</v>
      </c>
      <c r="B499" s="2" t="s">
        <v>57</v>
      </c>
      <c r="C499" s="2" t="s">
        <v>69</v>
      </c>
      <c r="D499" s="2">
        <v>4.0</v>
      </c>
      <c r="E499" s="2">
        <v>4.0</v>
      </c>
      <c r="Y499" s="2">
        <v>0.05</v>
      </c>
      <c r="AC499" s="2">
        <v>0.05</v>
      </c>
      <c r="AJ499" s="2">
        <v>0.05</v>
      </c>
      <c r="AK499" s="2">
        <v>0.03</v>
      </c>
      <c r="AU499" s="2">
        <v>0.15</v>
      </c>
      <c r="BH499" s="2">
        <v>0.02</v>
      </c>
      <c r="BN499" s="2">
        <v>0.2</v>
      </c>
      <c r="BS499" s="2">
        <v>0.05</v>
      </c>
      <c r="CR499" s="2">
        <v>0.4</v>
      </c>
      <c r="CU499" s="19"/>
      <c r="CV499" s="19">
        <f t="shared" si="1"/>
        <v>1</v>
      </c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</row>
    <row r="500">
      <c r="A500" s="6">
        <v>45360.0</v>
      </c>
      <c r="B500" s="2" t="s">
        <v>57</v>
      </c>
      <c r="C500" s="2" t="s">
        <v>69</v>
      </c>
      <c r="D500" s="2">
        <v>4.0</v>
      </c>
      <c r="E500" s="2">
        <v>6.0</v>
      </c>
      <c r="Y500" s="2">
        <v>0.05</v>
      </c>
      <c r="AC500" s="2">
        <v>0.05</v>
      </c>
      <c r="AJ500" s="2">
        <v>0.05</v>
      </c>
      <c r="AU500" s="2">
        <v>0.1</v>
      </c>
      <c r="BH500" s="2">
        <v>0.05</v>
      </c>
      <c r="BN500" s="2">
        <v>0.15</v>
      </c>
      <c r="BS500" s="2">
        <v>0.05</v>
      </c>
      <c r="CR500" s="2">
        <v>0.5</v>
      </c>
      <c r="CU500" s="19"/>
      <c r="CV500" s="19">
        <f t="shared" si="1"/>
        <v>1</v>
      </c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</row>
    <row r="501">
      <c r="A501" s="6">
        <v>45360.0</v>
      </c>
      <c r="B501" s="2" t="s">
        <v>57</v>
      </c>
      <c r="C501" s="2" t="s">
        <v>69</v>
      </c>
      <c r="D501" s="2">
        <v>4.0</v>
      </c>
      <c r="E501" s="2">
        <v>8.0</v>
      </c>
      <c r="M501" s="2"/>
      <c r="N501" s="2">
        <v>0.01</v>
      </c>
      <c r="W501" s="2">
        <v>0.05</v>
      </c>
      <c r="X501" s="2"/>
      <c r="AC501" s="2">
        <v>0.05</v>
      </c>
      <c r="AJ501" s="2">
        <v>0.03</v>
      </c>
      <c r="BH501" s="2">
        <v>0.02</v>
      </c>
      <c r="BN501" s="2">
        <v>0.1</v>
      </c>
      <c r="BT501" s="2">
        <v>0.15</v>
      </c>
      <c r="CR501" s="15">
        <f>1-0.41</f>
        <v>0.59</v>
      </c>
      <c r="CU501" s="19"/>
      <c r="CV501" s="19">
        <f t="shared" si="1"/>
        <v>1</v>
      </c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</row>
    <row r="502">
      <c r="A502" s="6">
        <v>45360.0</v>
      </c>
      <c r="B502" s="2" t="s">
        <v>57</v>
      </c>
      <c r="C502" s="2" t="s">
        <v>69</v>
      </c>
      <c r="D502" s="2">
        <v>4.0</v>
      </c>
      <c r="E502" s="2">
        <v>10.0</v>
      </c>
      <c r="AC502" s="2">
        <v>0.05</v>
      </c>
      <c r="AJ502" s="2">
        <v>0.02</v>
      </c>
      <c r="AU502" s="2">
        <v>0.15</v>
      </c>
      <c r="BH502" s="2">
        <v>0.1</v>
      </c>
      <c r="BN502" s="2">
        <v>0.1</v>
      </c>
      <c r="CR502" s="2">
        <v>0.58</v>
      </c>
      <c r="CU502" s="19"/>
      <c r="CV502" s="19">
        <f t="shared" si="1"/>
        <v>1</v>
      </c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</row>
    <row r="503">
      <c r="A503" s="6">
        <v>45360.0</v>
      </c>
      <c r="B503" s="2" t="s">
        <v>57</v>
      </c>
      <c r="C503" s="2" t="s">
        <v>69</v>
      </c>
      <c r="D503" s="2">
        <v>4.0</v>
      </c>
      <c r="E503" s="2">
        <v>12.0</v>
      </c>
      <c r="W503" s="2">
        <v>0.02</v>
      </c>
      <c r="X503" s="2"/>
      <c r="AC503" s="2">
        <v>0.03</v>
      </c>
      <c r="AJ503" s="2">
        <v>0.05</v>
      </c>
      <c r="AU503" s="2">
        <v>0.1</v>
      </c>
      <c r="BF503" s="2">
        <v>0.01</v>
      </c>
      <c r="BH503" s="2">
        <v>0.05</v>
      </c>
      <c r="BN503" s="2">
        <v>0.15</v>
      </c>
      <c r="BP503" s="2">
        <v>0.05</v>
      </c>
      <c r="CR503" s="2">
        <v>0.54</v>
      </c>
      <c r="CU503" s="19"/>
      <c r="CV503" s="19">
        <f t="shared" si="1"/>
        <v>1</v>
      </c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</row>
    <row r="504">
      <c r="A504" s="6">
        <v>45360.0</v>
      </c>
      <c r="B504" s="2" t="s">
        <v>57</v>
      </c>
      <c r="C504" s="2" t="s">
        <v>69</v>
      </c>
      <c r="D504" s="2">
        <v>4.0</v>
      </c>
      <c r="E504" s="2">
        <v>14.0</v>
      </c>
      <c r="W504" s="2">
        <v>0.02</v>
      </c>
      <c r="X504" s="2"/>
      <c r="AJ504" s="2">
        <v>0.05</v>
      </c>
      <c r="AU504" s="2">
        <v>0.05</v>
      </c>
      <c r="BH504" s="2">
        <v>0.05</v>
      </c>
      <c r="BN504" s="2">
        <v>0.15</v>
      </c>
      <c r="BP504" s="2">
        <v>0.1</v>
      </c>
      <c r="CR504" s="2">
        <v>0.53</v>
      </c>
      <c r="CS504" s="2">
        <v>0.05</v>
      </c>
      <c r="CU504" s="19"/>
      <c r="CV504" s="19">
        <f t="shared" si="1"/>
        <v>1</v>
      </c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</row>
    <row r="505">
      <c r="A505" s="6">
        <v>45360.0</v>
      </c>
      <c r="B505" s="2" t="s">
        <v>57</v>
      </c>
      <c r="C505" s="2" t="s">
        <v>69</v>
      </c>
      <c r="D505" s="2">
        <v>4.0</v>
      </c>
      <c r="E505" s="2">
        <v>16.0</v>
      </c>
      <c r="AJ505" s="2">
        <v>0.05</v>
      </c>
      <c r="AN505" s="2">
        <v>0.05</v>
      </c>
      <c r="BH505" s="2">
        <v>0.1</v>
      </c>
      <c r="BN505" s="2">
        <v>0.1</v>
      </c>
      <c r="BP505" s="2">
        <v>0.05</v>
      </c>
      <c r="CM505" s="2">
        <v>0.2</v>
      </c>
      <c r="CN505" s="2">
        <v>0.02</v>
      </c>
      <c r="CR505" s="2">
        <v>0.43</v>
      </c>
      <c r="CU505" s="19"/>
      <c r="CV505" s="19">
        <f t="shared" si="1"/>
        <v>1</v>
      </c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</row>
    <row r="506">
      <c r="A506" s="6">
        <v>45360.0</v>
      </c>
      <c r="B506" s="2" t="s">
        <v>57</v>
      </c>
      <c r="C506" s="2" t="s">
        <v>69</v>
      </c>
      <c r="D506" s="2">
        <v>4.0</v>
      </c>
      <c r="E506" s="2">
        <v>18.0</v>
      </c>
      <c r="AC506" s="2">
        <v>0.05</v>
      </c>
      <c r="AJ506" s="2">
        <v>0.01</v>
      </c>
      <c r="BH506" s="2">
        <v>0.6</v>
      </c>
      <c r="BN506" s="2">
        <v>0.15</v>
      </c>
      <c r="BP506" s="2">
        <v>0.01</v>
      </c>
      <c r="CM506" s="2">
        <v>0.02</v>
      </c>
      <c r="CR506" s="2">
        <v>0.16</v>
      </c>
      <c r="CU506" s="19"/>
      <c r="CV506" s="19">
        <f t="shared" si="1"/>
        <v>1</v>
      </c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</row>
    <row r="507">
      <c r="A507" s="6">
        <v>45360.0</v>
      </c>
      <c r="B507" s="2" t="s">
        <v>57</v>
      </c>
      <c r="C507" s="2" t="s">
        <v>69</v>
      </c>
      <c r="D507" s="2">
        <v>4.0</v>
      </c>
      <c r="E507" s="2">
        <v>20.0</v>
      </c>
      <c r="CJ507" s="2">
        <v>0.05</v>
      </c>
      <c r="CR507" s="2">
        <v>0.85</v>
      </c>
      <c r="CS507" s="2">
        <v>0.1</v>
      </c>
      <c r="CU507" s="19"/>
      <c r="CV507" s="19">
        <f t="shared" si="1"/>
        <v>1</v>
      </c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</row>
    <row r="508">
      <c r="A508" s="6">
        <v>45377.0</v>
      </c>
      <c r="B508" s="2" t="s">
        <v>264</v>
      </c>
      <c r="C508" s="2" t="s">
        <v>199</v>
      </c>
      <c r="D508" s="2">
        <v>1.0</v>
      </c>
      <c r="E508" s="2">
        <v>40.0</v>
      </c>
      <c r="CM508" s="2">
        <v>0.9</v>
      </c>
      <c r="CP508" s="2">
        <v>0.1</v>
      </c>
      <c r="CU508" s="19"/>
      <c r="CV508" s="19">
        <f t="shared" si="1"/>
        <v>1</v>
      </c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</row>
    <row r="509">
      <c r="A509" s="6">
        <v>45377.0</v>
      </c>
      <c r="B509" s="2" t="s">
        <v>264</v>
      </c>
      <c r="C509" s="2" t="s">
        <v>199</v>
      </c>
      <c r="D509" s="2">
        <v>1.0</v>
      </c>
      <c r="E509" s="2">
        <v>35.0</v>
      </c>
      <c r="S509" s="2">
        <v>0.1</v>
      </c>
      <c r="AU509" s="2">
        <v>0.2</v>
      </c>
      <c r="BA509" s="2">
        <v>0.05</v>
      </c>
      <c r="BT509" s="2">
        <v>0.1</v>
      </c>
      <c r="CM509" s="2">
        <v>0.55</v>
      </c>
      <c r="CU509" s="19"/>
      <c r="CV509" s="19">
        <f t="shared" si="1"/>
        <v>1</v>
      </c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</row>
    <row r="510">
      <c r="A510" s="6">
        <v>45377.0</v>
      </c>
      <c r="B510" s="2" t="s">
        <v>264</v>
      </c>
      <c r="C510" s="2" t="s">
        <v>199</v>
      </c>
      <c r="D510" s="2">
        <v>1.0</v>
      </c>
      <c r="E510" s="2">
        <v>30.0</v>
      </c>
      <c r="S510" s="2">
        <v>0.35</v>
      </c>
      <c r="AU510" s="2">
        <v>0.25</v>
      </c>
      <c r="BF510" s="2">
        <v>0.05</v>
      </c>
      <c r="BT510" s="2">
        <v>0.15</v>
      </c>
      <c r="CM510" s="2">
        <v>0.2</v>
      </c>
      <c r="CU510" s="19"/>
      <c r="CV510" s="19">
        <f t="shared" si="1"/>
        <v>1</v>
      </c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</row>
    <row r="511">
      <c r="A511" s="6">
        <v>45377.0</v>
      </c>
      <c r="B511" s="2" t="s">
        <v>264</v>
      </c>
      <c r="C511" s="2" t="s">
        <v>199</v>
      </c>
      <c r="D511" s="2">
        <v>1.0</v>
      </c>
      <c r="E511" s="2">
        <v>25.0</v>
      </c>
      <c r="S511" s="2">
        <v>0.15</v>
      </c>
      <c r="AA511" s="2">
        <v>0.15</v>
      </c>
      <c r="AU511" s="2">
        <v>0.2</v>
      </c>
      <c r="BA511" s="2">
        <v>0.05</v>
      </c>
      <c r="BT511" s="2">
        <v>0.3</v>
      </c>
      <c r="CP511" s="2">
        <v>0.15</v>
      </c>
      <c r="CU511" s="19"/>
      <c r="CV511" s="19">
        <f t="shared" si="1"/>
        <v>1</v>
      </c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</row>
    <row r="512">
      <c r="A512" s="6">
        <v>45377.0</v>
      </c>
      <c r="B512" s="2" t="s">
        <v>264</v>
      </c>
      <c r="C512" s="2" t="s">
        <v>199</v>
      </c>
      <c r="D512" s="2">
        <v>1.0</v>
      </c>
      <c r="E512" s="2">
        <v>20.0</v>
      </c>
      <c r="S512" s="2">
        <v>0.2</v>
      </c>
      <c r="BF512" s="2">
        <v>0.05</v>
      </c>
      <c r="BT512" s="2">
        <v>0.3</v>
      </c>
      <c r="CE512" s="2">
        <v>0.35</v>
      </c>
      <c r="CP512" s="2">
        <v>0.1</v>
      </c>
      <c r="CU512" s="19"/>
      <c r="CV512" s="19">
        <f t="shared" si="1"/>
        <v>1</v>
      </c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</row>
    <row r="513">
      <c r="A513" s="6">
        <v>45377.0</v>
      </c>
      <c r="B513" s="2" t="s">
        <v>264</v>
      </c>
      <c r="C513" s="2" t="s">
        <v>199</v>
      </c>
      <c r="D513" s="2">
        <v>1.0</v>
      </c>
      <c r="E513" s="2">
        <v>15.0</v>
      </c>
      <c r="S513" s="2">
        <v>0.1</v>
      </c>
      <c r="AU513" s="2">
        <v>0.1</v>
      </c>
      <c r="BF513" s="2">
        <v>0.3</v>
      </c>
      <c r="BT513" s="2">
        <v>0.1</v>
      </c>
      <c r="CP513" s="2">
        <v>0.2</v>
      </c>
      <c r="CU513" s="19"/>
      <c r="CV513" s="19">
        <f t="shared" si="1"/>
        <v>0.8</v>
      </c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</row>
    <row r="514">
      <c r="A514" s="6">
        <v>45377.0</v>
      </c>
      <c r="B514" s="2" t="s">
        <v>264</v>
      </c>
      <c r="C514" s="2" t="s">
        <v>199</v>
      </c>
      <c r="D514" s="2">
        <v>1.0</v>
      </c>
      <c r="E514" s="2">
        <v>10.0</v>
      </c>
      <c r="F514" s="2">
        <v>0.3</v>
      </c>
      <c r="BT514" s="2">
        <v>0.35</v>
      </c>
      <c r="CM514" s="2">
        <v>0.1</v>
      </c>
      <c r="CO514" s="2">
        <v>0.1</v>
      </c>
      <c r="CU514" s="19"/>
      <c r="CV514" s="19">
        <f t="shared" si="1"/>
        <v>0.85</v>
      </c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</row>
    <row r="515">
      <c r="A515" s="6">
        <v>45377.0</v>
      </c>
      <c r="B515" s="2" t="s">
        <v>264</v>
      </c>
      <c r="C515" s="2" t="s">
        <v>199</v>
      </c>
      <c r="D515" s="2">
        <v>1.0</v>
      </c>
      <c r="E515" s="2">
        <v>5.0</v>
      </c>
      <c r="AU515" s="2">
        <v>0.25</v>
      </c>
      <c r="BA515" s="2">
        <v>0.2</v>
      </c>
      <c r="BF515" s="2">
        <v>0.2</v>
      </c>
      <c r="BT515" s="2">
        <v>0.15</v>
      </c>
      <c r="CP515" s="2">
        <v>0.2</v>
      </c>
      <c r="CU515" s="19"/>
      <c r="CV515" s="19">
        <f t="shared" si="1"/>
        <v>1</v>
      </c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</row>
    <row r="516">
      <c r="A516" s="6">
        <v>45377.0</v>
      </c>
      <c r="B516" s="2" t="s">
        <v>264</v>
      </c>
      <c r="C516" s="2" t="s">
        <v>199</v>
      </c>
      <c r="D516" s="2">
        <v>1.0</v>
      </c>
      <c r="E516" s="2">
        <v>0.0</v>
      </c>
      <c r="AU516" s="2">
        <v>0.2</v>
      </c>
      <c r="BF516" s="2">
        <v>0.3</v>
      </c>
      <c r="BT516" s="2">
        <v>0.3</v>
      </c>
      <c r="CP516" s="2">
        <v>0.2</v>
      </c>
      <c r="CU516" s="19"/>
      <c r="CV516" s="19">
        <f t="shared" si="1"/>
        <v>1</v>
      </c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</row>
    <row r="517">
      <c r="A517" s="6">
        <v>45377.0</v>
      </c>
      <c r="B517" s="2" t="s">
        <v>264</v>
      </c>
      <c r="C517" s="2" t="s">
        <v>235</v>
      </c>
      <c r="D517" s="2">
        <v>2.0</v>
      </c>
      <c r="E517" s="2">
        <v>40.0</v>
      </c>
      <c r="I517" s="2">
        <f>1/36</f>
        <v>0.02777777778</v>
      </c>
      <c r="S517" s="15">
        <f>0.5/36</f>
        <v>0.01388888889</v>
      </c>
      <c r="AM517" s="15">
        <f>0.5/36</f>
        <v>0.01388888889</v>
      </c>
      <c r="AS517" s="15">
        <f>2/36</f>
        <v>0.05555555556</v>
      </c>
      <c r="AU517" s="15">
        <f>3/36</f>
        <v>0.08333333333</v>
      </c>
      <c r="AZ517" s="15">
        <f>2/36</f>
        <v>0.05555555556</v>
      </c>
      <c r="BB517" s="15">
        <f t="shared" ref="BB517:BB518" si="12">2/36</f>
        <v>0.05555555556</v>
      </c>
      <c r="BH517" s="15">
        <f>3/36</f>
        <v>0.08333333333</v>
      </c>
      <c r="BT517" s="37">
        <f>1-(sum(F517:BS517)+sum(BU517:CT517))</f>
        <v>0.1111111111</v>
      </c>
      <c r="CM517" s="15">
        <f>5/36</f>
        <v>0.1388888889</v>
      </c>
      <c r="CP517" s="15">
        <f>12/36</f>
        <v>0.3333333333</v>
      </c>
      <c r="CR517" s="15">
        <f>1/36</f>
        <v>0.02777777778</v>
      </c>
      <c r="CU517" s="19"/>
      <c r="CV517" s="19">
        <f t="shared" si="1"/>
        <v>1</v>
      </c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</row>
    <row r="518">
      <c r="A518" s="6">
        <v>45377.0</v>
      </c>
      <c r="B518" s="2" t="s">
        <v>264</v>
      </c>
      <c r="C518" s="2" t="s">
        <v>235</v>
      </c>
      <c r="D518" s="2">
        <v>2.0</v>
      </c>
      <c r="E518" s="2">
        <v>35.0</v>
      </c>
      <c r="I518" s="2">
        <v>0.01</v>
      </c>
      <c r="S518" s="15">
        <f>1/36</f>
        <v>0.02777777778</v>
      </c>
      <c r="AU518" s="15">
        <f>1/36</f>
        <v>0.02777777778</v>
      </c>
      <c r="BB518" s="15">
        <f t="shared" si="12"/>
        <v>0.05555555556</v>
      </c>
      <c r="BF518" s="2">
        <v>0.005</v>
      </c>
      <c r="BH518" s="15">
        <f>2/36</f>
        <v>0.05555555556</v>
      </c>
      <c r="BT518" s="37">
        <f>8/36</f>
        <v>0.2222222222</v>
      </c>
      <c r="CP518" s="15">
        <f>1-sum(F518:CO518)</f>
        <v>0.5961111111</v>
      </c>
      <c r="CU518" s="19"/>
      <c r="CV518" s="19">
        <f t="shared" si="1"/>
        <v>1</v>
      </c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</row>
    <row r="519">
      <c r="A519" s="6">
        <v>45377.0</v>
      </c>
      <c r="B519" s="2" t="s">
        <v>264</v>
      </c>
      <c r="C519" s="2" t="s">
        <v>235</v>
      </c>
      <c r="D519" s="2">
        <v>2.0</v>
      </c>
      <c r="E519" s="2">
        <v>30.0</v>
      </c>
      <c r="J519" s="2">
        <v>0.03</v>
      </c>
      <c r="S519" s="15">
        <f>0.5/36</f>
        <v>0.01388888889</v>
      </c>
      <c r="AU519" s="15">
        <f>11/36</f>
        <v>0.3055555556</v>
      </c>
      <c r="BB519" s="15">
        <f t="shared" ref="BB519:BB520" si="13">1/36</f>
        <v>0.02777777778</v>
      </c>
      <c r="BC519" s="15">
        <f>0.5/36</f>
        <v>0.01388888889</v>
      </c>
      <c r="BF519" s="2">
        <v>0.005</v>
      </c>
      <c r="BH519" s="15">
        <f>0.5/36</f>
        <v>0.01388888889</v>
      </c>
      <c r="BT519" s="37">
        <f>10/36</f>
        <v>0.2777777778</v>
      </c>
      <c r="CM519" s="15">
        <f>9/36</f>
        <v>0.25</v>
      </c>
      <c r="CR519" s="15">
        <f>1/36</f>
        <v>0.02777777778</v>
      </c>
      <c r="CU519" s="19"/>
      <c r="CV519" s="19">
        <f t="shared" si="1"/>
        <v>0.9655555556</v>
      </c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</row>
    <row r="520">
      <c r="A520" s="6">
        <v>45377.0</v>
      </c>
      <c r="B520" s="2" t="s">
        <v>264</v>
      </c>
      <c r="C520" s="2" t="s">
        <v>235</v>
      </c>
      <c r="D520" s="2">
        <v>2.0</v>
      </c>
      <c r="E520" s="2">
        <v>25.0</v>
      </c>
      <c r="I520" s="2">
        <v>0.01</v>
      </c>
      <c r="M520" s="2"/>
      <c r="N520" s="2">
        <v>0.01</v>
      </c>
      <c r="S520" s="15">
        <f>1/36</f>
        <v>0.02777777778</v>
      </c>
      <c r="X520" s="2">
        <v>0.01</v>
      </c>
      <c r="AS520" s="15">
        <f>1/36</f>
        <v>0.02777777778</v>
      </c>
      <c r="AU520" s="15">
        <f>6/36</f>
        <v>0.1666666667</v>
      </c>
      <c r="BB520" s="15">
        <f t="shared" si="13"/>
        <v>0.02777777778</v>
      </c>
      <c r="BC520" s="15">
        <f>1/36</f>
        <v>0.02777777778</v>
      </c>
      <c r="BF520" s="2">
        <v>0.005</v>
      </c>
      <c r="BH520" s="15">
        <f>4/36</f>
        <v>0.1111111111</v>
      </c>
      <c r="BP520" s="15">
        <f>3/36</f>
        <v>0.08333333333</v>
      </c>
      <c r="BT520" s="37">
        <f t="shared" ref="BT520:BT522" si="14">1-(sum(F520:BS520)+sum(BU520:CT520))</f>
        <v>0.1872222222</v>
      </c>
      <c r="CM520" s="15">
        <f>2/36</f>
        <v>0.05555555556</v>
      </c>
      <c r="CP520" s="15">
        <f>2/36</f>
        <v>0.05555555556</v>
      </c>
      <c r="CR520" s="15">
        <f>7/36</f>
        <v>0.1944444444</v>
      </c>
      <c r="CU520" s="19"/>
      <c r="CV520" s="19">
        <f t="shared" si="1"/>
        <v>1</v>
      </c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</row>
    <row r="521">
      <c r="A521" s="6">
        <v>45377.0</v>
      </c>
      <c r="B521" s="2" t="s">
        <v>264</v>
      </c>
      <c r="C521" s="2" t="s">
        <v>235</v>
      </c>
      <c r="D521" s="2">
        <v>2.0</v>
      </c>
      <c r="E521" s="2">
        <v>20.0</v>
      </c>
      <c r="J521" s="15">
        <f>0.5/36</f>
        <v>0.01388888889</v>
      </c>
      <c r="O521" s="2">
        <v>0.01</v>
      </c>
      <c r="S521" s="2">
        <v>0.01</v>
      </c>
      <c r="X521" s="15">
        <f>0.5/36</f>
        <v>0.01388888889</v>
      </c>
      <c r="AE521" s="15">
        <f>3/36</f>
        <v>0.08333333333</v>
      </c>
      <c r="AJ521" s="2">
        <v>0.01</v>
      </c>
      <c r="AU521" s="15">
        <f>5/36</f>
        <v>0.1388888889</v>
      </c>
      <c r="BB521" s="15">
        <f>2/36</f>
        <v>0.05555555556</v>
      </c>
      <c r="BH521" s="15">
        <f>5/36</f>
        <v>0.1388888889</v>
      </c>
      <c r="BP521" s="15">
        <f>1/36</f>
        <v>0.02777777778</v>
      </c>
      <c r="BT521" s="37">
        <f t="shared" si="14"/>
        <v>0.2061111111</v>
      </c>
      <c r="BY521" s="15">
        <f>0.5/36</f>
        <v>0.01388888889</v>
      </c>
      <c r="CM521" s="15">
        <f t="shared" ref="CM521:CM522" si="15">1/36</f>
        <v>0.02777777778</v>
      </c>
      <c r="CO521" s="15">
        <f>1/36</f>
        <v>0.02777777778</v>
      </c>
      <c r="CP521" s="15">
        <f>4/36</f>
        <v>0.1111111111</v>
      </c>
      <c r="CR521" s="15">
        <f>4/36</f>
        <v>0.1111111111</v>
      </c>
      <c r="CU521" s="19"/>
      <c r="CV521" s="19">
        <f t="shared" si="1"/>
        <v>1</v>
      </c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</row>
    <row r="522">
      <c r="A522" s="6">
        <v>45377.0</v>
      </c>
      <c r="B522" s="2" t="s">
        <v>264</v>
      </c>
      <c r="C522" s="2" t="s">
        <v>235</v>
      </c>
      <c r="D522" s="2">
        <v>2.0</v>
      </c>
      <c r="E522" s="2">
        <v>15.0</v>
      </c>
      <c r="J522" s="2">
        <f>1/36</f>
        <v>0.02777777778</v>
      </c>
      <c r="S522" s="2">
        <v>0.01</v>
      </c>
      <c r="AK522" s="15">
        <f>1/36</f>
        <v>0.02777777778</v>
      </c>
      <c r="AU522" s="2">
        <v>0.01</v>
      </c>
      <c r="BB522" s="15">
        <f>1/36</f>
        <v>0.02777777778</v>
      </c>
      <c r="BH522" s="15">
        <f>3/36</f>
        <v>0.08333333333</v>
      </c>
      <c r="BP522" s="2">
        <v>0.01</v>
      </c>
      <c r="BT522" s="37">
        <f t="shared" si="14"/>
        <v>0.5611111111</v>
      </c>
      <c r="BY522" s="2">
        <v>0.02</v>
      </c>
      <c r="CM522" s="15">
        <f t="shared" si="15"/>
        <v>0.02777777778</v>
      </c>
      <c r="CP522" s="15">
        <f>7/36</f>
        <v>0.1944444444</v>
      </c>
      <c r="CU522" s="19"/>
      <c r="CV522" s="19">
        <f t="shared" si="1"/>
        <v>1</v>
      </c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</row>
    <row r="523">
      <c r="A523" s="6">
        <v>45377.0</v>
      </c>
      <c r="B523" s="2" t="s">
        <v>264</v>
      </c>
      <c r="C523" s="2" t="s">
        <v>235</v>
      </c>
      <c r="D523" s="2">
        <v>2.0</v>
      </c>
      <c r="E523" s="2">
        <v>10.0</v>
      </c>
      <c r="I523" s="15">
        <f>1/36</f>
        <v>0.02777777778</v>
      </c>
      <c r="S523" s="15">
        <f>1/36</f>
        <v>0.02777777778</v>
      </c>
      <c r="BF523" s="2">
        <v>0.01</v>
      </c>
      <c r="BH523" s="15">
        <f>5/36</f>
        <v>0.1388888889</v>
      </c>
      <c r="BP523" s="15">
        <f>1/36</f>
        <v>0.02777777778</v>
      </c>
      <c r="BT523" s="37">
        <f>7/36</f>
        <v>0.1944444444</v>
      </c>
      <c r="CO523" s="2">
        <v>0.01</v>
      </c>
      <c r="CP523" s="31">
        <f>1-sum(F523:CO523)</f>
        <v>0.5633333333</v>
      </c>
      <c r="CU523" s="19"/>
      <c r="CV523" s="19">
        <f t="shared" si="1"/>
        <v>1</v>
      </c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</row>
    <row r="524">
      <c r="A524" s="6">
        <v>45377.0</v>
      </c>
      <c r="B524" s="2" t="s">
        <v>264</v>
      </c>
      <c r="C524" s="2" t="s">
        <v>235</v>
      </c>
      <c r="D524" s="2">
        <v>2.0</v>
      </c>
      <c r="E524" s="2">
        <v>5.0</v>
      </c>
      <c r="AS524" s="2">
        <f t="shared" ref="AS524:AS525" si="16">2/36</f>
        <v>0.05555555556</v>
      </c>
      <c r="AU524" s="2">
        <f>2/36</f>
        <v>0.05555555556</v>
      </c>
      <c r="BH524" s="2">
        <f>8/36</f>
        <v>0.2222222222</v>
      </c>
      <c r="BI524" s="2">
        <f>1/36</f>
        <v>0.02777777778</v>
      </c>
      <c r="BT524" s="37">
        <f>1-(sum(F524:BS524)+sum(BU524:CT524))</f>
        <v>0.3055555556</v>
      </c>
      <c r="CM524" s="15">
        <f>1/36</f>
        <v>0.02777777778</v>
      </c>
      <c r="CO524" s="15">
        <f>2/36</f>
        <v>0.05555555556</v>
      </c>
      <c r="CP524" s="15">
        <f>9/36</f>
        <v>0.25</v>
      </c>
      <c r="CU524" s="19"/>
      <c r="CV524" s="19">
        <f t="shared" si="1"/>
        <v>1</v>
      </c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</row>
    <row r="525">
      <c r="A525" s="6">
        <v>45377.0</v>
      </c>
      <c r="B525" s="2" t="s">
        <v>264</v>
      </c>
      <c r="C525" s="2" t="s">
        <v>235</v>
      </c>
      <c r="D525" s="2">
        <v>2.0</v>
      </c>
      <c r="E525" s="2">
        <v>0.0</v>
      </c>
      <c r="I525" s="15">
        <f>1/36</f>
        <v>0.02777777778</v>
      </c>
      <c r="O525" s="2">
        <v>0.005</v>
      </c>
      <c r="X525" s="2">
        <v>0.01</v>
      </c>
      <c r="AF525" s="15">
        <f>2/36</f>
        <v>0.05555555556</v>
      </c>
      <c r="AK525" s="15">
        <f>1/36</f>
        <v>0.02777777778</v>
      </c>
      <c r="AS525" s="2">
        <f t="shared" si="16"/>
        <v>0.05555555556</v>
      </c>
      <c r="BF525" s="2">
        <v>0.005</v>
      </c>
      <c r="BH525" s="2">
        <f>1-(sum(F525:BG525)+sum(BI525:CT525))</f>
        <v>0.6644444444</v>
      </c>
      <c r="BP525" s="2">
        <v>0.01</v>
      </c>
      <c r="BT525" s="37">
        <f>2/36</f>
        <v>0.05555555556</v>
      </c>
      <c r="CO525" s="15">
        <f>1/36</f>
        <v>0.02777777778</v>
      </c>
      <c r="CP525" s="15">
        <f>2/36</f>
        <v>0.05555555556</v>
      </c>
      <c r="CU525" s="19"/>
      <c r="CV525" s="19">
        <f t="shared" si="1"/>
        <v>1</v>
      </c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</row>
    <row r="526">
      <c r="A526" s="6">
        <v>45377.0</v>
      </c>
      <c r="B526" s="2" t="s">
        <v>264</v>
      </c>
      <c r="C526" s="2" t="s">
        <v>199</v>
      </c>
      <c r="D526" s="2">
        <v>3.0</v>
      </c>
      <c r="E526" s="2">
        <v>0.0</v>
      </c>
      <c r="S526" s="2">
        <v>0.35</v>
      </c>
      <c r="AK526" s="2">
        <v>0.1</v>
      </c>
      <c r="BH526" s="2">
        <v>0.15</v>
      </c>
      <c r="BT526" s="2">
        <v>0.15</v>
      </c>
      <c r="CP526" s="2">
        <v>0.25</v>
      </c>
      <c r="CU526" s="19"/>
      <c r="CV526" s="19">
        <f t="shared" si="1"/>
        <v>1</v>
      </c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</row>
    <row r="527">
      <c r="A527" s="6">
        <v>45377.0</v>
      </c>
      <c r="B527" s="2" t="s">
        <v>264</v>
      </c>
      <c r="C527" s="2" t="s">
        <v>199</v>
      </c>
      <c r="D527" s="2">
        <v>3.0</v>
      </c>
      <c r="E527" s="2">
        <v>5.0</v>
      </c>
      <c r="AU527" s="2">
        <v>0.5</v>
      </c>
      <c r="BH527" s="2">
        <v>0.1</v>
      </c>
      <c r="BQ527" s="2">
        <v>0.15</v>
      </c>
      <c r="BT527" s="2">
        <v>0.25</v>
      </c>
      <c r="CU527" s="19"/>
      <c r="CV527" s="19">
        <f t="shared" si="1"/>
        <v>1</v>
      </c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</row>
    <row r="528">
      <c r="A528" s="6">
        <v>45377.0</v>
      </c>
      <c r="B528" s="2" t="s">
        <v>264</v>
      </c>
      <c r="C528" s="2" t="s">
        <v>199</v>
      </c>
      <c r="D528" s="2">
        <v>3.0</v>
      </c>
      <c r="E528" s="2">
        <v>10.0</v>
      </c>
      <c r="AM528" s="2">
        <v>0.25</v>
      </c>
      <c r="AU528" s="2">
        <v>0.25</v>
      </c>
      <c r="BT528" s="2">
        <v>0.15</v>
      </c>
      <c r="CM528" s="2">
        <v>0.2</v>
      </c>
      <c r="CO528" s="2">
        <v>0.15</v>
      </c>
      <c r="CU528" s="19"/>
      <c r="CV528" s="19">
        <f t="shared" si="1"/>
        <v>1</v>
      </c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</row>
    <row r="529">
      <c r="A529" s="6">
        <v>45377.0</v>
      </c>
      <c r="B529" s="2" t="s">
        <v>264</v>
      </c>
      <c r="C529" s="2" t="s">
        <v>199</v>
      </c>
      <c r="D529" s="2">
        <v>3.0</v>
      </c>
      <c r="E529" s="2">
        <v>15.0</v>
      </c>
      <c r="AK529" s="2">
        <v>0.15</v>
      </c>
      <c r="AM529" s="2">
        <v>0.1</v>
      </c>
      <c r="AU529" s="2">
        <v>0.3</v>
      </c>
      <c r="BB529" s="2">
        <v>0.1</v>
      </c>
      <c r="BT529" s="2">
        <v>0.2</v>
      </c>
      <c r="CM529" s="2">
        <v>0.15</v>
      </c>
      <c r="CU529" s="19"/>
      <c r="CV529" s="19">
        <f t="shared" si="1"/>
        <v>1</v>
      </c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</row>
    <row r="530">
      <c r="A530" s="6">
        <v>45377.0</v>
      </c>
      <c r="B530" s="2" t="s">
        <v>264</v>
      </c>
      <c r="C530" s="2" t="s">
        <v>199</v>
      </c>
      <c r="D530" s="2">
        <v>3.0</v>
      </c>
      <c r="E530" s="2">
        <v>20.0</v>
      </c>
      <c r="AK530" s="2">
        <v>0.1</v>
      </c>
      <c r="AU530" s="2">
        <v>0.2</v>
      </c>
      <c r="BT530" s="2">
        <v>0.1</v>
      </c>
      <c r="CM530" s="2">
        <v>0.6</v>
      </c>
      <c r="CU530" s="19"/>
      <c r="CV530" s="19">
        <f t="shared" si="1"/>
        <v>1</v>
      </c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</row>
    <row r="531">
      <c r="A531" s="6">
        <v>45377.0</v>
      </c>
      <c r="B531" s="2" t="s">
        <v>264</v>
      </c>
      <c r="C531" s="2" t="s">
        <v>199</v>
      </c>
      <c r="D531" s="2">
        <v>3.0</v>
      </c>
      <c r="E531" s="2">
        <v>25.0</v>
      </c>
      <c r="AK531" s="2">
        <v>0.2</v>
      </c>
      <c r="AQ531" s="2">
        <v>0.1</v>
      </c>
      <c r="AU531" s="2">
        <v>0.05</v>
      </c>
      <c r="BT531" s="2">
        <v>0.1</v>
      </c>
      <c r="CM531" s="2">
        <v>0.55</v>
      </c>
      <c r="CU531" s="19"/>
      <c r="CV531" s="19">
        <f t="shared" si="1"/>
        <v>1</v>
      </c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</row>
    <row r="532">
      <c r="A532" s="6">
        <v>45377.0</v>
      </c>
      <c r="B532" s="2" t="s">
        <v>264</v>
      </c>
      <c r="C532" s="2" t="s">
        <v>199</v>
      </c>
      <c r="D532" s="2">
        <v>3.0</v>
      </c>
      <c r="E532" s="2">
        <v>30.0</v>
      </c>
      <c r="S532" s="2">
        <v>0.2</v>
      </c>
      <c r="AI532" s="2">
        <v>0.05</v>
      </c>
      <c r="AK532" s="2">
        <v>0.15</v>
      </c>
      <c r="AU532" s="2">
        <v>0.3</v>
      </c>
      <c r="CM532" s="2">
        <v>0.3</v>
      </c>
      <c r="CU532" s="19"/>
      <c r="CV532" s="19">
        <f t="shared" si="1"/>
        <v>1</v>
      </c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</row>
    <row r="533">
      <c r="A533" s="6">
        <v>45377.0</v>
      </c>
      <c r="B533" s="2" t="s">
        <v>264</v>
      </c>
      <c r="C533" s="2" t="s">
        <v>199</v>
      </c>
      <c r="D533" s="2">
        <v>3.0</v>
      </c>
      <c r="E533" s="2">
        <v>35.0</v>
      </c>
      <c r="S533" s="2">
        <v>0.2</v>
      </c>
      <c r="AM533" s="2">
        <v>0.1</v>
      </c>
      <c r="AU533" s="2">
        <v>0.2</v>
      </c>
      <c r="BB533" s="2">
        <v>0.1</v>
      </c>
      <c r="BT533" s="2">
        <v>0.1</v>
      </c>
      <c r="CM533" s="2">
        <v>0.15</v>
      </c>
      <c r="CP533" s="2">
        <v>0.15</v>
      </c>
      <c r="CU533" s="19"/>
      <c r="CV533" s="19">
        <f t="shared" si="1"/>
        <v>1</v>
      </c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</row>
    <row r="534">
      <c r="A534" s="6">
        <v>45377.0</v>
      </c>
      <c r="B534" s="2" t="s">
        <v>264</v>
      </c>
      <c r="C534" s="2" t="s">
        <v>199</v>
      </c>
      <c r="D534" s="2">
        <v>3.0</v>
      </c>
      <c r="E534" s="2">
        <v>40.0</v>
      </c>
      <c r="BH534" s="2">
        <v>0.35</v>
      </c>
      <c r="BT534" s="2">
        <v>0.1</v>
      </c>
      <c r="CM534" s="2">
        <v>0.05</v>
      </c>
      <c r="CP534" s="2">
        <v>0.5</v>
      </c>
      <c r="CU534" s="19"/>
      <c r="CV534" s="19">
        <f t="shared" si="1"/>
        <v>1</v>
      </c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</row>
    <row r="535">
      <c r="A535" s="6">
        <v>45377.0</v>
      </c>
      <c r="B535" s="2" t="s">
        <v>264</v>
      </c>
      <c r="C535" s="2" t="s">
        <v>235</v>
      </c>
      <c r="D535" s="2">
        <v>4.0</v>
      </c>
      <c r="E535" s="2">
        <v>0.0</v>
      </c>
      <c r="G535" s="15">
        <f>3/36</f>
        <v>0.08333333333</v>
      </c>
      <c r="S535" s="2">
        <v>0.1</v>
      </c>
      <c r="AB535" s="15">
        <f>1/36</f>
        <v>0.02777777778</v>
      </c>
      <c r="AK535" s="15">
        <f>5/36</f>
        <v>0.1388888889</v>
      </c>
      <c r="AZ535" s="15">
        <f>1/36</f>
        <v>0.02777777778</v>
      </c>
      <c r="BB535" s="15">
        <f>1/36</f>
        <v>0.02777777778</v>
      </c>
      <c r="BH535" s="15">
        <f>2/36</f>
        <v>0.05555555556</v>
      </c>
      <c r="BT535" s="15">
        <f>1-(SUM(F535:BS535)+sum(BU535:CT535))</f>
        <v>0.3444444444</v>
      </c>
      <c r="CM535" s="15">
        <f>7/36</f>
        <v>0.1944444444</v>
      </c>
      <c r="CU535" s="19"/>
      <c r="CV535" s="19">
        <f t="shared" si="1"/>
        <v>1</v>
      </c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</row>
    <row r="536">
      <c r="A536" s="6">
        <v>45377.0</v>
      </c>
      <c r="B536" s="2" t="s">
        <v>264</v>
      </c>
      <c r="C536" s="2" t="s">
        <v>235</v>
      </c>
      <c r="D536" s="2">
        <v>4.0</v>
      </c>
      <c r="E536" s="2">
        <v>5.0</v>
      </c>
      <c r="AB536" s="2">
        <v>0.01</v>
      </c>
      <c r="AZ536" s="15">
        <f>0.5/36</f>
        <v>0.01388888889</v>
      </c>
      <c r="BH536" s="2">
        <v>0.01</v>
      </c>
      <c r="BI536" s="15">
        <f>4/36</f>
        <v>0.1111111111</v>
      </c>
      <c r="BT536" s="15">
        <f>1/36</f>
        <v>0.02777777778</v>
      </c>
      <c r="CM536" s="15">
        <f t="shared" ref="CM536:CM539" si="17">1-(SUM(F536:CL536)+sum(CN536:CT536))</f>
        <v>0.6327777778</v>
      </c>
      <c r="CR536" s="15">
        <f>7/36</f>
        <v>0.1944444444</v>
      </c>
      <c r="CU536" s="19"/>
      <c r="CV536" s="19">
        <f t="shared" si="1"/>
        <v>1</v>
      </c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</row>
    <row r="537">
      <c r="A537" s="6">
        <v>45377.0</v>
      </c>
      <c r="B537" s="2" t="s">
        <v>264</v>
      </c>
      <c r="C537" s="2" t="s">
        <v>235</v>
      </c>
      <c r="D537" s="2">
        <v>4.0</v>
      </c>
      <c r="E537" s="2">
        <v>10.0</v>
      </c>
      <c r="F537" s="15">
        <f>0.5/36</f>
        <v>0.01388888889</v>
      </c>
      <c r="G537" s="15">
        <f>1/36</f>
        <v>0.02777777778</v>
      </c>
      <c r="I537" s="15">
        <f>1/36</f>
        <v>0.02777777778</v>
      </c>
      <c r="S537" s="15">
        <f>1/36</f>
        <v>0.02777777778</v>
      </c>
      <c r="AK537" s="15">
        <f>1/36</f>
        <v>0.02777777778</v>
      </c>
      <c r="AZ537" s="2">
        <v>0.01</v>
      </c>
      <c r="BH537" s="15">
        <f>1/36</f>
        <v>0.02777777778</v>
      </c>
      <c r="BT537" s="15">
        <f>5/36</f>
        <v>0.1388888889</v>
      </c>
      <c r="CM537" s="15">
        <f t="shared" si="17"/>
        <v>0.6705555556</v>
      </c>
      <c r="CR537" s="15">
        <f>1/36</f>
        <v>0.02777777778</v>
      </c>
      <c r="CU537" s="19"/>
      <c r="CV537" s="19">
        <f t="shared" si="1"/>
        <v>1</v>
      </c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</row>
    <row r="538">
      <c r="A538" s="6">
        <v>45377.0</v>
      </c>
      <c r="B538" s="2" t="s">
        <v>264</v>
      </c>
      <c r="C538" s="2" t="s">
        <v>235</v>
      </c>
      <c r="D538" s="2">
        <v>4.0</v>
      </c>
      <c r="E538" s="2">
        <v>15.0</v>
      </c>
      <c r="G538" s="15">
        <f>9/36</f>
        <v>0.25</v>
      </c>
      <c r="O538" s="2">
        <v>0.005</v>
      </c>
      <c r="AF538" s="2">
        <v>0.005</v>
      </c>
      <c r="AK538" s="15">
        <f>2/36</f>
        <v>0.05555555556</v>
      </c>
      <c r="AS538" s="2">
        <v>0.02</v>
      </c>
      <c r="AZ538" s="15">
        <f>1/36</f>
        <v>0.02777777778</v>
      </c>
      <c r="BH538" s="2">
        <v>0.01</v>
      </c>
      <c r="BT538" s="15">
        <f>4/36</f>
        <v>0.1111111111</v>
      </c>
      <c r="CM538" s="15">
        <f t="shared" si="17"/>
        <v>0.3211111111</v>
      </c>
      <c r="CR538" s="15">
        <f>7/36</f>
        <v>0.1944444444</v>
      </c>
      <c r="CU538" s="19"/>
      <c r="CV538" s="19">
        <f t="shared" si="1"/>
        <v>1</v>
      </c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</row>
    <row r="539">
      <c r="A539" s="6">
        <v>45377.0</v>
      </c>
      <c r="B539" s="2" t="s">
        <v>264</v>
      </c>
      <c r="C539" s="2" t="s">
        <v>235</v>
      </c>
      <c r="D539" s="2">
        <v>4.0</v>
      </c>
      <c r="E539" s="2">
        <v>20.0</v>
      </c>
      <c r="G539" s="15">
        <f>0.5/36</f>
        <v>0.01388888889</v>
      </c>
      <c r="I539" s="15">
        <f>1/36</f>
        <v>0.02777777778</v>
      </c>
      <c r="S539" s="15">
        <f t="shared" ref="S539:S540" si="18">0.5/36</f>
        <v>0.01388888889</v>
      </c>
      <c r="AU539" s="15">
        <f>3/36</f>
        <v>0.08333333333</v>
      </c>
      <c r="AZ539" s="15">
        <f>0.5/36</f>
        <v>0.01388888889</v>
      </c>
      <c r="BB539" s="15">
        <f t="shared" ref="BB539:BB540" si="19">0.5/36</f>
        <v>0.01388888889</v>
      </c>
      <c r="BH539" s="2">
        <v>0.005</v>
      </c>
      <c r="BT539" s="15">
        <f>9/36</f>
        <v>0.25</v>
      </c>
      <c r="CM539" s="15">
        <f t="shared" si="17"/>
        <v>0.4116666667</v>
      </c>
      <c r="CR539" s="15">
        <f>6/36</f>
        <v>0.1666666667</v>
      </c>
      <c r="CU539" s="19"/>
      <c r="CV539" s="19">
        <f t="shared" si="1"/>
        <v>1</v>
      </c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</row>
    <row r="540">
      <c r="A540" s="6">
        <v>45377.0</v>
      </c>
      <c r="B540" s="2" t="s">
        <v>264</v>
      </c>
      <c r="C540" s="2" t="s">
        <v>235</v>
      </c>
      <c r="D540" s="2">
        <v>4.0</v>
      </c>
      <c r="E540" s="2">
        <v>25.0</v>
      </c>
      <c r="S540" s="15">
        <f t="shared" si="18"/>
        <v>0.01388888889</v>
      </c>
      <c r="AK540" s="15">
        <f>8/36</f>
        <v>0.2222222222</v>
      </c>
      <c r="AS540" s="15">
        <f>1/36</f>
        <v>0.02777777778</v>
      </c>
      <c r="AU540" s="15">
        <f>5/36</f>
        <v>0.1388888889</v>
      </c>
      <c r="BB540" s="15">
        <f t="shared" si="19"/>
        <v>0.01388888889</v>
      </c>
      <c r="BF540" s="2">
        <v>0.005</v>
      </c>
      <c r="BH540" s="15">
        <f>3/36</f>
        <v>0.08333333333</v>
      </c>
      <c r="BT540" s="15">
        <f t="shared" ref="BT540:BT541" si="20">1-(SUM(F540:BS540)+sum(BU540:CT540))</f>
        <v>0.2766666667</v>
      </c>
      <c r="BY540" s="15">
        <f>0.5/36</f>
        <v>0.01388888889</v>
      </c>
      <c r="CB540" s="2">
        <v>0.01</v>
      </c>
      <c r="CM540" s="15">
        <f>5/36</f>
        <v>0.1388888889</v>
      </c>
      <c r="CP540" s="15">
        <f>1/36</f>
        <v>0.02777777778</v>
      </c>
      <c r="CR540" s="15">
        <f>1/36</f>
        <v>0.02777777778</v>
      </c>
      <c r="CU540" s="19"/>
      <c r="CV540" s="19">
        <f t="shared" si="1"/>
        <v>1</v>
      </c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</row>
    <row r="541">
      <c r="A541" s="6">
        <v>45377.0</v>
      </c>
      <c r="B541" s="2" t="s">
        <v>264</v>
      </c>
      <c r="C541" s="2" t="s">
        <v>235</v>
      </c>
      <c r="D541" s="2">
        <v>4.0</v>
      </c>
      <c r="E541" s="2">
        <v>30.0</v>
      </c>
      <c r="G541" s="15">
        <f>4/36</f>
        <v>0.1111111111</v>
      </c>
      <c r="O541" s="2">
        <v>0.005</v>
      </c>
      <c r="S541" s="15">
        <f>2/36</f>
        <v>0.05555555556</v>
      </c>
      <c r="AS541" s="15">
        <f>6/36</f>
        <v>0.1666666667</v>
      </c>
      <c r="AU541" s="15">
        <f>4/36</f>
        <v>0.1111111111</v>
      </c>
      <c r="BB541" s="2">
        <v>0.01</v>
      </c>
      <c r="BI541" s="2">
        <v>0.02</v>
      </c>
      <c r="BT541" s="15">
        <f t="shared" si="20"/>
        <v>0.4094444444</v>
      </c>
      <c r="CM541" s="15">
        <f>1/36</f>
        <v>0.02777777778</v>
      </c>
      <c r="CO541" s="25">
        <f>1/36</f>
        <v>0.02777777778</v>
      </c>
      <c r="CP541" s="15">
        <f>2/36</f>
        <v>0.05555555556</v>
      </c>
      <c r="CU541" s="19"/>
      <c r="CV541" s="19">
        <f t="shared" si="1"/>
        <v>1</v>
      </c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</row>
    <row r="542">
      <c r="A542" s="6">
        <v>45377.0</v>
      </c>
      <c r="B542" s="2" t="s">
        <v>264</v>
      </c>
      <c r="C542" s="2" t="s">
        <v>235</v>
      </c>
      <c r="D542" s="2">
        <v>4.0</v>
      </c>
      <c r="E542" s="2">
        <v>35.0</v>
      </c>
      <c r="J542" s="15">
        <f>1/36</f>
        <v>0.02777777778</v>
      </c>
      <c r="S542" s="15">
        <f>1/36</f>
        <v>0.02777777778</v>
      </c>
      <c r="AK542" s="15">
        <f>3/36</f>
        <v>0.08333333333</v>
      </c>
      <c r="AS542" s="15">
        <f>2/36</f>
        <v>0.05555555556</v>
      </c>
      <c r="BB542" s="2">
        <v>0.03</v>
      </c>
      <c r="BH542" s="2">
        <v>0.04</v>
      </c>
      <c r="BT542" s="15">
        <f>7/36</f>
        <v>0.1944444444</v>
      </c>
      <c r="CM542" s="15">
        <f t="shared" ref="CM542:CM543" si="21">1-(SUM(F542:CL542)+sum(CN542:CT542))</f>
        <v>0.4894444444</v>
      </c>
      <c r="CO542" s="23"/>
      <c r="CP542" s="15">
        <f>1/36</f>
        <v>0.02777777778</v>
      </c>
      <c r="CR542" s="2">
        <v>0.01</v>
      </c>
      <c r="CT542" s="15">
        <f>0.5/36</f>
        <v>0.01388888889</v>
      </c>
      <c r="CU542" s="19"/>
      <c r="CV542" s="19">
        <f t="shared" si="1"/>
        <v>1</v>
      </c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</row>
    <row r="543">
      <c r="A543" s="6">
        <v>45377.0</v>
      </c>
      <c r="B543" s="2" t="s">
        <v>264</v>
      </c>
      <c r="C543" s="2" t="s">
        <v>235</v>
      </c>
      <c r="D543" s="2">
        <v>4.0</v>
      </c>
      <c r="E543" s="2">
        <v>40.0</v>
      </c>
      <c r="I543" s="15">
        <f>4/36</f>
        <v>0.1111111111</v>
      </c>
      <c r="O543" s="2">
        <v>0.005</v>
      </c>
      <c r="AZ543" s="2">
        <v>0.01</v>
      </c>
      <c r="BH543" s="2">
        <f>3/36</f>
        <v>0.08333333333</v>
      </c>
      <c r="CM543" s="15">
        <f t="shared" si="21"/>
        <v>0.5305555556</v>
      </c>
      <c r="CO543" s="25">
        <v>0.01</v>
      </c>
      <c r="CP543" s="15">
        <f>4/36</f>
        <v>0.1111111111</v>
      </c>
      <c r="CR543" s="15">
        <f>4/36</f>
        <v>0.1111111111</v>
      </c>
      <c r="CT543" s="15">
        <f>1/36</f>
        <v>0.02777777778</v>
      </c>
      <c r="CU543" s="19"/>
      <c r="CV543" s="19">
        <f t="shared" si="1"/>
        <v>1</v>
      </c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</row>
    <row r="544">
      <c r="A544" s="4">
        <v>45388.0</v>
      </c>
      <c r="B544" s="2" t="s">
        <v>27</v>
      </c>
      <c r="C544" s="2" t="s">
        <v>28</v>
      </c>
      <c r="D544" s="2">
        <v>1.0</v>
      </c>
      <c r="E544" s="2">
        <v>0.0</v>
      </c>
      <c r="S544" s="2">
        <v>0.05</v>
      </c>
      <c r="AP544" s="2">
        <v>0.15</v>
      </c>
      <c r="AU544" s="2">
        <v>0.05</v>
      </c>
      <c r="BE544" s="2">
        <v>0.3</v>
      </c>
      <c r="BH544" s="2">
        <v>0.05</v>
      </c>
      <c r="BT544" s="2">
        <v>0.25</v>
      </c>
      <c r="CS544" s="2">
        <v>0.15</v>
      </c>
      <c r="CU544" s="19"/>
      <c r="CV544" s="19">
        <f t="shared" si="1"/>
        <v>1</v>
      </c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</row>
    <row r="545">
      <c r="A545" s="4">
        <v>45388.0</v>
      </c>
      <c r="B545" s="2" t="s">
        <v>27</v>
      </c>
      <c r="C545" s="2" t="s">
        <v>28</v>
      </c>
      <c r="D545" s="2">
        <v>1.0</v>
      </c>
      <c r="E545" s="2">
        <v>2.0</v>
      </c>
      <c r="AA545" s="2">
        <v>0.15</v>
      </c>
      <c r="AP545" s="2">
        <v>0.1</v>
      </c>
      <c r="AS545" s="2">
        <v>0.15</v>
      </c>
      <c r="BA545" s="2">
        <v>0.05</v>
      </c>
      <c r="BH545" s="2">
        <v>0.15</v>
      </c>
      <c r="BT545" s="2">
        <v>0.25</v>
      </c>
      <c r="CS545" s="2">
        <v>0.1</v>
      </c>
      <c r="CU545" s="20">
        <v>0.05</v>
      </c>
      <c r="CV545" s="19">
        <f t="shared" si="1"/>
        <v>1</v>
      </c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</row>
    <row r="546">
      <c r="A546" s="4">
        <v>45388.0</v>
      </c>
      <c r="B546" s="2" t="s">
        <v>27</v>
      </c>
      <c r="C546" s="2" t="s">
        <v>28</v>
      </c>
      <c r="D546" s="2">
        <v>1.0</v>
      </c>
      <c r="E546" s="2">
        <v>4.0</v>
      </c>
      <c r="AA546" s="2">
        <v>0.1</v>
      </c>
      <c r="AV546" s="2">
        <v>0.05</v>
      </c>
      <c r="BE546" s="2">
        <v>0.2</v>
      </c>
      <c r="BH546" s="2">
        <v>0.4</v>
      </c>
      <c r="BT546" s="2">
        <v>0.15</v>
      </c>
      <c r="CS546" s="2">
        <v>0.1</v>
      </c>
      <c r="CU546" s="19"/>
      <c r="CV546" s="19">
        <f t="shared" si="1"/>
        <v>1</v>
      </c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</row>
    <row r="547">
      <c r="A547" s="4">
        <v>45388.0</v>
      </c>
      <c r="B547" s="2" t="s">
        <v>27</v>
      </c>
      <c r="C547" s="2" t="s">
        <v>28</v>
      </c>
      <c r="D547" s="2">
        <v>1.0</v>
      </c>
      <c r="E547" s="2">
        <v>6.0</v>
      </c>
      <c r="S547" s="2">
        <v>0.1</v>
      </c>
      <c r="AV547" s="2">
        <v>0.1</v>
      </c>
      <c r="BE547" s="2">
        <v>0.3</v>
      </c>
      <c r="BH547" s="2">
        <v>0.4</v>
      </c>
      <c r="BT547" s="2">
        <v>0.05</v>
      </c>
      <c r="CS547" s="2">
        <v>0.05</v>
      </c>
      <c r="CU547" s="19"/>
      <c r="CV547" s="19">
        <f t="shared" si="1"/>
        <v>1</v>
      </c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</row>
    <row r="548">
      <c r="A548" s="4">
        <v>45388.0</v>
      </c>
      <c r="B548" s="2" t="s">
        <v>27</v>
      </c>
      <c r="C548" s="2" t="s">
        <v>28</v>
      </c>
      <c r="D548" s="2">
        <v>1.0</v>
      </c>
      <c r="E548" s="2">
        <v>8.0</v>
      </c>
      <c r="M548" s="2">
        <v>0.05</v>
      </c>
      <c r="AA548" s="2">
        <v>0.05</v>
      </c>
      <c r="AU548" s="2">
        <v>0.05</v>
      </c>
      <c r="AV548" s="2">
        <v>0.05</v>
      </c>
      <c r="BB548" s="2">
        <v>0.1</v>
      </c>
      <c r="BE548" s="2">
        <v>0.25</v>
      </c>
      <c r="BH548" s="2">
        <v>0.3</v>
      </c>
      <c r="BT548" s="2">
        <v>0.05</v>
      </c>
      <c r="CS548" s="2">
        <v>0.1</v>
      </c>
      <c r="CU548" s="19"/>
      <c r="CV548" s="19">
        <f t="shared" si="1"/>
        <v>1</v>
      </c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</row>
    <row r="549">
      <c r="A549" s="4">
        <v>45388.0</v>
      </c>
      <c r="B549" s="2" t="s">
        <v>27</v>
      </c>
      <c r="C549" s="2" t="s">
        <v>28</v>
      </c>
      <c r="D549" s="2">
        <v>1.0</v>
      </c>
      <c r="E549" s="2">
        <v>10.0</v>
      </c>
      <c r="S549" s="2">
        <v>0.1</v>
      </c>
      <c r="AA549" s="2">
        <v>0.05</v>
      </c>
      <c r="AJ549" s="2">
        <v>0.05</v>
      </c>
      <c r="AS549" s="2">
        <v>0.05</v>
      </c>
      <c r="AU549" s="2">
        <v>0.05</v>
      </c>
      <c r="AV549" s="2">
        <v>0.05</v>
      </c>
      <c r="BE549" s="2">
        <v>0.2</v>
      </c>
      <c r="BK549" s="2">
        <v>0.2</v>
      </c>
      <c r="BS549" s="2">
        <v>0.05</v>
      </c>
      <c r="BT549" s="2">
        <v>0.05</v>
      </c>
      <c r="CS549" s="2">
        <v>0.15</v>
      </c>
      <c r="CU549" s="19"/>
      <c r="CV549" s="19">
        <f t="shared" si="1"/>
        <v>1</v>
      </c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</row>
    <row r="550">
      <c r="A550" s="4">
        <v>45388.0</v>
      </c>
      <c r="B550" s="2" t="s">
        <v>27</v>
      </c>
      <c r="C550" s="2" t="s">
        <v>28</v>
      </c>
      <c r="D550" s="2">
        <v>1.0</v>
      </c>
      <c r="E550" s="2">
        <v>12.0</v>
      </c>
      <c r="N550" s="2">
        <v>0.05</v>
      </c>
      <c r="S550" s="2">
        <v>0.15</v>
      </c>
      <c r="W550" s="2">
        <v>0.3</v>
      </c>
      <c r="AA550" s="2">
        <v>0.15</v>
      </c>
      <c r="AI550" s="2">
        <v>0.1</v>
      </c>
      <c r="AS550" s="2">
        <v>0.1</v>
      </c>
      <c r="BH550" s="2">
        <v>0.15</v>
      </c>
      <c r="CU550" s="19"/>
      <c r="CV550" s="19">
        <f t="shared" si="1"/>
        <v>1</v>
      </c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</row>
    <row r="551">
      <c r="A551" s="4">
        <v>45388.0</v>
      </c>
      <c r="B551" s="2" t="s">
        <v>27</v>
      </c>
      <c r="C551" s="2" t="s">
        <v>28</v>
      </c>
      <c r="D551" s="2">
        <v>1.0</v>
      </c>
      <c r="E551" s="2">
        <v>14.0</v>
      </c>
      <c r="N551" s="2">
        <v>0.15</v>
      </c>
      <c r="S551" s="2">
        <v>0.05</v>
      </c>
      <c r="AK551" s="2">
        <v>0.1</v>
      </c>
      <c r="AL551" s="2">
        <v>0.1</v>
      </c>
      <c r="AS551" s="2">
        <v>0.05</v>
      </c>
      <c r="BH551" s="2">
        <v>0.4</v>
      </c>
      <c r="BT551" s="2">
        <v>0.15</v>
      </c>
      <c r="CU551" s="19"/>
      <c r="CV551" s="19">
        <f t="shared" si="1"/>
        <v>1</v>
      </c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</row>
    <row r="552">
      <c r="A552" s="4">
        <v>45388.0</v>
      </c>
      <c r="B552" s="2" t="s">
        <v>27</v>
      </c>
      <c r="C552" s="2" t="s">
        <v>28</v>
      </c>
      <c r="D552" s="2">
        <v>1.0</v>
      </c>
      <c r="E552" s="2">
        <v>16.0</v>
      </c>
      <c r="S552" s="2">
        <v>0.15</v>
      </c>
      <c r="W552" s="2">
        <v>0.1</v>
      </c>
      <c r="BE552" s="2">
        <v>0.15</v>
      </c>
      <c r="BH552" s="2">
        <v>0.5</v>
      </c>
      <c r="BT552" s="2">
        <v>0.1</v>
      </c>
      <c r="CU552" s="19"/>
      <c r="CV552" s="19">
        <f t="shared" si="1"/>
        <v>1</v>
      </c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</row>
    <row r="553">
      <c r="A553" s="4">
        <v>45388.0</v>
      </c>
      <c r="B553" s="2" t="s">
        <v>27</v>
      </c>
      <c r="C553" s="2" t="s">
        <v>28</v>
      </c>
      <c r="D553" s="2">
        <v>1.0</v>
      </c>
      <c r="E553" s="2">
        <v>18.0</v>
      </c>
      <c r="S553" s="2">
        <v>0.05</v>
      </c>
      <c r="AI553" s="2">
        <v>0.05</v>
      </c>
      <c r="AK553" s="2">
        <v>0.15</v>
      </c>
      <c r="BH553" s="2">
        <v>0.5</v>
      </c>
      <c r="BL553" s="2">
        <v>0.05</v>
      </c>
      <c r="BT553" s="2">
        <v>0.2</v>
      </c>
      <c r="CU553" s="19"/>
      <c r="CV553" s="19">
        <f t="shared" si="1"/>
        <v>1</v>
      </c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</row>
    <row r="554">
      <c r="A554" s="4">
        <v>45388.0</v>
      </c>
      <c r="B554" s="2" t="s">
        <v>27</v>
      </c>
      <c r="C554" s="2" t="s">
        <v>28</v>
      </c>
      <c r="D554" s="2">
        <v>1.0</v>
      </c>
      <c r="E554" s="2">
        <v>20.0</v>
      </c>
      <c r="N554" s="2">
        <v>0.35</v>
      </c>
      <c r="AI554" s="2">
        <v>0.15</v>
      </c>
      <c r="AS554" s="2">
        <v>0.1</v>
      </c>
      <c r="BH554" s="2">
        <v>0.1</v>
      </c>
      <c r="BT554" s="2">
        <v>0.05</v>
      </c>
      <c r="CH554" s="2">
        <v>0.025</v>
      </c>
      <c r="CU554" s="20">
        <v>0.25</v>
      </c>
      <c r="CV554" s="19">
        <f t="shared" si="1"/>
        <v>1.025</v>
      </c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</row>
    <row r="555">
      <c r="A555" s="4">
        <v>45388.0</v>
      </c>
      <c r="B555" s="2" t="s">
        <v>27</v>
      </c>
      <c r="C555" s="2" t="s">
        <v>28</v>
      </c>
      <c r="D555" s="2">
        <v>1.0</v>
      </c>
      <c r="E555" s="2">
        <v>22.0</v>
      </c>
      <c r="N555" s="2">
        <v>0.2</v>
      </c>
      <c r="AK555" s="2">
        <v>0.1</v>
      </c>
      <c r="AL555" s="2">
        <v>0.05</v>
      </c>
      <c r="AS555" s="2">
        <v>0.1</v>
      </c>
      <c r="BH555" s="2">
        <v>0.25</v>
      </c>
      <c r="CM555" s="2">
        <v>0.3</v>
      </c>
      <c r="CU555" s="19"/>
      <c r="CV555" s="19">
        <f t="shared" si="1"/>
        <v>1</v>
      </c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</row>
    <row r="556">
      <c r="A556" s="4">
        <v>45388.0</v>
      </c>
      <c r="B556" s="2" t="s">
        <v>27</v>
      </c>
      <c r="C556" s="2" t="s">
        <v>28</v>
      </c>
      <c r="D556" s="2">
        <v>3.0</v>
      </c>
      <c r="E556" s="2">
        <v>0.0</v>
      </c>
      <c r="S556" s="2">
        <v>0.1</v>
      </c>
      <c r="AA556" s="2">
        <v>0.25</v>
      </c>
      <c r="AK556" s="2">
        <v>0.05</v>
      </c>
      <c r="AS556" s="2">
        <v>0.05</v>
      </c>
      <c r="BE556" s="2">
        <v>0.25</v>
      </c>
      <c r="BH556" s="2">
        <v>0.15</v>
      </c>
      <c r="CS556" s="2">
        <v>0.15</v>
      </c>
      <c r="CU556" s="19"/>
      <c r="CV556" s="19">
        <f t="shared" si="1"/>
        <v>1</v>
      </c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</row>
    <row r="557">
      <c r="A557" s="4">
        <v>45388.0</v>
      </c>
      <c r="B557" s="2" t="s">
        <v>27</v>
      </c>
      <c r="C557" s="2" t="s">
        <v>28</v>
      </c>
      <c r="D557" s="2">
        <v>3.0</v>
      </c>
      <c r="E557" s="2">
        <v>2.0</v>
      </c>
      <c r="S557" s="2">
        <v>0.1</v>
      </c>
      <c r="AI557" s="2">
        <v>0.15</v>
      </c>
      <c r="AP557" s="2">
        <v>0.05</v>
      </c>
      <c r="AZ557" s="2">
        <v>0.05</v>
      </c>
      <c r="BH557" s="2">
        <v>0.3</v>
      </c>
      <c r="BT557" s="2">
        <v>0.25</v>
      </c>
      <c r="CS557" s="2">
        <v>0.1</v>
      </c>
      <c r="CU557" s="19"/>
      <c r="CV557" s="19">
        <f t="shared" si="1"/>
        <v>1</v>
      </c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</row>
    <row r="558">
      <c r="A558" s="4">
        <v>45388.0</v>
      </c>
      <c r="B558" s="2" t="s">
        <v>27</v>
      </c>
      <c r="C558" s="2" t="s">
        <v>28</v>
      </c>
      <c r="D558" s="2">
        <v>3.0</v>
      </c>
      <c r="E558" s="2">
        <v>4.0</v>
      </c>
      <c r="N558" s="2">
        <v>0.1</v>
      </c>
      <c r="S558" s="2">
        <v>0.05</v>
      </c>
      <c r="AI558" s="2">
        <v>0.1</v>
      </c>
      <c r="AU558" s="2">
        <v>0.05</v>
      </c>
      <c r="BE558" s="2">
        <v>0.1</v>
      </c>
      <c r="BH558" s="2">
        <v>0.25</v>
      </c>
      <c r="BT558" s="2">
        <v>0.15</v>
      </c>
      <c r="CS558" s="2">
        <v>0.2</v>
      </c>
      <c r="CU558" s="19"/>
      <c r="CV558" s="19">
        <f t="shared" si="1"/>
        <v>1</v>
      </c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</row>
    <row r="559">
      <c r="A559" s="4">
        <v>45388.0</v>
      </c>
      <c r="B559" s="2" t="s">
        <v>27</v>
      </c>
      <c r="C559" s="2" t="s">
        <v>28</v>
      </c>
      <c r="D559" s="2">
        <v>3.0</v>
      </c>
      <c r="E559" s="2">
        <v>6.0</v>
      </c>
      <c r="S559" s="2">
        <v>0.05</v>
      </c>
      <c r="AA559" s="2">
        <v>0.5</v>
      </c>
      <c r="BE559" s="2">
        <v>0.1</v>
      </c>
      <c r="BH559" s="2">
        <v>0.2</v>
      </c>
      <c r="CM559" s="2">
        <v>0.15</v>
      </c>
      <c r="CU559" s="19"/>
      <c r="CV559" s="19">
        <f t="shared" si="1"/>
        <v>1</v>
      </c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</row>
    <row r="560">
      <c r="A560" s="4">
        <v>45388.0</v>
      </c>
      <c r="B560" s="2" t="s">
        <v>27</v>
      </c>
      <c r="C560" s="2" t="s">
        <v>28</v>
      </c>
      <c r="D560" s="2">
        <v>3.0</v>
      </c>
      <c r="E560" s="2">
        <v>8.0</v>
      </c>
      <c r="S560" s="2">
        <v>0.05</v>
      </c>
      <c r="AA560" s="2">
        <v>0.2</v>
      </c>
      <c r="AI560" s="2">
        <v>0.05</v>
      </c>
      <c r="AK560" s="2">
        <v>0.1</v>
      </c>
      <c r="AP560" s="2">
        <v>0.3</v>
      </c>
      <c r="BE560" s="2">
        <v>0.1</v>
      </c>
      <c r="BH560" s="2">
        <v>0.1</v>
      </c>
      <c r="CS560" s="2">
        <v>0.1</v>
      </c>
      <c r="CU560" s="19"/>
      <c r="CV560" s="19">
        <f t="shared" si="1"/>
        <v>1</v>
      </c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</row>
    <row r="561">
      <c r="A561" s="4">
        <v>45388.0</v>
      </c>
      <c r="B561" s="2" t="s">
        <v>27</v>
      </c>
      <c r="C561" s="2" t="s">
        <v>28</v>
      </c>
      <c r="D561" s="2">
        <v>3.0</v>
      </c>
      <c r="E561" s="2">
        <v>10.0</v>
      </c>
      <c r="S561" s="2">
        <v>0.2</v>
      </c>
      <c r="AK561" s="2">
        <v>0.05</v>
      </c>
      <c r="BE561" s="2">
        <v>0.1</v>
      </c>
      <c r="BH561" s="2">
        <v>0.55</v>
      </c>
      <c r="CS561" s="2">
        <v>0.1</v>
      </c>
      <c r="CU561" s="19"/>
      <c r="CV561" s="19">
        <f t="shared" si="1"/>
        <v>1</v>
      </c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</row>
    <row r="562">
      <c r="A562" s="4">
        <v>45388.0</v>
      </c>
      <c r="B562" s="2" t="s">
        <v>27</v>
      </c>
      <c r="C562" s="2" t="s">
        <v>28</v>
      </c>
      <c r="D562" s="2">
        <v>3.0</v>
      </c>
      <c r="E562" s="2">
        <v>12.0</v>
      </c>
      <c r="S562" s="2">
        <v>0.05</v>
      </c>
      <c r="AI562" s="2">
        <v>0.1</v>
      </c>
      <c r="AK562" s="2">
        <v>0.15</v>
      </c>
      <c r="AL562" s="2">
        <v>0.15</v>
      </c>
      <c r="BB562" s="2">
        <v>0.05</v>
      </c>
      <c r="BH562" s="2">
        <v>0.45</v>
      </c>
      <c r="BT562" s="2">
        <v>0.05</v>
      </c>
      <c r="CU562" s="19"/>
      <c r="CV562" s="19">
        <f t="shared" si="1"/>
        <v>1</v>
      </c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</row>
    <row r="563">
      <c r="A563" s="4">
        <v>45388.0</v>
      </c>
      <c r="B563" s="2" t="s">
        <v>27</v>
      </c>
      <c r="C563" s="2" t="s">
        <v>28</v>
      </c>
      <c r="D563" s="2">
        <v>3.0</v>
      </c>
      <c r="E563" s="2">
        <v>14.0</v>
      </c>
      <c r="N563" s="2">
        <v>0.15</v>
      </c>
      <c r="AI563" s="2">
        <v>0.15</v>
      </c>
      <c r="AK563" s="2">
        <v>0.1</v>
      </c>
      <c r="AS563" s="2">
        <v>0.05</v>
      </c>
      <c r="BH563" s="2">
        <v>0.55</v>
      </c>
      <c r="CU563" s="19"/>
      <c r="CV563" s="19">
        <f t="shared" si="1"/>
        <v>1</v>
      </c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</row>
    <row r="564">
      <c r="A564" s="4">
        <v>45388.0</v>
      </c>
      <c r="B564" s="2" t="s">
        <v>27</v>
      </c>
      <c r="C564" s="2" t="s">
        <v>28</v>
      </c>
      <c r="D564" s="2">
        <v>3.0</v>
      </c>
      <c r="E564" s="2">
        <v>16.0</v>
      </c>
      <c r="N564" s="2">
        <v>0.05</v>
      </c>
      <c r="AI564" s="2">
        <v>0.05</v>
      </c>
      <c r="BH564" s="2">
        <v>0.8</v>
      </c>
      <c r="BT564" s="2">
        <v>0.05</v>
      </c>
      <c r="CM564" s="2">
        <v>0.05</v>
      </c>
      <c r="CU564" s="19"/>
      <c r="CV564" s="19">
        <f t="shared" si="1"/>
        <v>1</v>
      </c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</row>
    <row r="565">
      <c r="A565" s="4">
        <v>45388.0</v>
      </c>
      <c r="B565" s="2" t="s">
        <v>27</v>
      </c>
      <c r="C565" s="2" t="s">
        <v>28</v>
      </c>
      <c r="D565" s="2">
        <v>3.0</v>
      </c>
      <c r="E565" s="2">
        <v>18.0</v>
      </c>
      <c r="AI565" s="2">
        <v>0.1</v>
      </c>
      <c r="BH565" s="2">
        <v>0.3</v>
      </c>
      <c r="BQ565" s="2">
        <v>0.1</v>
      </c>
      <c r="BT565" s="2">
        <v>0.2</v>
      </c>
      <c r="CU565" s="20">
        <v>0.3</v>
      </c>
      <c r="CV565" s="19">
        <f t="shared" si="1"/>
        <v>1</v>
      </c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</row>
    <row r="566">
      <c r="A566" s="4">
        <v>45388.0</v>
      </c>
      <c r="B566" s="2" t="s">
        <v>27</v>
      </c>
      <c r="C566" s="2" t="s">
        <v>28</v>
      </c>
      <c r="D566" s="2">
        <v>3.0</v>
      </c>
      <c r="E566" s="2">
        <v>20.0</v>
      </c>
      <c r="AI566" s="2">
        <v>0.15</v>
      </c>
      <c r="BH566" s="2">
        <v>0.15</v>
      </c>
      <c r="BT566" s="2">
        <v>0.025</v>
      </c>
      <c r="CE566" s="2">
        <v>0.25</v>
      </c>
      <c r="CR566" s="2">
        <v>0.4</v>
      </c>
      <c r="CU566" s="19"/>
      <c r="CV566" s="19">
        <f t="shared" si="1"/>
        <v>0.975</v>
      </c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</row>
    <row r="567">
      <c r="A567" s="4">
        <v>45388.0</v>
      </c>
      <c r="B567" s="2" t="s">
        <v>27</v>
      </c>
      <c r="C567" s="2" t="s">
        <v>28</v>
      </c>
      <c r="D567" s="2">
        <v>3.0</v>
      </c>
      <c r="E567" s="2">
        <v>22.0</v>
      </c>
      <c r="S567" s="2">
        <v>0.05</v>
      </c>
      <c r="BH567" s="2">
        <v>0.6</v>
      </c>
      <c r="CU567" s="19"/>
      <c r="CV567" s="19">
        <f t="shared" si="1"/>
        <v>0.65</v>
      </c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</row>
    <row r="568">
      <c r="A568" s="6">
        <v>45389.0</v>
      </c>
      <c r="B568" s="2" t="s">
        <v>27</v>
      </c>
      <c r="C568" s="2" t="s">
        <v>35</v>
      </c>
      <c r="D568" s="2">
        <v>1.0</v>
      </c>
      <c r="E568" s="2">
        <v>0.0</v>
      </c>
      <c r="S568" s="2">
        <v>0.06</v>
      </c>
      <c r="U568" s="2">
        <v>0.06</v>
      </c>
      <c r="X568" s="2">
        <v>0.04</v>
      </c>
      <c r="AP568" s="2">
        <v>0.08</v>
      </c>
      <c r="AU568" s="2">
        <v>0.1</v>
      </c>
      <c r="AV568" s="2">
        <v>0.03</v>
      </c>
      <c r="BE568" s="2">
        <v>0.06</v>
      </c>
      <c r="BH568" s="2">
        <v>0.02</v>
      </c>
      <c r="BS568" s="2">
        <v>0.2</v>
      </c>
      <c r="CM568" s="2">
        <v>0.25</v>
      </c>
      <c r="CS568" s="2">
        <v>0.1</v>
      </c>
      <c r="CU568" s="19"/>
      <c r="CV568" s="19">
        <f t="shared" si="1"/>
        <v>1</v>
      </c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</row>
    <row r="569">
      <c r="A569" s="6">
        <v>45389.0</v>
      </c>
      <c r="B569" s="2" t="s">
        <v>27</v>
      </c>
      <c r="C569" s="2" t="s">
        <v>35</v>
      </c>
      <c r="D569" s="2">
        <v>1.0</v>
      </c>
      <c r="E569" s="2">
        <v>2.0</v>
      </c>
      <c r="N569" s="2">
        <v>0.04</v>
      </c>
      <c r="W569" s="2">
        <v>0.05</v>
      </c>
      <c r="AA569" s="2">
        <v>0.2</v>
      </c>
      <c r="AS569" s="2">
        <v>0.1</v>
      </c>
      <c r="AV569" s="2">
        <v>0.1</v>
      </c>
      <c r="BE569" s="2">
        <v>0.05</v>
      </c>
      <c r="BH569" s="2">
        <v>0.2</v>
      </c>
      <c r="BT569" s="2">
        <v>0.1</v>
      </c>
      <c r="CM569" s="2">
        <v>0.16</v>
      </c>
      <c r="CU569" s="19"/>
      <c r="CV569" s="19">
        <f t="shared" si="1"/>
        <v>1</v>
      </c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</row>
    <row r="570">
      <c r="A570" s="6">
        <v>45389.0</v>
      </c>
      <c r="B570" s="2" t="s">
        <v>27</v>
      </c>
      <c r="C570" s="2" t="s">
        <v>35</v>
      </c>
      <c r="D570" s="2">
        <v>1.0</v>
      </c>
      <c r="E570" s="2">
        <v>4.0</v>
      </c>
      <c r="BE570" s="2">
        <v>0.2</v>
      </c>
      <c r="BH570" s="2">
        <v>0.5</v>
      </c>
      <c r="BT570" s="2">
        <v>0.1</v>
      </c>
      <c r="BX570" s="2">
        <v>0.05</v>
      </c>
      <c r="CM570" s="2">
        <v>0.11</v>
      </c>
      <c r="CS570" s="2">
        <v>0.04</v>
      </c>
      <c r="CU570" s="19"/>
      <c r="CV570" s="19">
        <f t="shared" si="1"/>
        <v>1</v>
      </c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</row>
    <row r="571">
      <c r="A571" s="6">
        <v>45389.0</v>
      </c>
      <c r="B571" s="2" t="s">
        <v>27</v>
      </c>
      <c r="C571" s="2" t="s">
        <v>35</v>
      </c>
      <c r="D571" s="2">
        <v>1.0</v>
      </c>
      <c r="E571" s="2">
        <v>6.0</v>
      </c>
      <c r="AA571" s="2">
        <v>0.05</v>
      </c>
      <c r="AP571" s="2">
        <v>0.03</v>
      </c>
      <c r="AS571" s="2">
        <v>0.2</v>
      </c>
      <c r="AV571" s="2">
        <v>0.02</v>
      </c>
      <c r="BE571" s="2">
        <v>0.15</v>
      </c>
      <c r="BH571" s="2">
        <v>0.2</v>
      </c>
      <c r="CM571" s="2">
        <v>0.29</v>
      </c>
      <c r="CS571" s="2">
        <v>0.06</v>
      </c>
      <c r="CU571" s="19"/>
      <c r="CV571" s="19">
        <f t="shared" si="1"/>
        <v>1</v>
      </c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</row>
    <row r="572">
      <c r="A572" s="6">
        <v>45389.0</v>
      </c>
      <c r="B572" s="2" t="s">
        <v>27</v>
      </c>
      <c r="C572" s="2" t="s">
        <v>35</v>
      </c>
      <c r="D572" s="2">
        <v>1.0</v>
      </c>
      <c r="E572" s="2">
        <v>8.0</v>
      </c>
      <c r="S572" s="2">
        <v>0.05</v>
      </c>
      <c r="W572" s="2">
        <v>0.05</v>
      </c>
      <c r="AA572" s="2">
        <v>0.1</v>
      </c>
      <c r="AP572" s="2">
        <v>0.07</v>
      </c>
      <c r="AS572" s="2">
        <v>0.02</v>
      </c>
      <c r="AV572" s="2">
        <v>0.05</v>
      </c>
      <c r="BE572" s="2">
        <v>0.1</v>
      </c>
      <c r="BH572" s="2">
        <v>0.2</v>
      </c>
      <c r="BT572" s="2">
        <v>0.15</v>
      </c>
      <c r="CM572" s="2">
        <v>0.21</v>
      </c>
      <c r="CU572" s="19"/>
      <c r="CV572" s="19">
        <f t="shared" si="1"/>
        <v>1</v>
      </c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</row>
    <row r="573">
      <c r="A573" s="6">
        <v>45389.0</v>
      </c>
      <c r="B573" s="2" t="s">
        <v>27</v>
      </c>
      <c r="C573" s="2" t="s">
        <v>35</v>
      </c>
      <c r="D573" s="2">
        <v>1.0</v>
      </c>
      <c r="E573" s="2">
        <v>10.0</v>
      </c>
      <c r="W573" s="2">
        <v>0.07</v>
      </c>
      <c r="AA573" s="2">
        <v>0.1</v>
      </c>
      <c r="AI573" s="2">
        <v>0.05</v>
      </c>
      <c r="AK573" s="2">
        <v>0.03</v>
      </c>
      <c r="AO573" s="2">
        <v>0.06</v>
      </c>
      <c r="AS573" s="2">
        <v>0.05</v>
      </c>
      <c r="AV573" s="2">
        <v>0.05</v>
      </c>
      <c r="BE573" s="2">
        <v>0.15</v>
      </c>
      <c r="BH573" s="2">
        <v>0.15</v>
      </c>
      <c r="BT573" s="2">
        <v>0.07</v>
      </c>
      <c r="CM573" s="2">
        <v>0.12</v>
      </c>
      <c r="CS573" s="2">
        <v>0.1</v>
      </c>
      <c r="CU573" s="19"/>
      <c r="CV573" s="19">
        <f t="shared" si="1"/>
        <v>1</v>
      </c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</row>
    <row r="574">
      <c r="A574" s="6">
        <v>45389.0</v>
      </c>
      <c r="B574" s="2" t="s">
        <v>27</v>
      </c>
      <c r="C574" s="2" t="s">
        <v>35</v>
      </c>
      <c r="D574" s="2">
        <v>1.0</v>
      </c>
      <c r="E574" s="2">
        <v>12.0</v>
      </c>
      <c r="S574" s="2">
        <v>0.1</v>
      </c>
      <c r="W574" s="2">
        <v>0.2</v>
      </c>
      <c r="AA574" s="2">
        <v>0.2</v>
      </c>
      <c r="AS574" s="2">
        <v>0.05</v>
      </c>
      <c r="AV574" s="2">
        <v>0.05</v>
      </c>
      <c r="BE574" s="2">
        <v>0.06</v>
      </c>
      <c r="BH574" s="2">
        <v>0.07</v>
      </c>
      <c r="BT574" s="2">
        <v>0.05</v>
      </c>
      <c r="CM574" s="2">
        <v>0.22</v>
      </c>
      <c r="CU574" s="19"/>
      <c r="CV574" s="19">
        <f t="shared" si="1"/>
        <v>1</v>
      </c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</row>
    <row r="575">
      <c r="A575" s="6">
        <v>45389.0</v>
      </c>
      <c r="B575" s="2" t="s">
        <v>27</v>
      </c>
      <c r="C575" s="2" t="s">
        <v>35</v>
      </c>
      <c r="D575" s="2">
        <v>1.0</v>
      </c>
      <c r="E575" s="2">
        <v>14.0</v>
      </c>
      <c r="AK575" s="2">
        <v>0.07</v>
      </c>
      <c r="BE575" s="2">
        <v>0.08</v>
      </c>
      <c r="BH575" s="2">
        <v>0.4</v>
      </c>
      <c r="BT575" s="2">
        <v>0.1</v>
      </c>
      <c r="CM575" s="2">
        <v>0.25</v>
      </c>
      <c r="CS575" s="2">
        <v>0.1</v>
      </c>
      <c r="CU575" s="19"/>
      <c r="CV575" s="19">
        <f t="shared" si="1"/>
        <v>1</v>
      </c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</row>
    <row r="576">
      <c r="A576" s="6">
        <v>45389.0</v>
      </c>
      <c r="B576" s="2" t="s">
        <v>27</v>
      </c>
      <c r="C576" s="2" t="s">
        <v>35</v>
      </c>
      <c r="D576" s="2">
        <v>1.0</v>
      </c>
      <c r="E576" s="2">
        <v>16.0</v>
      </c>
      <c r="N576" s="2">
        <v>0.07</v>
      </c>
      <c r="S576" s="2">
        <v>0.05</v>
      </c>
      <c r="AK576" s="2">
        <v>0.05</v>
      </c>
      <c r="AS576" s="2">
        <v>0.05</v>
      </c>
      <c r="BH576" s="2">
        <v>0.5</v>
      </c>
      <c r="BT576" s="2">
        <v>0.1</v>
      </c>
      <c r="CM576" s="2">
        <v>0.18</v>
      </c>
      <c r="CU576" s="19"/>
      <c r="CV576" s="19">
        <f t="shared" si="1"/>
        <v>1</v>
      </c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</row>
    <row r="577">
      <c r="A577" s="6">
        <v>45389.0</v>
      </c>
      <c r="B577" s="2" t="s">
        <v>27</v>
      </c>
      <c r="C577" s="2" t="s">
        <v>35</v>
      </c>
      <c r="D577" s="2">
        <v>1.0</v>
      </c>
      <c r="E577" s="2">
        <v>18.0</v>
      </c>
      <c r="AI577" s="2">
        <v>0.05</v>
      </c>
      <c r="AK577" s="2">
        <v>0.07</v>
      </c>
      <c r="BE577" s="2">
        <v>0.03</v>
      </c>
      <c r="BH577" s="2">
        <v>0.45</v>
      </c>
      <c r="BL577" s="2">
        <v>0.05</v>
      </c>
      <c r="BT577" s="2">
        <v>0.1</v>
      </c>
      <c r="CM577" s="2">
        <v>0.22</v>
      </c>
      <c r="CO577" s="2">
        <v>0.03</v>
      </c>
      <c r="CU577" s="19"/>
      <c r="CV577" s="19">
        <f t="shared" si="1"/>
        <v>1</v>
      </c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</row>
    <row r="578">
      <c r="A578" s="6">
        <v>45389.0</v>
      </c>
      <c r="B578" s="2" t="s">
        <v>27</v>
      </c>
      <c r="C578" s="2" t="s">
        <v>35</v>
      </c>
      <c r="D578" s="2">
        <v>1.0</v>
      </c>
      <c r="E578" s="2">
        <v>20.0</v>
      </c>
      <c r="N578" s="2">
        <v>0.12</v>
      </c>
      <c r="AI578" s="2">
        <v>0.1</v>
      </c>
      <c r="AS578" s="2">
        <v>0.06</v>
      </c>
      <c r="BH578" s="2">
        <v>0.15</v>
      </c>
      <c r="BK578" s="2">
        <v>0.1</v>
      </c>
      <c r="BT578" s="2">
        <v>0.12</v>
      </c>
      <c r="CM578" s="2">
        <v>0.33</v>
      </c>
      <c r="CS578" s="2">
        <v>0.02</v>
      </c>
      <c r="CU578" s="19"/>
      <c r="CV578" s="19">
        <f t="shared" si="1"/>
        <v>1</v>
      </c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</row>
    <row r="579">
      <c r="A579" s="6">
        <v>45389.0</v>
      </c>
      <c r="B579" s="2" t="s">
        <v>27</v>
      </c>
      <c r="C579" s="2" t="s">
        <v>35</v>
      </c>
      <c r="D579" s="2">
        <v>1.0</v>
      </c>
      <c r="E579" s="2">
        <v>22.0</v>
      </c>
      <c r="N579" s="2">
        <v>0.15</v>
      </c>
      <c r="AK579" s="2">
        <v>0.08</v>
      </c>
      <c r="AL579" s="2">
        <v>0.02</v>
      </c>
      <c r="AS579" s="2">
        <v>0.05</v>
      </c>
      <c r="BH579" s="2">
        <v>0.25</v>
      </c>
      <c r="BT579" s="2">
        <v>0.05</v>
      </c>
      <c r="CM579" s="2">
        <v>0.4</v>
      </c>
      <c r="CU579" s="19"/>
      <c r="CV579" s="19">
        <f t="shared" si="1"/>
        <v>1</v>
      </c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</row>
    <row r="580">
      <c r="A580" s="6">
        <v>45389.0</v>
      </c>
      <c r="B580" s="2" t="s">
        <v>27</v>
      </c>
      <c r="C580" s="2" t="s">
        <v>35</v>
      </c>
      <c r="D580" s="2">
        <v>2.0</v>
      </c>
      <c r="E580" s="2">
        <v>0.0</v>
      </c>
      <c r="AO580" s="2">
        <v>0.05</v>
      </c>
      <c r="AS580" s="2">
        <v>0.01</v>
      </c>
      <c r="BH580" s="2">
        <v>0.15</v>
      </c>
      <c r="BT580" s="2">
        <v>0.05</v>
      </c>
      <c r="CN580" s="2">
        <v>0.05</v>
      </c>
      <c r="CP580" s="2">
        <v>0.05</v>
      </c>
      <c r="CR580" s="2">
        <v>0.64</v>
      </c>
      <c r="CU580" s="19"/>
      <c r="CV580" s="19">
        <f t="shared" si="1"/>
        <v>1</v>
      </c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</row>
    <row r="581">
      <c r="A581" s="6">
        <v>45389.0</v>
      </c>
      <c r="B581" s="2" t="s">
        <v>27</v>
      </c>
      <c r="C581" s="2" t="s">
        <v>35</v>
      </c>
      <c r="D581" s="2">
        <v>2.0</v>
      </c>
      <c r="E581" s="2">
        <v>2.0</v>
      </c>
      <c r="AK581" s="2">
        <v>0.01</v>
      </c>
      <c r="AO581" s="2">
        <v>0.1</v>
      </c>
      <c r="AS581" s="2">
        <v>0.01</v>
      </c>
      <c r="BH581" s="2">
        <v>0.25</v>
      </c>
      <c r="BT581" s="2">
        <v>0.1</v>
      </c>
      <c r="CR581" s="2">
        <v>0.53</v>
      </c>
      <c r="CU581" s="19"/>
      <c r="CV581" s="19">
        <f t="shared" si="1"/>
        <v>1</v>
      </c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</row>
    <row r="582">
      <c r="A582" s="6">
        <v>45389.0</v>
      </c>
      <c r="B582" s="2" t="s">
        <v>27</v>
      </c>
      <c r="C582" s="2" t="s">
        <v>35</v>
      </c>
      <c r="D582" s="2">
        <v>2.0</v>
      </c>
      <c r="E582" s="2">
        <v>4.0</v>
      </c>
      <c r="G582" s="2">
        <v>0.01</v>
      </c>
      <c r="N582" s="2">
        <v>0.15</v>
      </c>
      <c r="S582" s="2">
        <v>0.05</v>
      </c>
      <c r="Z582" s="2">
        <v>0.05</v>
      </c>
      <c r="AK582" s="2">
        <v>0.01</v>
      </c>
      <c r="AO582" s="2">
        <v>0.05</v>
      </c>
      <c r="BH582" s="2">
        <v>0.2</v>
      </c>
      <c r="BT582" s="2">
        <v>0.05</v>
      </c>
      <c r="CR582" s="2">
        <v>0.43</v>
      </c>
      <c r="CU582" s="19"/>
      <c r="CV582" s="19">
        <f t="shared" si="1"/>
        <v>1</v>
      </c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</row>
    <row r="583">
      <c r="A583" s="6">
        <v>45389.0</v>
      </c>
      <c r="B583" s="2" t="s">
        <v>27</v>
      </c>
      <c r="C583" s="2" t="s">
        <v>35</v>
      </c>
      <c r="D583" s="2">
        <v>2.0</v>
      </c>
      <c r="E583" s="2">
        <v>6.0</v>
      </c>
      <c r="N583" s="2">
        <v>0.3</v>
      </c>
      <c r="S583" s="2">
        <v>0.05</v>
      </c>
      <c r="Z583" s="2">
        <v>0.05</v>
      </c>
      <c r="AH583" s="2">
        <v>0.01</v>
      </c>
      <c r="AK583" s="2">
        <v>0.01</v>
      </c>
      <c r="AO583" s="2">
        <v>0.01</v>
      </c>
      <c r="AS583" s="2">
        <v>0.01</v>
      </c>
      <c r="AV583" s="2">
        <v>0.01</v>
      </c>
      <c r="BH583" s="2">
        <v>0.05</v>
      </c>
      <c r="BT583" s="2">
        <v>0.05</v>
      </c>
      <c r="CM583" s="2">
        <v>0.05</v>
      </c>
      <c r="CR583" s="2">
        <v>0.4</v>
      </c>
      <c r="CU583" s="19"/>
      <c r="CV583" s="19">
        <f t="shared" si="1"/>
        <v>1</v>
      </c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</row>
    <row r="584">
      <c r="A584" s="6">
        <v>45389.0</v>
      </c>
      <c r="B584" s="2" t="s">
        <v>27</v>
      </c>
      <c r="C584" s="2" t="s">
        <v>35</v>
      </c>
      <c r="D584" s="2">
        <v>2.0</v>
      </c>
      <c r="E584" s="2">
        <v>8.0</v>
      </c>
      <c r="N584" s="2">
        <v>0.25</v>
      </c>
      <c r="Z584" s="2">
        <v>0.01</v>
      </c>
      <c r="AJ584" s="2">
        <v>0.05</v>
      </c>
      <c r="AK584" s="2">
        <v>0.01</v>
      </c>
      <c r="AO584" s="2">
        <v>0.01</v>
      </c>
      <c r="AS584" s="2">
        <v>0.05</v>
      </c>
      <c r="AV584" s="2">
        <v>0.02</v>
      </c>
      <c r="BH584" s="2">
        <v>0.3</v>
      </c>
      <c r="BT584" s="2">
        <v>0.05</v>
      </c>
      <c r="CR584" s="2">
        <v>0.25</v>
      </c>
      <c r="CU584" s="19"/>
      <c r="CV584" s="19">
        <f t="shared" si="1"/>
        <v>1</v>
      </c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</row>
    <row r="585">
      <c r="A585" s="6">
        <v>45389.0</v>
      </c>
      <c r="B585" s="2" t="s">
        <v>27</v>
      </c>
      <c r="C585" s="2" t="s">
        <v>35</v>
      </c>
      <c r="D585" s="2">
        <v>2.0</v>
      </c>
      <c r="E585" s="2">
        <v>10.0</v>
      </c>
      <c r="G585" s="2">
        <v>0.01</v>
      </c>
      <c r="N585" s="2">
        <v>0.05</v>
      </c>
      <c r="AH585" s="2">
        <v>0.01</v>
      </c>
      <c r="AO585" s="2">
        <v>0.05</v>
      </c>
      <c r="AS585" s="2">
        <v>0.05</v>
      </c>
      <c r="AV585" s="2">
        <v>0.01</v>
      </c>
      <c r="BH585" s="2">
        <v>0.15</v>
      </c>
      <c r="BT585" s="2">
        <v>0.05</v>
      </c>
      <c r="CM585" s="2">
        <v>0.05</v>
      </c>
      <c r="CR585" s="2">
        <v>0.57</v>
      </c>
      <c r="CU585" s="19"/>
      <c r="CV585" s="19">
        <f t="shared" si="1"/>
        <v>1</v>
      </c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</row>
    <row r="586">
      <c r="A586" s="6">
        <v>45389.0</v>
      </c>
      <c r="B586" s="2" t="s">
        <v>27</v>
      </c>
      <c r="C586" s="2" t="s">
        <v>35</v>
      </c>
      <c r="D586" s="2">
        <v>2.0</v>
      </c>
      <c r="E586" s="2">
        <v>12.0</v>
      </c>
      <c r="AJ586" s="2">
        <v>0.07</v>
      </c>
      <c r="AO586" s="2">
        <v>0.01</v>
      </c>
      <c r="AS586" s="2">
        <v>0.05</v>
      </c>
      <c r="AV586" s="2">
        <v>0.05</v>
      </c>
      <c r="BH586" s="2">
        <v>0.05</v>
      </c>
      <c r="BT586" s="2">
        <v>0.01</v>
      </c>
      <c r="CR586" s="2">
        <v>0.76</v>
      </c>
      <c r="CU586" s="19"/>
      <c r="CV586" s="19">
        <f t="shared" si="1"/>
        <v>1</v>
      </c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</row>
    <row r="587">
      <c r="A587" s="6">
        <v>45389.0</v>
      </c>
      <c r="B587" s="2" t="s">
        <v>27</v>
      </c>
      <c r="C587" s="2" t="s">
        <v>35</v>
      </c>
      <c r="D587" s="2">
        <v>2.0</v>
      </c>
      <c r="E587" s="2">
        <v>14.0</v>
      </c>
      <c r="F587" s="2">
        <v>0.15</v>
      </c>
      <c r="N587" s="2">
        <v>0.05</v>
      </c>
      <c r="AO587" s="2">
        <v>0.01</v>
      </c>
      <c r="BH587" s="2">
        <v>0.2</v>
      </c>
      <c r="BT587" s="2">
        <v>0.01</v>
      </c>
      <c r="CM587" s="2">
        <v>0.1</v>
      </c>
      <c r="CR587" s="2">
        <v>0.48</v>
      </c>
      <c r="CU587" s="19"/>
      <c r="CV587" s="19">
        <f t="shared" si="1"/>
        <v>1</v>
      </c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</row>
    <row r="588">
      <c r="A588" s="6">
        <v>45389.0</v>
      </c>
      <c r="B588" s="2" t="s">
        <v>27</v>
      </c>
      <c r="C588" s="2" t="s">
        <v>35</v>
      </c>
      <c r="D588" s="2">
        <v>2.0</v>
      </c>
      <c r="E588" s="2">
        <v>16.0</v>
      </c>
      <c r="F588" s="2">
        <v>0.3</v>
      </c>
      <c r="N588" s="2">
        <v>0.1</v>
      </c>
      <c r="Z588" s="2">
        <v>0.05</v>
      </c>
      <c r="AO588" s="2">
        <v>0.01</v>
      </c>
      <c r="BH588" s="2">
        <v>0.1</v>
      </c>
      <c r="BT588" s="2">
        <v>0.05</v>
      </c>
      <c r="CR588" s="2">
        <v>0.41</v>
      </c>
      <c r="CU588" s="19"/>
      <c r="CV588" s="19">
        <f t="shared" si="1"/>
        <v>1.02</v>
      </c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</row>
    <row r="589">
      <c r="A589" s="6">
        <v>45389.0</v>
      </c>
      <c r="B589" s="2" t="s">
        <v>27</v>
      </c>
      <c r="C589" s="2" t="s">
        <v>35</v>
      </c>
      <c r="D589" s="2">
        <v>2.0</v>
      </c>
      <c r="E589" s="2">
        <v>18.0</v>
      </c>
      <c r="F589" s="2">
        <v>0.01</v>
      </c>
      <c r="AD589" s="2"/>
      <c r="AE589" s="2">
        <v>0.05</v>
      </c>
      <c r="AH589" s="2">
        <v>0.05</v>
      </c>
      <c r="BH589" s="2">
        <v>0.07</v>
      </c>
      <c r="BT589" s="2">
        <v>0.01</v>
      </c>
      <c r="CR589" s="2">
        <v>0.81</v>
      </c>
      <c r="CU589" s="19"/>
      <c r="CV589" s="19">
        <f t="shared" si="1"/>
        <v>1</v>
      </c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</row>
    <row r="590">
      <c r="A590" s="6">
        <v>45389.0</v>
      </c>
      <c r="B590" s="2" t="s">
        <v>27</v>
      </c>
      <c r="C590" s="2" t="s">
        <v>35</v>
      </c>
      <c r="D590" s="2">
        <v>2.0</v>
      </c>
      <c r="E590" s="2">
        <v>20.0</v>
      </c>
      <c r="F590" s="2">
        <v>0.05</v>
      </c>
      <c r="BH590" s="2">
        <v>0.1</v>
      </c>
      <c r="BT590" s="2">
        <v>0.05</v>
      </c>
      <c r="CM590" s="2">
        <v>0.2</v>
      </c>
      <c r="CR590" s="2">
        <v>0.6</v>
      </c>
      <c r="CU590" s="19"/>
      <c r="CV590" s="19">
        <f t="shared" si="1"/>
        <v>1</v>
      </c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</row>
    <row r="591">
      <c r="A591" s="6">
        <v>45389.0</v>
      </c>
      <c r="B591" s="2" t="s">
        <v>27</v>
      </c>
      <c r="C591" s="2" t="s">
        <v>35</v>
      </c>
      <c r="D591" s="2">
        <v>2.0</v>
      </c>
      <c r="E591" s="2">
        <v>22.0</v>
      </c>
      <c r="BH591" s="2">
        <v>0.15</v>
      </c>
      <c r="BT591" s="2">
        <v>0.05</v>
      </c>
      <c r="CR591" s="2">
        <v>0.8</v>
      </c>
      <c r="CU591" s="19"/>
      <c r="CV591" s="19">
        <f t="shared" si="1"/>
        <v>1</v>
      </c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</row>
    <row r="592">
      <c r="A592" s="6">
        <v>45389.0</v>
      </c>
      <c r="B592" s="2" t="s">
        <v>27</v>
      </c>
      <c r="C592" s="2" t="s">
        <v>35</v>
      </c>
      <c r="D592" s="2">
        <v>3.0</v>
      </c>
      <c r="E592" s="2">
        <v>0.0</v>
      </c>
      <c r="Y592" s="2">
        <v>0.2</v>
      </c>
      <c r="AA592" s="2">
        <v>0.15</v>
      </c>
      <c r="AS592" s="2">
        <v>0.05</v>
      </c>
      <c r="AU592" s="2">
        <v>0.05</v>
      </c>
      <c r="BE592" s="2">
        <v>0.1</v>
      </c>
      <c r="BH592" s="2">
        <v>0.2</v>
      </c>
      <c r="CM592" s="2">
        <v>0.05</v>
      </c>
      <c r="CS592" s="2">
        <v>0.2</v>
      </c>
      <c r="CU592" s="19"/>
      <c r="CV592" s="19">
        <f t="shared" si="1"/>
        <v>1</v>
      </c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</row>
    <row r="593">
      <c r="A593" s="6">
        <v>45389.0</v>
      </c>
      <c r="B593" s="2" t="s">
        <v>27</v>
      </c>
      <c r="C593" s="2" t="s">
        <v>35</v>
      </c>
      <c r="D593" s="2">
        <v>3.0</v>
      </c>
      <c r="E593" s="2">
        <v>2.0</v>
      </c>
      <c r="N593" s="2">
        <v>0.05</v>
      </c>
      <c r="AA593" s="2">
        <v>0.5</v>
      </c>
      <c r="AI593" s="2">
        <v>0.05</v>
      </c>
      <c r="AK593" s="2">
        <v>0.02</v>
      </c>
      <c r="AS593" s="2">
        <v>0.05</v>
      </c>
      <c r="AV593" s="2">
        <v>0.1</v>
      </c>
      <c r="BE593" s="2">
        <v>0.05</v>
      </c>
      <c r="BH593" s="2">
        <v>0.1</v>
      </c>
      <c r="BT593" s="2">
        <v>0.05</v>
      </c>
      <c r="CS593" s="2">
        <v>0.03</v>
      </c>
      <c r="CU593" s="19"/>
      <c r="CV593" s="19">
        <f t="shared" si="1"/>
        <v>1</v>
      </c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</row>
    <row r="594">
      <c r="A594" s="6">
        <v>45389.0</v>
      </c>
      <c r="B594" s="2" t="s">
        <v>27</v>
      </c>
      <c r="C594" s="2" t="s">
        <v>35</v>
      </c>
      <c r="D594" s="2">
        <v>3.0</v>
      </c>
      <c r="E594" s="2">
        <v>4.0</v>
      </c>
      <c r="H594" s="2">
        <v>0.1</v>
      </c>
      <c r="AA594" s="2">
        <v>0.2</v>
      </c>
      <c r="AI594" s="2">
        <v>0.05</v>
      </c>
      <c r="AP594" s="2">
        <v>0.05</v>
      </c>
      <c r="AV594" s="2">
        <v>0.1</v>
      </c>
      <c r="BE594" s="2">
        <v>0.02</v>
      </c>
      <c r="BH594" s="2">
        <v>0.28</v>
      </c>
      <c r="BT594" s="2">
        <v>0.1</v>
      </c>
      <c r="CM594" s="2">
        <v>0.1</v>
      </c>
      <c r="CU594" s="19"/>
      <c r="CV594" s="19">
        <f t="shared" si="1"/>
        <v>1</v>
      </c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</row>
    <row r="595">
      <c r="A595" s="6">
        <v>45389.0</v>
      </c>
      <c r="B595" s="2" t="s">
        <v>27</v>
      </c>
      <c r="C595" s="2" t="s">
        <v>35</v>
      </c>
      <c r="D595" s="2">
        <v>3.0</v>
      </c>
      <c r="E595" s="2">
        <v>6.0</v>
      </c>
      <c r="F595" s="2">
        <v>0.05</v>
      </c>
      <c r="S595" s="2">
        <v>0.05</v>
      </c>
      <c r="AA595" s="2">
        <v>0.2</v>
      </c>
      <c r="AI595" s="2">
        <v>0.1</v>
      </c>
      <c r="AK595" s="2">
        <v>0.05</v>
      </c>
      <c r="BE595" s="2">
        <v>0.05</v>
      </c>
      <c r="BH595" s="2">
        <v>0.4</v>
      </c>
      <c r="BT595" s="2">
        <v>0.1</v>
      </c>
      <c r="CU595" s="19"/>
      <c r="CV595" s="19">
        <f t="shared" si="1"/>
        <v>1</v>
      </c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</row>
    <row r="596">
      <c r="A596" s="6">
        <v>45389.0</v>
      </c>
      <c r="B596" s="2" t="s">
        <v>27</v>
      </c>
      <c r="C596" s="2" t="s">
        <v>35</v>
      </c>
      <c r="D596" s="2">
        <v>3.0</v>
      </c>
      <c r="E596" s="2">
        <v>8.0</v>
      </c>
      <c r="S596" s="2">
        <v>0.1</v>
      </c>
      <c r="AA596" s="2">
        <v>0.3</v>
      </c>
      <c r="AI596" s="2">
        <v>0.05</v>
      </c>
      <c r="AP596" s="2">
        <v>0.05</v>
      </c>
      <c r="BE596" s="2">
        <v>0.1</v>
      </c>
      <c r="BH596" s="2">
        <v>0.25</v>
      </c>
      <c r="CS596" s="2">
        <v>0.15</v>
      </c>
      <c r="CU596" s="19"/>
      <c r="CV596" s="19">
        <f t="shared" si="1"/>
        <v>1</v>
      </c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</row>
    <row r="597">
      <c r="A597" s="6">
        <v>45389.0</v>
      </c>
      <c r="B597" s="2" t="s">
        <v>27</v>
      </c>
      <c r="C597" s="2" t="s">
        <v>35</v>
      </c>
      <c r="D597" s="2">
        <v>3.0</v>
      </c>
      <c r="E597" s="2">
        <v>10.0</v>
      </c>
      <c r="F597" s="2">
        <v>0.1</v>
      </c>
      <c r="S597" s="2">
        <v>0.1</v>
      </c>
      <c r="AV597" s="2">
        <v>0.1</v>
      </c>
      <c r="BE597" s="2">
        <v>0.05</v>
      </c>
      <c r="BH597" s="2">
        <v>0.1</v>
      </c>
      <c r="BS597" s="2">
        <v>0.05</v>
      </c>
      <c r="BT597" s="2">
        <v>0.05</v>
      </c>
      <c r="CM597" s="2">
        <v>0.2</v>
      </c>
      <c r="CS597" s="2">
        <v>0.25</v>
      </c>
      <c r="CU597" s="19"/>
      <c r="CV597" s="19">
        <f t="shared" si="1"/>
        <v>1</v>
      </c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</row>
    <row r="598">
      <c r="A598" s="6">
        <v>45389.0</v>
      </c>
      <c r="B598" s="2" t="s">
        <v>27</v>
      </c>
      <c r="C598" s="2" t="s">
        <v>35</v>
      </c>
      <c r="D598" s="2">
        <v>3.0</v>
      </c>
      <c r="E598" s="2">
        <v>12.0</v>
      </c>
      <c r="F598" s="2">
        <v>0.2</v>
      </c>
      <c r="S598" s="2">
        <v>0.1</v>
      </c>
      <c r="AK598" s="2">
        <v>0.05</v>
      </c>
      <c r="AV598" s="2">
        <v>0.2</v>
      </c>
      <c r="BT598" s="2">
        <v>0.05</v>
      </c>
      <c r="CM598" s="2">
        <v>0.05</v>
      </c>
      <c r="CR598" s="2">
        <v>0.1</v>
      </c>
      <c r="CS598" s="2">
        <v>0.25</v>
      </c>
      <c r="CU598" s="19"/>
      <c r="CV598" s="19">
        <f t="shared" si="1"/>
        <v>1</v>
      </c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</row>
    <row r="599">
      <c r="A599" s="6">
        <v>45389.0</v>
      </c>
      <c r="B599" s="2" t="s">
        <v>27</v>
      </c>
      <c r="C599" s="2" t="s">
        <v>35</v>
      </c>
      <c r="D599" s="2">
        <v>3.0</v>
      </c>
      <c r="E599" s="2">
        <v>14.0</v>
      </c>
      <c r="BE599" s="2">
        <v>0.02</v>
      </c>
      <c r="BH599" s="2">
        <v>0.2</v>
      </c>
      <c r="BT599" s="2">
        <v>0.1</v>
      </c>
      <c r="CM599" s="2">
        <v>0.05</v>
      </c>
      <c r="CR599" s="2">
        <v>0.1</v>
      </c>
      <c r="CS599" s="2">
        <v>0.53</v>
      </c>
      <c r="CU599" s="19"/>
      <c r="CV599" s="19">
        <f t="shared" si="1"/>
        <v>1</v>
      </c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</row>
    <row r="600">
      <c r="A600" s="6">
        <v>45389.0</v>
      </c>
      <c r="B600" s="2" t="s">
        <v>27</v>
      </c>
      <c r="C600" s="2" t="s">
        <v>35</v>
      </c>
      <c r="D600" s="2">
        <v>3.0</v>
      </c>
      <c r="E600" s="2">
        <v>16.0</v>
      </c>
      <c r="F600" s="2">
        <v>0.2</v>
      </c>
      <c r="S600" s="2">
        <v>0.15</v>
      </c>
      <c r="AI600" s="2">
        <v>0.1</v>
      </c>
      <c r="AU600" s="2">
        <v>0.02</v>
      </c>
      <c r="AV600" s="2">
        <v>0.2</v>
      </c>
      <c r="BH600" s="2">
        <v>0.15</v>
      </c>
      <c r="BS600" s="2">
        <v>0.05</v>
      </c>
      <c r="CR600" s="2">
        <v>0.05</v>
      </c>
      <c r="CS600" s="2">
        <v>0.08</v>
      </c>
      <c r="CU600" s="19"/>
      <c r="CV600" s="19">
        <f t="shared" si="1"/>
        <v>1</v>
      </c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</row>
    <row r="601">
      <c r="A601" s="6">
        <v>45389.0</v>
      </c>
      <c r="B601" s="2" t="s">
        <v>27</v>
      </c>
      <c r="C601" s="2" t="s">
        <v>35</v>
      </c>
      <c r="D601" s="2">
        <v>3.0</v>
      </c>
      <c r="E601" s="2">
        <v>18.0</v>
      </c>
      <c r="F601" s="2">
        <v>0.1</v>
      </c>
      <c r="S601" s="2">
        <v>0.1</v>
      </c>
      <c r="AI601" s="2">
        <v>0.1</v>
      </c>
      <c r="AU601" s="2">
        <v>0.05</v>
      </c>
      <c r="BH601" s="2">
        <v>0.2</v>
      </c>
      <c r="BT601" s="2">
        <v>0.1</v>
      </c>
      <c r="CS601" s="2">
        <v>0.35</v>
      </c>
      <c r="CU601" s="19"/>
      <c r="CV601" s="19">
        <f t="shared" si="1"/>
        <v>1</v>
      </c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</row>
    <row r="602">
      <c r="A602" s="6">
        <v>45389.0</v>
      </c>
      <c r="B602" s="2" t="s">
        <v>27</v>
      </c>
      <c r="C602" s="2" t="s">
        <v>35</v>
      </c>
      <c r="D602" s="2">
        <v>3.0</v>
      </c>
      <c r="E602" s="2">
        <v>20.0</v>
      </c>
      <c r="H602" s="2">
        <v>0.1</v>
      </c>
      <c r="S602" s="2">
        <v>0.15</v>
      </c>
      <c r="AI602" s="2">
        <v>0.1</v>
      </c>
      <c r="AK602" s="2">
        <v>0.05</v>
      </c>
      <c r="AU602" s="2">
        <v>0.15</v>
      </c>
      <c r="BH602" s="2">
        <v>0.15</v>
      </c>
      <c r="BT602" s="2">
        <v>0.1</v>
      </c>
      <c r="CM602" s="2">
        <v>0.1</v>
      </c>
      <c r="CR602" s="2">
        <v>0.1</v>
      </c>
      <c r="CU602" s="19"/>
      <c r="CV602" s="19">
        <f t="shared" si="1"/>
        <v>1</v>
      </c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</row>
    <row r="603">
      <c r="A603" s="6">
        <v>45389.0</v>
      </c>
      <c r="B603" s="2" t="s">
        <v>27</v>
      </c>
      <c r="C603" s="2" t="s">
        <v>35</v>
      </c>
      <c r="D603" s="2">
        <v>3.0</v>
      </c>
      <c r="E603" s="2">
        <v>22.0</v>
      </c>
      <c r="H603" s="2">
        <v>0.05</v>
      </c>
      <c r="S603" s="2">
        <v>0.15</v>
      </c>
      <c r="AA603" s="2">
        <v>0.1</v>
      </c>
      <c r="AS603" s="2">
        <v>0.05</v>
      </c>
      <c r="AU603" s="2">
        <v>0.05</v>
      </c>
      <c r="BH603" s="2">
        <v>0.2</v>
      </c>
      <c r="BT603" s="2">
        <v>0.1</v>
      </c>
      <c r="CM603" s="2">
        <v>0.3</v>
      </c>
      <c r="CU603" s="19"/>
      <c r="CV603" s="19">
        <f t="shared" si="1"/>
        <v>1</v>
      </c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</row>
    <row r="604">
      <c r="A604" s="6">
        <v>45389.0</v>
      </c>
      <c r="B604" s="2" t="s">
        <v>27</v>
      </c>
      <c r="C604" s="2" t="s">
        <v>35</v>
      </c>
      <c r="D604" s="2">
        <v>4.0</v>
      </c>
      <c r="E604" s="2">
        <v>0.0</v>
      </c>
      <c r="CM604" s="2">
        <v>0.1</v>
      </c>
      <c r="CR604" s="2">
        <v>0.9</v>
      </c>
      <c r="CU604" s="19"/>
      <c r="CV604" s="19">
        <f t="shared" si="1"/>
        <v>1</v>
      </c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</row>
    <row r="605">
      <c r="A605" s="6">
        <v>45389.0</v>
      </c>
      <c r="B605" s="2" t="s">
        <v>27</v>
      </c>
      <c r="C605" s="2" t="s">
        <v>35</v>
      </c>
      <c r="D605" s="2">
        <v>4.0</v>
      </c>
      <c r="E605" s="2">
        <v>2.0</v>
      </c>
      <c r="N605" s="2">
        <v>0.15</v>
      </c>
      <c r="U605" s="2">
        <v>0.15</v>
      </c>
      <c r="Y605" s="2">
        <v>0.2</v>
      </c>
      <c r="AK605" s="2">
        <v>0.05</v>
      </c>
      <c r="AO605" s="2">
        <v>0.1</v>
      </c>
      <c r="BE605" s="2">
        <v>0.1</v>
      </c>
      <c r="BH605" s="2">
        <v>0.1</v>
      </c>
      <c r="CR605" s="2">
        <v>0.15</v>
      </c>
      <c r="CU605" s="19"/>
      <c r="CV605" s="19">
        <f t="shared" si="1"/>
        <v>1</v>
      </c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</row>
    <row r="606">
      <c r="A606" s="6">
        <v>45389.0</v>
      </c>
      <c r="B606" s="2" t="s">
        <v>27</v>
      </c>
      <c r="C606" s="2" t="s">
        <v>35</v>
      </c>
      <c r="D606" s="2">
        <v>4.0</v>
      </c>
      <c r="E606" s="2">
        <v>4.0</v>
      </c>
      <c r="U606" s="2">
        <v>0.1</v>
      </c>
      <c r="Y606" s="2"/>
      <c r="AH606" s="2">
        <v>0.1</v>
      </c>
      <c r="AK606" s="2">
        <v>0.1</v>
      </c>
      <c r="AS606" s="2">
        <v>0.1</v>
      </c>
      <c r="BH606" s="2">
        <v>0.5</v>
      </c>
      <c r="CR606" s="2">
        <v>0.1</v>
      </c>
      <c r="CU606" s="19"/>
      <c r="CV606" s="19">
        <f t="shared" si="1"/>
        <v>1</v>
      </c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</row>
    <row r="607">
      <c r="A607" s="6">
        <v>45389.0</v>
      </c>
      <c r="B607" s="2" t="s">
        <v>27</v>
      </c>
      <c r="C607" s="2" t="s">
        <v>35</v>
      </c>
      <c r="D607" s="2">
        <v>4.0</v>
      </c>
      <c r="E607" s="2">
        <v>6.0</v>
      </c>
      <c r="Y607" s="2">
        <v>0.03</v>
      </c>
      <c r="AH607" s="2">
        <v>0.15</v>
      </c>
      <c r="AK607" s="2">
        <v>0.25</v>
      </c>
      <c r="AU607" s="2">
        <v>0.05</v>
      </c>
      <c r="AV607" s="2">
        <v>0.05</v>
      </c>
      <c r="BH607" s="2">
        <v>0.1</v>
      </c>
      <c r="CR607" s="2">
        <v>0.37</v>
      </c>
      <c r="CU607" s="19"/>
      <c r="CV607" s="19">
        <f t="shared" si="1"/>
        <v>1</v>
      </c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</row>
    <row r="608">
      <c r="A608" s="6">
        <v>45389.0</v>
      </c>
      <c r="B608" s="2" t="s">
        <v>27</v>
      </c>
      <c r="C608" s="2" t="s">
        <v>35</v>
      </c>
      <c r="D608" s="2">
        <v>4.0</v>
      </c>
      <c r="E608" s="2">
        <v>8.0</v>
      </c>
      <c r="N608" s="2">
        <v>0.05</v>
      </c>
      <c r="AH608" s="2">
        <v>0.05</v>
      </c>
      <c r="AK608" s="2">
        <v>0.1</v>
      </c>
      <c r="AU608" s="2">
        <v>0.05</v>
      </c>
      <c r="BH608" s="2">
        <v>0.3</v>
      </c>
      <c r="CR608" s="2">
        <v>0.45</v>
      </c>
      <c r="CU608" s="19"/>
      <c r="CV608" s="19">
        <f t="shared" si="1"/>
        <v>1</v>
      </c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</row>
    <row r="609">
      <c r="A609" s="6">
        <v>45389.0</v>
      </c>
      <c r="B609" s="2" t="s">
        <v>27</v>
      </c>
      <c r="C609" s="2" t="s">
        <v>35</v>
      </c>
      <c r="D609" s="2">
        <v>4.0</v>
      </c>
      <c r="E609" s="2">
        <v>10.0</v>
      </c>
      <c r="N609" s="2">
        <v>0.1</v>
      </c>
      <c r="AK609" s="2">
        <v>0.25</v>
      </c>
      <c r="AV609" s="2">
        <v>0.1</v>
      </c>
      <c r="BE609" s="2">
        <v>0.05</v>
      </c>
      <c r="BH609" s="2">
        <v>0.25</v>
      </c>
      <c r="CR609" s="2">
        <v>0.25</v>
      </c>
      <c r="CU609" s="19"/>
      <c r="CV609" s="19">
        <f t="shared" si="1"/>
        <v>1</v>
      </c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</row>
    <row r="610">
      <c r="A610" s="6">
        <v>45389.0</v>
      </c>
      <c r="B610" s="2" t="s">
        <v>27</v>
      </c>
      <c r="C610" s="2" t="s">
        <v>35</v>
      </c>
      <c r="D610" s="2">
        <v>4.0</v>
      </c>
      <c r="E610" s="2">
        <v>12.0</v>
      </c>
      <c r="F610" s="2">
        <v>0.03</v>
      </c>
      <c r="N610" s="2">
        <v>0.05</v>
      </c>
      <c r="U610" s="2">
        <v>0.05</v>
      </c>
      <c r="Y610" s="2">
        <v>0.02</v>
      </c>
      <c r="AH610" s="2">
        <v>0.05</v>
      </c>
      <c r="AK610" s="2">
        <v>0.1</v>
      </c>
      <c r="BH610" s="2">
        <v>0.6</v>
      </c>
      <c r="CR610" s="2">
        <v>0.1</v>
      </c>
      <c r="CU610" s="19"/>
      <c r="CV610" s="19">
        <f t="shared" si="1"/>
        <v>1</v>
      </c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</row>
    <row r="611">
      <c r="A611" s="6">
        <v>45389.0</v>
      </c>
      <c r="B611" s="2" t="s">
        <v>27</v>
      </c>
      <c r="C611" s="2" t="s">
        <v>35</v>
      </c>
      <c r="D611" s="2">
        <v>4.0</v>
      </c>
      <c r="E611" s="2">
        <v>14.0</v>
      </c>
      <c r="N611" s="2">
        <v>0.4</v>
      </c>
      <c r="AH611" s="2">
        <v>0.02</v>
      </c>
      <c r="AK611" s="2">
        <v>0.3</v>
      </c>
      <c r="BH611" s="2">
        <v>0.2</v>
      </c>
      <c r="CR611" s="2">
        <v>0.08</v>
      </c>
      <c r="CU611" s="19"/>
      <c r="CV611" s="19">
        <f t="shared" si="1"/>
        <v>1</v>
      </c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</row>
    <row r="612">
      <c r="A612" s="6">
        <v>45389.0</v>
      </c>
      <c r="B612" s="2" t="s">
        <v>27</v>
      </c>
      <c r="C612" s="2" t="s">
        <v>35</v>
      </c>
      <c r="D612" s="2">
        <v>4.0</v>
      </c>
      <c r="E612" s="2">
        <v>16.0</v>
      </c>
      <c r="O612" s="2">
        <v>0.1</v>
      </c>
      <c r="AH612" s="2">
        <v>0.25</v>
      </c>
      <c r="AK612" s="2">
        <v>0.2</v>
      </c>
      <c r="BH612" s="2">
        <v>0.15</v>
      </c>
      <c r="CR612" s="2">
        <v>0.3</v>
      </c>
      <c r="CU612" s="19"/>
      <c r="CV612" s="19">
        <f t="shared" si="1"/>
        <v>1</v>
      </c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</row>
    <row r="613">
      <c r="A613" s="6">
        <v>45389.0</v>
      </c>
      <c r="B613" s="2" t="s">
        <v>27</v>
      </c>
      <c r="C613" s="2" t="s">
        <v>35</v>
      </c>
      <c r="D613" s="2">
        <v>4.0</v>
      </c>
      <c r="E613" s="2">
        <v>18.0</v>
      </c>
      <c r="N613" s="2">
        <v>0.1</v>
      </c>
      <c r="AH613" s="2">
        <v>0.05</v>
      </c>
      <c r="AK613" s="2">
        <v>0.05</v>
      </c>
      <c r="BH613" s="2">
        <v>0.1</v>
      </c>
      <c r="CR613" s="2">
        <v>0.7</v>
      </c>
      <c r="CU613" s="19"/>
      <c r="CV613" s="19">
        <f t="shared" si="1"/>
        <v>1</v>
      </c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</row>
    <row r="614">
      <c r="A614" s="6">
        <v>45389.0</v>
      </c>
      <c r="B614" s="2" t="s">
        <v>27</v>
      </c>
      <c r="C614" s="2" t="s">
        <v>35</v>
      </c>
      <c r="D614" s="2">
        <v>4.0</v>
      </c>
      <c r="E614" s="2">
        <v>20.0</v>
      </c>
      <c r="O614" s="2">
        <v>0.05</v>
      </c>
      <c r="AK614" s="2">
        <v>0.2</v>
      </c>
      <c r="BF614" s="2">
        <v>0.05</v>
      </c>
      <c r="BH614" s="2">
        <v>0.3</v>
      </c>
      <c r="CR614" s="2">
        <v>0.4</v>
      </c>
      <c r="CU614" s="19"/>
      <c r="CV614" s="19">
        <f t="shared" si="1"/>
        <v>1</v>
      </c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</row>
    <row r="615">
      <c r="A615" s="6">
        <v>45389.0</v>
      </c>
      <c r="B615" s="2" t="s">
        <v>27</v>
      </c>
      <c r="C615" s="2" t="s">
        <v>35</v>
      </c>
      <c r="D615" s="2">
        <v>4.0</v>
      </c>
      <c r="E615" s="2">
        <v>22.0</v>
      </c>
      <c r="F615" s="2">
        <v>0.01</v>
      </c>
      <c r="N615" s="2">
        <v>0.1</v>
      </c>
      <c r="Y615" s="2">
        <v>0.01</v>
      </c>
      <c r="AH615" s="2">
        <v>0.2</v>
      </c>
      <c r="AK615" s="2">
        <v>0.2</v>
      </c>
      <c r="AU615" s="2">
        <v>0.03</v>
      </c>
      <c r="AV615" s="2">
        <v>0.05</v>
      </c>
      <c r="CR615" s="2">
        <v>0.4</v>
      </c>
      <c r="CU615" s="19"/>
      <c r="CV615" s="19">
        <f t="shared" si="1"/>
        <v>1</v>
      </c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</row>
    <row r="616">
      <c r="A616" s="4">
        <v>45388.0</v>
      </c>
      <c r="B616" s="2" t="s">
        <v>27</v>
      </c>
      <c r="C616" s="2" t="s">
        <v>28</v>
      </c>
      <c r="D616" s="2">
        <v>1.0</v>
      </c>
      <c r="E616" s="2">
        <v>0.0</v>
      </c>
      <c r="S616" s="2">
        <v>0.05</v>
      </c>
      <c r="AP616" s="2">
        <v>0.15</v>
      </c>
      <c r="AU616" s="2">
        <v>0.05</v>
      </c>
      <c r="BE616" s="2">
        <v>0.3</v>
      </c>
      <c r="BH616" s="2">
        <v>0.05</v>
      </c>
      <c r="BT616" s="2">
        <v>0.25</v>
      </c>
      <c r="CS616" s="2">
        <v>0.15</v>
      </c>
      <c r="CU616" s="19"/>
      <c r="CV616" s="19">
        <f t="shared" si="1"/>
        <v>1</v>
      </c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</row>
    <row r="617">
      <c r="A617" s="4">
        <v>45388.0</v>
      </c>
      <c r="B617" s="2" t="s">
        <v>27</v>
      </c>
      <c r="C617" s="2" t="s">
        <v>28</v>
      </c>
      <c r="D617" s="2">
        <v>1.0</v>
      </c>
      <c r="E617" s="2">
        <v>2.0</v>
      </c>
      <c r="AA617" s="2">
        <v>0.15</v>
      </c>
      <c r="AP617" s="2">
        <v>0.1</v>
      </c>
      <c r="AS617" s="2">
        <v>0.15</v>
      </c>
      <c r="BA617" s="2">
        <v>0.05</v>
      </c>
      <c r="BH617" s="2">
        <v>0.15</v>
      </c>
      <c r="BT617" s="2">
        <v>0.25</v>
      </c>
      <c r="CS617" s="2">
        <v>0.1</v>
      </c>
      <c r="CU617" s="20">
        <v>0.05</v>
      </c>
      <c r="CV617" s="19">
        <f t="shared" si="1"/>
        <v>1</v>
      </c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</row>
    <row r="618">
      <c r="A618" s="4">
        <v>45388.0</v>
      </c>
      <c r="B618" s="2" t="s">
        <v>27</v>
      </c>
      <c r="C618" s="2" t="s">
        <v>28</v>
      </c>
      <c r="D618" s="2">
        <v>1.0</v>
      </c>
      <c r="E618" s="2">
        <v>4.0</v>
      </c>
      <c r="AA618" s="2">
        <v>0.1</v>
      </c>
      <c r="AV618" s="2">
        <v>0.05</v>
      </c>
      <c r="BE618" s="2">
        <v>0.2</v>
      </c>
      <c r="BH618" s="2">
        <v>0.4</v>
      </c>
      <c r="BT618" s="2">
        <v>0.15</v>
      </c>
      <c r="CS618" s="2">
        <v>0.1</v>
      </c>
      <c r="CU618" s="19"/>
      <c r="CV618" s="19">
        <f t="shared" si="1"/>
        <v>1</v>
      </c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</row>
    <row r="619">
      <c r="A619" s="4">
        <v>45388.0</v>
      </c>
      <c r="B619" s="2" t="s">
        <v>27</v>
      </c>
      <c r="C619" s="2" t="s">
        <v>28</v>
      </c>
      <c r="D619" s="2">
        <v>1.0</v>
      </c>
      <c r="E619" s="2">
        <v>6.0</v>
      </c>
      <c r="S619" s="2">
        <v>0.1</v>
      </c>
      <c r="AV619" s="2">
        <v>0.1</v>
      </c>
      <c r="BE619" s="2">
        <v>0.3</v>
      </c>
      <c r="BH619" s="2">
        <v>0.4</v>
      </c>
      <c r="BT619" s="2">
        <v>0.05</v>
      </c>
      <c r="CS619" s="2">
        <v>0.05</v>
      </c>
      <c r="CU619" s="19"/>
      <c r="CV619" s="19">
        <f t="shared" si="1"/>
        <v>1</v>
      </c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</row>
    <row r="620">
      <c r="A620" s="4">
        <v>45388.0</v>
      </c>
      <c r="B620" s="2" t="s">
        <v>27</v>
      </c>
      <c r="C620" s="2" t="s">
        <v>28</v>
      </c>
      <c r="D620" s="2">
        <v>1.0</v>
      </c>
      <c r="E620" s="2">
        <v>8.0</v>
      </c>
      <c r="M620" s="2">
        <v>0.05</v>
      </c>
      <c r="AA620" s="2">
        <v>0.05</v>
      </c>
      <c r="AU620" s="2">
        <v>0.05</v>
      </c>
      <c r="AV620" s="2">
        <v>0.05</v>
      </c>
      <c r="BB620" s="2">
        <v>0.1</v>
      </c>
      <c r="BE620" s="2">
        <v>0.25</v>
      </c>
      <c r="BH620" s="2">
        <v>0.3</v>
      </c>
      <c r="BT620" s="2">
        <v>0.05</v>
      </c>
      <c r="CS620" s="2">
        <v>0.1</v>
      </c>
      <c r="CU620" s="19"/>
      <c r="CV620" s="19">
        <f t="shared" si="1"/>
        <v>1</v>
      </c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</row>
    <row r="621">
      <c r="A621" s="4">
        <v>45388.0</v>
      </c>
      <c r="B621" s="2" t="s">
        <v>27</v>
      </c>
      <c r="C621" s="2" t="s">
        <v>28</v>
      </c>
      <c r="D621" s="2">
        <v>1.0</v>
      </c>
      <c r="E621" s="2">
        <v>10.0</v>
      </c>
      <c r="S621" s="2">
        <v>0.1</v>
      </c>
      <c r="AA621" s="2">
        <v>0.05</v>
      </c>
      <c r="AJ621" s="2">
        <v>0.05</v>
      </c>
      <c r="AS621" s="2">
        <v>0.05</v>
      </c>
      <c r="AU621" s="2">
        <v>0.05</v>
      </c>
      <c r="AV621" s="2">
        <v>0.05</v>
      </c>
      <c r="BE621" s="2">
        <v>0.2</v>
      </c>
      <c r="BK621" s="2">
        <v>0.2</v>
      </c>
      <c r="BS621" s="2">
        <v>0.05</v>
      </c>
      <c r="BT621" s="2">
        <v>0.05</v>
      </c>
      <c r="CS621" s="2">
        <v>0.15</v>
      </c>
      <c r="CU621" s="19"/>
      <c r="CV621" s="19">
        <f t="shared" si="1"/>
        <v>1</v>
      </c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</row>
    <row r="622">
      <c r="A622" s="4">
        <v>45388.0</v>
      </c>
      <c r="B622" s="2" t="s">
        <v>27</v>
      </c>
      <c r="C622" s="2" t="s">
        <v>28</v>
      </c>
      <c r="D622" s="2">
        <v>1.0</v>
      </c>
      <c r="E622" s="2">
        <v>12.0</v>
      </c>
      <c r="N622" s="2">
        <v>0.05</v>
      </c>
      <c r="S622" s="2">
        <v>0.15</v>
      </c>
      <c r="W622" s="2">
        <v>0.3</v>
      </c>
      <c r="AA622" s="2">
        <v>0.15</v>
      </c>
      <c r="AI622" s="2">
        <v>0.1</v>
      </c>
      <c r="AS622" s="2">
        <v>0.1</v>
      </c>
      <c r="BH622" s="2">
        <v>0.15</v>
      </c>
      <c r="CU622" s="19"/>
      <c r="CV622" s="19">
        <f t="shared" si="1"/>
        <v>1</v>
      </c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</row>
    <row r="623">
      <c r="A623" s="4">
        <v>45388.0</v>
      </c>
      <c r="B623" s="2" t="s">
        <v>27</v>
      </c>
      <c r="C623" s="2" t="s">
        <v>28</v>
      </c>
      <c r="D623" s="2">
        <v>1.0</v>
      </c>
      <c r="E623" s="2">
        <v>14.0</v>
      </c>
      <c r="N623" s="2">
        <v>0.15</v>
      </c>
      <c r="S623" s="2">
        <v>0.05</v>
      </c>
      <c r="AK623" s="2">
        <v>0.1</v>
      </c>
      <c r="AL623" s="2">
        <v>0.1</v>
      </c>
      <c r="AS623" s="2">
        <v>0.05</v>
      </c>
      <c r="BH623" s="2">
        <v>0.4</v>
      </c>
      <c r="BT623" s="2">
        <v>0.15</v>
      </c>
      <c r="CU623" s="19"/>
      <c r="CV623" s="19">
        <f t="shared" si="1"/>
        <v>1</v>
      </c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</row>
    <row r="624">
      <c r="A624" s="4">
        <v>45388.0</v>
      </c>
      <c r="B624" s="2" t="s">
        <v>27</v>
      </c>
      <c r="C624" s="2" t="s">
        <v>28</v>
      </c>
      <c r="D624" s="2">
        <v>1.0</v>
      </c>
      <c r="E624" s="2">
        <v>16.0</v>
      </c>
      <c r="S624" s="2">
        <v>0.15</v>
      </c>
      <c r="W624" s="2">
        <v>0.1</v>
      </c>
      <c r="BE624" s="2">
        <v>0.15</v>
      </c>
      <c r="BH624" s="2">
        <v>0.5</v>
      </c>
      <c r="BT624" s="2">
        <v>0.1</v>
      </c>
      <c r="CU624" s="19"/>
      <c r="CV624" s="19">
        <f t="shared" si="1"/>
        <v>1</v>
      </c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</row>
    <row r="625">
      <c r="A625" s="4">
        <v>45388.0</v>
      </c>
      <c r="B625" s="2" t="s">
        <v>27</v>
      </c>
      <c r="C625" s="2" t="s">
        <v>28</v>
      </c>
      <c r="D625" s="2">
        <v>1.0</v>
      </c>
      <c r="E625" s="2">
        <v>18.0</v>
      </c>
      <c r="S625" s="2">
        <v>0.05</v>
      </c>
      <c r="AI625" s="2">
        <v>0.05</v>
      </c>
      <c r="AK625" s="2">
        <v>0.15</v>
      </c>
      <c r="BH625" s="2">
        <v>0.5</v>
      </c>
      <c r="BL625" s="2">
        <v>0.05</v>
      </c>
      <c r="BT625" s="2">
        <v>0.2</v>
      </c>
      <c r="CU625" s="19"/>
      <c r="CV625" s="19">
        <f t="shared" si="1"/>
        <v>1</v>
      </c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</row>
    <row r="626">
      <c r="A626" s="4">
        <v>45388.0</v>
      </c>
      <c r="B626" s="2" t="s">
        <v>27</v>
      </c>
      <c r="C626" s="2" t="s">
        <v>28</v>
      </c>
      <c r="D626" s="2">
        <v>1.0</v>
      </c>
      <c r="E626" s="2">
        <v>20.0</v>
      </c>
      <c r="N626" s="2">
        <v>0.35</v>
      </c>
      <c r="AI626" s="2">
        <v>0.15</v>
      </c>
      <c r="AS626" s="2">
        <v>0.1</v>
      </c>
      <c r="BH626" s="2">
        <v>0.1</v>
      </c>
      <c r="BT626" s="2">
        <v>0.05</v>
      </c>
      <c r="CH626" s="2">
        <v>0.025</v>
      </c>
      <c r="CU626" s="20">
        <v>0.25</v>
      </c>
      <c r="CV626" s="19">
        <f t="shared" si="1"/>
        <v>1.025</v>
      </c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</row>
    <row r="627">
      <c r="A627" s="4">
        <v>45388.0</v>
      </c>
      <c r="B627" s="2" t="s">
        <v>27</v>
      </c>
      <c r="C627" s="2" t="s">
        <v>28</v>
      </c>
      <c r="D627" s="2">
        <v>1.0</v>
      </c>
      <c r="E627" s="2">
        <v>22.0</v>
      </c>
      <c r="N627" s="2">
        <v>0.2</v>
      </c>
      <c r="AK627" s="2">
        <v>0.1</v>
      </c>
      <c r="AL627" s="2">
        <v>0.05</v>
      </c>
      <c r="AS627" s="2">
        <v>0.1</v>
      </c>
      <c r="BH627" s="2">
        <v>0.25</v>
      </c>
      <c r="CM627" s="2">
        <v>0.3</v>
      </c>
      <c r="CU627" s="19"/>
      <c r="CV627" s="19">
        <f t="shared" si="1"/>
        <v>1</v>
      </c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</row>
    <row r="628">
      <c r="A628" s="49">
        <v>45388.0</v>
      </c>
      <c r="B628" s="23" t="s">
        <v>238</v>
      </c>
      <c r="C628" s="23" t="s">
        <v>235</v>
      </c>
      <c r="D628" s="25">
        <v>2.0</v>
      </c>
      <c r="E628" s="25">
        <v>22.0</v>
      </c>
      <c r="N628" s="2">
        <v>0.005</v>
      </c>
      <c r="CM628" s="15">
        <f>28/36</f>
        <v>0.7777777778</v>
      </c>
      <c r="CP628" s="15">
        <f>8/36</f>
        <v>0.2222222222</v>
      </c>
      <c r="CU628" s="19"/>
      <c r="CV628" s="19">
        <f t="shared" si="1"/>
        <v>1.005</v>
      </c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</row>
    <row r="629">
      <c r="A629" s="49">
        <v>45388.0</v>
      </c>
      <c r="B629" s="23" t="s">
        <v>238</v>
      </c>
      <c r="C629" s="23" t="s">
        <v>235</v>
      </c>
      <c r="D629" s="25">
        <v>2.0</v>
      </c>
      <c r="E629" s="25">
        <v>20.0</v>
      </c>
      <c r="G629" s="15">
        <f>0.5/36</f>
        <v>0.01388888889</v>
      </c>
      <c r="N629" s="15">
        <f>4/36</f>
        <v>0.1111111111</v>
      </c>
      <c r="W629" s="15">
        <f>1/36</f>
        <v>0.02777777778</v>
      </c>
      <c r="AE629" s="15">
        <f>1/36</f>
        <v>0.02777777778</v>
      </c>
      <c r="AJ629" s="15">
        <f>1/36</f>
        <v>0.02777777778</v>
      </c>
      <c r="BH629" s="15">
        <f>6/36</f>
        <v>0.1666666667</v>
      </c>
      <c r="BT629" s="15">
        <f t="shared" ref="BT629:BT631" si="22">2/36</f>
        <v>0.05555555556</v>
      </c>
      <c r="CM629" s="15">
        <f>1/36</f>
        <v>0.02777777778</v>
      </c>
      <c r="CO629" s="15">
        <f>1-(sum(F629:CN629)+sum(CP629:CU629))</f>
        <v>0.5416666667</v>
      </c>
      <c r="CU629" s="19"/>
      <c r="CV629" s="19">
        <f t="shared" si="1"/>
        <v>1</v>
      </c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</row>
    <row r="630">
      <c r="A630" s="49">
        <v>45388.0</v>
      </c>
      <c r="B630" s="23" t="s">
        <v>238</v>
      </c>
      <c r="C630" s="23" t="s">
        <v>235</v>
      </c>
      <c r="D630" s="25">
        <v>2.0</v>
      </c>
      <c r="E630" s="25">
        <v>18.0</v>
      </c>
      <c r="N630" s="2">
        <v>0.01</v>
      </c>
      <c r="O630" s="2">
        <v>0.01</v>
      </c>
      <c r="AE630" s="15">
        <f>1-(sum(F630:AD630)+sum(AF630:CU630))</f>
        <v>0.6653333333</v>
      </c>
      <c r="AJ630" s="15">
        <f>1.5/36</f>
        <v>0.04166666667</v>
      </c>
      <c r="AU630" s="15">
        <f>3/36</f>
        <v>0.08333333333</v>
      </c>
      <c r="BH630" s="15">
        <f>1/36</f>
        <v>0.02777777778</v>
      </c>
      <c r="BP630" s="2">
        <v>0.005</v>
      </c>
      <c r="BS630" s="2">
        <v>0.005</v>
      </c>
      <c r="BT630" s="15">
        <f t="shared" si="22"/>
        <v>0.05555555556</v>
      </c>
      <c r="BY630" s="2">
        <v>0.01</v>
      </c>
      <c r="CA630" s="2">
        <v>0.003</v>
      </c>
      <c r="CO630" s="15">
        <f>3/36</f>
        <v>0.08333333333</v>
      </c>
      <c r="CU630" s="19"/>
      <c r="CV630" s="19">
        <f t="shared" si="1"/>
        <v>1</v>
      </c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</row>
    <row r="631">
      <c r="A631" s="49">
        <v>45388.0</v>
      </c>
      <c r="B631" s="23" t="s">
        <v>238</v>
      </c>
      <c r="C631" s="23" t="s">
        <v>235</v>
      </c>
      <c r="D631" s="25">
        <v>2.0</v>
      </c>
      <c r="E631" s="25">
        <v>16.0</v>
      </c>
      <c r="N631" s="15">
        <f>1-(SUM(F631:M631)+sum(O631:CU631))</f>
        <v>0.6566666667</v>
      </c>
      <c r="O631" s="2">
        <v>0.01</v>
      </c>
      <c r="S631" s="15">
        <f>1/36</f>
        <v>0.02777777778</v>
      </c>
      <c r="AI631" s="15">
        <f>1/36</f>
        <v>0.02777777778</v>
      </c>
      <c r="AJ631" s="15">
        <f>0.5/36</f>
        <v>0.01388888889</v>
      </c>
      <c r="AK631" s="15">
        <f>1/36</f>
        <v>0.02777777778</v>
      </c>
      <c r="BH631" s="15">
        <f>4/36</f>
        <v>0.1111111111</v>
      </c>
      <c r="BQ631" s="15">
        <f>0.5/36</f>
        <v>0.01388888889</v>
      </c>
      <c r="BT631" s="15">
        <f t="shared" si="22"/>
        <v>0.05555555556</v>
      </c>
      <c r="CM631" s="15">
        <f>2/36</f>
        <v>0.05555555556</v>
      </c>
      <c r="CU631" s="19"/>
      <c r="CV631" s="19">
        <f t="shared" si="1"/>
        <v>1</v>
      </c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</row>
    <row r="632">
      <c r="A632" s="49">
        <v>45388.0</v>
      </c>
      <c r="B632" s="23" t="s">
        <v>238</v>
      </c>
      <c r="C632" s="23" t="s">
        <v>235</v>
      </c>
      <c r="D632" s="25">
        <v>2.0</v>
      </c>
      <c r="E632" s="25">
        <v>14.0</v>
      </c>
      <c r="S632" s="15">
        <f>0.5/36</f>
        <v>0.01388888889</v>
      </c>
      <c r="W632" s="15">
        <f>1-(sum(F632:V632)+sum(X632:CU632))</f>
        <v>0.6</v>
      </c>
      <c r="AI632" s="2">
        <v>0.02</v>
      </c>
      <c r="AJ632" s="15">
        <f t="shared" ref="AJ632:AJ634" si="24">1/36</f>
        <v>0.02777777778</v>
      </c>
      <c r="AL632" s="15">
        <f t="shared" ref="AL632:AL633" si="25">1/36</f>
        <v>0.02777777778</v>
      </c>
      <c r="BH632" s="15">
        <f>8/36</f>
        <v>0.2222222222</v>
      </c>
      <c r="BR632" s="15">
        <f t="shared" ref="BR632:BS632" si="23">0.5/36</f>
        <v>0.01388888889</v>
      </c>
      <c r="BS632" s="15">
        <f t="shared" si="23"/>
        <v>0.01388888889</v>
      </c>
      <c r="CA632" s="2">
        <v>0.005</v>
      </c>
      <c r="CO632" s="15">
        <f>2/36</f>
        <v>0.05555555556</v>
      </c>
      <c r="CU632" s="19"/>
      <c r="CV632" s="19">
        <f t="shared" si="1"/>
        <v>1</v>
      </c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</row>
    <row r="633">
      <c r="A633" s="49">
        <v>45388.0</v>
      </c>
      <c r="B633" s="23" t="s">
        <v>238</v>
      </c>
      <c r="C633" s="23" t="s">
        <v>235</v>
      </c>
      <c r="D633" s="25">
        <v>2.0</v>
      </c>
      <c r="E633" s="25">
        <v>12.0</v>
      </c>
      <c r="N633" s="15">
        <f t="shared" ref="N633:N634" si="26">3/36</f>
        <v>0.08333333333</v>
      </c>
      <c r="S633" s="15">
        <f>1/36</f>
        <v>0.02777777778</v>
      </c>
      <c r="AJ633" s="15">
        <f t="shared" si="24"/>
        <v>0.02777777778</v>
      </c>
      <c r="AL633" s="15">
        <f t="shared" si="25"/>
        <v>0.02777777778</v>
      </c>
      <c r="AP633" s="2">
        <v>0.005</v>
      </c>
      <c r="BE633" s="15">
        <f>1-(sum(F633:BD633)+sum(BF633:CU633))</f>
        <v>0.617</v>
      </c>
      <c r="BH633" s="15">
        <f>1/36</f>
        <v>0.02777777778</v>
      </c>
      <c r="BR633" s="15">
        <f>0.5/36</f>
        <v>0.01388888889</v>
      </c>
      <c r="CA633" s="2">
        <v>0.003</v>
      </c>
      <c r="CO633" s="15">
        <f>6/36</f>
        <v>0.1666666667</v>
      </c>
      <c r="CU633" s="19"/>
      <c r="CV633" s="19">
        <f t="shared" si="1"/>
        <v>1</v>
      </c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</row>
    <row r="634">
      <c r="A634" s="49">
        <v>45388.0</v>
      </c>
      <c r="B634" s="23" t="s">
        <v>238</v>
      </c>
      <c r="C634" s="23" t="s">
        <v>235</v>
      </c>
      <c r="D634" s="25">
        <v>2.0</v>
      </c>
      <c r="E634" s="25">
        <v>10.0</v>
      </c>
      <c r="N634" s="15">
        <f t="shared" si="26"/>
        <v>0.08333333333</v>
      </c>
      <c r="W634" s="15">
        <f>3/36</f>
        <v>0.08333333333</v>
      </c>
      <c r="AI634" s="2">
        <v>0.01</v>
      </c>
      <c r="AJ634" s="15">
        <f t="shared" si="24"/>
        <v>0.02777777778</v>
      </c>
      <c r="AL634" s="2">
        <v>0.01</v>
      </c>
      <c r="AP634" s="15">
        <f>3/36</f>
        <v>0.08333333333</v>
      </c>
      <c r="BH634" s="15">
        <f>10/36</f>
        <v>0.2777777778</v>
      </c>
      <c r="BT634" s="15">
        <f>2/36</f>
        <v>0.05555555556</v>
      </c>
      <c r="CM634" s="15">
        <f>2/36</f>
        <v>0.05555555556</v>
      </c>
      <c r="CO634" s="15">
        <f>1-(sum(F634:CN634)+sum(CP634:CU634))</f>
        <v>0.23</v>
      </c>
      <c r="CP634" s="15">
        <f>3/36</f>
        <v>0.08333333333</v>
      </c>
      <c r="CU634" s="19"/>
      <c r="CV634" s="19">
        <f t="shared" si="1"/>
        <v>1</v>
      </c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</row>
    <row r="635">
      <c r="A635" s="49">
        <v>45388.0</v>
      </c>
      <c r="B635" s="23" t="s">
        <v>238</v>
      </c>
      <c r="C635" s="23" t="s">
        <v>235</v>
      </c>
      <c r="D635" s="25">
        <v>2.0</v>
      </c>
      <c r="E635" s="25">
        <v>8.0</v>
      </c>
      <c r="AJ635" s="15">
        <f>2/36</f>
        <v>0.05555555556</v>
      </c>
      <c r="AP635" s="2">
        <v>0.01</v>
      </c>
      <c r="BE635" s="15">
        <f>1-(sum(F635:BD635)+sum(BF635:CU635))</f>
        <v>0.5583333333</v>
      </c>
      <c r="BH635" s="15">
        <f>6/36</f>
        <v>0.1666666667</v>
      </c>
      <c r="CA635" s="2">
        <v>0.005</v>
      </c>
      <c r="CK635" s="2">
        <v>0.01</v>
      </c>
      <c r="CO635" s="15">
        <f>7/36</f>
        <v>0.1944444444</v>
      </c>
      <c r="CU635" s="19"/>
      <c r="CV635" s="19">
        <f t="shared" si="1"/>
        <v>1</v>
      </c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</row>
    <row r="636">
      <c r="A636" s="49">
        <v>45388.0</v>
      </c>
      <c r="B636" s="23" t="s">
        <v>238</v>
      </c>
      <c r="C636" s="23" t="s">
        <v>235</v>
      </c>
      <c r="D636" s="25">
        <v>2.0</v>
      </c>
      <c r="E636" s="25">
        <v>6.0</v>
      </c>
      <c r="W636" s="15">
        <f t="shared" ref="W636:W638" si="27">2/36</f>
        <v>0.05555555556</v>
      </c>
      <c r="AJ636" s="15">
        <f t="shared" ref="AJ636:AJ637" si="28">1/36</f>
        <v>0.02777777778</v>
      </c>
      <c r="AS636" s="15">
        <f t="shared" ref="AS636:AS638" si="29">1/36</f>
        <v>0.02777777778</v>
      </c>
      <c r="BH636" s="15">
        <f>1-(sum(F636:BG636)+sum(BI636:CU636))</f>
        <v>0.6666666667</v>
      </c>
      <c r="BS636" s="15">
        <f>1/36</f>
        <v>0.02777777778</v>
      </c>
      <c r="BT636" s="15">
        <f>2/36</f>
        <v>0.05555555556</v>
      </c>
      <c r="CM636" s="15">
        <f>2/36</f>
        <v>0.05555555556</v>
      </c>
      <c r="CO636" s="15">
        <f t="shared" ref="CO636:CO637" si="30">2/36</f>
        <v>0.05555555556</v>
      </c>
      <c r="CR636" s="15">
        <f>1/36</f>
        <v>0.02777777778</v>
      </c>
      <c r="CU636" s="19"/>
      <c r="CV636" s="19">
        <f t="shared" si="1"/>
        <v>1</v>
      </c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</row>
    <row r="637">
      <c r="A637" s="49">
        <v>45388.0</v>
      </c>
      <c r="B637" s="23" t="s">
        <v>238</v>
      </c>
      <c r="C637" s="23" t="s">
        <v>235</v>
      </c>
      <c r="D637" s="25">
        <v>2.0</v>
      </c>
      <c r="E637" s="25">
        <v>4.0</v>
      </c>
      <c r="N637" s="15">
        <f>2/36</f>
        <v>0.05555555556</v>
      </c>
      <c r="W637" s="15">
        <f t="shared" si="27"/>
        <v>0.05555555556</v>
      </c>
      <c r="AJ637" s="15">
        <f t="shared" si="28"/>
        <v>0.02777777778</v>
      </c>
      <c r="AL637" s="15">
        <f>1/36</f>
        <v>0.02777777778</v>
      </c>
      <c r="AS637" s="15">
        <f t="shared" si="29"/>
        <v>0.02777777778</v>
      </c>
      <c r="BE637" s="15">
        <f>1/36</f>
        <v>0.02777777778</v>
      </c>
      <c r="BH637" s="15">
        <f>2/36</f>
        <v>0.05555555556</v>
      </c>
      <c r="BT637" s="15">
        <f>1-(sum(F637:BS637)+sum(BU637:CU637))</f>
        <v>0.621</v>
      </c>
      <c r="CA637" s="2">
        <v>0.004</v>
      </c>
      <c r="CM637" s="15">
        <f>0.5/36</f>
        <v>0.01388888889</v>
      </c>
      <c r="CO637" s="15">
        <f t="shared" si="30"/>
        <v>0.05555555556</v>
      </c>
      <c r="CP637" s="15">
        <f>1/36</f>
        <v>0.02777777778</v>
      </c>
      <c r="CU637" s="19"/>
      <c r="CV637" s="19">
        <f t="shared" si="1"/>
        <v>1</v>
      </c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</row>
    <row r="638">
      <c r="A638" s="49">
        <v>45388.0</v>
      </c>
      <c r="B638" s="23" t="s">
        <v>238</v>
      </c>
      <c r="C638" s="23" t="s">
        <v>235</v>
      </c>
      <c r="D638" s="25">
        <v>2.0</v>
      </c>
      <c r="E638" s="25">
        <v>2.0</v>
      </c>
      <c r="N638" s="15">
        <f>1/36</f>
        <v>0.02777777778</v>
      </c>
      <c r="W638" s="15">
        <f t="shared" si="27"/>
        <v>0.05555555556</v>
      </c>
      <c r="AI638" s="15">
        <f>3/36</f>
        <v>0.08333333333</v>
      </c>
      <c r="AL638" s="2">
        <v>0.01</v>
      </c>
      <c r="AP638" s="15">
        <f>1/36</f>
        <v>0.02777777778</v>
      </c>
      <c r="AS638" s="15">
        <f t="shared" si="29"/>
        <v>0.02777777778</v>
      </c>
      <c r="AZ638" s="2">
        <v>0.005</v>
      </c>
      <c r="BE638" s="15">
        <f>2/36</f>
        <v>0.05555555556</v>
      </c>
      <c r="BH638" s="15">
        <f>3/36</f>
        <v>0.08333333333</v>
      </c>
      <c r="BR638" s="2">
        <v>0.005</v>
      </c>
      <c r="BT638" s="15">
        <f>1/36</f>
        <v>0.02777777778</v>
      </c>
      <c r="CM638" s="15">
        <f>1/36</f>
        <v>0.02777777778</v>
      </c>
      <c r="CO638" s="15">
        <f>1-(sum(F638:CN638)+sum(CP638:CU638))</f>
        <v>0.5633333333</v>
      </c>
      <c r="CU638" s="19"/>
      <c r="CV638" s="19">
        <f t="shared" si="1"/>
        <v>1</v>
      </c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</row>
    <row r="639">
      <c r="A639" s="49">
        <v>45388.0</v>
      </c>
      <c r="B639" s="23" t="s">
        <v>238</v>
      </c>
      <c r="C639" s="23" t="s">
        <v>235</v>
      </c>
      <c r="D639" s="25">
        <v>2.0</v>
      </c>
      <c r="E639" s="25">
        <v>0.0</v>
      </c>
      <c r="O639" s="2">
        <v>0.005</v>
      </c>
      <c r="Z639" s="15">
        <f>1/36</f>
        <v>0.02777777778</v>
      </c>
      <c r="AJ639" s="15">
        <f>1/36</f>
        <v>0.02777777778</v>
      </c>
      <c r="BE639" s="15">
        <f>1/36</f>
        <v>0.02777777778</v>
      </c>
      <c r="BH639" s="15">
        <f>1-(sum(F639:BG639)+sum(BI639:CU639))</f>
        <v>0.7577777778</v>
      </c>
      <c r="BR639" s="2">
        <v>0.005</v>
      </c>
      <c r="BT639" s="15">
        <f>2/36</f>
        <v>0.05555555556</v>
      </c>
      <c r="CM639" s="2">
        <v>0.01</v>
      </c>
      <c r="CO639" s="15">
        <f>3/36</f>
        <v>0.08333333333</v>
      </c>
      <c r="CU639" s="19"/>
      <c r="CV639" s="19">
        <f t="shared" si="1"/>
        <v>1</v>
      </c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</row>
    <row r="640">
      <c r="A640" s="4">
        <v>45388.0</v>
      </c>
      <c r="B640" s="2" t="s">
        <v>27</v>
      </c>
      <c r="C640" s="2" t="s">
        <v>28</v>
      </c>
      <c r="D640" s="2">
        <v>3.0</v>
      </c>
      <c r="E640" s="2">
        <v>0.0</v>
      </c>
      <c r="S640" s="2">
        <v>0.1</v>
      </c>
      <c r="AA640" s="2">
        <v>0.25</v>
      </c>
      <c r="AK640" s="2">
        <v>0.05</v>
      </c>
      <c r="AS640" s="2">
        <v>0.05</v>
      </c>
      <c r="BE640" s="2">
        <v>0.25</v>
      </c>
      <c r="BH640" s="2">
        <v>0.15</v>
      </c>
      <c r="CS640" s="2">
        <v>0.15</v>
      </c>
      <c r="CU640" s="19"/>
      <c r="CV640" s="19">
        <f t="shared" si="1"/>
        <v>1</v>
      </c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</row>
    <row r="641">
      <c r="A641" s="4">
        <v>45388.0</v>
      </c>
      <c r="B641" s="2" t="s">
        <v>27</v>
      </c>
      <c r="C641" s="2" t="s">
        <v>28</v>
      </c>
      <c r="D641" s="2">
        <v>3.0</v>
      </c>
      <c r="E641" s="2">
        <v>2.0</v>
      </c>
      <c r="S641" s="2">
        <v>0.1</v>
      </c>
      <c r="AI641" s="2">
        <v>0.15</v>
      </c>
      <c r="AP641" s="2">
        <v>0.05</v>
      </c>
      <c r="AZ641" s="2">
        <v>0.05</v>
      </c>
      <c r="BH641" s="2">
        <v>0.3</v>
      </c>
      <c r="BT641" s="2">
        <v>0.25</v>
      </c>
      <c r="CS641" s="2">
        <v>0.1</v>
      </c>
      <c r="CU641" s="19"/>
      <c r="CV641" s="19">
        <f t="shared" si="1"/>
        <v>1</v>
      </c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</row>
    <row r="642">
      <c r="A642" s="4">
        <v>45388.0</v>
      </c>
      <c r="B642" s="2" t="s">
        <v>27</v>
      </c>
      <c r="C642" s="2" t="s">
        <v>28</v>
      </c>
      <c r="D642" s="2">
        <v>3.0</v>
      </c>
      <c r="E642" s="2">
        <v>4.0</v>
      </c>
      <c r="N642" s="2">
        <v>0.1</v>
      </c>
      <c r="S642" s="2">
        <v>0.05</v>
      </c>
      <c r="AI642" s="2">
        <v>0.1</v>
      </c>
      <c r="AU642" s="2">
        <v>0.05</v>
      </c>
      <c r="BE642" s="2">
        <v>0.1</v>
      </c>
      <c r="BH642" s="2">
        <v>0.25</v>
      </c>
      <c r="BT642" s="2">
        <v>0.15</v>
      </c>
      <c r="CS642" s="2">
        <v>0.2</v>
      </c>
      <c r="CU642" s="19"/>
      <c r="CV642" s="19">
        <f t="shared" si="1"/>
        <v>1</v>
      </c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</row>
    <row r="643">
      <c r="A643" s="4">
        <v>45388.0</v>
      </c>
      <c r="B643" s="2" t="s">
        <v>27</v>
      </c>
      <c r="C643" s="2" t="s">
        <v>28</v>
      </c>
      <c r="D643" s="2">
        <v>3.0</v>
      </c>
      <c r="E643" s="2">
        <v>6.0</v>
      </c>
      <c r="S643" s="2">
        <v>0.05</v>
      </c>
      <c r="AA643" s="2">
        <v>0.5</v>
      </c>
      <c r="BE643" s="2">
        <v>0.1</v>
      </c>
      <c r="BH643" s="2">
        <v>0.2</v>
      </c>
      <c r="CM643" s="2">
        <v>0.15</v>
      </c>
      <c r="CU643" s="19"/>
      <c r="CV643" s="19">
        <f t="shared" si="1"/>
        <v>1</v>
      </c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</row>
    <row r="644">
      <c r="A644" s="4">
        <v>45388.0</v>
      </c>
      <c r="B644" s="2" t="s">
        <v>27</v>
      </c>
      <c r="C644" s="2" t="s">
        <v>28</v>
      </c>
      <c r="D644" s="2">
        <v>3.0</v>
      </c>
      <c r="E644" s="2">
        <v>8.0</v>
      </c>
      <c r="S644" s="2">
        <v>0.05</v>
      </c>
      <c r="AA644" s="2">
        <v>0.2</v>
      </c>
      <c r="AI644" s="2">
        <v>0.05</v>
      </c>
      <c r="AK644" s="2">
        <v>0.1</v>
      </c>
      <c r="AP644" s="2">
        <v>0.3</v>
      </c>
      <c r="BE644" s="2">
        <v>0.1</v>
      </c>
      <c r="BH644" s="2">
        <v>0.1</v>
      </c>
      <c r="CS644" s="2">
        <v>0.1</v>
      </c>
      <c r="CU644" s="19"/>
      <c r="CV644" s="19">
        <f t="shared" si="1"/>
        <v>1</v>
      </c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</row>
    <row r="645">
      <c r="A645" s="4">
        <v>45388.0</v>
      </c>
      <c r="B645" s="2" t="s">
        <v>27</v>
      </c>
      <c r="C645" s="2" t="s">
        <v>28</v>
      </c>
      <c r="D645" s="2">
        <v>3.0</v>
      </c>
      <c r="E645" s="2">
        <v>10.0</v>
      </c>
      <c r="S645" s="2">
        <v>0.2</v>
      </c>
      <c r="AK645" s="2">
        <v>0.05</v>
      </c>
      <c r="BE645" s="2">
        <v>0.1</v>
      </c>
      <c r="BH645" s="2">
        <v>0.55</v>
      </c>
      <c r="CS645" s="2">
        <v>0.1</v>
      </c>
      <c r="CU645" s="19"/>
      <c r="CV645" s="19">
        <f t="shared" si="1"/>
        <v>1</v>
      </c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</row>
    <row r="646">
      <c r="A646" s="4">
        <v>45388.0</v>
      </c>
      <c r="B646" s="2" t="s">
        <v>27</v>
      </c>
      <c r="C646" s="2" t="s">
        <v>28</v>
      </c>
      <c r="D646" s="2">
        <v>3.0</v>
      </c>
      <c r="E646" s="2">
        <v>12.0</v>
      </c>
      <c r="S646" s="2">
        <v>0.05</v>
      </c>
      <c r="AI646" s="2">
        <v>0.1</v>
      </c>
      <c r="AK646" s="2">
        <v>0.15</v>
      </c>
      <c r="AL646" s="2">
        <v>0.15</v>
      </c>
      <c r="BB646" s="2">
        <v>0.05</v>
      </c>
      <c r="BH646" s="2">
        <v>0.45</v>
      </c>
      <c r="BT646" s="2">
        <v>0.05</v>
      </c>
      <c r="CU646" s="19"/>
      <c r="CV646" s="19">
        <f t="shared" si="1"/>
        <v>1</v>
      </c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</row>
    <row r="647">
      <c r="A647" s="4">
        <v>45388.0</v>
      </c>
      <c r="B647" s="2" t="s">
        <v>27</v>
      </c>
      <c r="C647" s="2" t="s">
        <v>28</v>
      </c>
      <c r="D647" s="2">
        <v>3.0</v>
      </c>
      <c r="E647" s="2">
        <v>14.0</v>
      </c>
      <c r="N647" s="2">
        <v>0.15</v>
      </c>
      <c r="AI647" s="2">
        <v>0.15</v>
      </c>
      <c r="AK647" s="2">
        <v>0.1</v>
      </c>
      <c r="AS647" s="2">
        <v>0.05</v>
      </c>
      <c r="BH647" s="2">
        <v>0.55</v>
      </c>
      <c r="CU647" s="19"/>
      <c r="CV647" s="19">
        <f t="shared" si="1"/>
        <v>1</v>
      </c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</row>
    <row r="648">
      <c r="A648" s="4">
        <v>45388.0</v>
      </c>
      <c r="B648" s="2" t="s">
        <v>27</v>
      </c>
      <c r="C648" s="2" t="s">
        <v>28</v>
      </c>
      <c r="D648" s="2">
        <v>3.0</v>
      </c>
      <c r="E648" s="2">
        <v>16.0</v>
      </c>
      <c r="N648" s="2">
        <v>0.05</v>
      </c>
      <c r="AI648" s="2">
        <v>0.05</v>
      </c>
      <c r="BH648" s="2">
        <v>0.8</v>
      </c>
      <c r="BT648" s="2">
        <v>0.05</v>
      </c>
      <c r="CM648" s="2">
        <v>0.05</v>
      </c>
      <c r="CU648" s="19"/>
      <c r="CV648" s="19">
        <f t="shared" si="1"/>
        <v>1</v>
      </c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</row>
    <row r="649">
      <c r="A649" s="4">
        <v>45388.0</v>
      </c>
      <c r="B649" s="2" t="s">
        <v>27</v>
      </c>
      <c r="C649" s="2" t="s">
        <v>28</v>
      </c>
      <c r="D649" s="2">
        <v>3.0</v>
      </c>
      <c r="E649" s="2">
        <v>18.0</v>
      </c>
      <c r="AI649" s="2">
        <v>0.1</v>
      </c>
      <c r="BH649" s="2">
        <v>0.3</v>
      </c>
      <c r="BQ649" s="2">
        <v>0.1</v>
      </c>
      <c r="BT649" s="2">
        <v>0.2</v>
      </c>
      <c r="CU649" s="20">
        <v>0.3</v>
      </c>
      <c r="CV649" s="19">
        <f t="shared" si="1"/>
        <v>1</v>
      </c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</row>
    <row r="650">
      <c r="A650" s="4">
        <v>45388.0</v>
      </c>
      <c r="B650" s="2" t="s">
        <v>27</v>
      </c>
      <c r="C650" s="2" t="s">
        <v>28</v>
      </c>
      <c r="D650" s="2">
        <v>3.0</v>
      </c>
      <c r="E650" s="2">
        <v>20.0</v>
      </c>
      <c r="AI650" s="2">
        <v>0.15</v>
      </c>
      <c r="BH650" s="2">
        <v>0.15</v>
      </c>
      <c r="BT650" s="2">
        <v>0.025</v>
      </c>
      <c r="CE650" s="2">
        <v>0.25</v>
      </c>
      <c r="CR650" s="2">
        <v>0.4</v>
      </c>
      <c r="CU650" s="19"/>
      <c r="CV650" s="19">
        <f t="shared" si="1"/>
        <v>0.975</v>
      </c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</row>
    <row r="651">
      <c r="A651" s="4">
        <v>45388.0</v>
      </c>
      <c r="B651" s="2" t="s">
        <v>27</v>
      </c>
      <c r="C651" s="2" t="s">
        <v>28</v>
      </c>
      <c r="D651" s="2">
        <v>3.0</v>
      </c>
      <c r="E651" s="2">
        <v>22.0</v>
      </c>
      <c r="S651" s="2">
        <v>0.05</v>
      </c>
      <c r="BH651" s="2">
        <v>0.6</v>
      </c>
      <c r="CU651" s="19"/>
      <c r="CV651" s="19">
        <f t="shared" si="1"/>
        <v>0.65</v>
      </c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</row>
    <row r="652">
      <c r="A652" s="49">
        <v>45388.0</v>
      </c>
      <c r="B652" s="23" t="s">
        <v>238</v>
      </c>
      <c r="C652" s="23" t="s">
        <v>235</v>
      </c>
      <c r="D652" s="25">
        <v>4.0</v>
      </c>
      <c r="E652" s="25">
        <v>0.0</v>
      </c>
      <c r="S652" s="2">
        <v>0.01</v>
      </c>
      <c r="AA652" s="15">
        <f t="shared" ref="AA652:AA653" si="31">0.5/36</f>
        <v>0.01388888889</v>
      </c>
      <c r="BE652" s="15">
        <f>0.5/36</f>
        <v>0.01388888889</v>
      </c>
      <c r="BH652" s="15">
        <f t="shared" ref="BH652:BH655" si="32">1-(sum(F652:BG652)+sum(BI652:CU652))</f>
        <v>0.8511111111</v>
      </c>
      <c r="BT652" s="15">
        <f>4/36</f>
        <v>0.1111111111</v>
      </c>
      <c r="CU652" s="19"/>
      <c r="CV652" s="19">
        <f t="shared" si="1"/>
        <v>1</v>
      </c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</row>
    <row r="653">
      <c r="A653" s="49">
        <v>45388.0</v>
      </c>
      <c r="B653" s="23" t="s">
        <v>238</v>
      </c>
      <c r="C653" s="23" t="s">
        <v>235</v>
      </c>
      <c r="D653" s="25">
        <v>4.0</v>
      </c>
      <c r="E653" s="25">
        <v>2.0</v>
      </c>
      <c r="N653" s="15">
        <f>0.5/36</f>
        <v>0.01388888889</v>
      </c>
      <c r="AA653" s="15">
        <f t="shared" si="31"/>
        <v>0.01388888889</v>
      </c>
      <c r="AJ653" s="15">
        <f>0.5/36</f>
        <v>0.01388888889</v>
      </c>
      <c r="BA653" s="15">
        <f>0.5/36</f>
        <v>0.01388888889</v>
      </c>
      <c r="BE653" s="15">
        <f>5/36</f>
        <v>0.1388888889</v>
      </c>
      <c r="BH653" s="15">
        <f t="shared" si="32"/>
        <v>0.5763888889</v>
      </c>
      <c r="BT653" s="15">
        <f>6/36</f>
        <v>0.1666666667</v>
      </c>
      <c r="BY653" s="15">
        <f>0.25/36</f>
        <v>0.006944444444</v>
      </c>
      <c r="CO653" s="15">
        <f>2/36</f>
        <v>0.05555555556</v>
      </c>
      <c r="CU653" s="19"/>
      <c r="CV653" s="19">
        <f t="shared" si="1"/>
        <v>1</v>
      </c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</row>
    <row r="654">
      <c r="A654" s="49">
        <v>45388.0</v>
      </c>
      <c r="B654" s="23" t="s">
        <v>238</v>
      </c>
      <c r="C654" s="23" t="s">
        <v>235</v>
      </c>
      <c r="D654" s="25">
        <v>4.0</v>
      </c>
      <c r="E654" s="25">
        <v>4.0</v>
      </c>
      <c r="F654" s="15">
        <f>0.5/36</f>
        <v>0.01388888889</v>
      </c>
      <c r="S654" s="2">
        <v>0.01</v>
      </c>
      <c r="AA654" s="15">
        <f>2.5/36</f>
        <v>0.06944444444</v>
      </c>
      <c r="AE654" s="2">
        <v>0.01</v>
      </c>
      <c r="AP654" s="15">
        <f>1/36</f>
        <v>0.02777777778</v>
      </c>
      <c r="AZ654" s="2">
        <v>0.01</v>
      </c>
      <c r="BH654" s="15">
        <f t="shared" si="32"/>
        <v>0.5433333333</v>
      </c>
      <c r="BP654" s="2">
        <v>0.01</v>
      </c>
      <c r="BT654" s="15">
        <f t="shared" ref="BT654:BT655" si="33">7/36</f>
        <v>0.1944444444</v>
      </c>
      <c r="CO654" s="15">
        <f>3/36</f>
        <v>0.08333333333</v>
      </c>
      <c r="CU654" s="62">
        <f>1/36</f>
        <v>0.02777777778</v>
      </c>
      <c r="CV654" s="19">
        <f t="shared" si="1"/>
        <v>1</v>
      </c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</row>
    <row r="655">
      <c r="A655" s="49">
        <v>45388.0</v>
      </c>
      <c r="B655" s="23" t="s">
        <v>238</v>
      </c>
      <c r="C655" s="23" t="s">
        <v>235</v>
      </c>
      <c r="D655" s="25">
        <v>4.0</v>
      </c>
      <c r="E655" s="25">
        <v>6.0</v>
      </c>
      <c r="N655" s="15">
        <f>12/36</f>
        <v>0.3333333333</v>
      </c>
      <c r="AJ655" s="15">
        <f t="shared" ref="AJ655:AJ657" si="34">0.5/36</f>
        <v>0.01388888889</v>
      </c>
      <c r="AP655" s="15">
        <f>0.5/36</f>
        <v>0.01388888889</v>
      </c>
      <c r="BH655" s="15">
        <f t="shared" si="32"/>
        <v>0.2916666667</v>
      </c>
      <c r="BT655" s="15">
        <f t="shared" si="33"/>
        <v>0.1944444444</v>
      </c>
      <c r="CM655" s="15">
        <f>4/36</f>
        <v>0.1111111111</v>
      </c>
      <c r="CO655" s="15">
        <f>1/36</f>
        <v>0.02777777778</v>
      </c>
      <c r="CP655" s="15">
        <f>0.5/36</f>
        <v>0.01388888889</v>
      </c>
      <c r="CU655" s="62"/>
      <c r="CV655" s="19">
        <f t="shared" si="1"/>
        <v>1</v>
      </c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</row>
    <row r="656">
      <c r="A656" s="49">
        <v>45388.0</v>
      </c>
      <c r="B656" s="23" t="s">
        <v>238</v>
      </c>
      <c r="C656" s="23" t="s">
        <v>235</v>
      </c>
      <c r="D656" s="25">
        <v>4.0</v>
      </c>
      <c r="E656" s="25">
        <v>8.0</v>
      </c>
      <c r="L656" s="15">
        <f>2/36</f>
        <v>0.05555555556</v>
      </c>
      <c r="N656" s="15">
        <f>1/36</f>
        <v>0.02777777778</v>
      </c>
      <c r="AD656" s="2">
        <v>0.005</v>
      </c>
      <c r="AJ656" s="15">
        <f t="shared" si="34"/>
        <v>0.01388888889</v>
      </c>
      <c r="AL656" s="15">
        <f>0.5/36</f>
        <v>0.01388888889</v>
      </c>
      <c r="AS656" s="15">
        <f t="shared" ref="AS656:AS657" si="35">1-(sum(F656:AR656)+sum(AT656:CU656))</f>
        <v>0.5007777778</v>
      </c>
      <c r="BE656" s="15">
        <f t="shared" ref="BE656:BE657" si="36">2/36</f>
        <v>0.05555555556</v>
      </c>
      <c r="BH656" s="15">
        <f t="shared" ref="BH656:BH657" si="37">3/36</f>
        <v>0.08333333333</v>
      </c>
      <c r="BP656" s="2">
        <v>0.002</v>
      </c>
      <c r="BY656" s="2">
        <v>0.01</v>
      </c>
      <c r="CB656" s="2">
        <v>0.01</v>
      </c>
      <c r="CO656" s="15">
        <f>8/36</f>
        <v>0.2222222222</v>
      </c>
      <c r="CU656" s="62"/>
      <c r="CV656" s="19">
        <f t="shared" si="1"/>
        <v>1</v>
      </c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</row>
    <row r="657">
      <c r="A657" s="49">
        <v>45388.0</v>
      </c>
      <c r="B657" s="23" t="s">
        <v>238</v>
      </c>
      <c r="C657" s="23" t="s">
        <v>235</v>
      </c>
      <c r="D657" s="25">
        <v>4.0</v>
      </c>
      <c r="E657" s="25">
        <v>10.0</v>
      </c>
      <c r="L657" s="15">
        <f>1/36</f>
        <v>0.02777777778</v>
      </c>
      <c r="W657" s="15">
        <f>1/36</f>
        <v>0.02777777778</v>
      </c>
      <c r="AJ657" s="15">
        <f t="shared" si="34"/>
        <v>0.01388888889</v>
      </c>
      <c r="AL657" s="15">
        <f>1/36</f>
        <v>0.02777777778</v>
      </c>
      <c r="AS657" s="15">
        <f t="shared" si="35"/>
        <v>0.6805555556</v>
      </c>
      <c r="BE657" s="15">
        <f t="shared" si="36"/>
        <v>0.05555555556</v>
      </c>
      <c r="BH657" s="15">
        <f t="shared" si="37"/>
        <v>0.08333333333</v>
      </c>
      <c r="BT657" s="15">
        <f>2.5/36</f>
        <v>0.06944444444</v>
      </c>
      <c r="CC657" s="15">
        <f>0.5/36</f>
        <v>0.01388888889</v>
      </c>
      <c r="CU657" s="62"/>
      <c r="CV657" s="19">
        <f t="shared" si="1"/>
        <v>1</v>
      </c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</row>
    <row r="658">
      <c r="A658" s="49">
        <v>45388.0</v>
      </c>
      <c r="B658" s="23" t="s">
        <v>238</v>
      </c>
      <c r="C658" s="23" t="s">
        <v>235</v>
      </c>
      <c r="D658" s="25">
        <v>4.0</v>
      </c>
      <c r="E658" s="25">
        <v>12.0</v>
      </c>
      <c r="G658" s="15">
        <f>2/36</f>
        <v>0.05555555556</v>
      </c>
      <c r="AI658" s="2">
        <v>0.02</v>
      </c>
      <c r="AJ658" s="2">
        <v>0.01</v>
      </c>
      <c r="AL658" s="15">
        <f>0.75/36</f>
        <v>0.02083333333</v>
      </c>
      <c r="BA658" s="2">
        <v>0.01</v>
      </c>
      <c r="BE658" s="15">
        <f>1/36</f>
        <v>0.02777777778</v>
      </c>
      <c r="BH658" s="15">
        <f>1-(sum(F658:BG658)+sum(BI658:CU658))</f>
        <v>0.6741666667</v>
      </c>
      <c r="BS658" s="15">
        <f>1/36</f>
        <v>0.02777777778</v>
      </c>
      <c r="BT658" s="15">
        <f t="shared" ref="BT658:BT659" si="38">2/36</f>
        <v>0.05555555556</v>
      </c>
      <c r="CA658" s="2">
        <v>0.005</v>
      </c>
      <c r="CO658" s="15">
        <f>3/36</f>
        <v>0.08333333333</v>
      </c>
      <c r="CU658" s="63">
        <v>0.01</v>
      </c>
      <c r="CV658" s="19">
        <f t="shared" si="1"/>
        <v>1</v>
      </c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</row>
    <row r="659">
      <c r="A659" s="49">
        <v>45388.0</v>
      </c>
      <c r="B659" s="23" t="s">
        <v>238</v>
      </c>
      <c r="C659" s="23" t="s">
        <v>235</v>
      </c>
      <c r="D659" s="25">
        <v>4.0</v>
      </c>
      <c r="E659" s="25">
        <v>14.0</v>
      </c>
      <c r="G659" s="15">
        <f>0.5/36</f>
        <v>0.01388888889</v>
      </c>
      <c r="N659" s="15">
        <f t="shared" ref="N659:N660" si="39">1-(sum(F659:M659)+sum(O659:CU659))</f>
        <v>0.6833333333</v>
      </c>
      <c r="W659" s="15">
        <f>2/36</f>
        <v>0.05555555556</v>
      </c>
      <c r="AJ659" s="2">
        <v>0.01</v>
      </c>
      <c r="AL659" s="15">
        <f>1/36</f>
        <v>0.02777777778</v>
      </c>
      <c r="BA659" s="2">
        <v>0.005</v>
      </c>
      <c r="BH659" s="15">
        <f>5/36</f>
        <v>0.1388888889</v>
      </c>
      <c r="BT659" s="15">
        <f t="shared" si="38"/>
        <v>0.05555555556</v>
      </c>
      <c r="CA659" s="2">
        <v>0.005</v>
      </c>
      <c r="CE659" s="2">
        <v>0.005</v>
      </c>
      <c r="CU659" s="62"/>
      <c r="CV659" s="19">
        <f t="shared" si="1"/>
        <v>1</v>
      </c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</row>
    <row r="660">
      <c r="A660" s="49">
        <v>45388.0</v>
      </c>
      <c r="B660" s="23" t="s">
        <v>238</v>
      </c>
      <c r="C660" s="23" t="s">
        <v>235</v>
      </c>
      <c r="D660" s="25">
        <v>4.0</v>
      </c>
      <c r="E660" s="25">
        <v>16.0</v>
      </c>
      <c r="G660" s="15">
        <f>1.5/36</f>
        <v>0.04166666667</v>
      </c>
      <c r="N660" s="15">
        <f t="shared" si="39"/>
        <v>0.6514444444</v>
      </c>
      <c r="O660" s="2">
        <v>0.005</v>
      </c>
      <c r="AD660" s="2">
        <v>0.03</v>
      </c>
      <c r="AJ660" s="15">
        <f>1/36</f>
        <v>0.02777777778</v>
      </c>
      <c r="AL660" s="15">
        <f>2.5/36</f>
        <v>0.06944444444</v>
      </c>
      <c r="AT660" s="2">
        <v>0.002</v>
      </c>
      <c r="AU660" s="15">
        <f>0.5/36</f>
        <v>0.01388888889</v>
      </c>
      <c r="BF660" s="2">
        <v>0.001</v>
      </c>
      <c r="BH660" s="15">
        <f>0.5/36</f>
        <v>0.01388888889</v>
      </c>
      <c r="CA660" s="2">
        <v>0.005</v>
      </c>
      <c r="CM660" s="15">
        <f>3/36</f>
        <v>0.08333333333</v>
      </c>
      <c r="CU660" s="62">
        <f>2/36</f>
        <v>0.05555555556</v>
      </c>
      <c r="CV660" s="19">
        <f t="shared" si="1"/>
        <v>1</v>
      </c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</row>
    <row r="661">
      <c r="A661" s="49">
        <v>45388.0</v>
      </c>
      <c r="B661" s="23" t="s">
        <v>238</v>
      </c>
      <c r="C661" s="23" t="s">
        <v>235</v>
      </c>
      <c r="D661" s="25">
        <v>4.0</v>
      </c>
      <c r="E661" s="25">
        <v>18.0</v>
      </c>
      <c r="N661" s="15">
        <f>4/36</f>
        <v>0.1111111111</v>
      </c>
      <c r="AD661" s="2">
        <v>0.01</v>
      </c>
      <c r="AJ661" s="15">
        <f t="shared" ref="AJ661:AJ662" si="40">0.5/36</f>
        <v>0.01388888889</v>
      </c>
      <c r="AL661" s="15">
        <f>1.5/36</f>
        <v>0.04166666667</v>
      </c>
      <c r="BF661" s="2">
        <v>0.001</v>
      </c>
      <c r="BH661" s="15">
        <f>1-(sum(F661:BG661)+sum(BI661:CU661))</f>
        <v>0.6536666667</v>
      </c>
      <c r="CA661" s="2">
        <v>0.002</v>
      </c>
      <c r="CM661" s="15">
        <f>6/36</f>
        <v>0.1666666667</v>
      </c>
      <c r="CU661" s="19"/>
      <c r="CV661" s="19">
        <f t="shared" si="1"/>
        <v>1</v>
      </c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</row>
    <row r="662">
      <c r="A662" s="49">
        <v>45388.0</v>
      </c>
      <c r="B662" s="23" t="s">
        <v>238</v>
      </c>
      <c r="C662" s="23" t="s">
        <v>235</v>
      </c>
      <c r="D662" s="25">
        <v>4.0</v>
      </c>
      <c r="E662" s="25">
        <v>20.0</v>
      </c>
      <c r="AJ662" s="15">
        <f t="shared" si="40"/>
        <v>0.01388888889</v>
      </c>
      <c r="AS662" s="2">
        <v>0.005</v>
      </c>
      <c r="BH662" s="2">
        <v>0.01</v>
      </c>
      <c r="CA662" s="2">
        <v>0.002</v>
      </c>
      <c r="CM662" s="15">
        <f>1/36</f>
        <v>0.02777777778</v>
      </c>
      <c r="CO662" s="15">
        <f t="shared" ref="CO662:CO663" si="41">1-(sum(F662:CN662)+sum(CP662:CU662))</f>
        <v>0.9413333333</v>
      </c>
      <c r="CU662" s="19"/>
      <c r="CV662" s="19">
        <f t="shared" si="1"/>
        <v>1</v>
      </c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</row>
    <row r="663">
      <c r="A663" s="49">
        <v>45388.0</v>
      </c>
      <c r="B663" s="23" t="s">
        <v>238</v>
      </c>
      <c r="C663" s="23" t="s">
        <v>235</v>
      </c>
      <c r="D663" s="25">
        <v>4.0</v>
      </c>
      <c r="E663" s="25">
        <v>22.0</v>
      </c>
      <c r="N663" s="15">
        <f>0.5/36</f>
        <v>0.01388888889</v>
      </c>
      <c r="O663" s="2">
        <v>0.005</v>
      </c>
      <c r="AE663" s="15">
        <f>1/36</f>
        <v>0.02777777778</v>
      </c>
      <c r="AJ663" s="15">
        <f>2/36</f>
        <v>0.05555555556</v>
      </c>
      <c r="BH663" s="2">
        <v>0.01</v>
      </c>
      <c r="CA663" s="2">
        <v>0.002</v>
      </c>
      <c r="CM663" s="15">
        <f>3/36</f>
        <v>0.08333333333</v>
      </c>
      <c r="CO663" s="15">
        <f t="shared" si="41"/>
        <v>0.7746666667</v>
      </c>
      <c r="CR663" s="15">
        <f>1/36</f>
        <v>0.02777777778</v>
      </c>
      <c r="CU663" s="19"/>
      <c r="CV663" s="19">
        <f t="shared" si="1"/>
        <v>1</v>
      </c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</row>
    <row r="664">
      <c r="CU664" s="19"/>
      <c r="CV664" s="19">
        <f t="shared" si="1"/>
        <v>0</v>
      </c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</row>
    <row r="665">
      <c r="CU665" s="19"/>
      <c r="CV665" s="19">
        <f t="shared" si="1"/>
        <v>0</v>
      </c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</row>
    <row r="666">
      <c r="CU666" s="19"/>
      <c r="CV666" s="19">
        <f t="shared" si="1"/>
        <v>0</v>
      </c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</row>
    <row r="667">
      <c r="CU667" s="19"/>
      <c r="CV667" s="19">
        <f t="shared" si="1"/>
        <v>0</v>
      </c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</row>
    <row r="668">
      <c r="CU668" s="19"/>
      <c r="CV668" s="19">
        <f t="shared" si="1"/>
        <v>0</v>
      </c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</row>
    <row r="669">
      <c r="CU669" s="19"/>
      <c r="CV669" s="19">
        <f t="shared" si="1"/>
        <v>0</v>
      </c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</row>
    <row r="670">
      <c r="CU670" s="19"/>
      <c r="CV670" s="19">
        <f t="shared" si="1"/>
        <v>0</v>
      </c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</row>
    <row r="671">
      <c r="CU671" s="19"/>
      <c r="CV671" s="19">
        <f t="shared" si="1"/>
        <v>0</v>
      </c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</row>
    <row r="672">
      <c r="CU672" s="19"/>
      <c r="CV672" s="19">
        <f t="shared" si="1"/>
        <v>0</v>
      </c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</row>
    <row r="673">
      <c r="CU673" s="19"/>
      <c r="CV673" s="19">
        <f t="shared" si="1"/>
        <v>0</v>
      </c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</row>
    <row r="674">
      <c r="CU674" s="19"/>
      <c r="CV674" s="19">
        <f t="shared" si="1"/>
        <v>0</v>
      </c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</row>
    <row r="675">
      <c r="CU675" s="19"/>
      <c r="CV675" s="19">
        <f t="shared" si="1"/>
        <v>0</v>
      </c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</row>
    <row r="676">
      <c r="CU676" s="19"/>
      <c r="CV676" s="19">
        <f t="shared" si="1"/>
        <v>0</v>
      </c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</row>
    <row r="677">
      <c r="CU677" s="19"/>
      <c r="CV677" s="19">
        <f t="shared" si="1"/>
        <v>0</v>
      </c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</row>
    <row r="678">
      <c r="CU678" s="19"/>
      <c r="CV678" s="19">
        <f t="shared" si="1"/>
        <v>0</v>
      </c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</row>
    <row r="679">
      <c r="CU679" s="19"/>
      <c r="CV679" s="19">
        <f t="shared" si="1"/>
        <v>0</v>
      </c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</row>
    <row r="680">
      <c r="CU680" s="19"/>
      <c r="CV680" s="19">
        <f t="shared" si="1"/>
        <v>0</v>
      </c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</row>
    <row r="681">
      <c r="CU681" s="19"/>
      <c r="CV681" s="19">
        <f t="shared" si="1"/>
        <v>0</v>
      </c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</row>
    <row r="682">
      <c r="CU682" s="19"/>
      <c r="CV682" s="19">
        <f t="shared" si="1"/>
        <v>0</v>
      </c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</row>
    <row r="683">
      <c r="CU683" s="19"/>
      <c r="CV683" s="19">
        <f t="shared" si="1"/>
        <v>0</v>
      </c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</row>
    <row r="684">
      <c r="CU684" s="19"/>
      <c r="CV684" s="19">
        <f t="shared" si="1"/>
        <v>0</v>
      </c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</row>
    <row r="685">
      <c r="CU685" s="19"/>
      <c r="CV685" s="19">
        <f t="shared" si="1"/>
        <v>0</v>
      </c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</row>
    <row r="686">
      <c r="CU686" s="19"/>
      <c r="CV686" s="19">
        <f t="shared" si="1"/>
        <v>0</v>
      </c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</row>
    <row r="687">
      <c r="CU687" s="19"/>
      <c r="CV687" s="19">
        <f t="shared" si="1"/>
        <v>0</v>
      </c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</row>
    <row r="688">
      <c r="CU688" s="19"/>
      <c r="CV688" s="19">
        <f t="shared" si="1"/>
        <v>0</v>
      </c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</row>
    <row r="689">
      <c r="CU689" s="19"/>
      <c r="CV689" s="19">
        <f t="shared" si="1"/>
        <v>0</v>
      </c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</row>
    <row r="690">
      <c r="CU690" s="19"/>
      <c r="CV690" s="19">
        <f t="shared" si="1"/>
        <v>0</v>
      </c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</row>
    <row r="691">
      <c r="CU691" s="19"/>
      <c r="CV691" s="19">
        <f t="shared" si="1"/>
        <v>0</v>
      </c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</row>
    <row r="692">
      <c r="CU692" s="19"/>
      <c r="CV692" s="19">
        <f t="shared" si="1"/>
        <v>0</v>
      </c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</row>
    <row r="693">
      <c r="CU693" s="19"/>
      <c r="CV693" s="19">
        <f t="shared" si="1"/>
        <v>0</v>
      </c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</row>
    <row r="694">
      <c r="CU694" s="19"/>
      <c r="CV694" s="19">
        <f t="shared" si="1"/>
        <v>0</v>
      </c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</row>
    <row r="695">
      <c r="CU695" s="19"/>
      <c r="CV695" s="19">
        <f t="shared" si="1"/>
        <v>0</v>
      </c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</row>
    <row r="696">
      <c r="CU696" s="19"/>
      <c r="CV696" s="19">
        <f t="shared" si="1"/>
        <v>0</v>
      </c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</row>
    <row r="697">
      <c r="CU697" s="19"/>
      <c r="CV697" s="19">
        <f t="shared" si="1"/>
        <v>0</v>
      </c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</row>
    <row r="698">
      <c r="CU698" s="19"/>
      <c r="CV698" s="19">
        <f t="shared" si="1"/>
        <v>0</v>
      </c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</row>
    <row r="699">
      <c r="CU699" s="19"/>
      <c r="CV699" s="19">
        <f t="shared" si="1"/>
        <v>0</v>
      </c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</row>
    <row r="700">
      <c r="CU700" s="19"/>
      <c r="CV700" s="19">
        <f t="shared" si="1"/>
        <v>0</v>
      </c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</row>
    <row r="701">
      <c r="CU701" s="19"/>
      <c r="CV701" s="19">
        <f t="shared" si="1"/>
        <v>0</v>
      </c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</row>
    <row r="702">
      <c r="CU702" s="19"/>
      <c r="CV702" s="19">
        <f t="shared" si="1"/>
        <v>0</v>
      </c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</row>
    <row r="703">
      <c r="CU703" s="19"/>
      <c r="CV703" s="19">
        <f t="shared" si="1"/>
        <v>0</v>
      </c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</row>
    <row r="704">
      <c r="CU704" s="19"/>
      <c r="CV704" s="19">
        <f t="shared" si="1"/>
        <v>0</v>
      </c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</row>
    <row r="705">
      <c r="CU705" s="19"/>
      <c r="CV705" s="19">
        <f t="shared" si="1"/>
        <v>0</v>
      </c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</row>
    <row r="706">
      <c r="CU706" s="19"/>
      <c r="CV706" s="19">
        <f t="shared" si="1"/>
        <v>0</v>
      </c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</row>
    <row r="707">
      <c r="CU707" s="19"/>
      <c r="CV707" s="19">
        <f t="shared" si="1"/>
        <v>0</v>
      </c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</row>
    <row r="708">
      <c r="CU708" s="19"/>
      <c r="CV708" s="19">
        <f t="shared" si="1"/>
        <v>0</v>
      </c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</row>
    <row r="709">
      <c r="CU709" s="19"/>
      <c r="CV709" s="19">
        <f t="shared" si="1"/>
        <v>0</v>
      </c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</row>
    <row r="710">
      <c r="CU710" s="19"/>
      <c r="CV710" s="19">
        <f t="shared" si="1"/>
        <v>0</v>
      </c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</row>
    <row r="711">
      <c r="CU711" s="19"/>
      <c r="CV711" s="19">
        <f t="shared" si="1"/>
        <v>0</v>
      </c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</row>
    <row r="712">
      <c r="CU712" s="19"/>
      <c r="CV712" s="19">
        <f t="shared" si="1"/>
        <v>0</v>
      </c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</row>
    <row r="713">
      <c r="CU713" s="19"/>
      <c r="CV713" s="19">
        <f t="shared" si="1"/>
        <v>0</v>
      </c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</row>
    <row r="714">
      <c r="CU714" s="19"/>
      <c r="CV714" s="19">
        <f t="shared" si="1"/>
        <v>0</v>
      </c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</row>
    <row r="715">
      <c r="CU715" s="19"/>
      <c r="CV715" s="19">
        <f t="shared" si="1"/>
        <v>0</v>
      </c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</row>
    <row r="716">
      <c r="CU716" s="19"/>
      <c r="CV716" s="19">
        <f t="shared" si="1"/>
        <v>0</v>
      </c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</row>
    <row r="717">
      <c r="CU717" s="19"/>
      <c r="CV717" s="19">
        <f t="shared" si="1"/>
        <v>0</v>
      </c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</row>
    <row r="718">
      <c r="CU718" s="19"/>
      <c r="CV718" s="19">
        <f t="shared" si="1"/>
        <v>0</v>
      </c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</row>
    <row r="719">
      <c r="CU719" s="19"/>
      <c r="CV719" s="19">
        <f t="shared" si="1"/>
        <v>0</v>
      </c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</row>
    <row r="720">
      <c r="CU720" s="19"/>
      <c r="CV720" s="19">
        <f t="shared" si="1"/>
        <v>0</v>
      </c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</row>
    <row r="721">
      <c r="CU721" s="19"/>
      <c r="CV721" s="19">
        <f t="shared" si="1"/>
        <v>0</v>
      </c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</row>
    <row r="722">
      <c r="CU722" s="19"/>
      <c r="CV722" s="19">
        <f t="shared" si="1"/>
        <v>0</v>
      </c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</row>
    <row r="723">
      <c r="CU723" s="19"/>
      <c r="CV723" s="19">
        <f t="shared" si="1"/>
        <v>0</v>
      </c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</row>
    <row r="724">
      <c r="CU724" s="19"/>
      <c r="CV724" s="19">
        <f t="shared" si="1"/>
        <v>0</v>
      </c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</row>
    <row r="725">
      <c r="CU725" s="19"/>
      <c r="CV725" s="19">
        <f t="shared" si="1"/>
        <v>0</v>
      </c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</row>
    <row r="726">
      <c r="CU726" s="19"/>
      <c r="CV726" s="19">
        <f t="shared" si="1"/>
        <v>0</v>
      </c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</row>
    <row r="727">
      <c r="CU727" s="19"/>
      <c r="CV727" s="19">
        <f t="shared" si="1"/>
        <v>0</v>
      </c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</row>
    <row r="728">
      <c r="CU728" s="19"/>
      <c r="CV728" s="19">
        <f t="shared" si="1"/>
        <v>0</v>
      </c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</row>
    <row r="729">
      <c r="CU729" s="19"/>
      <c r="CV729" s="19">
        <f t="shared" si="1"/>
        <v>0</v>
      </c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</row>
    <row r="730">
      <c r="CU730" s="19"/>
      <c r="CV730" s="19">
        <f t="shared" si="1"/>
        <v>0</v>
      </c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</row>
    <row r="731">
      <c r="CU731" s="19"/>
      <c r="CV731" s="19">
        <f t="shared" si="1"/>
        <v>0</v>
      </c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</row>
    <row r="732">
      <c r="CU732" s="19"/>
      <c r="CV732" s="19">
        <f t="shared" si="1"/>
        <v>0</v>
      </c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</row>
    <row r="733">
      <c r="CU733" s="19"/>
      <c r="CV733" s="19">
        <f t="shared" si="1"/>
        <v>0</v>
      </c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</row>
    <row r="734">
      <c r="CU734" s="19"/>
      <c r="CV734" s="19">
        <f t="shared" si="1"/>
        <v>0</v>
      </c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</row>
    <row r="735">
      <c r="CU735" s="19"/>
      <c r="CV735" s="19">
        <f t="shared" si="1"/>
        <v>0</v>
      </c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</row>
    <row r="736">
      <c r="CU736" s="19"/>
      <c r="CV736" s="19">
        <f t="shared" si="1"/>
        <v>0</v>
      </c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</row>
    <row r="737">
      <c r="CU737" s="19"/>
      <c r="CV737" s="19">
        <f t="shared" si="1"/>
        <v>0</v>
      </c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</row>
    <row r="738">
      <c r="CU738" s="19"/>
      <c r="CV738" s="19">
        <f t="shared" si="1"/>
        <v>0</v>
      </c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</row>
    <row r="739">
      <c r="CU739" s="19"/>
      <c r="CV739" s="19">
        <f t="shared" si="1"/>
        <v>0</v>
      </c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</row>
    <row r="740">
      <c r="CU740" s="19"/>
      <c r="CV740" s="19">
        <f t="shared" si="1"/>
        <v>0</v>
      </c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</row>
    <row r="741"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</row>
    <row r="742"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</row>
    <row r="743"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</row>
    <row r="744"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</row>
    <row r="745"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</row>
    <row r="746"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</row>
    <row r="747"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</row>
    <row r="748"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</row>
    <row r="749"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</row>
    <row r="750"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</row>
    <row r="751"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</row>
    <row r="752"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</row>
    <row r="753"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</row>
    <row r="754"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</row>
    <row r="755"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</row>
    <row r="756"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</row>
    <row r="757"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</row>
    <row r="758"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</row>
    <row r="759"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</row>
    <row r="760"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</row>
    <row r="761"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</row>
    <row r="762"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</row>
    <row r="763"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</row>
    <row r="764"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</row>
    <row r="765"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</row>
    <row r="766"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</row>
    <row r="767"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</row>
    <row r="768"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</row>
    <row r="769"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</row>
    <row r="770"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</row>
    <row r="771"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</row>
    <row r="772"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</row>
    <row r="773"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</row>
    <row r="774"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</row>
    <row r="775"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</row>
    <row r="776"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</row>
    <row r="777"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</row>
    <row r="778"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</row>
    <row r="779"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</row>
    <row r="780"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</row>
    <row r="781"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</row>
    <row r="782"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</row>
    <row r="783"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</row>
    <row r="784"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</row>
    <row r="785"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</row>
    <row r="786"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</row>
    <row r="787"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</row>
    <row r="788"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</row>
    <row r="789"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</row>
    <row r="790"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</row>
    <row r="791"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</row>
    <row r="792"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</row>
    <row r="793"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</row>
    <row r="794"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</row>
    <row r="795"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</row>
    <row r="796"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</row>
    <row r="797"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</row>
    <row r="798"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</row>
    <row r="799"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</row>
    <row r="800"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</row>
    <row r="801"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</row>
    <row r="802"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</row>
    <row r="803"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</row>
    <row r="804"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</row>
    <row r="805"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</row>
    <row r="806"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</row>
    <row r="807"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</row>
    <row r="808"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</row>
    <row r="809"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</row>
    <row r="810"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</row>
    <row r="811"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</row>
    <row r="812"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</row>
    <row r="813"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</row>
    <row r="814"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</row>
    <row r="815"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</row>
    <row r="816"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</row>
    <row r="817"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</row>
    <row r="818"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</row>
    <row r="819"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</row>
    <row r="820"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</row>
    <row r="821"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</row>
    <row r="822"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</row>
    <row r="823"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</row>
    <row r="824"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</row>
    <row r="825"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</row>
    <row r="826"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</row>
    <row r="827"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</row>
    <row r="828"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</row>
    <row r="829"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</row>
    <row r="830"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</row>
    <row r="831"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</row>
    <row r="832"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</row>
    <row r="833"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</row>
    <row r="834"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</row>
    <row r="835"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</row>
    <row r="836"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</row>
    <row r="837"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</row>
    <row r="838"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</row>
    <row r="839"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</row>
    <row r="840"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</row>
    <row r="841"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</row>
    <row r="842"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</row>
    <row r="843"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</row>
    <row r="844"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</row>
    <row r="845"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</row>
    <row r="846"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</row>
    <row r="847"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</row>
    <row r="848"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</row>
    <row r="849"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</row>
    <row r="850"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</row>
    <row r="851"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</row>
    <row r="852"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</row>
    <row r="853"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</row>
    <row r="854"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</row>
    <row r="855"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</row>
    <row r="856"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</row>
    <row r="857"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</row>
    <row r="858"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</row>
    <row r="859"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</row>
    <row r="860"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</row>
    <row r="861"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</row>
    <row r="862"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</row>
    <row r="863"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</row>
    <row r="864"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</row>
    <row r="865"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</row>
    <row r="866"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</row>
    <row r="867"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</row>
    <row r="868"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</row>
    <row r="869"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</row>
    <row r="870"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</row>
    <row r="871"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</row>
    <row r="872"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</row>
    <row r="873"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</row>
    <row r="874"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</row>
    <row r="875"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</row>
    <row r="876"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</row>
    <row r="877"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</row>
    <row r="878"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</row>
    <row r="879"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19"/>
      <c r="DK879" s="19"/>
      <c r="DL879" s="19"/>
      <c r="DM879" s="19"/>
      <c r="DN879" s="19"/>
      <c r="DO879" s="19"/>
      <c r="DP879" s="19"/>
      <c r="DQ879" s="19"/>
      <c r="DR879" s="19"/>
      <c r="DS879" s="19"/>
    </row>
    <row r="880"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19"/>
      <c r="DL880" s="19"/>
      <c r="DM880" s="19"/>
      <c r="DN880" s="19"/>
      <c r="DO880" s="19"/>
      <c r="DP880" s="19"/>
      <c r="DQ880" s="19"/>
      <c r="DR880" s="19"/>
      <c r="DS880" s="19"/>
    </row>
    <row r="881"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19"/>
      <c r="DN881" s="19"/>
      <c r="DO881" s="19"/>
      <c r="DP881" s="19"/>
      <c r="DQ881" s="19"/>
      <c r="DR881" s="19"/>
      <c r="DS881" s="19"/>
    </row>
    <row r="882"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</row>
    <row r="883"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</row>
    <row r="884"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</row>
    <row r="885"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</row>
    <row r="886"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</row>
    <row r="887"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</row>
    <row r="888"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</row>
    <row r="889"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19"/>
      <c r="DO889" s="19"/>
      <c r="DP889" s="19"/>
      <c r="DQ889" s="19"/>
      <c r="DR889" s="19"/>
      <c r="DS889" s="19"/>
    </row>
    <row r="890"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19"/>
      <c r="DP890" s="19"/>
      <c r="DQ890" s="19"/>
      <c r="DR890" s="19"/>
      <c r="DS890" s="19"/>
    </row>
    <row r="891"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19"/>
      <c r="DQ891" s="19"/>
      <c r="DR891" s="19"/>
      <c r="DS891" s="19"/>
    </row>
    <row r="892"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19"/>
      <c r="DR892" s="19"/>
      <c r="DS892" s="19"/>
    </row>
    <row r="893"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19"/>
      <c r="DS893" s="19"/>
    </row>
    <row r="894"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19"/>
    </row>
    <row r="895"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</row>
    <row r="896"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</row>
    <row r="897"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</row>
    <row r="898"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</row>
    <row r="899"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</row>
    <row r="900"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</row>
    <row r="901"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</row>
    <row r="902"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</row>
    <row r="903"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</row>
    <row r="904"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</row>
    <row r="905"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</row>
    <row r="906"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</row>
    <row r="907"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</row>
    <row r="908"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</row>
    <row r="909"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  <c r="DJ909" s="19"/>
      <c r="DK909" s="19"/>
      <c r="DL909" s="19"/>
      <c r="DM909" s="19"/>
      <c r="DN909" s="19"/>
      <c r="DO909" s="19"/>
      <c r="DP909" s="19"/>
      <c r="DQ909" s="19"/>
      <c r="DR909" s="19"/>
      <c r="DS909" s="19"/>
    </row>
    <row r="910"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  <c r="DJ910" s="19"/>
      <c r="DK910" s="19"/>
      <c r="DL910" s="19"/>
      <c r="DM910" s="19"/>
      <c r="DN910" s="19"/>
      <c r="DO910" s="19"/>
      <c r="DP910" s="19"/>
      <c r="DQ910" s="19"/>
      <c r="DR910" s="19"/>
      <c r="DS910" s="19"/>
    </row>
    <row r="911"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  <c r="DJ911" s="19"/>
      <c r="DK911" s="19"/>
      <c r="DL911" s="19"/>
      <c r="DM911" s="19"/>
      <c r="DN911" s="19"/>
      <c r="DO911" s="19"/>
      <c r="DP911" s="19"/>
      <c r="DQ911" s="19"/>
      <c r="DR911" s="19"/>
      <c r="DS911" s="19"/>
    </row>
    <row r="912"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  <c r="DJ912" s="19"/>
      <c r="DK912" s="19"/>
      <c r="DL912" s="19"/>
      <c r="DM912" s="19"/>
      <c r="DN912" s="19"/>
      <c r="DO912" s="19"/>
      <c r="DP912" s="19"/>
      <c r="DQ912" s="19"/>
      <c r="DR912" s="19"/>
      <c r="DS912" s="19"/>
    </row>
    <row r="913"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  <c r="DJ913" s="19"/>
      <c r="DK913" s="19"/>
      <c r="DL913" s="19"/>
      <c r="DM913" s="19"/>
      <c r="DN913" s="19"/>
      <c r="DO913" s="19"/>
      <c r="DP913" s="19"/>
      <c r="DQ913" s="19"/>
      <c r="DR913" s="19"/>
      <c r="DS913" s="19"/>
    </row>
    <row r="914"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  <c r="DJ914" s="19"/>
      <c r="DK914" s="19"/>
      <c r="DL914" s="19"/>
      <c r="DM914" s="19"/>
      <c r="DN914" s="19"/>
      <c r="DO914" s="19"/>
      <c r="DP914" s="19"/>
      <c r="DQ914" s="19"/>
      <c r="DR914" s="19"/>
      <c r="DS914" s="19"/>
    </row>
    <row r="915"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  <c r="DJ915" s="19"/>
      <c r="DK915" s="19"/>
      <c r="DL915" s="19"/>
      <c r="DM915" s="19"/>
      <c r="DN915" s="19"/>
      <c r="DO915" s="19"/>
      <c r="DP915" s="19"/>
      <c r="DQ915" s="19"/>
      <c r="DR915" s="19"/>
      <c r="DS915" s="19"/>
    </row>
    <row r="916"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  <c r="DJ916" s="19"/>
      <c r="DK916" s="19"/>
      <c r="DL916" s="19"/>
      <c r="DM916" s="19"/>
      <c r="DN916" s="19"/>
      <c r="DO916" s="19"/>
      <c r="DP916" s="19"/>
      <c r="DQ916" s="19"/>
      <c r="DR916" s="19"/>
      <c r="DS916" s="19"/>
    </row>
    <row r="917"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  <c r="DJ917" s="19"/>
      <c r="DK917" s="19"/>
      <c r="DL917" s="19"/>
      <c r="DM917" s="19"/>
      <c r="DN917" s="19"/>
      <c r="DO917" s="19"/>
      <c r="DP917" s="19"/>
      <c r="DQ917" s="19"/>
      <c r="DR917" s="19"/>
      <c r="DS917" s="19"/>
    </row>
    <row r="918"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  <c r="DJ918" s="19"/>
      <c r="DK918" s="19"/>
      <c r="DL918" s="19"/>
      <c r="DM918" s="19"/>
      <c r="DN918" s="19"/>
      <c r="DO918" s="19"/>
      <c r="DP918" s="19"/>
      <c r="DQ918" s="19"/>
      <c r="DR918" s="19"/>
      <c r="DS918" s="19"/>
    </row>
    <row r="919"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  <c r="DJ919" s="19"/>
      <c r="DK919" s="19"/>
      <c r="DL919" s="19"/>
      <c r="DM919" s="19"/>
      <c r="DN919" s="19"/>
      <c r="DO919" s="19"/>
      <c r="DP919" s="19"/>
      <c r="DQ919" s="19"/>
      <c r="DR919" s="19"/>
      <c r="DS919" s="19"/>
    </row>
    <row r="920"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  <c r="DJ920" s="19"/>
      <c r="DK920" s="19"/>
      <c r="DL920" s="19"/>
      <c r="DM920" s="19"/>
      <c r="DN920" s="19"/>
      <c r="DO920" s="19"/>
      <c r="DP920" s="19"/>
      <c r="DQ920" s="19"/>
      <c r="DR920" s="19"/>
      <c r="DS920" s="19"/>
    </row>
    <row r="921"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  <c r="DJ921" s="19"/>
      <c r="DK921" s="19"/>
      <c r="DL921" s="19"/>
      <c r="DM921" s="19"/>
      <c r="DN921" s="19"/>
      <c r="DO921" s="19"/>
      <c r="DP921" s="19"/>
      <c r="DQ921" s="19"/>
      <c r="DR921" s="19"/>
      <c r="DS921" s="19"/>
    </row>
    <row r="922"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</row>
    <row r="923"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  <c r="DJ923" s="19"/>
      <c r="DK923" s="19"/>
      <c r="DL923" s="19"/>
      <c r="DM923" s="19"/>
      <c r="DN923" s="19"/>
      <c r="DO923" s="19"/>
      <c r="DP923" s="19"/>
      <c r="DQ923" s="19"/>
      <c r="DR923" s="19"/>
      <c r="DS923" s="19"/>
    </row>
    <row r="924"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  <c r="DJ924" s="19"/>
      <c r="DK924" s="19"/>
      <c r="DL924" s="19"/>
      <c r="DM924" s="19"/>
      <c r="DN924" s="19"/>
      <c r="DO924" s="19"/>
      <c r="DP924" s="19"/>
      <c r="DQ924" s="19"/>
      <c r="DR924" s="19"/>
      <c r="DS924" s="19"/>
    </row>
    <row r="925"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  <c r="DJ925" s="19"/>
      <c r="DK925" s="19"/>
      <c r="DL925" s="19"/>
      <c r="DM925" s="19"/>
      <c r="DN925" s="19"/>
      <c r="DO925" s="19"/>
      <c r="DP925" s="19"/>
      <c r="DQ925" s="19"/>
      <c r="DR925" s="19"/>
      <c r="DS925" s="19"/>
    </row>
    <row r="926"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  <c r="DJ926" s="19"/>
      <c r="DK926" s="19"/>
      <c r="DL926" s="19"/>
      <c r="DM926" s="19"/>
      <c r="DN926" s="19"/>
      <c r="DO926" s="19"/>
      <c r="DP926" s="19"/>
      <c r="DQ926" s="19"/>
      <c r="DR926" s="19"/>
      <c r="DS926" s="19"/>
    </row>
    <row r="927"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</row>
    <row r="928"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  <c r="DJ928" s="19"/>
      <c r="DK928" s="19"/>
      <c r="DL928" s="19"/>
      <c r="DM928" s="19"/>
      <c r="DN928" s="19"/>
      <c r="DO928" s="19"/>
      <c r="DP928" s="19"/>
      <c r="DQ928" s="19"/>
      <c r="DR928" s="19"/>
      <c r="DS928" s="19"/>
    </row>
    <row r="929"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  <c r="DJ929" s="19"/>
      <c r="DK929" s="19"/>
      <c r="DL929" s="19"/>
      <c r="DM929" s="19"/>
      <c r="DN929" s="19"/>
      <c r="DO929" s="19"/>
      <c r="DP929" s="19"/>
      <c r="DQ929" s="19"/>
      <c r="DR929" s="19"/>
      <c r="DS929" s="19"/>
    </row>
    <row r="930"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  <c r="DJ930" s="19"/>
      <c r="DK930" s="19"/>
      <c r="DL930" s="19"/>
      <c r="DM930" s="19"/>
      <c r="DN930" s="19"/>
      <c r="DO930" s="19"/>
      <c r="DP930" s="19"/>
      <c r="DQ930" s="19"/>
      <c r="DR930" s="19"/>
      <c r="DS930" s="19"/>
    </row>
    <row r="931"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  <c r="DJ931" s="19"/>
      <c r="DK931" s="19"/>
      <c r="DL931" s="19"/>
      <c r="DM931" s="19"/>
      <c r="DN931" s="19"/>
      <c r="DO931" s="19"/>
      <c r="DP931" s="19"/>
      <c r="DQ931" s="19"/>
      <c r="DR931" s="19"/>
      <c r="DS931" s="19"/>
    </row>
    <row r="932"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  <c r="DJ932" s="19"/>
      <c r="DK932" s="19"/>
      <c r="DL932" s="19"/>
      <c r="DM932" s="19"/>
      <c r="DN932" s="19"/>
      <c r="DO932" s="19"/>
      <c r="DP932" s="19"/>
      <c r="DQ932" s="19"/>
      <c r="DR932" s="19"/>
      <c r="DS932" s="19"/>
    </row>
    <row r="933"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  <c r="DJ933" s="19"/>
      <c r="DK933" s="19"/>
      <c r="DL933" s="19"/>
      <c r="DM933" s="19"/>
      <c r="DN933" s="19"/>
      <c r="DO933" s="19"/>
      <c r="DP933" s="19"/>
      <c r="DQ933" s="19"/>
      <c r="DR933" s="19"/>
      <c r="DS933" s="19"/>
    </row>
    <row r="934"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  <c r="DJ934" s="19"/>
      <c r="DK934" s="19"/>
      <c r="DL934" s="19"/>
      <c r="DM934" s="19"/>
      <c r="DN934" s="19"/>
      <c r="DO934" s="19"/>
      <c r="DP934" s="19"/>
      <c r="DQ934" s="19"/>
      <c r="DR934" s="19"/>
      <c r="DS934" s="19"/>
    </row>
    <row r="935"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  <c r="DJ935" s="19"/>
      <c r="DK935" s="19"/>
      <c r="DL935" s="19"/>
      <c r="DM935" s="19"/>
      <c r="DN935" s="19"/>
      <c r="DO935" s="19"/>
      <c r="DP935" s="19"/>
      <c r="DQ935" s="19"/>
      <c r="DR935" s="19"/>
      <c r="DS935" s="19"/>
    </row>
    <row r="936"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  <c r="DJ936" s="19"/>
      <c r="DK936" s="19"/>
      <c r="DL936" s="19"/>
      <c r="DM936" s="19"/>
      <c r="DN936" s="19"/>
      <c r="DO936" s="19"/>
      <c r="DP936" s="19"/>
      <c r="DQ936" s="19"/>
      <c r="DR936" s="19"/>
      <c r="DS936" s="19"/>
    </row>
    <row r="937"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  <c r="DJ937" s="19"/>
      <c r="DK937" s="19"/>
      <c r="DL937" s="19"/>
      <c r="DM937" s="19"/>
      <c r="DN937" s="19"/>
      <c r="DO937" s="19"/>
      <c r="DP937" s="19"/>
      <c r="DQ937" s="19"/>
      <c r="DR937" s="19"/>
      <c r="DS937" s="19"/>
    </row>
    <row r="938"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  <c r="DJ938" s="19"/>
      <c r="DK938" s="19"/>
      <c r="DL938" s="19"/>
      <c r="DM938" s="19"/>
      <c r="DN938" s="19"/>
      <c r="DO938" s="19"/>
      <c r="DP938" s="19"/>
      <c r="DQ938" s="19"/>
      <c r="DR938" s="19"/>
      <c r="DS938" s="19"/>
    </row>
    <row r="939"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  <c r="DJ939" s="19"/>
      <c r="DK939" s="19"/>
      <c r="DL939" s="19"/>
      <c r="DM939" s="19"/>
      <c r="DN939" s="19"/>
      <c r="DO939" s="19"/>
      <c r="DP939" s="19"/>
      <c r="DQ939" s="19"/>
      <c r="DR939" s="19"/>
      <c r="DS939" s="19"/>
    </row>
    <row r="940"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  <c r="DJ940" s="19"/>
      <c r="DK940" s="19"/>
      <c r="DL940" s="19"/>
      <c r="DM940" s="19"/>
      <c r="DN940" s="19"/>
      <c r="DO940" s="19"/>
      <c r="DP940" s="19"/>
      <c r="DQ940" s="19"/>
      <c r="DR940" s="19"/>
      <c r="DS940" s="19"/>
    </row>
    <row r="941"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  <c r="DJ941" s="19"/>
      <c r="DK941" s="19"/>
      <c r="DL941" s="19"/>
      <c r="DM941" s="19"/>
      <c r="DN941" s="19"/>
      <c r="DO941" s="19"/>
      <c r="DP941" s="19"/>
      <c r="DQ941" s="19"/>
      <c r="DR941" s="19"/>
      <c r="DS941" s="19"/>
    </row>
    <row r="942"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  <c r="DJ942" s="19"/>
      <c r="DK942" s="19"/>
      <c r="DL942" s="19"/>
      <c r="DM942" s="19"/>
      <c r="DN942" s="19"/>
      <c r="DO942" s="19"/>
      <c r="DP942" s="19"/>
      <c r="DQ942" s="19"/>
      <c r="DR942" s="19"/>
      <c r="DS942" s="19"/>
    </row>
    <row r="943"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  <c r="DJ943" s="19"/>
      <c r="DK943" s="19"/>
      <c r="DL943" s="19"/>
      <c r="DM943" s="19"/>
      <c r="DN943" s="19"/>
      <c r="DO943" s="19"/>
      <c r="DP943" s="19"/>
      <c r="DQ943" s="19"/>
      <c r="DR943" s="19"/>
      <c r="DS943" s="19"/>
    </row>
    <row r="944"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  <c r="DJ944" s="19"/>
      <c r="DK944" s="19"/>
      <c r="DL944" s="19"/>
      <c r="DM944" s="19"/>
      <c r="DN944" s="19"/>
      <c r="DO944" s="19"/>
      <c r="DP944" s="19"/>
      <c r="DQ944" s="19"/>
      <c r="DR944" s="19"/>
      <c r="DS944" s="19"/>
    </row>
    <row r="945"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</row>
    <row r="946"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  <c r="DJ946" s="19"/>
      <c r="DK946" s="19"/>
      <c r="DL946" s="19"/>
      <c r="DM946" s="19"/>
      <c r="DN946" s="19"/>
      <c r="DO946" s="19"/>
      <c r="DP946" s="19"/>
      <c r="DQ946" s="19"/>
      <c r="DR946" s="19"/>
      <c r="DS946" s="19"/>
    </row>
    <row r="947"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  <c r="DJ947" s="19"/>
      <c r="DK947" s="19"/>
      <c r="DL947" s="19"/>
      <c r="DM947" s="19"/>
      <c r="DN947" s="19"/>
      <c r="DO947" s="19"/>
      <c r="DP947" s="19"/>
      <c r="DQ947" s="19"/>
      <c r="DR947" s="19"/>
      <c r="DS947" s="19"/>
    </row>
    <row r="948"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  <c r="DJ948" s="19"/>
      <c r="DK948" s="19"/>
      <c r="DL948" s="19"/>
      <c r="DM948" s="19"/>
      <c r="DN948" s="19"/>
      <c r="DO948" s="19"/>
      <c r="DP948" s="19"/>
      <c r="DQ948" s="19"/>
      <c r="DR948" s="19"/>
      <c r="DS948" s="19"/>
    </row>
    <row r="949"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  <c r="DJ949" s="19"/>
      <c r="DK949" s="19"/>
      <c r="DL949" s="19"/>
      <c r="DM949" s="19"/>
      <c r="DN949" s="19"/>
      <c r="DO949" s="19"/>
      <c r="DP949" s="19"/>
      <c r="DQ949" s="19"/>
      <c r="DR949" s="19"/>
      <c r="DS949" s="19"/>
    </row>
    <row r="950"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  <c r="DJ950" s="19"/>
      <c r="DK950" s="19"/>
      <c r="DL950" s="19"/>
      <c r="DM950" s="19"/>
      <c r="DN950" s="19"/>
      <c r="DO950" s="19"/>
      <c r="DP950" s="19"/>
      <c r="DQ950" s="19"/>
      <c r="DR950" s="19"/>
      <c r="DS950" s="19"/>
    </row>
    <row r="951"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  <c r="DJ951" s="19"/>
      <c r="DK951" s="19"/>
      <c r="DL951" s="19"/>
      <c r="DM951" s="19"/>
      <c r="DN951" s="19"/>
      <c r="DO951" s="19"/>
      <c r="DP951" s="19"/>
      <c r="DQ951" s="19"/>
      <c r="DR951" s="19"/>
      <c r="DS951" s="19"/>
    </row>
    <row r="952"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  <c r="DJ952" s="19"/>
      <c r="DK952" s="19"/>
      <c r="DL952" s="19"/>
      <c r="DM952" s="19"/>
      <c r="DN952" s="19"/>
      <c r="DO952" s="19"/>
      <c r="DP952" s="19"/>
      <c r="DQ952" s="19"/>
      <c r="DR952" s="19"/>
      <c r="DS952" s="19"/>
    </row>
    <row r="953"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  <c r="DJ953" s="19"/>
      <c r="DK953" s="19"/>
      <c r="DL953" s="19"/>
      <c r="DM953" s="19"/>
      <c r="DN953" s="19"/>
      <c r="DO953" s="19"/>
      <c r="DP953" s="19"/>
      <c r="DQ953" s="19"/>
      <c r="DR953" s="19"/>
      <c r="DS953" s="19"/>
    </row>
    <row r="954"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  <c r="DJ954" s="19"/>
      <c r="DK954" s="19"/>
      <c r="DL954" s="19"/>
      <c r="DM954" s="19"/>
      <c r="DN954" s="19"/>
      <c r="DO954" s="19"/>
      <c r="DP954" s="19"/>
      <c r="DQ954" s="19"/>
      <c r="DR954" s="19"/>
      <c r="DS954" s="19"/>
    </row>
    <row r="955"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  <c r="DJ955" s="19"/>
      <c r="DK955" s="19"/>
      <c r="DL955" s="19"/>
      <c r="DM955" s="19"/>
      <c r="DN955" s="19"/>
      <c r="DO955" s="19"/>
      <c r="DP955" s="19"/>
      <c r="DQ955" s="19"/>
      <c r="DR955" s="19"/>
      <c r="DS955" s="19"/>
    </row>
    <row r="956"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  <c r="DJ956" s="19"/>
      <c r="DK956" s="19"/>
      <c r="DL956" s="19"/>
      <c r="DM956" s="19"/>
      <c r="DN956" s="19"/>
      <c r="DO956" s="19"/>
      <c r="DP956" s="19"/>
      <c r="DQ956" s="19"/>
      <c r="DR956" s="19"/>
      <c r="DS956" s="19"/>
    </row>
    <row r="957"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</row>
    <row r="958"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  <c r="DJ958" s="19"/>
      <c r="DK958" s="19"/>
      <c r="DL958" s="19"/>
      <c r="DM958" s="19"/>
      <c r="DN958" s="19"/>
      <c r="DO958" s="19"/>
      <c r="DP958" s="19"/>
      <c r="DQ958" s="19"/>
      <c r="DR958" s="19"/>
      <c r="DS958" s="19"/>
    </row>
    <row r="959"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  <c r="DJ959" s="19"/>
      <c r="DK959" s="19"/>
      <c r="DL959" s="19"/>
      <c r="DM959" s="19"/>
      <c r="DN959" s="19"/>
      <c r="DO959" s="19"/>
      <c r="DP959" s="19"/>
      <c r="DQ959" s="19"/>
      <c r="DR959" s="19"/>
      <c r="DS959" s="19"/>
    </row>
    <row r="960"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  <c r="DJ960" s="19"/>
      <c r="DK960" s="19"/>
      <c r="DL960" s="19"/>
      <c r="DM960" s="19"/>
      <c r="DN960" s="19"/>
      <c r="DO960" s="19"/>
      <c r="DP960" s="19"/>
      <c r="DQ960" s="19"/>
      <c r="DR960" s="19"/>
      <c r="DS960" s="19"/>
    </row>
    <row r="961"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  <c r="DJ961" s="19"/>
      <c r="DK961" s="19"/>
      <c r="DL961" s="19"/>
      <c r="DM961" s="19"/>
      <c r="DN961" s="19"/>
      <c r="DO961" s="19"/>
      <c r="DP961" s="19"/>
      <c r="DQ961" s="19"/>
      <c r="DR961" s="19"/>
      <c r="DS961" s="19"/>
    </row>
    <row r="962"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  <c r="DJ962" s="19"/>
      <c r="DK962" s="19"/>
      <c r="DL962" s="19"/>
      <c r="DM962" s="19"/>
      <c r="DN962" s="19"/>
      <c r="DO962" s="19"/>
      <c r="DP962" s="19"/>
      <c r="DQ962" s="19"/>
      <c r="DR962" s="19"/>
      <c r="DS962" s="19"/>
    </row>
    <row r="963"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  <c r="DJ963" s="19"/>
      <c r="DK963" s="19"/>
      <c r="DL963" s="19"/>
      <c r="DM963" s="19"/>
      <c r="DN963" s="19"/>
      <c r="DO963" s="19"/>
      <c r="DP963" s="19"/>
      <c r="DQ963" s="19"/>
      <c r="DR963" s="19"/>
      <c r="DS963" s="19"/>
    </row>
    <row r="964"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</row>
    <row r="965"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  <c r="DJ965" s="19"/>
      <c r="DK965" s="19"/>
      <c r="DL965" s="19"/>
      <c r="DM965" s="19"/>
      <c r="DN965" s="19"/>
      <c r="DO965" s="19"/>
      <c r="DP965" s="19"/>
      <c r="DQ965" s="19"/>
      <c r="DR965" s="19"/>
      <c r="DS965" s="19"/>
    </row>
    <row r="966"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  <c r="DJ966" s="19"/>
      <c r="DK966" s="19"/>
      <c r="DL966" s="19"/>
      <c r="DM966" s="19"/>
      <c r="DN966" s="19"/>
      <c r="DO966" s="19"/>
      <c r="DP966" s="19"/>
      <c r="DQ966" s="19"/>
      <c r="DR966" s="19"/>
      <c r="DS966" s="19"/>
    </row>
    <row r="967"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  <c r="DJ967" s="19"/>
      <c r="DK967" s="19"/>
      <c r="DL967" s="19"/>
      <c r="DM967" s="19"/>
      <c r="DN967" s="19"/>
      <c r="DO967" s="19"/>
      <c r="DP967" s="19"/>
      <c r="DQ967" s="19"/>
      <c r="DR967" s="19"/>
      <c r="DS967" s="19"/>
    </row>
    <row r="968"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  <c r="DJ968" s="19"/>
      <c r="DK968" s="19"/>
      <c r="DL968" s="19"/>
      <c r="DM968" s="19"/>
      <c r="DN968" s="19"/>
      <c r="DO968" s="19"/>
      <c r="DP968" s="19"/>
      <c r="DQ968" s="19"/>
      <c r="DR968" s="19"/>
      <c r="DS968" s="19"/>
    </row>
    <row r="969"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  <c r="DJ969" s="19"/>
      <c r="DK969" s="19"/>
      <c r="DL969" s="19"/>
      <c r="DM969" s="19"/>
      <c r="DN969" s="19"/>
      <c r="DO969" s="19"/>
      <c r="DP969" s="19"/>
      <c r="DQ969" s="19"/>
      <c r="DR969" s="19"/>
      <c r="DS969" s="19"/>
    </row>
    <row r="970"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  <c r="DJ970" s="19"/>
      <c r="DK970" s="19"/>
      <c r="DL970" s="19"/>
      <c r="DM970" s="19"/>
      <c r="DN970" s="19"/>
      <c r="DO970" s="19"/>
      <c r="DP970" s="19"/>
      <c r="DQ970" s="19"/>
      <c r="DR970" s="19"/>
      <c r="DS970" s="19"/>
    </row>
    <row r="971"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  <c r="DJ971" s="19"/>
      <c r="DK971" s="19"/>
      <c r="DL971" s="19"/>
      <c r="DM971" s="19"/>
      <c r="DN971" s="19"/>
      <c r="DO971" s="19"/>
      <c r="DP971" s="19"/>
      <c r="DQ971" s="19"/>
      <c r="DR971" s="19"/>
      <c r="DS971" s="19"/>
    </row>
    <row r="972"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</row>
    <row r="973"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</row>
    <row r="974"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</row>
    <row r="975"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</row>
    <row r="976"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  <c r="DJ976" s="19"/>
      <c r="DK976" s="19"/>
      <c r="DL976" s="19"/>
      <c r="DM976" s="19"/>
      <c r="DN976" s="19"/>
      <c r="DO976" s="19"/>
      <c r="DP976" s="19"/>
      <c r="DQ976" s="19"/>
      <c r="DR976" s="19"/>
      <c r="DS976" s="19"/>
    </row>
    <row r="977"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  <c r="DJ977" s="19"/>
      <c r="DK977" s="19"/>
      <c r="DL977" s="19"/>
      <c r="DM977" s="19"/>
      <c r="DN977" s="19"/>
      <c r="DO977" s="19"/>
      <c r="DP977" s="19"/>
      <c r="DQ977" s="19"/>
      <c r="DR977" s="19"/>
      <c r="DS977" s="19"/>
    </row>
    <row r="978"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  <c r="DJ978" s="19"/>
      <c r="DK978" s="19"/>
      <c r="DL978" s="19"/>
      <c r="DM978" s="19"/>
      <c r="DN978" s="19"/>
      <c r="DO978" s="19"/>
      <c r="DP978" s="19"/>
      <c r="DQ978" s="19"/>
      <c r="DR978" s="19"/>
      <c r="DS978" s="19"/>
    </row>
    <row r="979"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  <c r="DJ979" s="19"/>
      <c r="DK979" s="19"/>
      <c r="DL979" s="19"/>
      <c r="DM979" s="19"/>
      <c r="DN979" s="19"/>
      <c r="DO979" s="19"/>
      <c r="DP979" s="19"/>
      <c r="DQ979" s="19"/>
      <c r="DR979" s="19"/>
      <c r="DS979" s="19"/>
    </row>
    <row r="980"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  <c r="DJ980" s="19"/>
      <c r="DK980" s="19"/>
      <c r="DL980" s="19"/>
      <c r="DM980" s="19"/>
      <c r="DN980" s="19"/>
      <c r="DO980" s="19"/>
      <c r="DP980" s="19"/>
      <c r="DQ980" s="19"/>
      <c r="DR980" s="19"/>
      <c r="DS980" s="19"/>
    </row>
    <row r="981"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  <c r="DJ981" s="19"/>
      <c r="DK981" s="19"/>
      <c r="DL981" s="19"/>
      <c r="DM981" s="19"/>
      <c r="DN981" s="19"/>
      <c r="DO981" s="19"/>
      <c r="DP981" s="19"/>
      <c r="DQ981" s="19"/>
      <c r="DR981" s="19"/>
      <c r="DS981" s="19"/>
    </row>
    <row r="982"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  <c r="DJ982" s="19"/>
      <c r="DK982" s="19"/>
      <c r="DL982" s="19"/>
      <c r="DM982" s="19"/>
      <c r="DN982" s="19"/>
      <c r="DO982" s="19"/>
      <c r="DP982" s="19"/>
      <c r="DQ982" s="19"/>
      <c r="DR982" s="19"/>
      <c r="DS982" s="19"/>
    </row>
    <row r="983"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  <c r="DJ983" s="19"/>
      <c r="DK983" s="19"/>
      <c r="DL983" s="19"/>
      <c r="DM983" s="19"/>
      <c r="DN983" s="19"/>
      <c r="DO983" s="19"/>
      <c r="DP983" s="19"/>
      <c r="DQ983" s="19"/>
      <c r="DR983" s="19"/>
      <c r="DS983" s="19"/>
    </row>
    <row r="984"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  <c r="DJ984" s="19"/>
      <c r="DK984" s="19"/>
      <c r="DL984" s="19"/>
      <c r="DM984" s="19"/>
      <c r="DN984" s="19"/>
      <c r="DO984" s="19"/>
      <c r="DP984" s="19"/>
      <c r="DQ984" s="19"/>
      <c r="DR984" s="19"/>
      <c r="DS984" s="19"/>
    </row>
    <row r="985"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  <c r="DJ985" s="19"/>
      <c r="DK985" s="19"/>
      <c r="DL985" s="19"/>
      <c r="DM985" s="19"/>
      <c r="DN985" s="19"/>
      <c r="DO985" s="19"/>
      <c r="DP985" s="19"/>
      <c r="DQ985" s="19"/>
      <c r="DR985" s="19"/>
      <c r="DS985" s="19"/>
    </row>
    <row r="986"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</row>
    <row r="987"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</row>
    <row r="988"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  <c r="DJ988" s="19"/>
      <c r="DK988" s="19"/>
      <c r="DL988" s="19"/>
      <c r="DM988" s="19"/>
      <c r="DN988" s="19"/>
      <c r="DO988" s="19"/>
      <c r="DP988" s="19"/>
      <c r="DQ988" s="19"/>
      <c r="DR988" s="19"/>
      <c r="DS988" s="19"/>
    </row>
    <row r="989"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  <c r="DJ989" s="19"/>
      <c r="DK989" s="19"/>
      <c r="DL989" s="19"/>
      <c r="DM989" s="19"/>
      <c r="DN989" s="19"/>
      <c r="DO989" s="19"/>
      <c r="DP989" s="19"/>
      <c r="DQ989" s="19"/>
      <c r="DR989" s="19"/>
      <c r="DS989" s="19"/>
    </row>
    <row r="990"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</row>
    <row r="991"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</row>
    <row r="992"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  <c r="DJ992" s="19"/>
      <c r="DK992" s="19"/>
      <c r="DL992" s="19"/>
      <c r="DM992" s="19"/>
      <c r="DN992" s="19"/>
      <c r="DO992" s="19"/>
      <c r="DP992" s="19"/>
      <c r="DQ992" s="19"/>
      <c r="DR992" s="19"/>
      <c r="DS992" s="19"/>
    </row>
    <row r="993"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</row>
    <row r="994"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</row>
    <row r="995"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  <c r="DJ995" s="19"/>
      <c r="DK995" s="19"/>
      <c r="DL995" s="19"/>
      <c r="DM995" s="19"/>
      <c r="DN995" s="19"/>
      <c r="DO995" s="19"/>
      <c r="DP995" s="19"/>
      <c r="DQ995" s="19"/>
      <c r="DR995" s="19"/>
      <c r="DS995" s="19"/>
    </row>
    <row r="996"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  <c r="DJ996" s="19"/>
      <c r="DK996" s="19"/>
      <c r="DL996" s="19"/>
      <c r="DM996" s="19"/>
      <c r="DN996" s="19"/>
      <c r="DO996" s="19"/>
      <c r="DP996" s="19"/>
      <c r="DQ996" s="19"/>
      <c r="DR996" s="19"/>
      <c r="DS996" s="19"/>
    </row>
    <row r="997"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</row>
    <row r="998"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  <c r="DJ998" s="19"/>
      <c r="DK998" s="19"/>
      <c r="DL998" s="19"/>
      <c r="DM998" s="19"/>
      <c r="DN998" s="19"/>
      <c r="DO998" s="19"/>
      <c r="DP998" s="19"/>
      <c r="DQ998" s="19"/>
      <c r="DR998" s="19"/>
      <c r="DS998" s="19"/>
    </row>
    <row r="999"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  <c r="DJ999" s="19"/>
      <c r="DK999" s="19"/>
      <c r="DL999" s="19"/>
      <c r="DM999" s="19"/>
      <c r="DN999" s="19"/>
      <c r="DO999" s="19"/>
      <c r="DP999" s="19"/>
      <c r="DQ999" s="19"/>
      <c r="DR999" s="19"/>
      <c r="DS999" s="19"/>
    </row>
    <row r="1000"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  <c r="DJ1000" s="19"/>
      <c r="DK1000" s="19"/>
      <c r="DL1000" s="19"/>
      <c r="DM1000" s="19"/>
      <c r="DN1000" s="19"/>
      <c r="DO1000" s="19"/>
      <c r="DP1000" s="19"/>
      <c r="DQ1000" s="19"/>
      <c r="DR1000" s="19"/>
      <c r="DS1000" s="19"/>
    </row>
    <row r="1001">
      <c r="CU1001" s="19"/>
      <c r="CV1001" s="19"/>
      <c r="CW1001" s="19"/>
      <c r="CX1001" s="19"/>
      <c r="CY1001" s="19"/>
      <c r="CZ1001" s="19"/>
      <c r="DA1001" s="19"/>
      <c r="DB1001" s="19"/>
      <c r="DC1001" s="19"/>
      <c r="DD1001" s="19"/>
      <c r="DE1001" s="19"/>
      <c r="DF1001" s="19"/>
      <c r="DG1001" s="19"/>
      <c r="DH1001" s="19"/>
      <c r="DI1001" s="19"/>
      <c r="DJ1001" s="19"/>
      <c r="DK1001" s="19"/>
      <c r="DL1001" s="19"/>
      <c r="DM1001" s="19"/>
      <c r="DN1001" s="19"/>
      <c r="DO1001" s="19"/>
      <c r="DP1001" s="19"/>
      <c r="DQ1001" s="19"/>
      <c r="DR1001" s="19"/>
      <c r="DS1001" s="19"/>
    </row>
    <row r="1002">
      <c r="CU1002" s="19"/>
      <c r="CV1002" s="19"/>
      <c r="CW1002" s="19"/>
      <c r="CX1002" s="19"/>
      <c r="CY1002" s="19"/>
      <c r="CZ1002" s="19"/>
      <c r="DA1002" s="19"/>
      <c r="DB1002" s="19"/>
      <c r="DC1002" s="19"/>
      <c r="DD1002" s="19"/>
      <c r="DE1002" s="19"/>
      <c r="DF1002" s="19"/>
      <c r="DG1002" s="19"/>
      <c r="DH1002" s="19"/>
      <c r="DI1002" s="19"/>
      <c r="DJ1002" s="19"/>
      <c r="DK1002" s="19"/>
      <c r="DL1002" s="19"/>
      <c r="DM1002" s="19"/>
      <c r="DN1002" s="19"/>
      <c r="DO1002" s="19"/>
      <c r="DP1002" s="19"/>
      <c r="DQ1002" s="19"/>
      <c r="DR1002" s="19"/>
      <c r="DS1002" s="19"/>
    </row>
    <row r="1003">
      <c r="CU1003" s="19"/>
      <c r="CV1003" s="19"/>
      <c r="CW1003" s="19"/>
      <c r="CX1003" s="19"/>
      <c r="CY1003" s="19"/>
      <c r="CZ1003" s="19"/>
      <c r="DA1003" s="19"/>
      <c r="DB1003" s="19"/>
      <c r="DC1003" s="19"/>
      <c r="DD1003" s="19"/>
      <c r="DE1003" s="19"/>
      <c r="DF1003" s="19"/>
      <c r="DG1003" s="19"/>
      <c r="DH1003" s="19"/>
      <c r="DI1003" s="19"/>
      <c r="DJ1003" s="19"/>
      <c r="DK1003" s="19"/>
      <c r="DL1003" s="19"/>
      <c r="DM1003" s="19"/>
      <c r="DN1003" s="19"/>
      <c r="DO1003" s="19"/>
      <c r="DP1003" s="19"/>
      <c r="DQ1003" s="19"/>
      <c r="DR1003" s="19"/>
      <c r="DS1003" s="19"/>
    </row>
    <row r="1004">
      <c r="CU1004" s="19"/>
      <c r="CV1004" s="19"/>
      <c r="CW1004" s="19"/>
      <c r="CX1004" s="19"/>
      <c r="CY1004" s="19"/>
      <c r="CZ1004" s="19"/>
      <c r="DA1004" s="19"/>
      <c r="DB1004" s="19"/>
      <c r="DC1004" s="19"/>
      <c r="DD1004" s="19"/>
      <c r="DE1004" s="19"/>
      <c r="DF1004" s="19"/>
      <c r="DG1004" s="19"/>
      <c r="DH1004" s="19"/>
      <c r="DI1004" s="19"/>
      <c r="DJ1004" s="19"/>
      <c r="DK1004" s="19"/>
      <c r="DL1004" s="19"/>
      <c r="DM1004" s="19"/>
      <c r="DN1004" s="19"/>
      <c r="DO1004" s="19"/>
      <c r="DP1004" s="19"/>
      <c r="DQ1004" s="19"/>
      <c r="DR1004" s="19"/>
      <c r="DS1004" s="19"/>
    </row>
    <row r="1005">
      <c r="CU1005" s="19"/>
      <c r="CV1005" s="19"/>
      <c r="CW1005" s="19"/>
      <c r="CX1005" s="19"/>
      <c r="CY1005" s="19"/>
      <c r="CZ1005" s="19"/>
      <c r="DA1005" s="19"/>
      <c r="DB1005" s="19"/>
      <c r="DC1005" s="19"/>
      <c r="DD1005" s="19"/>
      <c r="DE1005" s="19"/>
      <c r="DF1005" s="19"/>
      <c r="DG1005" s="19"/>
      <c r="DH1005" s="19"/>
      <c r="DI1005" s="19"/>
      <c r="DJ1005" s="19"/>
      <c r="DK1005" s="19"/>
      <c r="DL1005" s="19"/>
      <c r="DM1005" s="19"/>
      <c r="DN1005" s="19"/>
      <c r="DO1005" s="19"/>
      <c r="DP1005" s="19"/>
      <c r="DQ1005" s="19"/>
      <c r="DR1005" s="19"/>
      <c r="DS1005" s="19"/>
    </row>
    <row r="1006">
      <c r="CU1006" s="19"/>
      <c r="CV1006" s="19"/>
      <c r="CW1006" s="19"/>
      <c r="CX1006" s="19"/>
      <c r="CY1006" s="19"/>
      <c r="CZ1006" s="19"/>
      <c r="DA1006" s="19"/>
      <c r="DB1006" s="19"/>
      <c r="DC1006" s="19"/>
      <c r="DD1006" s="19"/>
      <c r="DE1006" s="19"/>
      <c r="DF1006" s="19"/>
      <c r="DG1006" s="19"/>
      <c r="DH1006" s="19"/>
      <c r="DI1006" s="19"/>
      <c r="DJ1006" s="19"/>
      <c r="DK1006" s="19"/>
      <c r="DL1006" s="19"/>
      <c r="DM1006" s="19"/>
      <c r="DN1006" s="19"/>
      <c r="DO1006" s="19"/>
      <c r="DP1006" s="19"/>
      <c r="DQ1006" s="19"/>
      <c r="DR1006" s="19"/>
      <c r="DS1006" s="19"/>
    </row>
    <row r="1007">
      <c r="CU1007" s="19"/>
      <c r="CV1007" s="19"/>
      <c r="CW1007" s="19"/>
      <c r="CX1007" s="19"/>
      <c r="CY1007" s="19"/>
      <c r="CZ1007" s="19"/>
      <c r="DA1007" s="19"/>
      <c r="DB1007" s="19"/>
      <c r="DC1007" s="19"/>
      <c r="DD1007" s="19"/>
      <c r="DE1007" s="19"/>
      <c r="DF1007" s="19"/>
      <c r="DG1007" s="19"/>
      <c r="DH1007" s="19"/>
      <c r="DI1007" s="19"/>
      <c r="DJ1007" s="19"/>
      <c r="DK1007" s="19"/>
      <c r="DL1007" s="19"/>
      <c r="DM1007" s="19"/>
      <c r="DN1007" s="19"/>
      <c r="DO1007" s="19"/>
      <c r="DP1007" s="19"/>
      <c r="DQ1007" s="19"/>
      <c r="DR1007" s="19"/>
      <c r="DS1007" s="19"/>
    </row>
    <row r="1008">
      <c r="CU1008" s="19"/>
      <c r="CV1008" s="19"/>
      <c r="CW1008" s="19"/>
      <c r="CX1008" s="19"/>
      <c r="CY1008" s="19"/>
      <c r="CZ1008" s="19"/>
      <c r="DA1008" s="19"/>
      <c r="DB1008" s="19"/>
      <c r="DC1008" s="19"/>
      <c r="DD1008" s="19"/>
      <c r="DE1008" s="19"/>
      <c r="DF1008" s="19"/>
      <c r="DG1008" s="19"/>
      <c r="DH1008" s="19"/>
      <c r="DI1008" s="19"/>
      <c r="DJ1008" s="19"/>
      <c r="DK1008" s="19"/>
      <c r="DL1008" s="19"/>
      <c r="DM1008" s="19"/>
      <c r="DN1008" s="19"/>
      <c r="DO1008" s="19"/>
      <c r="DP1008" s="19"/>
      <c r="DQ1008" s="19"/>
      <c r="DR1008" s="19"/>
      <c r="DS1008" s="19"/>
    </row>
    <row r="1009">
      <c r="CU1009" s="19"/>
      <c r="CV1009" s="19"/>
      <c r="CW1009" s="19"/>
      <c r="CX1009" s="19"/>
      <c r="CY1009" s="19"/>
      <c r="CZ1009" s="19"/>
      <c r="DA1009" s="19"/>
      <c r="DB1009" s="19"/>
      <c r="DC1009" s="19"/>
      <c r="DD1009" s="19"/>
      <c r="DE1009" s="19"/>
      <c r="DF1009" s="19"/>
      <c r="DG1009" s="19"/>
      <c r="DH1009" s="19"/>
      <c r="DI1009" s="19"/>
      <c r="DJ1009" s="19"/>
      <c r="DK1009" s="19"/>
      <c r="DL1009" s="19"/>
      <c r="DM1009" s="19"/>
      <c r="DN1009" s="19"/>
      <c r="DO1009" s="19"/>
      <c r="DP1009" s="19"/>
      <c r="DQ1009" s="19"/>
      <c r="DR1009" s="19"/>
      <c r="DS1009" s="19"/>
    </row>
    <row r="1010">
      <c r="CU1010" s="19"/>
      <c r="CV1010" s="19"/>
      <c r="CW1010" s="19"/>
      <c r="CX1010" s="19"/>
      <c r="CY1010" s="19"/>
      <c r="CZ1010" s="19"/>
      <c r="DA1010" s="19"/>
      <c r="DB1010" s="19"/>
      <c r="DC1010" s="19"/>
      <c r="DD1010" s="19"/>
      <c r="DE1010" s="19"/>
      <c r="DF1010" s="19"/>
      <c r="DG1010" s="19"/>
      <c r="DH1010" s="19"/>
      <c r="DI1010" s="19"/>
      <c r="DJ1010" s="19"/>
      <c r="DK1010" s="19"/>
      <c r="DL1010" s="19"/>
      <c r="DM1010" s="19"/>
      <c r="DN1010" s="19"/>
      <c r="DO1010" s="19"/>
      <c r="DP1010" s="19"/>
      <c r="DQ1010" s="19"/>
      <c r="DR1010" s="19"/>
      <c r="DS1010" s="19"/>
    </row>
    <row r="1011">
      <c r="CU1011" s="19"/>
      <c r="CV1011" s="19"/>
      <c r="CW1011" s="19"/>
      <c r="CX1011" s="19"/>
      <c r="CY1011" s="19"/>
      <c r="CZ1011" s="19"/>
      <c r="DA1011" s="19"/>
      <c r="DB1011" s="19"/>
      <c r="DC1011" s="19"/>
      <c r="DD1011" s="19"/>
      <c r="DE1011" s="19"/>
      <c r="DF1011" s="19"/>
      <c r="DG1011" s="19"/>
      <c r="DH1011" s="19"/>
      <c r="DI1011" s="19"/>
      <c r="DJ1011" s="19"/>
      <c r="DK1011" s="19"/>
      <c r="DL1011" s="19"/>
      <c r="DM1011" s="19"/>
      <c r="DN1011" s="19"/>
      <c r="DO1011" s="19"/>
      <c r="DP1011" s="19"/>
      <c r="DQ1011" s="19"/>
      <c r="DR1011" s="19"/>
      <c r="DS1011" s="19"/>
    </row>
    <row r="1012">
      <c r="CU1012" s="19"/>
      <c r="CV1012" s="19"/>
      <c r="CW1012" s="19"/>
      <c r="CX1012" s="19"/>
      <c r="CY1012" s="19"/>
      <c r="CZ1012" s="19"/>
      <c r="DA1012" s="19"/>
      <c r="DB1012" s="19"/>
      <c r="DC1012" s="19"/>
      <c r="DD1012" s="19"/>
      <c r="DE1012" s="19"/>
      <c r="DF1012" s="19"/>
      <c r="DG1012" s="19"/>
      <c r="DH1012" s="19"/>
      <c r="DI1012" s="19"/>
      <c r="DJ1012" s="19"/>
      <c r="DK1012" s="19"/>
      <c r="DL1012" s="19"/>
      <c r="DM1012" s="19"/>
      <c r="DN1012" s="19"/>
      <c r="DO1012" s="19"/>
      <c r="DP1012" s="19"/>
      <c r="DQ1012" s="19"/>
      <c r="DR1012" s="19"/>
      <c r="DS1012" s="19"/>
    </row>
    <row r="1013">
      <c r="CU1013" s="19"/>
      <c r="CV1013" s="19"/>
      <c r="CW1013" s="19"/>
      <c r="CX1013" s="19"/>
      <c r="CY1013" s="19"/>
      <c r="CZ1013" s="19"/>
      <c r="DA1013" s="19"/>
      <c r="DB1013" s="19"/>
      <c r="DC1013" s="19"/>
      <c r="DD1013" s="19"/>
      <c r="DE1013" s="19"/>
      <c r="DF1013" s="19"/>
      <c r="DG1013" s="19"/>
      <c r="DH1013" s="19"/>
      <c r="DI1013" s="19"/>
      <c r="DJ1013" s="19"/>
      <c r="DK1013" s="19"/>
      <c r="DL1013" s="19"/>
      <c r="DM1013" s="19"/>
      <c r="DN1013" s="19"/>
      <c r="DO1013" s="19"/>
      <c r="DP1013" s="19"/>
      <c r="DQ1013" s="19"/>
      <c r="DR1013" s="19"/>
      <c r="DS1013" s="19"/>
    </row>
    <row r="1014">
      <c r="CU1014" s="19"/>
      <c r="CV1014" s="19"/>
      <c r="CW1014" s="19"/>
      <c r="CX1014" s="19"/>
      <c r="CY1014" s="19"/>
      <c r="CZ1014" s="19"/>
      <c r="DA1014" s="19"/>
      <c r="DB1014" s="19"/>
      <c r="DC1014" s="19"/>
      <c r="DD1014" s="19"/>
      <c r="DE1014" s="19"/>
      <c r="DF1014" s="19"/>
      <c r="DG1014" s="19"/>
      <c r="DH1014" s="19"/>
      <c r="DI1014" s="19"/>
      <c r="DJ1014" s="19"/>
      <c r="DK1014" s="19"/>
      <c r="DL1014" s="19"/>
      <c r="DM1014" s="19"/>
      <c r="DN1014" s="19"/>
      <c r="DO1014" s="19"/>
      <c r="DP1014" s="19"/>
      <c r="DQ1014" s="19"/>
      <c r="DR1014" s="19"/>
      <c r="DS1014" s="19"/>
    </row>
    <row r="1015">
      <c r="CU1015" s="19"/>
      <c r="CV1015" s="19"/>
      <c r="CW1015" s="19"/>
      <c r="CX1015" s="19"/>
      <c r="CY1015" s="19"/>
      <c r="CZ1015" s="19"/>
      <c r="DA1015" s="19"/>
      <c r="DB1015" s="19"/>
      <c r="DC1015" s="19"/>
      <c r="DD1015" s="19"/>
      <c r="DE1015" s="19"/>
      <c r="DF1015" s="19"/>
      <c r="DG1015" s="19"/>
      <c r="DH1015" s="19"/>
      <c r="DI1015" s="19"/>
      <c r="DJ1015" s="19"/>
      <c r="DK1015" s="19"/>
      <c r="DL1015" s="19"/>
      <c r="DM1015" s="19"/>
      <c r="DN1015" s="19"/>
      <c r="DO1015" s="19"/>
      <c r="DP1015" s="19"/>
      <c r="DQ1015" s="19"/>
      <c r="DR1015" s="19"/>
      <c r="DS1015" s="19"/>
    </row>
    <row r="1016">
      <c r="CU1016" s="19"/>
      <c r="CV1016" s="19"/>
      <c r="CW1016" s="19"/>
      <c r="CX1016" s="19"/>
      <c r="CY1016" s="19"/>
      <c r="CZ1016" s="19"/>
      <c r="DA1016" s="19"/>
      <c r="DB1016" s="19"/>
      <c r="DC1016" s="19"/>
      <c r="DD1016" s="19"/>
      <c r="DE1016" s="19"/>
      <c r="DF1016" s="19"/>
      <c r="DG1016" s="19"/>
      <c r="DH1016" s="19"/>
      <c r="DI1016" s="19"/>
      <c r="DJ1016" s="19"/>
      <c r="DK1016" s="19"/>
      <c r="DL1016" s="19"/>
      <c r="DM1016" s="19"/>
      <c r="DN1016" s="19"/>
      <c r="DO1016" s="19"/>
      <c r="DP1016" s="19"/>
      <c r="DQ1016" s="19"/>
      <c r="DR1016" s="19"/>
      <c r="DS1016" s="19"/>
    </row>
    <row r="1017">
      <c r="CU1017" s="19"/>
      <c r="CV1017" s="19"/>
      <c r="CW1017" s="19"/>
      <c r="CX1017" s="19"/>
      <c r="CY1017" s="19"/>
      <c r="CZ1017" s="19"/>
      <c r="DA1017" s="19"/>
      <c r="DB1017" s="19"/>
      <c r="DC1017" s="19"/>
      <c r="DD1017" s="19"/>
      <c r="DE1017" s="19"/>
      <c r="DF1017" s="19"/>
      <c r="DG1017" s="19"/>
      <c r="DH1017" s="19"/>
      <c r="DI1017" s="19"/>
      <c r="DJ1017" s="19"/>
      <c r="DK1017" s="19"/>
      <c r="DL1017" s="19"/>
      <c r="DM1017" s="19"/>
      <c r="DN1017" s="19"/>
      <c r="DO1017" s="19"/>
      <c r="DP1017" s="19"/>
      <c r="DQ1017" s="19"/>
      <c r="DR1017" s="19"/>
      <c r="DS1017" s="19"/>
    </row>
    <row r="1018">
      <c r="CU1018" s="19"/>
      <c r="CV1018" s="19"/>
      <c r="CW1018" s="19"/>
      <c r="CX1018" s="19"/>
      <c r="CY1018" s="19"/>
      <c r="CZ1018" s="19"/>
      <c r="DA1018" s="19"/>
      <c r="DB1018" s="19"/>
      <c r="DC1018" s="19"/>
      <c r="DD1018" s="19"/>
      <c r="DE1018" s="19"/>
      <c r="DF1018" s="19"/>
      <c r="DG1018" s="19"/>
      <c r="DH1018" s="19"/>
      <c r="DI1018" s="19"/>
      <c r="DJ1018" s="19"/>
      <c r="DK1018" s="19"/>
      <c r="DL1018" s="19"/>
      <c r="DM1018" s="19"/>
      <c r="DN1018" s="19"/>
      <c r="DO1018" s="19"/>
      <c r="DP1018" s="19"/>
      <c r="DQ1018" s="19"/>
      <c r="DR1018" s="19"/>
      <c r="DS1018" s="19"/>
    </row>
    <row r="1019">
      <c r="CU1019" s="19"/>
      <c r="CV1019" s="19"/>
      <c r="CW1019" s="19"/>
      <c r="CX1019" s="19"/>
      <c r="CY1019" s="19"/>
      <c r="CZ1019" s="19"/>
      <c r="DA1019" s="19"/>
      <c r="DB1019" s="19"/>
      <c r="DC1019" s="19"/>
      <c r="DD1019" s="19"/>
      <c r="DE1019" s="19"/>
      <c r="DF1019" s="19"/>
      <c r="DG1019" s="19"/>
      <c r="DH1019" s="19"/>
      <c r="DI1019" s="19"/>
      <c r="DJ1019" s="19"/>
      <c r="DK1019" s="19"/>
      <c r="DL1019" s="19"/>
      <c r="DM1019" s="19"/>
      <c r="DN1019" s="19"/>
      <c r="DO1019" s="19"/>
      <c r="DP1019" s="19"/>
      <c r="DQ1019" s="19"/>
      <c r="DR1019" s="19"/>
      <c r="DS1019" s="19"/>
    </row>
    <row r="1020">
      <c r="CU1020" s="19"/>
      <c r="CV1020" s="19"/>
      <c r="CW1020" s="19"/>
      <c r="CX1020" s="19"/>
      <c r="CY1020" s="19"/>
      <c r="CZ1020" s="19"/>
      <c r="DA1020" s="19"/>
      <c r="DB1020" s="19"/>
      <c r="DC1020" s="19"/>
      <c r="DD1020" s="19"/>
      <c r="DE1020" s="19"/>
      <c r="DF1020" s="19"/>
      <c r="DG1020" s="19"/>
      <c r="DH1020" s="19"/>
      <c r="DI1020" s="19"/>
      <c r="DJ1020" s="19"/>
      <c r="DK1020" s="19"/>
      <c r="DL1020" s="19"/>
      <c r="DM1020" s="19"/>
      <c r="DN1020" s="19"/>
      <c r="DO1020" s="19"/>
      <c r="DP1020" s="19"/>
      <c r="DQ1020" s="19"/>
      <c r="DR1020" s="19"/>
      <c r="DS1020" s="19"/>
    </row>
    <row r="1021">
      <c r="CU1021" s="19"/>
      <c r="CV1021" s="19"/>
      <c r="CW1021" s="19"/>
      <c r="CX1021" s="19"/>
      <c r="CY1021" s="19"/>
      <c r="CZ1021" s="19"/>
      <c r="DA1021" s="19"/>
      <c r="DB1021" s="19"/>
      <c r="DC1021" s="19"/>
      <c r="DD1021" s="19"/>
      <c r="DE1021" s="19"/>
      <c r="DF1021" s="19"/>
      <c r="DG1021" s="19"/>
      <c r="DH1021" s="19"/>
      <c r="DI1021" s="19"/>
      <c r="DJ1021" s="19"/>
      <c r="DK1021" s="19"/>
      <c r="DL1021" s="19"/>
      <c r="DM1021" s="19"/>
      <c r="DN1021" s="19"/>
      <c r="DO1021" s="19"/>
      <c r="DP1021" s="19"/>
      <c r="DQ1021" s="19"/>
      <c r="DR1021" s="19"/>
      <c r="DS1021" s="19"/>
    </row>
    <row r="1022">
      <c r="CU1022" s="19"/>
      <c r="CV1022" s="19"/>
      <c r="CW1022" s="19"/>
      <c r="CX1022" s="19"/>
      <c r="CY1022" s="19"/>
      <c r="CZ1022" s="19"/>
      <c r="DA1022" s="19"/>
      <c r="DB1022" s="19"/>
      <c r="DC1022" s="19"/>
      <c r="DD1022" s="19"/>
      <c r="DE1022" s="19"/>
      <c r="DF1022" s="19"/>
      <c r="DG1022" s="19"/>
      <c r="DH1022" s="19"/>
      <c r="DI1022" s="19"/>
      <c r="DJ1022" s="19"/>
      <c r="DK1022" s="19"/>
      <c r="DL1022" s="19"/>
      <c r="DM1022" s="19"/>
      <c r="DN1022" s="19"/>
      <c r="DO1022" s="19"/>
      <c r="DP1022" s="19"/>
      <c r="DQ1022" s="19"/>
      <c r="DR1022" s="19"/>
      <c r="DS1022" s="19"/>
    </row>
    <row r="1023">
      <c r="CU1023" s="19"/>
      <c r="CV1023" s="19"/>
      <c r="CW1023" s="19"/>
      <c r="CX1023" s="19"/>
      <c r="CY1023" s="19"/>
      <c r="CZ1023" s="19"/>
      <c r="DA1023" s="19"/>
      <c r="DB1023" s="19"/>
      <c r="DC1023" s="19"/>
      <c r="DD1023" s="19"/>
      <c r="DE1023" s="19"/>
      <c r="DF1023" s="19"/>
      <c r="DG1023" s="19"/>
      <c r="DH1023" s="19"/>
      <c r="DI1023" s="19"/>
      <c r="DJ1023" s="19"/>
      <c r="DK1023" s="19"/>
      <c r="DL1023" s="19"/>
      <c r="DM1023" s="19"/>
      <c r="DN1023" s="19"/>
      <c r="DO1023" s="19"/>
      <c r="DP1023" s="19"/>
      <c r="DQ1023" s="19"/>
      <c r="DR1023" s="19"/>
      <c r="DS1023" s="19"/>
    </row>
    <row r="1024">
      <c r="CU1024" s="19"/>
      <c r="CV1024" s="19"/>
      <c r="CW1024" s="19"/>
      <c r="CX1024" s="19"/>
      <c r="CY1024" s="19"/>
      <c r="CZ1024" s="19"/>
      <c r="DA1024" s="19"/>
      <c r="DB1024" s="19"/>
      <c r="DC1024" s="19"/>
      <c r="DD1024" s="19"/>
      <c r="DE1024" s="19"/>
      <c r="DF1024" s="19"/>
      <c r="DG1024" s="19"/>
      <c r="DH1024" s="19"/>
      <c r="DI1024" s="19"/>
      <c r="DJ1024" s="19"/>
      <c r="DK1024" s="19"/>
      <c r="DL1024" s="19"/>
      <c r="DM1024" s="19"/>
      <c r="DN1024" s="19"/>
      <c r="DO1024" s="19"/>
      <c r="DP1024" s="19"/>
      <c r="DQ1024" s="19"/>
      <c r="DR1024" s="19"/>
      <c r="DS1024" s="19"/>
    </row>
    <row r="1025">
      <c r="CU1025" s="19"/>
      <c r="CV1025" s="19"/>
      <c r="CW1025" s="19"/>
      <c r="CX1025" s="19"/>
      <c r="CY1025" s="19"/>
      <c r="CZ1025" s="19"/>
      <c r="DA1025" s="19"/>
      <c r="DB1025" s="19"/>
      <c r="DC1025" s="19"/>
      <c r="DD1025" s="19"/>
      <c r="DE1025" s="19"/>
      <c r="DF1025" s="19"/>
      <c r="DG1025" s="19"/>
      <c r="DH1025" s="19"/>
      <c r="DI1025" s="19"/>
      <c r="DJ1025" s="19"/>
      <c r="DK1025" s="19"/>
      <c r="DL1025" s="19"/>
      <c r="DM1025" s="19"/>
      <c r="DN1025" s="19"/>
      <c r="DO1025" s="19"/>
      <c r="DP1025" s="19"/>
      <c r="DQ1025" s="19"/>
      <c r="DR1025" s="19"/>
      <c r="DS1025" s="19"/>
    </row>
    <row r="1026">
      <c r="CU1026" s="19"/>
      <c r="CV1026" s="19"/>
      <c r="CW1026" s="19"/>
      <c r="CX1026" s="19"/>
      <c r="CY1026" s="19"/>
      <c r="CZ1026" s="19"/>
      <c r="DA1026" s="19"/>
      <c r="DB1026" s="19"/>
      <c r="DC1026" s="19"/>
      <c r="DD1026" s="19"/>
      <c r="DE1026" s="19"/>
      <c r="DF1026" s="19"/>
      <c r="DG1026" s="19"/>
      <c r="DH1026" s="19"/>
      <c r="DI1026" s="19"/>
      <c r="DJ1026" s="19"/>
      <c r="DK1026" s="19"/>
      <c r="DL1026" s="19"/>
      <c r="DM1026" s="19"/>
      <c r="DN1026" s="19"/>
      <c r="DO1026" s="19"/>
      <c r="DP1026" s="19"/>
      <c r="DQ1026" s="19"/>
      <c r="DR1026" s="19"/>
      <c r="DS1026" s="19"/>
    </row>
    <row r="1027">
      <c r="CU1027" s="19"/>
      <c r="CV1027" s="19"/>
      <c r="CW1027" s="19"/>
      <c r="CX1027" s="19"/>
      <c r="CY1027" s="19"/>
      <c r="CZ1027" s="19"/>
      <c r="DA1027" s="19"/>
      <c r="DB1027" s="19"/>
      <c r="DC1027" s="19"/>
      <c r="DD1027" s="19"/>
      <c r="DE1027" s="19"/>
      <c r="DF1027" s="19"/>
      <c r="DG1027" s="19"/>
      <c r="DH1027" s="19"/>
      <c r="DI1027" s="19"/>
      <c r="DJ1027" s="19"/>
      <c r="DK1027" s="19"/>
      <c r="DL1027" s="19"/>
      <c r="DM1027" s="19"/>
      <c r="DN1027" s="19"/>
      <c r="DO1027" s="19"/>
      <c r="DP1027" s="19"/>
      <c r="DQ1027" s="19"/>
      <c r="DR1027" s="19"/>
      <c r="DS1027" s="19"/>
    </row>
    <row r="1028">
      <c r="CU1028" s="19"/>
      <c r="CV1028" s="19"/>
      <c r="CW1028" s="19"/>
      <c r="CX1028" s="19"/>
      <c r="CY1028" s="19"/>
      <c r="CZ1028" s="19"/>
      <c r="DA1028" s="19"/>
      <c r="DB1028" s="19"/>
      <c r="DC1028" s="19"/>
      <c r="DD1028" s="19"/>
      <c r="DE1028" s="19"/>
      <c r="DF1028" s="19"/>
      <c r="DG1028" s="19"/>
      <c r="DH1028" s="19"/>
      <c r="DI1028" s="19"/>
      <c r="DJ1028" s="19"/>
      <c r="DK1028" s="19"/>
      <c r="DL1028" s="19"/>
      <c r="DM1028" s="19"/>
      <c r="DN1028" s="19"/>
      <c r="DO1028" s="19"/>
      <c r="DP1028" s="19"/>
      <c r="DQ1028" s="19"/>
      <c r="DR1028" s="19"/>
      <c r="DS1028" s="19"/>
    </row>
    <row r="1029">
      <c r="CU1029" s="19"/>
      <c r="CV1029" s="19"/>
      <c r="CW1029" s="19"/>
      <c r="CX1029" s="19"/>
      <c r="CY1029" s="19"/>
      <c r="CZ1029" s="19"/>
      <c r="DA1029" s="19"/>
      <c r="DB1029" s="19"/>
      <c r="DC1029" s="19"/>
      <c r="DD1029" s="19"/>
      <c r="DE1029" s="19"/>
      <c r="DF1029" s="19"/>
      <c r="DG1029" s="19"/>
      <c r="DH1029" s="19"/>
      <c r="DI1029" s="19"/>
      <c r="DJ1029" s="19"/>
      <c r="DK1029" s="19"/>
      <c r="DL1029" s="19"/>
      <c r="DM1029" s="19"/>
      <c r="DN1029" s="19"/>
      <c r="DO1029" s="19"/>
      <c r="DP1029" s="19"/>
      <c r="DQ1029" s="19"/>
      <c r="DR1029" s="19"/>
      <c r="DS1029" s="19"/>
    </row>
    <row r="1030">
      <c r="CU1030" s="19"/>
      <c r="CV1030" s="19"/>
      <c r="CW1030" s="19"/>
      <c r="CX1030" s="19"/>
      <c r="CY1030" s="19"/>
      <c r="CZ1030" s="19"/>
      <c r="DA1030" s="19"/>
      <c r="DB1030" s="19"/>
      <c r="DC1030" s="19"/>
      <c r="DD1030" s="19"/>
      <c r="DE1030" s="19"/>
      <c r="DF1030" s="19"/>
      <c r="DG1030" s="19"/>
      <c r="DH1030" s="19"/>
      <c r="DI1030" s="19"/>
      <c r="DJ1030" s="19"/>
      <c r="DK1030" s="19"/>
      <c r="DL1030" s="19"/>
      <c r="DM1030" s="19"/>
      <c r="DN1030" s="19"/>
      <c r="DO1030" s="19"/>
      <c r="DP1030" s="19"/>
      <c r="DQ1030" s="19"/>
      <c r="DR1030" s="19"/>
      <c r="DS1030" s="19"/>
    </row>
    <row r="1031">
      <c r="CU1031" s="19"/>
      <c r="CV1031" s="19"/>
      <c r="CW1031" s="19"/>
      <c r="CX1031" s="19"/>
      <c r="CY1031" s="19"/>
      <c r="CZ1031" s="19"/>
      <c r="DA1031" s="19"/>
      <c r="DB1031" s="19"/>
      <c r="DC1031" s="19"/>
      <c r="DD1031" s="19"/>
      <c r="DE1031" s="19"/>
      <c r="DF1031" s="19"/>
      <c r="DG1031" s="19"/>
      <c r="DH1031" s="19"/>
      <c r="DI1031" s="19"/>
      <c r="DJ1031" s="19"/>
      <c r="DK1031" s="19"/>
      <c r="DL1031" s="19"/>
      <c r="DM1031" s="19"/>
      <c r="DN1031" s="19"/>
      <c r="DO1031" s="19"/>
      <c r="DP1031" s="19"/>
      <c r="DQ1031" s="19"/>
      <c r="DR1031" s="19"/>
      <c r="DS1031" s="19"/>
    </row>
    <row r="1032">
      <c r="CU1032" s="19"/>
      <c r="CV1032" s="19"/>
      <c r="CW1032" s="19"/>
      <c r="CX1032" s="19"/>
      <c r="CY1032" s="19"/>
      <c r="CZ1032" s="19"/>
      <c r="DA1032" s="19"/>
      <c r="DB1032" s="19"/>
      <c r="DC1032" s="19"/>
      <c r="DD1032" s="19"/>
      <c r="DE1032" s="19"/>
      <c r="DF1032" s="19"/>
      <c r="DG1032" s="19"/>
      <c r="DH1032" s="19"/>
      <c r="DI1032" s="19"/>
      <c r="DJ1032" s="19"/>
      <c r="DK1032" s="19"/>
      <c r="DL1032" s="19"/>
      <c r="DM1032" s="19"/>
      <c r="DN1032" s="19"/>
      <c r="DO1032" s="19"/>
      <c r="DP1032" s="19"/>
      <c r="DQ1032" s="19"/>
      <c r="DR1032" s="19"/>
      <c r="DS1032" s="19"/>
    </row>
    <row r="1033">
      <c r="CU1033" s="19"/>
      <c r="CV1033" s="19"/>
      <c r="CW1033" s="19"/>
      <c r="CX1033" s="19"/>
      <c r="CY1033" s="19"/>
      <c r="CZ1033" s="19"/>
      <c r="DA1033" s="19"/>
      <c r="DB1033" s="19"/>
      <c r="DC1033" s="19"/>
      <c r="DD1033" s="19"/>
      <c r="DE1033" s="19"/>
      <c r="DF1033" s="19"/>
      <c r="DG1033" s="19"/>
      <c r="DH1033" s="19"/>
      <c r="DI1033" s="19"/>
      <c r="DJ1033" s="19"/>
      <c r="DK1033" s="19"/>
      <c r="DL1033" s="19"/>
      <c r="DM1033" s="19"/>
      <c r="DN1033" s="19"/>
      <c r="DO1033" s="19"/>
      <c r="DP1033" s="19"/>
      <c r="DQ1033" s="19"/>
      <c r="DR1033" s="19"/>
      <c r="DS1033" s="19"/>
    </row>
    <row r="1034">
      <c r="CU1034" s="19"/>
      <c r="CV1034" s="19"/>
      <c r="CW1034" s="19"/>
      <c r="CX1034" s="19"/>
      <c r="CY1034" s="19"/>
      <c r="CZ1034" s="19"/>
      <c r="DA1034" s="19"/>
      <c r="DB1034" s="19"/>
      <c r="DC1034" s="19"/>
      <c r="DD1034" s="19"/>
      <c r="DE1034" s="19"/>
      <c r="DF1034" s="19"/>
      <c r="DG1034" s="19"/>
      <c r="DH1034" s="19"/>
      <c r="DI1034" s="19"/>
      <c r="DJ1034" s="19"/>
      <c r="DK1034" s="19"/>
      <c r="DL1034" s="19"/>
      <c r="DM1034" s="19"/>
      <c r="DN1034" s="19"/>
      <c r="DO1034" s="19"/>
      <c r="DP1034" s="19"/>
      <c r="DQ1034" s="19"/>
      <c r="DR1034" s="19"/>
      <c r="DS1034" s="19"/>
    </row>
    <row r="1035">
      <c r="CU1035" s="19"/>
      <c r="CV1035" s="19"/>
      <c r="CW1035" s="19"/>
      <c r="CX1035" s="19"/>
      <c r="CY1035" s="19"/>
      <c r="CZ1035" s="19"/>
      <c r="DA1035" s="19"/>
      <c r="DB1035" s="19"/>
      <c r="DC1035" s="19"/>
      <c r="DD1035" s="19"/>
      <c r="DE1035" s="19"/>
      <c r="DF1035" s="19"/>
      <c r="DG1035" s="19"/>
      <c r="DH1035" s="19"/>
      <c r="DI1035" s="19"/>
      <c r="DJ1035" s="19"/>
      <c r="DK1035" s="19"/>
      <c r="DL1035" s="19"/>
      <c r="DM1035" s="19"/>
      <c r="DN1035" s="19"/>
      <c r="DO1035" s="19"/>
      <c r="DP1035" s="19"/>
      <c r="DQ1035" s="19"/>
      <c r="DR1035" s="19"/>
      <c r="DS1035" s="19"/>
    </row>
    <row r="1036">
      <c r="CU1036" s="19"/>
      <c r="CV1036" s="19"/>
      <c r="CW1036" s="19"/>
      <c r="CX1036" s="19"/>
      <c r="CY1036" s="19"/>
      <c r="CZ1036" s="19"/>
      <c r="DA1036" s="19"/>
      <c r="DB1036" s="19"/>
      <c r="DC1036" s="19"/>
      <c r="DD1036" s="19"/>
      <c r="DE1036" s="19"/>
      <c r="DF1036" s="19"/>
      <c r="DG1036" s="19"/>
      <c r="DH1036" s="19"/>
      <c r="DI1036" s="19"/>
      <c r="DJ1036" s="19"/>
      <c r="DK1036" s="19"/>
      <c r="DL1036" s="19"/>
      <c r="DM1036" s="19"/>
      <c r="DN1036" s="19"/>
      <c r="DO1036" s="19"/>
      <c r="DP1036" s="19"/>
      <c r="DQ1036" s="19"/>
      <c r="DR1036" s="19"/>
      <c r="DS1036" s="19"/>
    </row>
    <row r="1037">
      <c r="CU1037" s="19"/>
      <c r="CV1037" s="19"/>
      <c r="CW1037" s="19"/>
      <c r="CX1037" s="19"/>
      <c r="CY1037" s="19"/>
      <c r="CZ1037" s="19"/>
      <c r="DA1037" s="19"/>
      <c r="DB1037" s="19"/>
      <c r="DC1037" s="19"/>
      <c r="DD1037" s="19"/>
      <c r="DE1037" s="19"/>
      <c r="DF1037" s="19"/>
      <c r="DG1037" s="19"/>
      <c r="DH1037" s="19"/>
      <c r="DI1037" s="19"/>
      <c r="DJ1037" s="19"/>
      <c r="DK1037" s="19"/>
      <c r="DL1037" s="19"/>
      <c r="DM1037" s="19"/>
      <c r="DN1037" s="19"/>
      <c r="DO1037" s="19"/>
      <c r="DP1037" s="19"/>
      <c r="DQ1037" s="19"/>
      <c r="DR1037" s="19"/>
      <c r="DS1037" s="19"/>
    </row>
    <row r="1038">
      <c r="CU1038" s="19"/>
      <c r="CV1038" s="19"/>
      <c r="CW1038" s="19"/>
      <c r="CX1038" s="19"/>
      <c r="CY1038" s="19"/>
      <c r="CZ1038" s="19"/>
      <c r="DA1038" s="19"/>
      <c r="DB1038" s="19"/>
      <c r="DC1038" s="19"/>
      <c r="DD1038" s="19"/>
      <c r="DE1038" s="19"/>
      <c r="DF1038" s="19"/>
      <c r="DG1038" s="19"/>
      <c r="DH1038" s="19"/>
      <c r="DI1038" s="19"/>
      <c r="DJ1038" s="19"/>
      <c r="DK1038" s="19"/>
      <c r="DL1038" s="19"/>
      <c r="DM1038" s="19"/>
      <c r="DN1038" s="19"/>
      <c r="DO1038" s="19"/>
      <c r="DP1038" s="19"/>
      <c r="DQ1038" s="19"/>
      <c r="DR1038" s="19"/>
      <c r="DS1038" s="19"/>
    </row>
    <row r="1039">
      <c r="CU1039" s="19"/>
      <c r="CV1039" s="19"/>
      <c r="CW1039" s="19"/>
      <c r="CX1039" s="19"/>
      <c r="CY1039" s="19"/>
      <c r="CZ1039" s="19"/>
      <c r="DA1039" s="19"/>
      <c r="DB1039" s="19"/>
      <c r="DC1039" s="19"/>
      <c r="DD1039" s="19"/>
      <c r="DE1039" s="19"/>
      <c r="DF1039" s="19"/>
      <c r="DG1039" s="19"/>
      <c r="DH1039" s="19"/>
      <c r="DI1039" s="19"/>
      <c r="DJ1039" s="19"/>
      <c r="DK1039" s="19"/>
      <c r="DL1039" s="19"/>
      <c r="DM1039" s="19"/>
      <c r="DN1039" s="19"/>
      <c r="DO1039" s="19"/>
      <c r="DP1039" s="19"/>
      <c r="DQ1039" s="19"/>
      <c r="DR1039" s="19"/>
      <c r="DS1039" s="19"/>
    </row>
    <row r="1040">
      <c r="CU1040" s="19"/>
      <c r="CV1040" s="19"/>
      <c r="CW1040" s="19"/>
      <c r="CX1040" s="19"/>
      <c r="CY1040" s="19"/>
      <c r="CZ1040" s="19"/>
      <c r="DA1040" s="19"/>
      <c r="DB1040" s="19"/>
      <c r="DC1040" s="19"/>
      <c r="DD1040" s="19"/>
      <c r="DE1040" s="19"/>
      <c r="DF1040" s="19"/>
      <c r="DG1040" s="19"/>
      <c r="DH1040" s="19"/>
      <c r="DI1040" s="19"/>
      <c r="DJ1040" s="19"/>
      <c r="DK1040" s="19"/>
      <c r="DL1040" s="19"/>
      <c r="DM1040" s="19"/>
      <c r="DN1040" s="19"/>
      <c r="DO1040" s="19"/>
      <c r="DP1040" s="19"/>
      <c r="DQ1040" s="19"/>
      <c r="DR1040" s="19"/>
      <c r="DS1040" s="19"/>
    </row>
    <row r="1041">
      <c r="CU1041" s="19"/>
      <c r="CV1041" s="19"/>
      <c r="CW1041" s="19"/>
      <c r="CX1041" s="19"/>
      <c r="CY1041" s="19"/>
      <c r="CZ1041" s="19"/>
      <c r="DA1041" s="19"/>
      <c r="DB1041" s="19"/>
      <c r="DC1041" s="19"/>
      <c r="DD1041" s="19"/>
      <c r="DE1041" s="19"/>
      <c r="DF1041" s="19"/>
      <c r="DG1041" s="19"/>
      <c r="DH1041" s="19"/>
      <c r="DI1041" s="19"/>
      <c r="DJ1041" s="19"/>
      <c r="DK1041" s="19"/>
      <c r="DL1041" s="19"/>
      <c r="DM1041" s="19"/>
      <c r="DN1041" s="19"/>
      <c r="DO1041" s="19"/>
      <c r="DP1041" s="19"/>
      <c r="DQ1041" s="19"/>
      <c r="DR1041" s="19"/>
      <c r="DS1041" s="19"/>
    </row>
    <row r="1042">
      <c r="CU1042" s="19"/>
      <c r="CV1042" s="19"/>
      <c r="CW1042" s="19"/>
      <c r="CX1042" s="19"/>
      <c r="CY1042" s="19"/>
      <c r="CZ1042" s="19"/>
      <c r="DA1042" s="19"/>
      <c r="DB1042" s="19"/>
      <c r="DC1042" s="19"/>
      <c r="DD1042" s="19"/>
      <c r="DE1042" s="19"/>
      <c r="DF1042" s="19"/>
      <c r="DG1042" s="19"/>
      <c r="DH1042" s="19"/>
      <c r="DI1042" s="19"/>
      <c r="DJ1042" s="19"/>
      <c r="DK1042" s="19"/>
      <c r="DL1042" s="19"/>
      <c r="DM1042" s="19"/>
      <c r="DN1042" s="19"/>
      <c r="DO1042" s="19"/>
      <c r="DP1042" s="19"/>
      <c r="DQ1042" s="19"/>
      <c r="DR1042" s="19"/>
      <c r="DS1042" s="19"/>
    </row>
    <row r="1043">
      <c r="CU1043" s="19"/>
      <c r="CV1043" s="19"/>
      <c r="CW1043" s="19"/>
      <c r="CX1043" s="19"/>
      <c r="CY1043" s="19"/>
      <c r="CZ1043" s="19"/>
      <c r="DA1043" s="19"/>
      <c r="DB1043" s="19"/>
      <c r="DC1043" s="19"/>
      <c r="DD1043" s="19"/>
      <c r="DE1043" s="19"/>
      <c r="DF1043" s="19"/>
      <c r="DG1043" s="19"/>
      <c r="DH1043" s="19"/>
      <c r="DI1043" s="19"/>
      <c r="DJ1043" s="19"/>
      <c r="DK1043" s="19"/>
      <c r="DL1043" s="19"/>
      <c r="DM1043" s="19"/>
      <c r="DN1043" s="19"/>
      <c r="DO1043" s="19"/>
      <c r="DP1043" s="19"/>
      <c r="DQ1043" s="19"/>
      <c r="DR1043" s="19"/>
      <c r="DS1043" s="19"/>
    </row>
    <row r="1044">
      <c r="CU1044" s="19"/>
      <c r="CV1044" s="19"/>
      <c r="CW1044" s="19"/>
      <c r="CX1044" s="19"/>
      <c r="CY1044" s="19"/>
      <c r="CZ1044" s="19"/>
      <c r="DA1044" s="19"/>
      <c r="DB1044" s="19"/>
      <c r="DC1044" s="19"/>
      <c r="DD1044" s="19"/>
      <c r="DE1044" s="19"/>
      <c r="DF1044" s="19"/>
      <c r="DG1044" s="19"/>
      <c r="DH1044" s="19"/>
      <c r="DI1044" s="19"/>
      <c r="DJ1044" s="19"/>
      <c r="DK1044" s="19"/>
      <c r="DL1044" s="19"/>
      <c r="DM1044" s="19"/>
      <c r="DN1044" s="19"/>
      <c r="DO1044" s="19"/>
      <c r="DP1044" s="19"/>
      <c r="DQ1044" s="19"/>
      <c r="DR1044" s="19"/>
      <c r="DS1044" s="19"/>
    </row>
    <row r="1045">
      <c r="CU1045" s="19"/>
      <c r="CV1045" s="19"/>
      <c r="CW1045" s="19"/>
      <c r="CX1045" s="19"/>
      <c r="CY1045" s="19"/>
      <c r="CZ1045" s="19"/>
      <c r="DA1045" s="19"/>
      <c r="DB1045" s="19"/>
      <c r="DC1045" s="19"/>
      <c r="DD1045" s="19"/>
      <c r="DE1045" s="19"/>
      <c r="DF1045" s="19"/>
      <c r="DG1045" s="19"/>
      <c r="DH1045" s="19"/>
      <c r="DI1045" s="19"/>
      <c r="DJ1045" s="19"/>
      <c r="DK1045" s="19"/>
      <c r="DL1045" s="19"/>
      <c r="DM1045" s="19"/>
      <c r="DN1045" s="19"/>
      <c r="DO1045" s="19"/>
      <c r="DP1045" s="19"/>
      <c r="DQ1045" s="19"/>
      <c r="DR1045" s="19"/>
      <c r="DS1045" s="19"/>
    </row>
    <row r="1046">
      <c r="CU1046" s="19"/>
      <c r="CV1046" s="19"/>
      <c r="CW1046" s="19"/>
      <c r="CX1046" s="19"/>
      <c r="CY1046" s="19"/>
      <c r="CZ1046" s="19"/>
      <c r="DA1046" s="19"/>
      <c r="DB1046" s="19"/>
      <c r="DC1046" s="19"/>
      <c r="DD1046" s="19"/>
      <c r="DE1046" s="19"/>
      <c r="DF1046" s="19"/>
      <c r="DG1046" s="19"/>
      <c r="DH1046" s="19"/>
      <c r="DI1046" s="19"/>
      <c r="DJ1046" s="19"/>
      <c r="DK1046" s="19"/>
      <c r="DL1046" s="19"/>
      <c r="DM1046" s="19"/>
      <c r="DN1046" s="19"/>
      <c r="DO1046" s="19"/>
      <c r="DP1046" s="19"/>
      <c r="DQ1046" s="19"/>
      <c r="DR1046" s="19"/>
      <c r="DS1046" s="19"/>
    </row>
    <row r="1047">
      <c r="CU1047" s="19"/>
      <c r="CV1047" s="19"/>
      <c r="CW1047" s="19"/>
      <c r="CX1047" s="19"/>
      <c r="CY1047" s="19"/>
      <c r="CZ1047" s="19"/>
      <c r="DA1047" s="19"/>
      <c r="DB1047" s="19"/>
      <c r="DC1047" s="19"/>
      <c r="DD1047" s="19"/>
      <c r="DE1047" s="19"/>
      <c r="DF1047" s="19"/>
      <c r="DG1047" s="19"/>
      <c r="DH1047" s="19"/>
      <c r="DI1047" s="19"/>
      <c r="DJ1047" s="19"/>
      <c r="DK1047" s="19"/>
      <c r="DL1047" s="19"/>
      <c r="DM1047" s="19"/>
      <c r="DN1047" s="19"/>
      <c r="DO1047" s="19"/>
      <c r="DP1047" s="19"/>
      <c r="DQ1047" s="19"/>
      <c r="DR1047" s="19"/>
      <c r="DS1047" s="19"/>
    </row>
    <row r="1048">
      <c r="CU1048" s="19"/>
      <c r="CV1048" s="19"/>
      <c r="CW1048" s="19"/>
      <c r="CX1048" s="19"/>
      <c r="CY1048" s="19"/>
      <c r="CZ1048" s="19"/>
      <c r="DA1048" s="19"/>
      <c r="DB1048" s="19"/>
      <c r="DC1048" s="19"/>
      <c r="DD1048" s="19"/>
      <c r="DE1048" s="19"/>
      <c r="DF1048" s="19"/>
      <c r="DG1048" s="19"/>
      <c r="DH1048" s="19"/>
      <c r="DI1048" s="19"/>
      <c r="DJ1048" s="19"/>
      <c r="DK1048" s="19"/>
      <c r="DL1048" s="19"/>
      <c r="DM1048" s="19"/>
      <c r="DN1048" s="19"/>
      <c r="DO1048" s="19"/>
      <c r="DP1048" s="19"/>
      <c r="DQ1048" s="19"/>
      <c r="DR1048" s="19"/>
      <c r="DS1048" s="19"/>
    </row>
    <row r="1049">
      <c r="CU1049" s="19"/>
      <c r="CV1049" s="19"/>
      <c r="CW1049" s="19"/>
      <c r="CX1049" s="19"/>
      <c r="CY1049" s="19"/>
      <c r="CZ1049" s="19"/>
      <c r="DA1049" s="19"/>
      <c r="DB1049" s="19"/>
      <c r="DC1049" s="19"/>
      <c r="DD1049" s="19"/>
      <c r="DE1049" s="19"/>
      <c r="DF1049" s="19"/>
      <c r="DG1049" s="19"/>
      <c r="DH1049" s="19"/>
      <c r="DI1049" s="19"/>
      <c r="DJ1049" s="19"/>
      <c r="DK1049" s="19"/>
      <c r="DL1049" s="19"/>
      <c r="DM1049" s="19"/>
      <c r="DN1049" s="19"/>
      <c r="DO1049" s="19"/>
      <c r="DP1049" s="19"/>
      <c r="DQ1049" s="19"/>
      <c r="DR1049" s="19"/>
      <c r="DS1049" s="19"/>
    </row>
    <row r="1050">
      <c r="CU1050" s="19"/>
      <c r="CV1050" s="19"/>
      <c r="CW1050" s="19"/>
      <c r="CX1050" s="19"/>
      <c r="CY1050" s="19"/>
      <c r="CZ1050" s="19"/>
      <c r="DA1050" s="19"/>
      <c r="DB1050" s="19"/>
      <c r="DC1050" s="19"/>
      <c r="DD1050" s="19"/>
      <c r="DE1050" s="19"/>
      <c r="DF1050" s="19"/>
      <c r="DG1050" s="19"/>
      <c r="DH1050" s="19"/>
      <c r="DI1050" s="19"/>
      <c r="DJ1050" s="19"/>
      <c r="DK1050" s="19"/>
      <c r="DL1050" s="19"/>
      <c r="DM1050" s="19"/>
      <c r="DN1050" s="19"/>
      <c r="DO1050" s="19"/>
      <c r="DP1050" s="19"/>
      <c r="DQ1050" s="19"/>
      <c r="DR1050" s="19"/>
      <c r="DS1050" s="19"/>
    </row>
    <row r="1051">
      <c r="CU1051" s="19"/>
      <c r="CV1051" s="19"/>
      <c r="CW1051" s="19"/>
      <c r="CX1051" s="19"/>
      <c r="CY1051" s="19"/>
      <c r="CZ1051" s="19"/>
      <c r="DA1051" s="19"/>
      <c r="DB1051" s="19"/>
      <c r="DC1051" s="19"/>
      <c r="DD1051" s="19"/>
      <c r="DE1051" s="19"/>
      <c r="DF1051" s="19"/>
      <c r="DG1051" s="19"/>
      <c r="DH1051" s="19"/>
      <c r="DI1051" s="19"/>
      <c r="DJ1051" s="19"/>
      <c r="DK1051" s="19"/>
      <c r="DL1051" s="19"/>
      <c r="DM1051" s="19"/>
      <c r="DN1051" s="19"/>
      <c r="DO1051" s="19"/>
      <c r="DP1051" s="19"/>
      <c r="DQ1051" s="19"/>
      <c r="DR1051" s="19"/>
      <c r="DS1051" s="19"/>
    </row>
    <row r="1052">
      <c r="CU1052" s="19"/>
      <c r="CV1052" s="19"/>
      <c r="CW1052" s="19"/>
      <c r="CX1052" s="19"/>
      <c r="CY1052" s="19"/>
      <c r="CZ1052" s="19"/>
      <c r="DA1052" s="19"/>
      <c r="DB1052" s="19"/>
      <c r="DC1052" s="19"/>
      <c r="DD1052" s="19"/>
      <c r="DE1052" s="19"/>
      <c r="DF1052" s="19"/>
      <c r="DG1052" s="19"/>
      <c r="DH1052" s="19"/>
      <c r="DI1052" s="19"/>
      <c r="DJ1052" s="19"/>
      <c r="DK1052" s="19"/>
      <c r="DL1052" s="19"/>
      <c r="DM1052" s="19"/>
      <c r="DN1052" s="19"/>
      <c r="DO1052" s="19"/>
      <c r="DP1052" s="19"/>
      <c r="DQ1052" s="19"/>
      <c r="DR1052" s="19"/>
      <c r="DS1052" s="19"/>
    </row>
    <row r="1053">
      <c r="CU1053" s="19"/>
      <c r="CV1053" s="19"/>
      <c r="CW1053" s="19"/>
      <c r="CX1053" s="19"/>
      <c r="CY1053" s="19"/>
      <c r="CZ1053" s="19"/>
      <c r="DA1053" s="19"/>
      <c r="DB1053" s="19"/>
      <c r="DC1053" s="19"/>
      <c r="DD1053" s="19"/>
      <c r="DE1053" s="19"/>
      <c r="DF1053" s="19"/>
      <c r="DG1053" s="19"/>
      <c r="DH1053" s="19"/>
      <c r="DI1053" s="19"/>
      <c r="DJ1053" s="19"/>
      <c r="DK1053" s="19"/>
      <c r="DL1053" s="19"/>
      <c r="DM1053" s="19"/>
      <c r="DN1053" s="19"/>
      <c r="DO1053" s="19"/>
      <c r="DP1053" s="19"/>
      <c r="DQ1053" s="19"/>
      <c r="DR1053" s="19"/>
      <c r="DS1053" s="19"/>
    </row>
    <row r="1054">
      <c r="CU1054" s="19"/>
      <c r="CV1054" s="19"/>
      <c r="CW1054" s="19"/>
      <c r="CX1054" s="19"/>
      <c r="CY1054" s="19"/>
      <c r="CZ1054" s="19"/>
      <c r="DA1054" s="19"/>
      <c r="DB1054" s="19"/>
      <c r="DC1054" s="19"/>
      <c r="DD1054" s="19"/>
      <c r="DE1054" s="19"/>
      <c r="DF1054" s="19"/>
      <c r="DG1054" s="19"/>
      <c r="DH1054" s="19"/>
      <c r="DI1054" s="19"/>
      <c r="DJ1054" s="19"/>
      <c r="DK1054" s="19"/>
      <c r="DL1054" s="19"/>
      <c r="DM1054" s="19"/>
      <c r="DN1054" s="19"/>
      <c r="DO1054" s="19"/>
      <c r="DP1054" s="19"/>
      <c r="DQ1054" s="19"/>
      <c r="DR1054" s="19"/>
      <c r="DS1054" s="19"/>
    </row>
    <row r="1055">
      <c r="CU1055" s="19"/>
      <c r="CV1055" s="19"/>
      <c r="CW1055" s="19"/>
      <c r="CX1055" s="19"/>
      <c r="CY1055" s="19"/>
      <c r="CZ1055" s="19"/>
      <c r="DA1055" s="19"/>
      <c r="DB1055" s="19"/>
      <c r="DC1055" s="19"/>
      <c r="DD1055" s="19"/>
      <c r="DE1055" s="19"/>
      <c r="DF1055" s="19"/>
      <c r="DG1055" s="19"/>
      <c r="DH1055" s="19"/>
      <c r="DI1055" s="19"/>
      <c r="DJ1055" s="19"/>
      <c r="DK1055" s="19"/>
      <c r="DL1055" s="19"/>
      <c r="DM1055" s="19"/>
      <c r="DN1055" s="19"/>
      <c r="DO1055" s="19"/>
      <c r="DP1055" s="19"/>
      <c r="DQ1055" s="19"/>
      <c r="DR1055" s="19"/>
      <c r="DS1055" s="19"/>
    </row>
    <row r="1056">
      <c r="CU1056" s="19"/>
      <c r="CV1056" s="19"/>
      <c r="CW1056" s="19"/>
      <c r="CX1056" s="19"/>
      <c r="CY1056" s="19"/>
      <c r="CZ1056" s="19"/>
      <c r="DA1056" s="19"/>
      <c r="DB1056" s="19"/>
      <c r="DC1056" s="19"/>
      <c r="DD1056" s="19"/>
      <c r="DE1056" s="19"/>
      <c r="DF1056" s="19"/>
      <c r="DG1056" s="19"/>
      <c r="DH1056" s="19"/>
      <c r="DI1056" s="19"/>
      <c r="DJ1056" s="19"/>
      <c r="DK1056" s="19"/>
      <c r="DL1056" s="19"/>
      <c r="DM1056" s="19"/>
      <c r="DN1056" s="19"/>
      <c r="DO1056" s="19"/>
      <c r="DP1056" s="19"/>
      <c r="DQ1056" s="19"/>
      <c r="DR1056" s="19"/>
      <c r="DS1056" s="19"/>
    </row>
    <row r="1057">
      <c r="CU1057" s="19"/>
      <c r="CV1057" s="19"/>
      <c r="CW1057" s="19"/>
      <c r="CX1057" s="19"/>
      <c r="CY1057" s="19"/>
      <c r="CZ1057" s="19"/>
      <c r="DA1057" s="19"/>
      <c r="DB1057" s="19"/>
      <c r="DC1057" s="19"/>
      <c r="DD1057" s="19"/>
      <c r="DE1057" s="19"/>
      <c r="DF1057" s="19"/>
      <c r="DG1057" s="19"/>
      <c r="DH1057" s="19"/>
      <c r="DI1057" s="19"/>
      <c r="DJ1057" s="19"/>
      <c r="DK1057" s="19"/>
      <c r="DL1057" s="19"/>
      <c r="DM1057" s="19"/>
      <c r="DN1057" s="19"/>
      <c r="DO1057" s="19"/>
      <c r="DP1057" s="19"/>
      <c r="DQ1057" s="19"/>
      <c r="DR1057" s="19"/>
      <c r="DS1057" s="19"/>
    </row>
    <row r="1058">
      <c r="CU1058" s="19"/>
      <c r="CV1058" s="19"/>
      <c r="CW1058" s="19"/>
      <c r="CX1058" s="19"/>
      <c r="CY1058" s="19"/>
      <c r="CZ1058" s="19"/>
      <c r="DA1058" s="19"/>
      <c r="DB1058" s="19"/>
      <c r="DC1058" s="19"/>
      <c r="DD1058" s="19"/>
      <c r="DE1058" s="19"/>
      <c r="DF1058" s="19"/>
      <c r="DG1058" s="19"/>
      <c r="DH1058" s="19"/>
      <c r="DI1058" s="19"/>
      <c r="DJ1058" s="19"/>
      <c r="DK1058" s="19"/>
      <c r="DL1058" s="19"/>
      <c r="DM1058" s="19"/>
      <c r="DN1058" s="19"/>
      <c r="DO1058" s="19"/>
      <c r="DP1058" s="19"/>
      <c r="DQ1058" s="19"/>
      <c r="DR1058" s="19"/>
      <c r="DS1058" s="19"/>
    </row>
    <row r="1059">
      <c r="CU1059" s="19"/>
      <c r="CV1059" s="19"/>
      <c r="CW1059" s="19"/>
      <c r="CX1059" s="19"/>
      <c r="CY1059" s="19"/>
      <c r="CZ1059" s="19"/>
      <c r="DA1059" s="19"/>
      <c r="DB1059" s="19"/>
      <c r="DC1059" s="19"/>
      <c r="DD1059" s="19"/>
      <c r="DE1059" s="19"/>
      <c r="DF1059" s="19"/>
      <c r="DG1059" s="19"/>
      <c r="DH1059" s="19"/>
      <c r="DI1059" s="19"/>
      <c r="DJ1059" s="19"/>
      <c r="DK1059" s="19"/>
      <c r="DL1059" s="19"/>
      <c r="DM1059" s="19"/>
      <c r="DN1059" s="19"/>
      <c r="DO1059" s="19"/>
      <c r="DP1059" s="19"/>
      <c r="DQ1059" s="19"/>
      <c r="DR1059" s="19"/>
      <c r="DS1059" s="19"/>
    </row>
    <row r="1060">
      <c r="CU1060" s="19"/>
      <c r="CV1060" s="19"/>
      <c r="CW1060" s="19"/>
      <c r="CX1060" s="19"/>
      <c r="CY1060" s="19"/>
      <c r="CZ1060" s="19"/>
      <c r="DA1060" s="19"/>
      <c r="DB1060" s="19"/>
      <c r="DC1060" s="19"/>
      <c r="DD1060" s="19"/>
      <c r="DE1060" s="19"/>
      <c r="DF1060" s="19"/>
      <c r="DG1060" s="19"/>
      <c r="DH1060" s="19"/>
      <c r="DI1060" s="19"/>
      <c r="DJ1060" s="19"/>
      <c r="DK1060" s="19"/>
      <c r="DL1060" s="19"/>
      <c r="DM1060" s="19"/>
      <c r="DN1060" s="19"/>
      <c r="DO1060" s="19"/>
      <c r="DP1060" s="19"/>
      <c r="DQ1060" s="19"/>
      <c r="DR1060" s="19"/>
      <c r="DS1060" s="19"/>
    </row>
    <row r="1061">
      <c r="CU1061" s="19"/>
      <c r="CV1061" s="19"/>
      <c r="CW1061" s="19"/>
      <c r="CX1061" s="19"/>
      <c r="CY1061" s="19"/>
      <c r="CZ1061" s="19"/>
      <c r="DA1061" s="19"/>
      <c r="DB1061" s="19"/>
      <c r="DC1061" s="19"/>
      <c r="DD1061" s="19"/>
      <c r="DE1061" s="19"/>
      <c r="DF1061" s="19"/>
      <c r="DG1061" s="19"/>
      <c r="DH1061" s="19"/>
      <c r="DI1061" s="19"/>
      <c r="DJ1061" s="19"/>
      <c r="DK1061" s="19"/>
      <c r="DL1061" s="19"/>
      <c r="DM1061" s="19"/>
      <c r="DN1061" s="19"/>
      <c r="DO1061" s="19"/>
      <c r="DP1061" s="19"/>
      <c r="DQ1061" s="19"/>
      <c r="DR1061" s="19"/>
      <c r="DS1061" s="19"/>
    </row>
    <row r="1062">
      <c r="CU1062" s="19"/>
      <c r="CV1062" s="19"/>
      <c r="CW1062" s="19"/>
      <c r="CX1062" s="19"/>
      <c r="CY1062" s="19"/>
      <c r="CZ1062" s="19"/>
      <c r="DA1062" s="19"/>
      <c r="DB1062" s="19"/>
      <c r="DC1062" s="19"/>
      <c r="DD1062" s="19"/>
      <c r="DE1062" s="19"/>
      <c r="DF1062" s="19"/>
      <c r="DG1062" s="19"/>
      <c r="DH1062" s="19"/>
      <c r="DI1062" s="19"/>
      <c r="DJ1062" s="19"/>
      <c r="DK1062" s="19"/>
      <c r="DL1062" s="19"/>
      <c r="DM1062" s="19"/>
      <c r="DN1062" s="19"/>
      <c r="DO1062" s="19"/>
      <c r="DP1062" s="19"/>
      <c r="DQ1062" s="19"/>
      <c r="DR1062" s="19"/>
      <c r="DS1062" s="19"/>
    </row>
    <row r="1063">
      <c r="CU1063" s="19"/>
      <c r="CV1063" s="19"/>
      <c r="CW1063" s="19"/>
      <c r="CX1063" s="19"/>
      <c r="CY1063" s="19"/>
      <c r="CZ1063" s="19"/>
      <c r="DA1063" s="19"/>
      <c r="DB1063" s="19"/>
      <c r="DC1063" s="19"/>
      <c r="DD1063" s="19"/>
      <c r="DE1063" s="19"/>
      <c r="DF1063" s="19"/>
      <c r="DG1063" s="19"/>
      <c r="DH1063" s="19"/>
      <c r="DI1063" s="19"/>
      <c r="DJ1063" s="19"/>
      <c r="DK1063" s="19"/>
      <c r="DL1063" s="19"/>
      <c r="DM1063" s="19"/>
      <c r="DN1063" s="19"/>
      <c r="DO1063" s="19"/>
      <c r="DP1063" s="19"/>
      <c r="DQ1063" s="19"/>
      <c r="DR1063" s="19"/>
      <c r="DS1063" s="19"/>
    </row>
    <row r="1064">
      <c r="CU1064" s="19"/>
      <c r="CV1064" s="19"/>
      <c r="CW1064" s="19"/>
      <c r="CX1064" s="19"/>
      <c r="CY1064" s="19"/>
      <c r="CZ1064" s="19"/>
      <c r="DA1064" s="19"/>
      <c r="DB1064" s="19"/>
      <c r="DC1064" s="19"/>
      <c r="DD1064" s="19"/>
      <c r="DE1064" s="19"/>
      <c r="DF1064" s="19"/>
      <c r="DG1064" s="19"/>
      <c r="DH1064" s="19"/>
      <c r="DI1064" s="19"/>
      <c r="DJ1064" s="19"/>
      <c r="DK1064" s="19"/>
      <c r="DL1064" s="19"/>
      <c r="DM1064" s="19"/>
      <c r="DN1064" s="19"/>
      <c r="DO1064" s="19"/>
      <c r="DP1064" s="19"/>
      <c r="DQ1064" s="19"/>
      <c r="DR1064" s="19"/>
      <c r="DS1064" s="19"/>
    </row>
    <row r="1065">
      <c r="CU1065" s="19"/>
      <c r="CV1065" s="19"/>
      <c r="CW1065" s="19"/>
      <c r="CX1065" s="19"/>
      <c r="CY1065" s="19"/>
      <c r="CZ1065" s="19"/>
      <c r="DA1065" s="19"/>
      <c r="DB1065" s="19"/>
      <c r="DC1065" s="19"/>
      <c r="DD1065" s="19"/>
      <c r="DE1065" s="19"/>
      <c r="DF1065" s="19"/>
      <c r="DG1065" s="19"/>
      <c r="DH1065" s="19"/>
      <c r="DI1065" s="19"/>
      <c r="DJ1065" s="19"/>
      <c r="DK1065" s="19"/>
      <c r="DL1065" s="19"/>
      <c r="DM1065" s="19"/>
      <c r="DN1065" s="19"/>
      <c r="DO1065" s="19"/>
      <c r="DP1065" s="19"/>
      <c r="DQ1065" s="19"/>
      <c r="DR1065" s="19"/>
      <c r="DS1065" s="19"/>
    </row>
    <row r="1066">
      <c r="CU1066" s="19"/>
      <c r="CV1066" s="19"/>
      <c r="CW1066" s="19"/>
      <c r="CX1066" s="19"/>
      <c r="CY1066" s="19"/>
      <c r="CZ1066" s="19"/>
      <c r="DA1066" s="19"/>
      <c r="DB1066" s="19"/>
      <c r="DC1066" s="19"/>
      <c r="DD1066" s="19"/>
      <c r="DE1066" s="19"/>
      <c r="DF1066" s="19"/>
      <c r="DG1066" s="19"/>
      <c r="DH1066" s="19"/>
      <c r="DI1066" s="19"/>
      <c r="DJ1066" s="19"/>
      <c r="DK1066" s="19"/>
      <c r="DL1066" s="19"/>
      <c r="DM1066" s="19"/>
      <c r="DN1066" s="19"/>
      <c r="DO1066" s="19"/>
      <c r="DP1066" s="19"/>
      <c r="DQ1066" s="19"/>
      <c r="DR1066" s="19"/>
      <c r="DS1066" s="19"/>
    </row>
    <row r="1067">
      <c r="CU1067" s="19"/>
      <c r="CV1067" s="19"/>
      <c r="CW1067" s="19"/>
      <c r="CX1067" s="19"/>
      <c r="CY1067" s="19"/>
      <c r="CZ1067" s="19"/>
      <c r="DA1067" s="19"/>
      <c r="DB1067" s="19"/>
      <c r="DC1067" s="19"/>
      <c r="DD1067" s="19"/>
      <c r="DE1067" s="19"/>
      <c r="DF1067" s="19"/>
      <c r="DG1067" s="19"/>
      <c r="DH1067" s="19"/>
      <c r="DI1067" s="19"/>
      <c r="DJ1067" s="19"/>
      <c r="DK1067" s="19"/>
      <c r="DL1067" s="19"/>
      <c r="DM1067" s="19"/>
      <c r="DN1067" s="19"/>
      <c r="DO1067" s="19"/>
      <c r="DP1067" s="19"/>
      <c r="DQ1067" s="19"/>
      <c r="DR1067" s="19"/>
      <c r="DS1067" s="19"/>
    </row>
    <row r="1068">
      <c r="CU1068" s="19"/>
      <c r="CV1068" s="19"/>
      <c r="CW1068" s="19"/>
      <c r="CX1068" s="19"/>
      <c r="CY1068" s="19"/>
      <c r="CZ1068" s="19"/>
      <c r="DA1068" s="19"/>
      <c r="DB1068" s="19"/>
      <c r="DC1068" s="19"/>
      <c r="DD1068" s="19"/>
      <c r="DE1068" s="19"/>
      <c r="DF1068" s="19"/>
      <c r="DG1068" s="19"/>
      <c r="DH1068" s="19"/>
      <c r="DI1068" s="19"/>
      <c r="DJ1068" s="19"/>
      <c r="DK1068" s="19"/>
      <c r="DL1068" s="19"/>
      <c r="DM1068" s="19"/>
      <c r="DN1068" s="19"/>
      <c r="DO1068" s="19"/>
      <c r="DP1068" s="19"/>
      <c r="DQ1068" s="19"/>
      <c r="DR1068" s="19"/>
      <c r="DS1068" s="19"/>
    </row>
    <row r="1069">
      <c r="CU1069" s="19"/>
      <c r="CV1069" s="19"/>
      <c r="CW1069" s="19"/>
      <c r="CX1069" s="19"/>
      <c r="CY1069" s="19"/>
      <c r="CZ1069" s="19"/>
      <c r="DA1069" s="19"/>
      <c r="DB1069" s="19"/>
      <c r="DC1069" s="19"/>
      <c r="DD1069" s="19"/>
      <c r="DE1069" s="19"/>
      <c r="DF1069" s="19"/>
      <c r="DG1069" s="19"/>
      <c r="DH1069" s="19"/>
      <c r="DI1069" s="19"/>
      <c r="DJ1069" s="19"/>
      <c r="DK1069" s="19"/>
      <c r="DL1069" s="19"/>
      <c r="DM1069" s="19"/>
      <c r="DN1069" s="19"/>
      <c r="DO1069" s="19"/>
      <c r="DP1069" s="19"/>
      <c r="DQ1069" s="19"/>
      <c r="DR1069" s="19"/>
      <c r="DS1069" s="19"/>
    </row>
    <row r="1070">
      <c r="CU1070" s="19"/>
      <c r="CV1070" s="19"/>
      <c r="CW1070" s="19"/>
      <c r="CX1070" s="19"/>
      <c r="CY1070" s="19"/>
      <c r="CZ1070" s="19"/>
      <c r="DA1070" s="19"/>
      <c r="DB1070" s="19"/>
      <c r="DC1070" s="19"/>
      <c r="DD1070" s="19"/>
      <c r="DE1070" s="19"/>
      <c r="DF1070" s="19"/>
      <c r="DG1070" s="19"/>
      <c r="DH1070" s="19"/>
      <c r="DI1070" s="19"/>
      <c r="DJ1070" s="19"/>
      <c r="DK1070" s="19"/>
      <c r="DL1070" s="19"/>
      <c r="DM1070" s="19"/>
      <c r="DN1070" s="19"/>
      <c r="DO1070" s="19"/>
      <c r="DP1070" s="19"/>
      <c r="DQ1070" s="19"/>
      <c r="DR1070" s="19"/>
      <c r="DS1070" s="19"/>
    </row>
    <row r="1071">
      <c r="CU1071" s="19"/>
      <c r="CV1071" s="19"/>
      <c r="CW1071" s="19"/>
      <c r="CX1071" s="19"/>
      <c r="CY1071" s="19"/>
      <c r="CZ1071" s="19"/>
      <c r="DA1071" s="19"/>
      <c r="DB1071" s="19"/>
      <c r="DC1071" s="19"/>
      <c r="DD1071" s="19"/>
      <c r="DE1071" s="19"/>
      <c r="DF1071" s="19"/>
      <c r="DG1071" s="19"/>
      <c r="DH1071" s="19"/>
      <c r="DI1071" s="19"/>
      <c r="DJ1071" s="19"/>
      <c r="DK1071" s="19"/>
      <c r="DL1071" s="19"/>
      <c r="DM1071" s="19"/>
      <c r="DN1071" s="19"/>
      <c r="DO1071" s="19"/>
      <c r="DP1071" s="19"/>
      <c r="DQ1071" s="19"/>
      <c r="DR1071" s="19"/>
      <c r="DS1071" s="19"/>
    </row>
    <row r="1072">
      <c r="CU1072" s="19"/>
      <c r="CV1072" s="19"/>
      <c r="CW1072" s="19"/>
      <c r="CX1072" s="19"/>
      <c r="CY1072" s="19"/>
      <c r="CZ1072" s="19"/>
      <c r="DA1072" s="19"/>
      <c r="DB1072" s="19"/>
      <c r="DC1072" s="19"/>
      <c r="DD1072" s="19"/>
      <c r="DE1072" s="19"/>
      <c r="DF1072" s="19"/>
      <c r="DG1072" s="19"/>
      <c r="DH1072" s="19"/>
      <c r="DI1072" s="19"/>
      <c r="DJ1072" s="19"/>
      <c r="DK1072" s="19"/>
      <c r="DL1072" s="19"/>
      <c r="DM1072" s="19"/>
      <c r="DN1072" s="19"/>
      <c r="DO1072" s="19"/>
      <c r="DP1072" s="19"/>
      <c r="DQ1072" s="19"/>
      <c r="DR1072" s="19"/>
      <c r="DS1072" s="19"/>
    </row>
    <row r="1073">
      <c r="CU1073" s="19"/>
      <c r="CV1073" s="19"/>
      <c r="CW1073" s="19"/>
      <c r="CX1073" s="19"/>
      <c r="CY1073" s="19"/>
      <c r="CZ1073" s="19"/>
      <c r="DA1073" s="19"/>
      <c r="DB1073" s="19"/>
      <c r="DC1073" s="19"/>
      <c r="DD1073" s="19"/>
      <c r="DE1073" s="19"/>
      <c r="DF1073" s="19"/>
      <c r="DG1073" s="19"/>
      <c r="DH1073" s="19"/>
      <c r="DI1073" s="19"/>
      <c r="DJ1073" s="19"/>
      <c r="DK1073" s="19"/>
      <c r="DL1073" s="19"/>
      <c r="DM1073" s="19"/>
      <c r="DN1073" s="19"/>
      <c r="DO1073" s="19"/>
      <c r="DP1073" s="19"/>
      <c r="DQ1073" s="19"/>
      <c r="DR1073" s="19"/>
      <c r="DS1073" s="19"/>
    </row>
    <row r="1074">
      <c r="CU1074" s="19"/>
      <c r="CV1074" s="19"/>
      <c r="CW1074" s="19"/>
      <c r="CX1074" s="19"/>
      <c r="CY1074" s="19"/>
      <c r="CZ1074" s="19"/>
      <c r="DA1074" s="19"/>
      <c r="DB1074" s="19"/>
      <c r="DC1074" s="19"/>
      <c r="DD1074" s="19"/>
      <c r="DE1074" s="19"/>
      <c r="DF1074" s="19"/>
      <c r="DG1074" s="19"/>
      <c r="DH1074" s="19"/>
      <c r="DI1074" s="19"/>
      <c r="DJ1074" s="19"/>
      <c r="DK1074" s="19"/>
      <c r="DL1074" s="19"/>
      <c r="DM1074" s="19"/>
      <c r="DN1074" s="19"/>
      <c r="DO1074" s="19"/>
      <c r="DP1074" s="19"/>
      <c r="DQ1074" s="19"/>
      <c r="DR1074" s="19"/>
      <c r="DS1074" s="19"/>
    </row>
    <row r="1075">
      <c r="CU1075" s="19"/>
      <c r="CV1075" s="19"/>
      <c r="CW1075" s="19"/>
      <c r="CX1075" s="19"/>
      <c r="CY1075" s="19"/>
      <c r="CZ1075" s="19"/>
      <c r="DA1075" s="19"/>
      <c r="DB1075" s="19"/>
      <c r="DC1075" s="19"/>
      <c r="DD1075" s="19"/>
      <c r="DE1075" s="19"/>
      <c r="DF1075" s="19"/>
      <c r="DG1075" s="19"/>
      <c r="DH1075" s="19"/>
      <c r="DI1075" s="19"/>
      <c r="DJ1075" s="19"/>
      <c r="DK1075" s="19"/>
      <c r="DL1075" s="19"/>
      <c r="DM1075" s="19"/>
      <c r="DN1075" s="19"/>
      <c r="DO1075" s="19"/>
      <c r="DP1075" s="19"/>
      <c r="DQ1075" s="19"/>
      <c r="DR1075" s="19"/>
      <c r="DS1075" s="19"/>
    </row>
    <row r="1076">
      <c r="CU1076" s="19"/>
      <c r="CV1076" s="19"/>
      <c r="CW1076" s="19"/>
      <c r="CX1076" s="19"/>
      <c r="CY1076" s="19"/>
      <c r="CZ1076" s="19"/>
      <c r="DA1076" s="19"/>
      <c r="DB1076" s="19"/>
      <c r="DC1076" s="19"/>
      <c r="DD1076" s="19"/>
      <c r="DE1076" s="19"/>
      <c r="DF1076" s="19"/>
      <c r="DG1076" s="19"/>
      <c r="DH1076" s="19"/>
      <c r="DI1076" s="19"/>
      <c r="DJ1076" s="19"/>
      <c r="DK1076" s="19"/>
      <c r="DL1076" s="19"/>
      <c r="DM1076" s="19"/>
      <c r="DN1076" s="19"/>
      <c r="DO1076" s="19"/>
      <c r="DP1076" s="19"/>
      <c r="DQ1076" s="19"/>
      <c r="DR1076" s="19"/>
      <c r="DS1076" s="19"/>
    </row>
    <row r="1077">
      <c r="CU1077" s="19"/>
      <c r="CV1077" s="19"/>
      <c r="CW1077" s="19"/>
      <c r="CX1077" s="19"/>
      <c r="CY1077" s="19"/>
      <c r="CZ1077" s="19"/>
      <c r="DA1077" s="19"/>
      <c r="DB1077" s="19"/>
      <c r="DC1077" s="19"/>
      <c r="DD1077" s="19"/>
      <c r="DE1077" s="19"/>
      <c r="DF1077" s="19"/>
      <c r="DG1077" s="19"/>
      <c r="DH1077" s="19"/>
      <c r="DI1077" s="19"/>
      <c r="DJ1077" s="19"/>
      <c r="DK1077" s="19"/>
      <c r="DL1077" s="19"/>
      <c r="DM1077" s="19"/>
      <c r="DN1077" s="19"/>
      <c r="DO1077" s="19"/>
      <c r="DP1077" s="19"/>
      <c r="DQ1077" s="19"/>
      <c r="DR1077" s="19"/>
      <c r="DS1077" s="19"/>
    </row>
    <row r="1078">
      <c r="CU1078" s="19"/>
      <c r="CV1078" s="19"/>
      <c r="CW1078" s="19"/>
      <c r="CX1078" s="19"/>
      <c r="CY1078" s="19"/>
      <c r="CZ1078" s="19"/>
      <c r="DA1078" s="19"/>
      <c r="DB1078" s="19"/>
      <c r="DC1078" s="19"/>
      <c r="DD1078" s="19"/>
      <c r="DE1078" s="19"/>
      <c r="DF1078" s="19"/>
      <c r="DG1078" s="19"/>
      <c r="DH1078" s="19"/>
      <c r="DI1078" s="19"/>
      <c r="DJ1078" s="19"/>
      <c r="DK1078" s="19"/>
      <c r="DL1078" s="19"/>
      <c r="DM1078" s="19"/>
      <c r="DN1078" s="19"/>
      <c r="DO1078" s="19"/>
      <c r="DP1078" s="19"/>
      <c r="DQ1078" s="19"/>
      <c r="DR1078" s="19"/>
      <c r="DS1078" s="19"/>
    </row>
    <row r="1079">
      <c r="CU1079" s="19"/>
      <c r="CV1079" s="19"/>
      <c r="CW1079" s="19"/>
      <c r="CX1079" s="19"/>
      <c r="CY1079" s="19"/>
      <c r="CZ1079" s="19"/>
      <c r="DA1079" s="19"/>
      <c r="DB1079" s="19"/>
      <c r="DC1079" s="19"/>
      <c r="DD1079" s="19"/>
      <c r="DE1079" s="19"/>
      <c r="DF1079" s="19"/>
      <c r="DG1079" s="19"/>
      <c r="DH1079" s="19"/>
      <c r="DI1079" s="19"/>
      <c r="DJ1079" s="19"/>
      <c r="DK1079" s="19"/>
      <c r="DL1079" s="19"/>
      <c r="DM1079" s="19"/>
      <c r="DN1079" s="19"/>
      <c r="DO1079" s="19"/>
      <c r="DP1079" s="19"/>
      <c r="DQ1079" s="19"/>
      <c r="DR1079" s="19"/>
      <c r="DS1079" s="19"/>
    </row>
    <row r="1080">
      <c r="CU1080" s="19"/>
      <c r="CV1080" s="19"/>
      <c r="CW1080" s="19"/>
      <c r="CX1080" s="19"/>
      <c r="CY1080" s="19"/>
      <c r="CZ1080" s="19"/>
      <c r="DA1080" s="19"/>
      <c r="DB1080" s="19"/>
      <c r="DC1080" s="19"/>
      <c r="DD1080" s="19"/>
      <c r="DE1080" s="19"/>
      <c r="DF1080" s="19"/>
      <c r="DG1080" s="19"/>
      <c r="DH1080" s="19"/>
      <c r="DI1080" s="19"/>
      <c r="DJ1080" s="19"/>
      <c r="DK1080" s="19"/>
      <c r="DL1080" s="19"/>
      <c r="DM1080" s="19"/>
      <c r="DN1080" s="19"/>
      <c r="DO1080" s="19"/>
      <c r="DP1080" s="19"/>
      <c r="DQ1080" s="19"/>
      <c r="DR1080" s="19"/>
      <c r="DS1080" s="19"/>
    </row>
    <row r="1081">
      <c r="CU1081" s="19"/>
      <c r="CV1081" s="19"/>
      <c r="CW1081" s="19"/>
      <c r="CX1081" s="19"/>
      <c r="CY1081" s="19"/>
      <c r="CZ1081" s="19"/>
      <c r="DA1081" s="19"/>
      <c r="DB1081" s="19"/>
      <c r="DC1081" s="19"/>
      <c r="DD1081" s="19"/>
      <c r="DE1081" s="19"/>
      <c r="DF1081" s="19"/>
      <c r="DG1081" s="19"/>
      <c r="DH1081" s="19"/>
      <c r="DI1081" s="19"/>
      <c r="DJ1081" s="19"/>
      <c r="DK1081" s="19"/>
      <c r="DL1081" s="19"/>
      <c r="DM1081" s="19"/>
      <c r="DN1081" s="19"/>
      <c r="DO1081" s="19"/>
      <c r="DP1081" s="19"/>
      <c r="DQ1081" s="19"/>
      <c r="DR1081" s="19"/>
      <c r="DS1081" s="19"/>
    </row>
    <row r="1082">
      <c r="CU1082" s="19"/>
      <c r="CV1082" s="19"/>
      <c r="CW1082" s="19"/>
      <c r="CX1082" s="19"/>
      <c r="CY1082" s="19"/>
      <c r="CZ1082" s="19"/>
      <c r="DA1082" s="19"/>
      <c r="DB1082" s="19"/>
      <c r="DC1082" s="19"/>
      <c r="DD1082" s="19"/>
      <c r="DE1082" s="19"/>
      <c r="DF1082" s="19"/>
      <c r="DG1082" s="19"/>
      <c r="DH1082" s="19"/>
      <c r="DI1082" s="19"/>
      <c r="DJ1082" s="19"/>
      <c r="DK1082" s="19"/>
      <c r="DL1082" s="19"/>
      <c r="DM1082" s="19"/>
      <c r="DN1082" s="19"/>
      <c r="DO1082" s="19"/>
      <c r="DP1082" s="19"/>
      <c r="DQ1082" s="19"/>
      <c r="DR1082" s="19"/>
      <c r="DS1082" s="19"/>
    </row>
    <row r="1083">
      <c r="CU1083" s="19"/>
      <c r="CV1083" s="19"/>
      <c r="CW1083" s="19"/>
      <c r="CX1083" s="19"/>
      <c r="CY1083" s="19"/>
      <c r="CZ1083" s="19"/>
      <c r="DA1083" s="19"/>
      <c r="DB1083" s="19"/>
      <c r="DC1083" s="19"/>
      <c r="DD1083" s="19"/>
      <c r="DE1083" s="19"/>
      <c r="DF1083" s="19"/>
      <c r="DG1083" s="19"/>
      <c r="DH1083" s="19"/>
      <c r="DI1083" s="19"/>
      <c r="DJ1083" s="19"/>
      <c r="DK1083" s="19"/>
      <c r="DL1083" s="19"/>
      <c r="DM1083" s="19"/>
      <c r="DN1083" s="19"/>
      <c r="DO1083" s="19"/>
      <c r="DP1083" s="19"/>
      <c r="DQ1083" s="19"/>
      <c r="DR1083" s="19"/>
      <c r="DS1083" s="19"/>
    </row>
    <row r="1084">
      <c r="CU1084" s="19"/>
      <c r="CV1084" s="19"/>
      <c r="CW1084" s="19"/>
      <c r="CX1084" s="19"/>
      <c r="CY1084" s="19"/>
      <c r="CZ1084" s="19"/>
      <c r="DA1084" s="19"/>
      <c r="DB1084" s="19"/>
      <c r="DC1084" s="19"/>
      <c r="DD1084" s="19"/>
      <c r="DE1084" s="19"/>
      <c r="DF1084" s="19"/>
      <c r="DG1084" s="19"/>
      <c r="DH1084" s="19"/>
      <c r="DI1084" s="19"/>
      <c r="DJ1084" s="19"/>
      <c r="DK1084" s="19"/>
      <c r="DL1084" s="19"/>
      <c r="DM1084" s="19"/>
      <c r="DN1084" s="19"/>
      <c r="DO1084" s="19"/>
      <c r="DP1084" s="19"/>
      <c r="DQ1084" s="19"/>
      <c r="DR1084" s="19"/>
      <c r="DS1084" s="19"/>
    </row>
    <row r="1085">
      <c r="CU1085" s="19"/>
      <c r="CV1085" s="19"/>
      <c r="CW1085" s="19"/>
      <c r="CX1085" s="19"/>
      <c r="CY1085" s="19"/>
      <c r="CZ1085" s="19"/>
      <c r="DA1085" s="19"/>
      <c r="DB1085" s="19"/>
      <c r="DC1085" s="19"/>
      <c r="DD1085" s="19"/>
      <c r="DE1085" s="19"/>
      <c r="DF1085" s="19"/>
      <c r="DG1085" s="19"/>
      <c r="DH1085" s="19"/>
      <c r="DI1085" s="19"/>
      <c r="DJ1085" s="19"/>
      <c r="DK1085" s="19"/>
      <c r="DL1085" s="19"/>
      <c r="DM1085" s="19"/>
      <c r="DN1085" s="19"/>
      <c r="DO1085" s="19"/>
      <c r="DP1085" s="19"/>
      <c r="DQ1085" s="19"/>
      <c r="DR1085" s="19"/>
      <c r="DS1085" s="19"/>
    </row>
    <row r="1086">
      <c r="CU1086" s="19"/>
      <c r="CV1086" s="19"/>
      <c r="CW1086" s="19"/>
      <c r="CX1086" s="19"/>
      <c r="CY1086" s="19"/>
      <c r="CZ1086" s="19"/>
      <c r="DA1086" s="19"/>
      <c r="DB1086" s="19"/>
      <c r="DC1086" s="19"/>
      <c r="DD1086" s="19"/>
      <c r="DE1086" s="19"/>
      <c r="DF1086" s="19"/>
      <c r="DG1086" s="19"/>
      <c r="DH1086" s="19"/>
      <c r="DI1086" s="19"/>
      <c r="DJ1086" s="19"/>
      <c r="DK1086" s="19"/>
      <c r="DL1086" s="19"/>
      <c r="DM1086" s="19"/>
      <c r="DN1086" s="19"/>
      <c r="DO1086" s="19"/>
      <c r="DP1086" s="19"/>
      <c r="DQ1086" s="19"/>
      <c r="DR1086" s="19"/>
      <c r="DS1086" s="19"/>
    </row>
    <row r="1087">
      <c r="CU1087" s="19"/>
      <c r="CV1087" s="19"/>
      <c r="CW1087" s="19"/>
      <c r="CX1087" s="19"/>
      <c r="CY1087" s="19"/>
      <c r="CZ1087" s="19"/>
      <c r="DA1087" s="19"/>
      <c r="DB1087" s="19"/>
      <c r="DC1087" s="19"/>
      <c r="DD1087" s="19"/>
      <c r="DE1087" s="19"/>
      <c r="DF1087" s="19"/>
      <c r="DG1087" s="19"/>
      <c r="DH1087" s="19"/>
      <c r="DI1087" s="19"/>
      <c r="DJ1087" s="19"/>
      <c r="DK1087" s="19"/>
      <c r="DL1087" s="19"/>
      <c r="DM1087" s="19"/>
      <c r="DN1087" s="19"/>
      <c r="DO1087" s="19"/>
      <c r="DP1087" s="19"/>
      <c r="DQ1087" s="19"/>
      <c r="DR1087" s="19"/>
      <c r="DS1087" s="19"/>
    </row>
    <row r="1088">
      <c r="CU1088" s="19"/>
      <c r="CV1088" s="19"/>
      <c r="CW1088" s="19"/>
      <c r="CX1088" s="19"/>
      <c r="CY1088" s="19"/>
      <c r="CZ1088" s="19"/>
      <c r="DA1088" s="19"/>
      <c r="DB1088" s="19"/>
      <c r="DC1088" s="19"/>
      <c r="DD1088" s="19"/>
      <c r="DE1088" s="19"/>
      <c r="DF1088" s="19"/>
      <c r="DG1088" s="19"/>
      <c r="DH1088" s="19"/>
      <c r="DI1088" s="19"/>
      <c r="DJ1088" s="19"/>
      <c r="DK1088" s="19"/>
      <c r="DL1088" s="19"/>
      <c r="DM1088" s="19"/>
      <c r="DN1088" s="19"/>
      <c r="DO1088" s="19"/>
      <c r="DP1088" s="19"/>
      <c r="DQ1088" s="19"/>
      <c r="DR1088" s="19"/>
      <c r="DS1088" s="19"/>
    </row>
    <row r="1089">
      <c r="CU1089" s="19"/>
      <c r="CV1089" s="19"/>
      <c r="CW1089" s="19"/>
      <c r="CX1089" s="19"/>
      <c r="CY1089" s="19"/>
      <c r="CZ1089" s="19"/>
      <c r="DA1089" s="19"/>
      <c r="DB1089" s="19"/>
      <c r="DC1089" s="19"/>
      <c r="DD1089" s="19"/>
      <c r="DE1089" s="19"/>
      <c r="DF1089" s="19"/>
      <c r="DG1089" s="19"/>
      <c r="DH1089" s="19"/>
      <c r="DI1089" s="19"/>
      <c r="DJ1089" s="19"/>
      <c r="DK1089" s="19"/>
      <c r="DL1089" s="19"/>
      <c r="DM1089" s="19"/>
      <c r="DN1089" s="19"/>
      <c r="DO1089" s="19"/>
      <c r="DP1089" s="19"/>
      <c r="DQ1089" s="19"/>
      <c r="DR1089" s="19"/>
      <c r="DS1089" s="19"/>
    </row>
    <row r="1090">
      <c r="CU1090" s="19"/>
      <c r="CV1090" s="19"/>
      <c r="CW1090" s="19"/>
      <c r="CX1090" s="19"/>
      <c r="CY1090" s="19"/>
      <c r="CZ1090" s="19"/>
      <c r="DA1090" s="19"/>
      <c r="DB1090" s="19"/>
      <c r="DC1090" s="19"/>
      <c r="DD1090" s="19"/>
      <c r="DE1090" s="19"/>
      <c r="DF1090" s="19"/>
      <c r="DG1090" s="19"/>
      <c r="DH1090" s="19"/>
      <c r="DI1090" s="19"/>
      <c r="DJ1090" s="19"/>
      <c r="DK1090" s="19"/>
      <c r="DL1090" s="19"/>
      <c r="DM1090" s="19"/>
      <c r="DN1090" s="19"/>
      <c r="DO1090" s="19"/>
      <c r="DP1090" s="19"/>
      <c r="DQ1090" s="19"/>
      <c r="DR1090" s="19"/>
      <c r="DS1090" s="19"/>
    </row>
    <row r="1091">
      <c r="CU1091" s="19"/>
      <c r="CV1091" s="19"/>
      <c r="CW1091" s="19"/>
      <c r="CX1091" s="19"/>
      <c r="CY1091" s="19"/>
      <c r="CZ1091" s="19"/>
      <c r="DA1091" s="19"/>
      <c r="DB1091" s="19"/>
      <c r="DC1091" s="19"/>
      <c r="DD1091" s="19"/>
      <c r="DE1091" s="19"/>
      <c r="DF1091" s="19"/>
      <c r="DG1091" s="19"/>
      <c r="DH1091" s="19"/>
      <c r="DI1091" s="19"/>
      <c r="DJ1091" s="19"/>
      <c r="DK1091" s="19"/>
      <c r="DL1091" s="19"/>
      <c r="DM1091" s="19"/>
      <c r="DN1091" s="19"/>
      <c r="DO1091" s="19"/>
      <c r="DP1091" s="19"/>
      <c r="DQ1091" s="19"/>
      <c r="DR1091" s="19"/>
      <c r="DS1091" s="19"/>
    </row>
    <row r="1092">
      <c r="CU1092" s="19"/>
      <c r="CV1092" s="19"/>
      <c r="CW1092" s="19"/>
      <c r="CX1092" s="19"/>
      <c r="CY1092" s="19"/>
      <c r="CZ1092" s="19"/>
      <c r="DA1092" s="19"/>
      <c r="DB1092" s="19"/>
      <c r="DC1092" s="19"/>
      <c r="DD1092" s="19"/>
      <c r="DE1092" s="19"/>
      <c r="DF1092" s="19"/>
      <c r="DG1092" s="19"/>
      <c r="DH1092" s="19"/>
      <c r="DI1092" s="19"/>
      <c r="DJ1092" s="19"/>
      <c r="DK1092" s="19"/>
      <c r="DL1092" s="19"/>
      <c r="DM1092" s="19"/>
      <c r="DN1092" s="19"/>
      <c r="DO1092" s="19"/>
      <c r="DP1092" s="19"/>
      <c r="DQ1092" s="19"/>
      <c r="DR1092" s="19"/>
      <c r="DS1092" s="19"/>
    </row>
    <row r="1093">
      <c r="CU1093" s="19"/>
      <c r="CV1093" s="19"/>
      <c r="CW1093" s="19"/>
      <c r="CX1093" s="19"/>
      <c r="CY1093" s="19"/>
      <c r="CZ1093" s="19"/>
      <c r="DA1093" s="19"/>
      <c r="DB1093" s="19"/>
      <c r="DC1093" s="19"/>
      <c r="DD1093" s="19"/>
      <c r="DE1093" s="19"/>
      <c r="DF1093" s="19"/>
      <c r="DG1093" s="19"/>
      <c r="DH1093" s="19"/>
      <c r="DI1093" s="19"/>
      <c r="DJ1093" s="19"/>
      <c r="DK1093" s="19"/>
      <c r="DL1093" s="19"/>
      <c r="DM1093" s="19"/>
      <c r="DN1093" s="19"/>
      <c r="DO1093" s="19"/>
      <c r="DP1093" s="19"/>
      <c r="DQ1093" s="19"/>
      <c r="DR1093" s="19"/>
      <c r="DS1093" s="19"/>
    </row>
    <row r="1094">
      <c r="CU1094" s="19"/>
      <c r="CV1094" s="19"/>
      <c r="CW1094" s="19"/>
      <c r="CX1094" s="19"/>
      <c r="CY1094" s="19"/>
      <c r="CZ1094" s="19"/>
      <c r="DA1094" s="19"/>
      <c r="DB1094" s="19"/>
      <c r="DC1094" s="19"/>
      <c r="DD1094" s="19"/>
      <c r="DE1094" s="19"/>
      <c r="DF1094" s="19"/>
      <c r="DG1094" s="19"/>
      <c r="DH1094" s="19"/>
      <c r="DI1094" s="19"/>
      <c r="DJ1094" s="19"/>
      <c r="DK1094" s="19"/>
      <c r="DL1094" s="19"/>
      <c r="DM1094" s="19"/>
      <c r="DN1094" s="19"/>
      <c r="DO1094" s="19"/>
      <c r="DP1094" s="19"/>
      <c r="DQ1094" s="19"/>
      <c r="DR1094" s="19"/>
      <c r="DS1094" s="19"/>
    </row>
    <row r="1095">
      <c r="CU1095" s="19"/>
      <c r="CV1095" s="19"/>
      <c r="CW1095" s="19"/>
      <c r="CX1095" s="19"/>
      <c r="CY1095" s="19"/>
      <c r="CZ1095" s="19"/>
      <c r="DA1095" s="19"/>
      <c r="DB1095" s="19"/>
      <c r="DC1095" s="19"/>
      <c r="DD1095" s="19"/>
      <c r="DE1095" s="19"/>
      <c r="DF1095" s="19"/>
      <c r="DG1095" s="19"/>
      <c r="DH1095" s="19"/>
      <c r="DI1095" s="19"/>
      <c r="DJ1095" s="19"/>
      <c r="DK1095" s="19"/>
      <c r="DL1095" s="19"/>
      <c r="DM1095" s="19"/>
      <c r="DN1095" s="19"/>
      <c r="DO1095" s="19"/>
      <c r="DP1095" s="19"/>
      <c r="DQ1095" s="19"/>
      <c r="DR1095" s="19"/>
      <c r="DS1095" s="19"/>
    </row>
    <row r="1096">
      <c r="CU1096" s="19"/>
      <c r="CV1096" s="19"/>
      <c r="CW1096" s="19"/>
      <c r="CX1096" s="19"/>
      <c r="CY1096" s="19"/>
      <c r="CZ1096" s="19"/>
      <c r="DA1096" s="19"/>
      <c r="DB1096" s="19"/>
      <c r="DC1096" s="19"/>
      <c r="DD1096" s="19"/>
      <c r="DE1096" s="19"/>
      <c r="DF1096" s="19"/>
      <c r="DG1096" s="19"/>
      <c r="DH1096" s="19"/>
      <c r="DI1096" s="19"/>
      <c r="DJ1096" s="19"/>
      <c r="DK1096" s="19"/>
      <c r="DL1096" s="19"/>
      <c r="DM1096" s="19"/>
      <c r="DN1096" s="19"/>
      <c r="DO1096" s="19"/>
      <c r="DP1096" s="19"/>
      <c r="DQ1096" s="19"/>
      <c r="DR1096" s="19"/>
      <c r="DS1096" s="19"/>
    </row>
    <row r="1097">
      <c r="CU1097" s="19"/>
      <c r="CV1097" s="19"/>
      <c r="CW1097" s="19"/>
      <c r="CX1097" s="19"/>
      <c r="CY1097" s="19"/>
      <c r="CZ1097" s="19"/>
      <c r="DA1097" s="19"/>
      <c r="DB1097" s="19"/>
      <c r="DC1097" s="19"/>
      <c r="DD1097" s="19"/>
      <c r="DE1097" s="19"/>
      <c r="DF1097" s="19"/>
      <c r="DG1097" s="19"/>
      <c r="DH1097" s="19"/>
      <c r="DI1097" s="19"/>
      <c r="DJ1097" s="19"/>
      <c r="DK1097" s="19"/>
      <c r="DL1097" s="19"/>
      <c r="DM1097" s="19"/>
      <c r="DN1097" s="19"/>
      <c r="DO1097" s="19"/>
      <c r="DP1097" s="19"/>
      <c r="DQ1097" s="19"/>
      <c r="DR1097" s="19"/>
      <c r="DS1097" s="19"/>
    </row>
    <row r="1098">
      <c r="CU1098" s="19"/>
      <c r="CV1098" s="19"/>
      <c r="CW1098" s="19"/>
      <c r="CX1098" s="19"/>
      <c r="CY1098" s="19"/>
      <c r="CZ1098" s="19"/>
      <c r="DA1098" s="19"/>
      <c r="DB1098" s="19"/>
      <c r="DC1098" s="19"/>
      <c r="DD1098" s="19"/>
      <c r="DE1098" s="19"/>
      <c r="DF1098" s="19"/>
      <c r="DG1098" s="19"/>
      <c r="DH1098" s="19"/>
      <c r="DI1098" s="19"/>
      <c r="DJ1098" s="19"/>
      <c r="DK1098" s="19"/>
      <c r="DL1098" s="19"/>
      <c r="DM1098" s="19"/>
      <c r="DN1098" s="19"/>
      <c r="DO1098" s="19"/>
      <c r="DP1098" s="19"/>
      <c r="DQ1098" s="19"/>
      <c r="DR1098" s="19"/>
      <c r="DS1098" s="19"/>
    </row>
    <row r="1099">
      <c r="CU1099" s="19"/>
      <c r="CV1099" s="19"/>
      <c r="CW1099" s="19"/>
      <c r="CX1099" s="19"/>
      <c r="CY1099" s="19"/>
      <c r="CZ1099" s="19"/>
      <c r="DA1099" s="19"/>
      <c r="DB1099" s="19"/>
      <c r="DC1099" s="19"/>
      <c r="DD1099" s="19"/>
      <c r="DE1099" s="19"/>
      <c r="DF1099" s="19"/>
      <c r="DG1099" s="19"/>
      <c r="DH1099" s="19"/>
      <c r="DI1099" s="19"/>
      <c r="DJ1099" s="19"/>
      <c r="DK1099" s="19"/>
      <c r="DL1099" s="19"/>
      <c r="DM1099" s="19"/>
      <c r="DN1099" s="19"/>
      <c r="DO1099" s="19"/>
      <c r="DP1099" s="19"/>
      <c r="DQ1099" s="19"/>
      <c r="DR1099" s="19"/>
      <c r="DS1099" s="19"/>
    </row>
    <row r="1100">
      <c r="CU1100" s="19"/>
      <c r="CV1100" s="19"/>
      <c r="CW1100" s="19"/>
      <c r="CX1100" s="19"/>
      <c r="CY1100" s="19"/>
      <c r="CZ1100" s="19"/>
      <c r="DA1100" s="19"/>
      <c r="DB1100" s="19"/>
      <c r="DC1100" s="19"/>
      <c r="DD1100" s="19"/>
      <c r="DE1100" s="19"/>
      <c r="DF1100" s="19"/>
      <c r="DG1100" s="19"/>
      <c r="DH1100" s="19"/>
      <c r="DI1100" s="19"/>
      <c r="DJ1100" s="19"/>
      <c r="DK1100" s="19"/>
      <c r="DL1100" s="19"/>
      <c r="DM1100" s="19"/>
      <c r="DN1100" s="19"/>
      <c r="DO1100" s="19"/>
      <c r="DP1100" s="19"/>
      <c r="DQ1100" s="19"/>
      <c r="DR1100" s="19"/>
      <c r="DS1100" s="19"/>
    </row>
    <row r="1101">
      <c r="CU1101" s="19"/>
      <c r="CV1101" s="19"/>
      <c r="CW1101" s="19"/>
      <c r="CX1101" s="19"/>
      <c r="CY1101" s="19"/>
      <c r="CZ1101" s="19"/>
      <c r="DA1101" s="19"/>
      <c r="DB1101" s="19"/>
      <c r="DC1101" s="19"/>
      <c r="DD1101" s="19"/>
      <c r="DE1101" s="19"/>
      <c r="DF1101" s="19"/>
      <c r="DG1101" s="19"/>
      <c r="DH1101" s="19"/>
      <c r="DI1101" s="19"/>
      <c r="DJ1101" s="19"/>
      <c r="DK1101" s="19"/>
      <c r="DL1101" s="19"/>
      <c r="DM1101" s="19"/>
      <c r="DN1101" s="19"/>
      <c r="DO1101" s="19"/>
      <c r="DP1101" s="19"/>
      <c r="DQ1101" s="19"/>
      <c r="DR1101" s="19"/>
      <c r="DS1101" s="19"/>
    </row>
    <row r="1102">
      <c r="CU1102" s="19"/>
      <c r="CV1102" s="19"/>
      <c r="CW1102" s="19"/>
      <c r="CX1102" s="19"/>
      <c r="CY1102" s="19"/>
      <c r="CZ1102" s="19"/>
      <c r="DA1102" s="19"/>
      <c r="DB1102" s="19"/>
      <c r="DC1102" s="19"/>
      <c r="DD1102" s="19"/>
      <c r="DE1102" s="19"/>
      <c r="DF1102" s="19"/>
      <c r="DG1102" s="19"/>
      <c r="DH1102" s="19"/>
      <c r="DI1102" s="19"/>
      <c r="DJ1102" s="19"/>
      <c r="DK1102" s="19"/>
      <c r="DL1102" s="19"/>
      <c r="DM1102" s="19"/>
      <c r="DN1102" s="19"/>
      <c r="DO1102" s="19"/>
      <c r="DP1102" s="19"/>
      <c r="DQ1102" s="19"/>
      <c r="DR1102" s="19"/>
      <c r="DS1102" s="19"/>
    </row>
    <row r="1103">
      <c r="CU1103" s="19"/>
      <c r="CV1103" s="19"/>
      <c r="CW1103" s="19"/>
      <c r="CX1103" s="19"/>
      <c r="CY1103" s="19"/>
      <c r="CZ1103" s="19"/>
      <c r="DA1103" s="19"/>
      <c r="DB1103" s="19"/>
      <c r="DC1103" s="19"/>
      <c r="DD1103" s="19"/>
      <c r="DE1103" s="19"/>
      <c r="DF1103" s="19"/>
      <c r="DG1103" s="19"/>
      <c r="DH1103" s="19"/>
      <c r="DI1103" s="19"/>
      <c r="DJ1103" s="19"/>
      <c r="DK1103" s="19"/>
      <c r="DL1103" s="19"/>
      <c r="DM1103" s="19"/>
      <c r="DN1103" s="19"/>
      <c r="DO1103" s="19"/>
      <c r="DP1103" s="19"/>
      <c r="DQ1103" s="19"/>
      <c r="DR1103" s="19"/>
      <c r="DS1103" s="19"/>
    </row>
    <row r="1104">
      <c r="CU1104" s="19"/>
      <c r="CV1104" s="19"/>
      <c r="CW1104" s="19"/>
      <c r="CX1104" s="19"/>
      <c r="CY1104" s="19"/>
      <c r="CZ1104" s="19"/>
      <c r="DA1104" s="19"/>
      <c r="DB1104" s="19"/>
      <c r="DC1104" s="19"/>
      <c r="DD1104" s="19"/>
      <c r="DE1104" s="19"/>
      <c r="DF1104" s="19"/>
      <c r="DG1104" s="19"/>
      <c r="DH1104" s="19"/>
      <c r="DI1104" s="19"/>
      <c r="DJ1104" s="19"/>
      <c r="DK1104" s="19"/>
      <c r="DL1104" s="19"/>
      <c r="DM1104" s="19"/>
      <c r="DN1104" s="19"/>
      <c r="DO1104" s="19"/>
      <c r="DP1104" s="19"/>
      <c r="DQ1104" s="19"/>
      <c r="DR1104" s="19"/>
      <c r="DS1104" s="19"/>
    </row>
    <row r="1105">
      <c r="CU1105" s="19"/>
      <c r="CV1105" s="19"/>
      <c r="CW1105" s="19"/>
      <c r="CX1105" s="19"/>
      <c r="CY1105" s="19"/>
      <c r="CZ1105" s="19"/>
      <c r="DA1105" s="19"/>
      <c r="DB1105" s="19"/>
      <c r="DC1105" s="19"/>
      <c r="DD1105" s="19"/>
      <c r="DE1105" s="19"/>
      <c r="DF1105" s="19"/>
      <c r="DG1105" s="19"/>
      <c r="DH1105" s="19"/>
      <c r="DI1105" s="19"/>
      <c r="DJ1105" s="19"/>
      <c r="DK1105" s="19"/>
      <c r="DL1105" s="19"/>
      <c r="DM1105" s="19"/>
      <c r="DN1105" s="19"/>
      <c r="DO1105" s="19"/>
      <c r="DP1105" s="19"/>
      <c r="DQ1105" s="19"/>
      <c r="DR1105" s="19"/>
      <c r="DS1105" s="19"/>
    </row>
    <row r="1106">
      <c r="CU1106" s="19"/>
      <c r="CV1106" s="19"/>
      <c r="CW1106" s="19"/>
      <c r="CX1106" s="19"/>
      <c r="CY1106" s="19"/>
      <c r="CZ1106" s="19"/>
      <c r="DA1106" s="19"/>
      <c r="DB1106" s="19"/>
      <c r="DC1106" s="19"/>
      <c r="DD1106" s="19"/>
      <c r="DE1106" s="19"/>
      <c r="DF1106" s="19"/>
      <c r="DG1106" s="19"/>
      <c r="DH1106" s="19"/>
      <c r="DI1106" s="19"/>
      <c r="DJ1106" s="19"/>
      <c r="DK1106" s="19"/>
      <c r="DL1106" s="19"/>
      <c r="DM1106" s="19"/>
      <c r="DN1106" s="19"/>
      <c r="DO1106" s="19"/>
      <c r="DP1106" s="19"/>
      <c r="DQ1106" s="19"/>
      <c r="DR1106" s="19"/>
      <c r="DS1106" s="19"/>
    </row>
    <row r="1107">
      <c r="CU1107" s="19"/>
      <c r="CV1107" s="19"/>
      <c r="CW1107" s="19"/>
      <c r="CX1107" s="19"/>
      <c r="CY1107" s="19"/>
      <c r="CZ1107" s="19"/>
      <c r="DA1107" s="19"/>
      <c r="DB1107" s="19"/>
      <c r="DC1107" s="19"/>
      <c r="DD1107" s="19"/>
      <c r="DE1107" s="19"/>
      <c r="DF1107" s="19"/>
      <c r="DG1107" s="19"/>
      <c r="DH1107" s="19"/>
      <c r="DI1107" s="19"/>
      <c r="DJ1107" s="19"/>
      <c r="DK1107" s="19"/>
      <c r="DL1107" s="19"/>
      <c r="DM1107" s="19"/>
      <c r="DN1107" s="19"/>
      <c r="DO1107" s="19"/>
      <c r="DP1107" s="19"/>
      <c r="DQ1107" s="19"/>
      <c r="DR1107" s="19"/>
      <c r="DS1107" s="19"/>
    </row>
    <row r="1108">
      <c r="CU1108" s="19"/>
      <c r="CV1108" s="19"/>
      <c r="CW1108" s="19"/>
      <c r="CX1108" s="19"/>
      <c r="CY1108" s="19"/>
      <c r="CZ1108" s="19"/>
      <c r="DA1108" s="19"/>
      <c r="DB1108" s="19"/>
      <c r="DC1108" s="19"/>
      <c r="DD1108" s="19"/>
      <c r="DE1108" s="19"/>
      <c r="DF1108" s="19"/>
      <c r="DG1108" s="19"/>
      <c r="DH1108" s="19"/>
      <c r="DI1108" s="19"/>
      <c r="DJ1108" s="19"/>
      <c r="DK1108" s="19"/>
      <c r="DL1108" s="19"/>
      <c r="DM1108" s="19"/>
      <c r="DN1108" s="19"/>
      <c r="DO1108" s="19"/>
      <c r="DP1108" s="19"/>
      <c r="DQ1108" s="19"/>
      <c r="DR1108" s="19"/>
      <c r="DS1108" s="19"/>
    </row>
    <row r="1109">
      <c r="CU1109" s="19"/>
      <c r="CV1109" s="19"/>
      <c r="CW1109" s="19"/>
      <c r="CX1109" s="19"/>
      <c r="CY1109" s="19"/>
      <c r="CZ1109" s="19"/>
      <c r="DA1109" s="19"/>
      <c r="DB1109" s="19"/>
      <c r="DC1109" s="19"/>
      <c r="DD1109" s="19"/>
      <c r="DE1109" s="19"/>
      <c r="DF1109" s="19"/>
      <c r="DG1109" s="19"/>
      <c r="DH1109" s="19"/>
      <c r="DI1109" s="19"/>
      <c r="DJ1109" s="19"/>
      <c r="DK1109" s="19"/>
      <c r="DL1109" s="19"/>
      <c r="DM1109" s="19"/>
      <c r="DN1109" s="19"/>
      <c r="DO1109" s="19"/>
      <c r="DP1109" s="19"/>
      <c r="DQ1109" s="19"/>
      <c r="DR1109" s="19"/>
      <c r="DS1109" s="19"/>
    </row>
    <row r="1110">
      <c r="CU1110" s="19"/>
      <c r="CV1110" s="19"/>
      <c r="CW1110" s="19"/>
      <c r="CX1110" s="19"/>
      <c r="CY1110" s="19"/>
      <c r="CZ1110" s="19"/>
      <c r="DA1110" s="19"/>
      <c r="DB1110" s="19"/>
      <c r="DC1110" s="19"/>
      <c r="DD1110" s="19"/>
      <c r="DE1110" s="19"/>
      <c r="DF1110" s="19"/>
      <c r="DG1110" s="19"/>
      <c r="DH1110" s="19"/>
      <c r="DI1110" s="19"/>
      <c r="DJ1110" s="19"/>
      <c r="DK1110" s="19"/>
      <c r="DL1110" s="19"/>
      <c r="DM1110" s="19"/>
      <c r="DN1110" s="19"/>
      <c r="DO1110" s="19"/>
      <c r="DP1110" s="19"/>
      <c r="DQ1110" s="19"/>
      <c r="DR1110" s="19"/>
      <c r="DS1110" s="19"/>
    </row>
    <row r="1111">
      <c r="CU1111" s="19"/>
      <c r="CV1111" s="19"/>
      <c r="CW1111" s="19"/>
      <c r="CX1111" s="19"/>
      <c r="CY1111" s="19"/>
      <c r="CZ1111" s="19"/>
      <c r="DA1111" s="19"/>
      <c r="DB1111" s="19"/>
      <c r="DC1111" s="19"/>
      <c r="DD1111" s="19"/>
      <c r="DE1111" s="19"/>
      <c r="DF1111" s="19"/>
      <c r="DG1111" s="19"/>
      <c r="DH1111" s="19"/>
      <c r="DI1111" s="19"/>
      <c r="DJ1111" s="19"/>
      <c r="DK1111" s="19"/>
      <c r="DL1111" s="19"/>
      <c r="DM1111" s="19"/>
      <c r="DN1111" s="19"/>
      <c r="DO1111" s="19"/>
      <c r="DP1111" s="19"/>
      <c r="DQ1111" s="19"/>
      <c r="DR1111" s="19"/>
      <c r="DS1111" s="19"/>
    </row>
    <row r="1112">
      <c r="CU1112" s="19"/>
      <c r="CV1112" s="19"/>
      <c r="CW1112" s="19"/>
      <c r="CX1112" s="19"/>
      <c r="CY1112" s="19"/>
      <c r="CZ1112" s="19"/>
      <c r="DA1112" s="19"/>
      <c r="DB1112" s="19"/>
      <c r="DC1112" s="19"/>
      <c r="DD1112" s="19"/>
      <c r="DE1112" s="19"/>
      <c r="DF1112" s="19"/>
      <c r="DG1112" s="19"/>
      <c r="DH1112" s="19"/>
      <c r="DI1112" s="19"/>
      <c r="DJ1112" s="19"/>
      <c r="DK1112" s="19"/>
      <c r="DL1112" s="19"/>
      <c r="DM1112" s="19"/>
      <c r="DN1112" s="19"/>
      <c r="DO1112" s="19"/>
      <c r="DP1112" s="19"/>
      <c r="DQ1112" s="19"/>
      <c r="DR1112" s="19"/>
      <c r="DS1112" s="19"/>
    </row>
    <row r="1113">
      <c r="CU1113" s="19"/>
      <c r="CV1113" s="19"/>
      <c r="CW1113" s="19"/>
      <c r="CX1113" s="19"/>
      <c r="CY1113" s="19"/>
      <c r="CZ1113" s="19"/>
      <c r="DA1113" s="19"/>
      <c r="DB1113" s="19"/>
      <c r="DC1113" s="19"/>
      <c r="DD1113" s="19"/>
      <c r="DE1113" s="19"/>
      <c r="DF1113" s="19"/>
      <c r="DG1113" s="19"/>
      <c r="DH1113" s="19"/>
      <c r="DI1113" s="19"/>
      <c r="DJ1113" s="19"/>
      <c r="DK1113" s="19"/>
      <c r="DL1113" s="19"/>
      <c r="DM1113" s="19"/>
      <c r="DN1113" s="19"/>
      <c r="DO1113" s="19"/>
      <c r="DP1113" s="19"/>
      <c r="DQ1113" s="19"/>
      <c r="DR1113" s="19"/>
      <c r="DS1113" s="19"/>
    </row>
    <row r="1114">
      <c r="CU1114" s="19"/>
      <c r="CV1114" s="19"/>
      <c r="CW1114" s="19"/>
      <c r="CX1114" s="19"/>
      <c r="CY1114" s="19"/>
      <c r="CZ1114" s="19"/>
      <c r="DA1114" s="19"/>
      <c r="DB1114" s="19"/>
      <c r="DC1114" s="19"/>
      <c r="DD1114" s="19"/>
      <c r="DE1114" s="19"/>
      <c r="DF1114" s="19"/>
      <c r="DG1114" s="19"/>
      <c r="DH1114" s="19"/>
      <c r="DI1114" s="19"/>
      <c r="DJ1114" s="19"/>
      <c r="DK1114" s="19"/>
      <c r="DL1114" s="19"/>
      <c r="DM1114" s="19"/>
      <c r="DN1114" s="19"/>
      <c r="DO1114" s="19"/>
      <c r="DP1114" s="19"/>
      <c r="DQ1114" s="19"/>
      <c r="DR1114" s="19"/>
      <c r="DS1114" s="19"/>
    </row>
    <row r="1115">
      <c r="CU1115" s="19"/>
      <c r="CV1115" s="19"/>
      <c r="CW1115" s="19"/>
      <c r="CX1115" s="19"/>
      <c r="CY1115" s="19"/>
      <c r="CZ1115" s="19"/>
      <c r="DA1115" s="19"/>
      <c r="DB1115" s="19"/>
      <c r="DC1115" s="19"/>
      <c r="DD1115" s="19"/>
      <c r="DE1115" s="19"/>
      <c r="DF1115" s="19"/>
      <c r="DG1115" s="19"/>
      <c r="DH1115" s="19"/>
      <c r="DI1115" s="19"/>
      <c r="DJ1115" s="19"/>
      <c r="DK1115" s="19"/>
      <c r="DL1115" s="19"/>
      <c r="DM1115" s="19"/>
      <c r="DN1115" s="19"/>
      <c r="DO1115" s="19"/>
      <c r="DP1115" s="19"/>
      <c r="DQ1115" s="19"/>
      <c r="DR1115" s="19"/>
      <c r="DS1115" s="19"/>
    </row>
    <row r="1116">
      <c r="CU1116" s="19"/>
      <c r="CV1116" s="19"/>
      <c r="CW1116" s="19"/>
      <c r="CX1116" s="19"/>
      <c r="CY1116" s="19"/>
      <c r="CZ1116" s="19"/>
      <c r="DA1116" s="19"/>
      <c r="DB1116" s="19"/>
      <c r="DC1116" s="19"/>
      <c r="DD1116" s="19"/>
      <c r="DE1116" s="19"/>
      <c r="DF1116" s="19"/>
      <c r="DG1116" s="19"/>
      <c r="DH1116" s="19"/>
      <c r="DI1116" s="19"/>
      <c r="DJ1116" s="19"/>
      <c r="DK1116" s="19"/>
      <c r="DL1116" s="19"/>
      <c r="DM1116" s="19"/>
      <c r="DN1116" s="19"/>
      <c r="DO1116" s="19"/>
      <c r="DP1116" s="19"/>
      <c r="DQ1116" s="19"/>
      <c r="DR1116" s="19"/>
      <c r="DS1116" s="19"/>
    </row>
    <row r="1117">
      <c r="CU1117" s="19"/>
      <c r="CV1117" s="19"/>
      <c r="CW1117" s="19"/>
      <c r="CX1117" s="19"/>
      <c r="CY1117" s="19"/>
      <c r="CZ1117" s="19"/>
      <c r="DA1117" s="19"/>
      <c r="DB1117" s="19"/>
      <c r="DC1117" s="19"/>
      <c r="DD1117" s="19"/>
      <c r="DE1117" s="19"/>
      <c r="DF1117" s="19"/>
      <c r="DG1117" s="19"/>
      <c r="DH1117" s="19"/>
      <c r="DI1117" s="19"/>
      <c r="DJ1117" s="19"/>
      <c r="DK1117" s="19"/>
      <c r="DL1117" s="19"/>
      <c r="DM1117" s="19"/>
      <c r="DN1117" s="19"/>
      <c r="DO1117" s="19"/>
      <c r="DP1117" s="19"/>
      <c r="DQ1117" s="19"/>
      <c r="DR1117" s="19"/>
      <c r="DS1117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5" max="15" width="21.25"/>
  </cols>
  <sheetData>
    <row r="1">
      <c r="A1" s="1" t="s">
        <v>1</v>
      </c>
      <c r="B1" s="1"/>
      <c r="C1" s="2"/>
      <c r="D1" s="2"/>
      <c r="E1" s="2"/>
      <c r="F1" s="1" t="s">
        <v>15</v>
      </c>
      <c r="G1" s="1"/>
      <c r="AL1" s="1"/>
      <c r="AS1" s="1"/>
      <c r="AT1" s="1"/>
      <c r="AU1" s="1"/>
      <c r="AV1" s="1"/>
      <c r="AW1" s="1"/>
      <c r="AX1" s="1"/>
      <c r="AY1" s="2" t="s">
        <v>37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49</v>
      </c>
      <c r="BM1" s="1"/>
      <c r="BN1" s="1"/>
      <c r="BO1" s="1"/>
      <c r="BP1" s="1" t="s">
        <v>53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>
      <c r="A2" s="1" t="s">
        <v>0</v>
      </c>
      <c r="B2" s="1" t="s">
        <v>4</v>
      </c>
      <c r="C2" s="1" t="s">
        <v>55</v>
      </c>
      <c r="D2" s="1" t="s">
        <v>56</v>
      </c>
      <c r="E2" s="1" t="s">
        <v>80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72</v>
      </c>
      <c r="K2" s="2" t="s">
        <v>78</v>
      </c>
      <c r="L2" s="2" t="s">
        <v>82</v>
      </c>
      <c r="M2" s="2" t="s">
        <v>84</v>
      </c>
      <c r="N2" s="2" t="s">
        <v>85</v>
      </c>
      <c r="O2" s="2" t="s">
        <v>88</v>
      </c>
      <c r="P2" s="2" t="s">
        <v>90</v>
      </c>
      <c r="Q2" s="2" t="s">
        <v>91</v>
      </c>
      <c r="R2" s="2" t="s">
        <v>93</v>
      </c>
      <c r="S2" s="2" t="s">
        <v>94</v>
      </c>
      <c r="T2" s="2" t="s">
        <v>96</v>
      </c>
      <c r="U2" s="2" t="s">
        <v>98</v>
      </c>
      <c r="V2" s="2" t="s">
        <v>121</v>
      </c>
      <c r="W2" s="2" t="s">
        <v>104</v>
      </c>
      <c r="X2" s="2" t="s">
        <v>105</v>
      </c>
      <c r="Y2" s="2" t="s">
        <v>110</v>
      </c>
      <c r="Z2" s="2" t="s">
        <v>111</v>
      </c>
      <c r="AA2" s="2" t="s">
        <v>116</v>
      </c>
      <c r="AB2" s="2" t="s">
        <v>119</v>
      </c>
      <c r="AC2" s="2" t="s">
        <v>120</v>
      </c>
      <c r="AD2" s="2" t="s">
        <v>122</v>
      </c>
      <c r="AE2" s="2" t="s">
        <v>125</v>
      </c>
      <c r="AF2" s="2" t="s">
        <v>130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139</v>
      </c>
      <c r="AM2" s="2" t="s">
        <v>141</v>
      </c>
      <c r="AN2" s="2" t="s">
        <v>144</v>
      </c>
      <c r="AO2" s="2" t="s">
        <v>145</v>
      </c>
      <c r="AP2" s="2" t="s">
        <v>149</v>
      </c>
      <c r="AQ2" s="2" t="s">
        <v>152</v>
      </c>
      <c r="AR2" s="2" t="s">
        <v>154</v>
      </c>
      <c r="AS2" s="2" t="s">
        <v>155</v>
      </c>
      <c r="AT2" s="2" t="s">
        <v>156</v>
      </c>
      <c r="AU2" s="2" t="s">
        <v>158</v>
      </c>
      <c r="AV2" s="2" t="s">
        <v>160</v>
      </c>
      <c r="AW2" s="2" t="s">
        <v>161</v>
      </c>
      <c r="AX2" s="2" t="s">
        <v>163</v>
      </c>
      <c r="AY2" s="2" t="s">
        <v>164</v>
      </c>
      <c r="AZ2" s="2" t="s">
        <v>197</v>
      </c>
      <c r="BA2" s="2" t="s">
        <v>170</v>
      </c>
      <c r="BB2" s="2" t="s">
        <v>172</v>
      </c>
      <c r="BC2" s="13" t="s">
        <v>201</v>
      </c>
      <c r="BD2" s="2" t="s">
        <v>175</v>
      </c>
      <c r="BE2" s="2" t="s">
        <v>177</v>
      </c>
      <c r="BF2" s="2" t="s">
        <v>178</v>
      </c>
      <c r="BG2" s="2" t="s">
        <v>179</v>
      </c>
      <c r="BH2" s="2" t="s">
        <v>180</v>
      </c>
      <c r="BI2" s="2" t="s">
        <v>206</v>
      </c>
      <c r="BJ2" s="2" t="s">
        <v>182</v>
      </c>
      <c r="BK2" s="2" t="s">
        <v>184</v>
      </c>
      <c r="BL2" s="2" t="s">
        <v>187</v>
      </c>
      <c r="BM2" s="14" t="s">
        <v>189</v>
      </c>
      <c r="BN2" s="14" t="s">
        <v>192</v>
      </c>
      <c r="BO2" s="14" t="s">
        <v>194</v>
      </c>
      <c r="BP2" s="1" t="s">
        <v>198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>
      <c r="A3" s="9">
        <v>45305.0</v>
      </c>
      <c r="B3" s="2" t="s">
        <v>207</v>
      </c>
      <c r="C3" s="2" t="s">
        <v>215</v>
      </c>
      <c r="D3" s="2">
        <v>3.0</v>
      </c>
      <c r="E3" s="2">
        <v>36.0</v>
      </c>
      <c r="F3" s="15">
        <v>22.0</v>
      </c>
      <c r="G3" s="15">
        <v>2.0</v>
      </c>
      <c r="H3" s="15">
        <v>6.0</v>
      </c>
      <c r="I3" s="15">
        <v>0.0</v>
      </c>
      <c r="J3" s="15">
        <v>0.0</v>
      </c>
      <c r="K3" s="15">
        <v>91.0</v>
      </c>
      <c r="L3" s="15">
        <v>4.0</v>
      </c>
      <c r="M3" s="15">
        <v>37.0</v>
      </c>
      <c r="N3" s="15">
        <v>0.0</v>
      </c>
      <c r="Q3" s="15">
        <v>8.0</v>
      </c>
      <c r="R3" s="15">
        <v>6.0</v>
      </c>
      <c r="S3" s="15">
        <v>0.0</v>
      </c>
      <c r="T3" s="15">
        <v>0.0</v>
      </c>
      <c r="U3" s="15">
        <v>0.0</v>
      </c>
      <c r="W3" s="15">
        <v>1.0</v>
      </c>
      <c r="X3" s="15">
        <v>9.0</v>
      </c>
      <c r="Y3" s="15">
        <v>10.0</v>
      </c>
      <c r="Z3" s="15">
        <v>1.0</v>
      </c>
      <c r="AA3" s="15">
        <v>32.0</v>
      </c>
      <c r="AB3" s="15">
        <v>0.0</v>
      </c>
      <c r="AC3" s="15">
        <v>0.0</v>
      </c>
      <c r="AD3" s="15">
        <v>23.0</v>
      </c>
      <c r="AE3" s="15">
        <v>0.0</v>
      </c>
      <c r="AF3" s="15">
        <v>42.0</v>
      </c>
      <c r="AG3" s="15">
        <v>8.0</v>
      </c>
      <c r="AH3" s="15">
        <v>84.0</v>
      </c>
      <c r="AI3" s="15">
        <v>0.0</v>
      </c>
      <c r="AJ3" s="15">
        <v>0.0</v>
      </c>
      <c r="AK3" s="15">
        <v>0.0</v>
      </c>
      <c r="AL3" s="15">
        <v>1.0</v>
      </c>
      <c r="AM3" s="15">
        <v>7.0</v>
      </c>
      <c r="AN3" s="15">
        <v>0.0</v>
      </c>
      <c r="AO3" s="15">
        <v>24.0</v>
      </c>
      <c r="AP3" s="15">
        <v>2.0</v>
      </c>
      <c r="AQ3" s="15">
        <v>244.0</v>
      </c>
      <c r="AR3" s="15">
        <v>7.0</v>
      </c>
      <c r="AS3" s="15">
        <v>0.0</v>
      </c>
      <c r="AT3" s="15">
        <v>0.0</v>
      </c>
      <c r="AU3" s="15">
        <v>0.0</v>
      </c>
      <c r="AV3" s="15">
        <v>1.0</v>
      </c>
      <c r="AW3" s="15">
        <v>2.0</v>
      </c>
      <c r="AX3" s="15">
        <v>47.0</v>
      </c>
      <c r="AY3" s="15">
        <v>0.0</v>
      </c>
      <c r="AZ3" s="15">
        <v>0.0</v>
      </c>
      <c r="BA3" s="15">
        <v>0.0</v>
      </c>
      <c r="BB3" s="15">
        <v>0.0</v>
      </c>
      <c r="BC3" s="15">
        <v>1.0</v>
      </c>
      <c r="BD3" s="15">
        <v>1.0</v>
      </c>
      <c r="BE3" s="15">
        <v>0.0</v>
      </c>
      <c r="BF3" s="15">
        <v>0.0</v>
      </c>
      <c r="BG3" s="15">
        <v>0.0</v>
      </c>
      <c r="BH3" s="15">
        <v>0.0</v>
      </c>
      <c r="BI3" s="2">
        <v>0.0</v>
      </c>
      <c r="BJ3" s="15">
        <v>0.0</v>
      </c>
      <c r="BK3" s="15">
        <v>41.0</v>
      </c>
      <c r="BL3" s="15">
        <v>104.0</v>
      </c>
      <c r="BM3" s="15">
        <v>26.0</v>
      </c>
      <c r="BN3" s="15">
        <v>0.0</v>
      </c>
      <c r="BO3" s="15">
        <v>6.0</v>
      </c>
      <c r="BP3" s="15">
        <v>900.0</v>
      </c>
    </row>
    <row r="4">
      <c r="A4" s="9">
        <v>45318.0</v>
      </c>
      <c r="B4" s="2" t="s">
        <v>146</v>
      </c>
      <c r="C4" s="2" t="s">
        <v>97</v>
      </c>
      <c r="D4" s="2">
        <v>4.0</v>
      </c>
      <c r="E4" s="2">
        <v>42.0</v>
      </c>
      <c r="F4" s="2">
        <v>2.0</v>
      </c>
      <c r="G4" s="2">
        <v>0.0</v>
      </c>
      <c r="H4" s="2">
        <v>0.0</v>
      </c>
      <c r="I4" s="2">
        <v>0.0</v>
      </c>
      <c r="J4" s="2">
        <v>2.0</v>
      </c>
      <c r="K4" s="2">
        <v>0.0</v>
      </c>
      <c r="L4" s="2">
        <v>16.0</v>
      </c>
      <c r="M4" s="2">
        <v>9.0</v>
      </c>
      <c r="N4" s="2">
        <v>4.0</v>
      </c>
      <c r="O4" s="2"/>
      <c r="P4" s="2"/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/>
      <c r="W4" s="2">
        <v>0.0</v>
      </c>
      <c r="X4" s="2">
        <v>0.0</v>
      </c>
      <c r="Y4" s="2">
        <v>0.0</v>
      </c>
      <c r="Z4" s="2">
        <v>0.0</v>
      </c>
      <c r="AA4" s="2">
        <v>32.0</v>
      </c>
      <c r="AB4" s="2">
        <v>0.0</v>
      </c>
      <c r="AC4" s="2">
        <v>0.0</v>
      </c>
      <c r="AD4" s="2">
        <v>0.0</v>
      </c>
      <c r="AE4" s="2">
        <v>14.0</v>
      </c>
      <c r="AF4" s="2">
        <v>4.0</v>
      </c>
      <c r="AG4" s="2">
        <v>27.0</v>
      </c>
      <c r="AH4" s="2">
        <v>13.0</v>
      </c>
      <c r="AI4" s="2">
        <v>11.0</v>
      </c>
      <c r="AJ4" s="2">
        <v>31.0</v>
      </c>
      <c r="AK4" s="2">
        <v>0.0</v>
      </c>
      <c r="AL4" s="2">
        <v>0.0</v>
      </c>
      <c r="AM4" s="2">
        <v>0.0</v>
      </c>
      <c r="AN4" s="2">
        <v>65.0</v>
      </c>
      <c r="AO4" s="2">
        <v>7.0</v>
      </c>
      <c r="AP4" s="2">
        <v>1.0</v>
      </c>
      <c r="AQ4" s="2">
        <v>218.0</v>
      </c>
      <c r="AR4" s="2">
        <v>0.0</v>
      </c>
      <c r="AS4" s="2">
        <v>67.0</v>
      </c>
      <c r="AT4" s="2">
        <v>101.0</v>
      </c>
      <c r="AU4" s="2">
        <v>11.0</v>
      </c>
      <c r="AV4" s="2">
        <v>0.0</v>
      </c>
      <c r="AW4" s="2">
        <v>0.0</v>
      </c>
      <c r="AX4" s="2">
        <v>98.0</v>
      </c>
      <c r="AY4" s="2">
        <v>0.0</v>
      </c>
      <c r="AZ4" s="2">
        <v>6.0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1.0</v>
      </c>
      <c r="BH4" s="2">
        <v>0.0</v>
      </c>
      <c r="BI4" s="2">
        <v>0.0</v>
      </c>
      <c r="BJ4" s="2">
        <v>1.0</v>
      </c>
      <c r="BK4" s="2">
        <v>9.0</v>
      </c>
      <c r="BL4" s="2">
        <v>291.0</v>
      </c>
      <c r="BM4" s="2">
        <v>0.0</v>
      </c>
      <c r="BN4" s="2">
        <v>30.0</v>
      </c>
      <c r="BO4" s="2">
        <v>0.0</v>
      </c>
      <c r="BP4" s="15">
        <f>SUM(F4:BO4)</f>
        <v>1071</v>
      </c>
    </row>
    <row r="5">
      <c r="A5" s="9">
        <v>45333.0</v>
      </c>
      <c r="B5" s="2" t="s">
        <v>233</v>
      </c>
      <c r="C5" s="2" t="s">
        <v>117</v>
      </c>
      <c r="D5" s="2">
        <v>4.0</v>
      </c>
      <c r="E5" s="2">
        <v>41.0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11.0</v>
      </c>
      <c r="M5" s="2">
        <v>22.0</v>
      </c>
      <c r="N5" s="2">
        <v>1.0</v>
      </c>
      <c r="O5" s="2"/>
      <c r="P5" s="2"/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/>
      <c r="W5" s="2">
        <v>0.0</v>
      </c>
      <c r="X5" s="2">
        <v>0.0</v>
      </c>
      <c r="Y5" s="2">
        <v>5.0</v>
      </c>
      <c r="Z5" s="2">
        <v>20.0</v>
      </c>
      <c r="AA5" s="2">
        <v>23.0</v>
      </c>
      <c r="AB5" s="2">
        <v>0.0</v>
      </c>
      <c r="AC5" s="2">
        <v>0.0</v>
      </c>
      <c r="AD5" s="2">
        <v>0.0</v>
      </c>
      <c r="AE5" s="2">
        <v>10.0</v>
      </c>
      <c r="AF5" s="2">
        <v>0.0</v>
      </c>
      <c r="AG5" s="2">
        <v>44.0</v>
      </c>
      <c r="AH5" s="2">
        <v>6.0</v>
      </c>
      <c r="AI5" s="2">
        <v>4.0</v>
      </c>
      <c r="AJ5" s="2">
        <v>53.0</v>
      </c>
      <c r="AK5" s="2">
        <v>0.0</v>
      </c>
      <c r="AL5" s="2">
        <v>1.0</v>
      </c>
      <c r="AM5" s="2">
        <v>1.0</v>
      </c>
      <c r="AN5" s="2">
        <v>37.0</v>
      </c>
      <c r="AO5" s="2">
        <v>13.0</v>
      </c>
      <c r="AP5" s="2">
        <v>0.0</v>
      </c>
      <c r="AQ5" s="2">
        <v>232.0</v>
      </c>
      <c r="AR5" s="2">
        <v>0.0</v>
      </c>
      <c r="AS5" s="2">
        <v>115.0</v>
      </c>
      <c r="AT5" s="2">
        <v>57.0</v>
      </c>
      <c r="AU5" s="2">
        <v>0.0</v>
      </c>
      <c r="AV5" s="2">
        <v>0.0</v>
      </c>
      <c r="AW5" s="2">
        <v>3.0</v>
      </c>
      <c r="AX5" s="2">
        <v>18.0</v>
      </c>
      <c r="AY5" s="2">
        <v>0.0</v>
      </c>
      <c r="AZ5" s="2">
        <v>56.0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1.0</v>
      </c>
      <c r="BK5" s="2">
        <v>125.0</v>
      </c>
      <c r="BL5" s="2">
        <v>134.0</v>
      </c>
      <c r="BM5" s="2">
        <v>0.0</v>
      </c>
      <c r="BN5" s="2">
        <v>24.0</v>
      </c>
      <c r="BO5" s="2">
        <v>0.0</v>
      </c>
      <c r="BP5" s="15">
        <f>sum(F5:BO5)</f>
        <v>1016</v>
      </c>
    </row>
    <row r="6">
      <c r="A6" s="9">
        <v>45332.0</v>
      </c>
      <c r="B6" s="2" t="s">
        <v>234</v>
      </c>
      <c r="C6" s="2" t="s">
        <v>148</v>
      </c>
      <c r="D6" s="2">
        <v>4.0</v>
      </c>
      <c r="E6" s="2">
        <v>40.0</v>
      </c>
      <c r="F6" s="2">
        <v>1.0</v>
      </c>
      <c r="G6" s="2">
        <v>1.0</v>
      </c>
      <c r="K6" s="15">
        <f>sum('Quadrat PtCounts'!N82:N121)</f>
        <v>54</v>
      </c>
      <c r="L6" s="2">
        <v>1.0</v>
      </c>
      <c r="M6" s="15">
        <f>SUM('Quadrat PtCounts'!R82:R121)</f>
        <v>21</v>
      </c>
      <c r="O6" s="15">
        <f>SUM('Quadrat PtCounts'!U82:U121)</f>
        <v>15</v>
      </c>
      <c r="P6" s="2">
        <v>1.0</v>
      </c>
      <c r="R6" s="2">
        <v>4.0</v>
      </c>
      <c r="Y6" s="15">
        <f>SUM('Quadrat PtCounts'!AI82:AI121)</f>
        <v>35</v>
      </c>
      <c r="Z6" s="15">
        <f>SUM('Quadrat PtCounts'!AJ82:AJ121)</f>
        <v>63</v>
      </c>
      <c r="AA6" s="15">
        <f>SUM('Quadrat PtCounts'!AL82:AL121)</f>
        <v>11</v>
      </c>
      <c r="AB6" s="2">
        <v>2.0</v>
      </c>
      <c r="AD6" s="15">
        <f>SUM('Quadrat PtCounts'!AP82:AP121)</f>
        <v>14</v>
      </c>
      <c r="AF6" s="15">
        <f>SUM('Quadrat PtCounts'!AT83:AT121)</f>
        <v>63</v>
      </c>
      <c r="AG6" s="15">
        <f>SUM('Quadrat PtCounts'!AV82:AV121)</f>
        <v>10</v>
      </c>
      <c r="AH6" s="15">
        <f>SUM('Quadrat PtCounts'!AW82:AW121)</f>
        <v>45</v>
      </c>
      <c r="AI6" s="15">
        <f>SUM('Quadrat PtCounts'!AX83:AX121)</f>
        <v>17</v>
      </c>
      <c r="AL6" s="2">
        <v>9.0</v>
      </c>
      <c r="AM6" s="2">
        <v>4.0</v>
      </c>
      <c r="AO6" s="15">
        <f>SUM('Quadrat PtCounts'!BE82:BE121)</f>
        <v>96</v>
      </c>
      <c r="AP6" s="15">
        <f>SUM('Quadrat PtCounts'!BF82)</f>
        <v>0</v>
      </c>
      <c r="AQ6" s="15">
        <f>SUM('Quadrat PtCounts'!BI82:BI121)</f>
        <v>292</v>
      </c>
      <c r="AT6" s="2">
        <v>1.0</v>
      </c>
      <c r="AW6" s="15">
        <f>SUM('Quadrat PtCounts'!BP82:BP121)</f>
        <v>25</v>
      </c>
      <c r="AX6" s="15">
        <f>SUM('Quadrat PtCounts'!BR82:BR121)</f>
        <v>15</v>
      </c>
      <c r="BD6" s="2">
        <v>1.0</v>
      </c>
      <c r="BI6" s="2">
        <v>3.0</v>
      </c>
      <c r="BK6" s="15">
        <f>SUM('Quadrat PtCounts'!CI82:CI121)</f>
        <v>78</v>
      </c>
      <c r="BL6" s="15">
        <f>SUM('Quadrat PtCounts'!CK82:CK121)</f>
        <v>103</v>
      </c>
      <c r="BM6" s="15">
        <f>SUM('Quadrat PtCounts'!CL82:CL121)</f>
        <v>0</v>
      </c>
      <c r="BN6" s="2">
        <v>2.0</v>
      </c>
      <c r="BO6" s="2">
        <v>0.0</v>
      </c>
      <c r="BP6" s="15">
        <f>SUM(B6:BO6)</f>
        <v>1031</v>
      </c>
    </row>
    <row r="7">
      <c r="A7" s="9">
        <v>45346.0</v>
      </c>
      <c r="B7" s="2" t="s">
        <v>233</v>
      </c>
      <c r="C7" s="2" t="s">
        <v>129</v>
      </c>
      <c r="D7" s="2">
        <v>4.0</v>
      </c>
      <c r="E7" s="2">
        <v>42.0</v>
      </c>
      <c r="L7" s="15">
        <f>sum('Quadrat PtCounts'!P277:P318)</f>
        <v>1</v>
      </c>
      <c r="M7" s="2">
        <f>sum('Quadrat PtCounts'!R277:R318)</f>
        <v>14</v>
      </c>
      <c r="N7" s="2">
        <f>sum('Quadrat PtCounts'!S277:S318)</f>
        <v>1</v>
      </c>
      <c r="O7" s="2">
        <f>sum('Quadrat PtCounts'!U277:U318)</f>
        <v>2</v>
      </c>
      <c r="V7" s="2">
        <f>sum('Quadrat PtCounts'!AB277:AB318)</f>
        <v>1</v>
      </c>
      <c r="X7" s="2"/>
      <c r="Y7" s="2">
        <v>1.0</v>
      </c>
      <c r="Z7" s="2">
        <f>sum('Quadrat PtCounts'!AJ277:AJ318)</f>
        <v>3</v>
      </c>
      <c r="AA7" s="15">
        <f>sum('Quadrat PtCounts'!AL277:AL318)</f>
        <v>19</v>
      </c>
      <c r="AE7" s="2">
        <f>sum('Quadrat PtCounts'!AQ277:AQ318)</f>
        <v>6</v>
      </c>
      <c r="AF7" s="2">
        <f>sum('Quadrat PtCounts'!AT277:AT318)</f>
        <v>4</v>
      </c>
      <c r="AG7" s="2">
        <f>sum('Quadrat PtCounts'!AV277:AV318)</f>
        <v>76</v>
      </c>
      <c r="AH7" s="2">
        <f>sum('Quadrat PtCounts'!AW277:AW318)</f>
        <v>9</v>
      </c>
      <c r="AJ7" s="2">
        <f>sum('Quadrat PtCounts'!AY277:AY318)</f>
        <v>29</v>
      </c>
      <c r="AN7" s="2">
        <f>sum('Quadrat PtCounts'!BD277:BD318)</f>
        <v>32</v>
      </c>
      <c r="AO7" s="2">
        <f>sum('Quadrat PtCounts'!BE277:BE318)</f>
        <v>11</v>
      </c>
      <c r="AP7" s="2">
        <f>sum('Quadrat PtCounts'!BF277:BF318)</f>
        <v>2</v>
      </c>
      <c r="AQ7" s="2">
        <f>sum('Quadrat PtCounts'!BI277:BI318)</f>
        <v>252</v>
      </c>
      <c r="AR7" s="2"/>
      <c r="AS7" s="2">
        <f>sum('Quadrat PtCounts'!BK277:BK318)</f>
        <v>153</v>
      </c>
      <c r="AT7" s="2">
        <f>sum('Quadrat PtCounts'!BL277:BL318)</f>
        <v>18</v>
      </c>
      <c r="AX7" s="2">
        <f>sum('Quadrat PtCounts'!BR277:BR318)</f>
        <v>45</v>
      </c>
      <c r="AZ7" s="2">
        <f>sum('Quadrat PtCounts'!BW277:BW318)</f>
        <v>26</v>
      </c>
      <c r="BJ7" s="2">
        <f>sum('Quadrat PtCounts'!CG277:CG318)</f>
        <v>7</v>
      </c>
      <c r="BK7" s="2">
        <f>sum('Quadrat PtCounts'!CI277:CI318)</f>
        <v>128</v>
      </c>
      <c r="BL7" s="2">
        <f>sum('Quadrat PtCounts'!CK277:CK318)</f>
        <v>180</v>
      </c>
      <c r="BN7" s="2">
        <f>sum('Quadrat PtCounts'!CM277:CM318)</f>
        <v>31</v>
      </c>
      <c r="BP7" s="15">
        <f>sum(F7:BO7)</f>
        <v>1051</v>
      </c>
    </row>
    <row r="8">
      <c r="A8" s="6">
        <v>45388.0</v>
      </c>
      <c r="B8" s="2" t="s">
        <v>238</v>
      </c>
      <c r="C8" s="2" t="s">
        <v>28</v>
      </c>
      <c r="D8" s="2">
        <v>4.0</v>
      </c>
      <c r="E8" s="2">
        <v>48.0</v>
      </c>
      <c r="F8" s="2">
        <v>0.0</v>
      </c>
      <c r="G8" s="2">
        <v>3.0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52.0</v>
      </c>
      <c r="O8" s="2">
        <v>0.0</v>
      </c>
      <c r="P8" s="2">
        <v>1.0</v>
      </c>
      <c r="Q8" s="2">
        <v>0.0</v>
      </c>
      <c r="R8" s="2">
        <v>1.0</v>
      </c>
      <c r="S8" s="2">
        <v>0.0</v>
      </c>
      <c r="T8" s="2">
        <v>0.0</v>
      </c>
      <c r="U8" s="2">
        <v>0.0</v>
      </c>
      <c r="V8" s="2">
        <v>0.0</v>
      </c>
      <c r="W8" s="2">
        <v>27.0</v>
      </c>
      <c r="X8" s="2">
        <v>0.0</v>
      </c>
      <c r="Y8" s="2">
        <v>3.0</v>
      </c>
      <c r="Z8" s="2">
        <v>2.0</v>
      </c>
      <c r="AA8" s="2">
        <v>0.0</v>
      </c>
      <c r="AB8" s="2">
        <v>0.0</v>
      </c>
      <c r="AC8" s="2">
        <v>1.0</v>
      </c>
      <c r="AD8" s="2">
        <v>14.0</v>
      </c>
      <c r="AE8" s="2">
        <v>0.0</v>
      </c>
      <c r="AF8" s="2">
        <v>0.0</v>
      </c>
      <c r="AG8" s="2">
        <v>3.0</v>
      </c>
      <c r="AH8" s="2">
        <v>17.0</v>
      </c>
      <c r="AI8" s="2">
        <v>0.0</v>
      </c>
      <c r="AJ8" s="2">
        <v>0.0</v>
      </c>
      <c r="AK8" s="2">
        <v>36.0</v>
      </c>
      <c r="AL8" s="2">
        <v>8.0</v>
      </c>
      <c r="AM8" s="2">
        <v>0.0</v>
      </c>
      <c r="AN8" s="2">
        <v>0.0</v>
      </c>
      <c r="AO8" s="2">
        <v>0.0</v>
      </c>
      <c r="AP8" s="2">
        <v>9.0</v>
      </c>
      <c r="AQ8" s="2">
        <v>0.0</v>
      </c>
      <c r="AR8" s="2">
        <v>1.0</v>
      </c>
      <c r="AS8" s="2">
        <v>0.0</v>
      </c>
      <c r="AT8" s="2">
        <v>26.0</v>
      </c>
      <c r="AU8" s="2">
        <v>0.0</v>
      </c>
      <c r="AV8" s="2">
        <v>3.0</v>
      </c>
      <c r="AW8" s="2">
        <v>2.0</v>
      </c>
      <c r="AX8" s="2">
        <v>0.0</v>
      </c>
      <c r="AY8" s="2">
        <v>0.0</v>
      </c>
      <c r="AZ8" s="2">
        <v>0.0</v>
      </c>
      <c r="BA8" s="2">
        <v>0.0</v>
      </c>
      <c r="BB8" s="2">
        <v>1.0</v>
      </c>
      <c r="BC8" s="2">
        <v>2.0</v>
      </c>
      <c r="BD8" s="2">
        <v>0.0</v>
      </c>
      <c r="BE8" s="2">
        <v>24.0</v>
      </c>
      <c r="BF8" s="2">
        <v>0.0</v>
      </c>
      <c r="BG8" s="2">
        <v>0.0</v>
      </c>
      <c r="BH8" s="2">
        <v>0.0</v>
      </c>
      <c r="BI8" s="2">
        <v>147.0</v>
      </c>
      <c r="BJ8" s="2">
        <v>0.0</v>
      </c>
      <c r="BK8" s="2">
        <v>0.0</v>
      </c>
      <c r="BL8" s="2">
        <v>0.0</v>
      </c>
      <c r="BM8" s="2">
        <v>0.0</v>
      </c>
      <c r="BN8" s="2">
        <v>1.0</v>
      </c>
      <c r="BO8" s="2">
        <v>1.0</v>
      </c>
      <c r="BP8" s="2">
        <v>6.0</v>
      </c>
      <c r="BQ8" s="2">
        <v>0.0</v>
      </c>
      <c r="BR8" s="2">
        <v>50.0</v>
      </c>
      <c r="BS8" s="2">
        <v>1.0</v>
      </c>
      <c r="BT8" s="2">
        <v>0.0</v>
      </c>
      <c r="BU8" s="2">
        <v>0.0</v>
      </c>
      <c r="BV8" s="2">
        <v>2.0</v>
      </c>
      <c r="BW8" s="2">
        <v>0.0</v>
      </c>
      <c r="BX8" s="2">
        <v>0.0</v>
      </c>
      <c r="BY8" s="2">
        <v>0.0</v>
      </c>
      <c r="BZ8" s="2">
        <v>0.0</v>
      </c>
      <c r="CA8" s="2">
        <v>2.0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0.0</v>
      </c>
      <c r="CI8" s="2">
        <v>43.0</v>
      </c>
      <c r="CJ8" s="2">
        <v>98.0</v>
      </c>
      <c r="CK8" s="2">
        <v>4.0</v>
      </c>
      <c r="CL8" s="2">
        <v>7.0</v>
      </c>
      <c r="CM8" s="2">
        <v>0.0</v>
      </c>
      <c r="CN8" s="2">
        <v>0.0</v>
      </c>
      <c r="CO8" s="2">
        <v>0.0</v>
      </c>
      <c r="CP8" s="2">
        <v>1.0</v>
      </c>
      <c r="CQ8" s="2">
        <v>599.0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sheetData>
    <row r="1">
      <c r="A1" s="1" t="s">
        <v>240</v>
      </c>
      <c r="B1" s="1"/>
      <c r="C1" s="2"/>
      <c r="D1" s="2"/>
      <c r="AJ1" s="1"/>
      <c r="AQ1" s="1"/>
      <c r="AR1" s="1"/>
      <c r="AS1" s="1"/>
      <c r="AT1" s="1"/>
      <c r="AU1" s="1"/>
      <c r="AV1" s="1"/>
      <c r="AW1" s="1"/>
      <c r="AX1" s="1"/>
      <c r="AY1" s="2" t="s">
        <v>241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49</v>
      </c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>
      <c r="A2" s="1" t="s">
        <v>0</v>
      </c>
      <c r="B2" s="1" t="s">
        <v>4</v>
      </c>
      <c r="C2" s="1" t="s">
        <v>55</v>
      </c>
      <c r="D2" s="1" t="s">
        <v>56</v>
      </c>
      <c r="E2" s="1" t="s">
        <v>80</v>
      </c>
      <c r="F2" s="13" t="s">
        <v>61</v>
      </c>
      <c r="G2" s="13" t="s">
        <v>63</v>
      </c>
      <c r="H2" s="13" t="s">
        <v>64</v>
      </c>
      <c r="I2" s="2" t="s">
        <v>106</v>
      </c>
      <c r="J2" s="2" t="s">
        <v>72</v>
      </c>
      <c r="K2" s="13" t="s">
        <v>78</v>
      </c>
      <c r="L2" s="13" t="s">
        <v>82</v>
      </c>
      <c r="M2" s="13" t="s">
        <v>84</v>
      </c>
      <c r="N2" s="2" t="s">
        <v>85</v>
      </c>
      <c r="O2" s="13" t="s">
        <v>242</v>
      </c>
      <c r="P2" s="13" t="s">
        <v>91</v>
      </c>
      <c r="Q2" s="13" t="s">
        <v>157</v>
      </c>
      <c r="R2" s="13" t="s">
        <v>94</v>
      </c>
      <c r="S2" s="13" t="s">
        <v>96</v>
      </c>
      <c r="T2" s="13" t="s">
        <v>98</v>
      </c>
      <c r="U2" s="13" t="s">
        <v>104</v>
      </c>
      <c r="V2" s="13" t="s">
        <v>188</v>
      </c>
      <c r="W2" s="13" t="s">
        <v>105</v>
      </c>
      <c r="X2" s="13" t="s">
        <v>111</v>
      </c>
      <c r="Y2" s="13" t="s">
        <v>116</v>
      </c>
      <c r="Z2" s="13" t="s">
        <v>119</v>
      </c>
      <c r="AA2" s="13" t="s">
        <v>205</v>
      </c>
      <c r="AB2" s="13" t="s">
        <v>208</v>
      </c>
      <c r="AC2" s="13" t="s">
        <v>209</v>
      </c>
      <c r="AD2" s="13" t="s">
        <v>130</v>
      </c>
      <c r="AE2" s="13" t="s">
        <v>133</v>
      </c>
      <c r="AF2" s="13" t="s">
        <v>211</v>
      </c>
      <c r="AG2" s="13" t="s">
        <v>135</v>
      </c>
      <c r="AH2" s="13" t="s">
        <v>136</v>
      </c>
      <c r="AI2" s="13" t="s">
        <v>137</v>
      </c>
      <c r="AJ2" s="13" t="s">
        <v>139</v>
      </c>
      <c r="AK2" s="13" t="s">
        <v>212</v>
      </c>
      <c r="AL2" s="13" t="s">
        <v>243</v>
      </c>
      <c r="AM2" s="13" t="s">
        <v>216</v>
      </c>
      <c r="AN2" s="13" t="s">
        <v>217</v>
      </c>
      <c r="AO2" s="13" t="s">
        <v>219</v>
      </c>
      <c r="AP2" s="13" t="s">
        <v>154</v>
      </c>
      <c r="AQ2" s="13" t="s">
        <v>155</v>
      </c>
      <c r="AR2" s="13" t="s">
        <v>156</v>
      </c>
      <c r="AS2" s="13" t="s">
        <v>158</v>
      </c>
      <c r="AT2" s="13" t="s">
        <v>160</v>
      </c>
      <c r="AU2" s="13" t="s">
        <v>161</v>
      </c>
      <c r="AV2" s="13" t="s">
        <v>163</v>
      </c>
      <c r="AW2" s="13" t="s">
        <v>244</v>
      </c>
      <c r="AX2" s="13"/>
      <c r="AY2" s="13" t="s">
        <v>164</v>
      </c>
      <c r="AZ2" s="13" t="s">
        <v>170</v>
      </c>
      <c r="BA2" s="13" t="s">
        <v>172</v>
      </c>
      <c r="BB2" s="13" t="s">
        <v>201</v>
      </c>
      <c r="BC2" s="13" t="s">
        <v>226</v>
      </c>
      <c r="BD2" s="13" t="s">
        <v>175</v>
      </c>
      <c r="BE2" s="13" t="s">
        <v>177</v>
      </c>
      <c r="BF2" s="13" t="s">
        <v>197</v>
      </c>
      <c r="BG2" s="13" t="s">
        <v>178</v>
      </c>
      <c r="BH2" s="13" t="s">
        <v>179</v>
      </c>
      <c r="BI2" s="13" t="s">
        <v>180</v>
      </c>
      <c r="BJ2" s="13" t="s">
        <v>182</v>
      </c>
      <c r="BK2" s="13" t="s">
        <v>184</v>
      </c>
      <c r="BL2" s="13" t="s">
        <v>229</v>
      </c>
      <c r="BM2" s="13" t="s">
        <v>189</v>
      </c>
      <c r="BN2" s="13" t="s">
        <v>187</v>
      </c>
      <c r="BO2" s="16" t="s">
        <v>194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</row>
    <row r="3">
      <c r="A3" s="4">
        <v>45305.0</v>
      </c>
      <c r="B3" s="2" t="s">
        <v>238</v>
      </c>
      <c r="C3" s="2" t="s">
        <v>215</v>
      </c>
      <c r="D3" s="2">
        <v>3.0</v>
      </c>
      <c r="E3" s="2">
        <v>36.0</v>
      </c>
      <c r="F3" s="19">
        <v>0.144</v>
      </c>
      <c r="G3" s="19">
        <v>0.01</v>
      </c>
      <c r="K3" s="19">
        <v>0.19466666666666665</v>
      </c>
      <c r="L3" s="19">
        <v>0.0475</v>
      </c>
      <c r="M3" s="19">
        <v>0.16333333333333333</v>
      </c>
      <c r="O3" s="19"/>
      <c r="P3" s="19">
        <v>0.09</v>
      </c>
      <c r="Q3" s="19">
        <v>0.1</v>
      </c>
      <c r="U3" s="19">
        <v>0.01</v>
      </c>
      <c r="V3" s="19">
        <v>0.10166666666666668</v>
      </c>
      <c r="W3" s="19">
        <v>0.065</v>
      </c>
      <c r="Y3" s="19">
        <v>0.085</v>
      </c>
      <c r="AB3" s="19">
        <v>0.10857142857142857</v>
      </c>
      <c r="AD3" s="19">
        <v>0.2090909090909091</v>
      </c>
      <c r="AE3" s="19">
        <v>0.0575</v>
      </c>
      <c r="AF3" s="19">
        <v>0.18666666666666665</v>
      </c>
      <c r="AJ3" s="19">
        <v>0.05</v>
      </c>
      <c r="AK3" s="19">
        <v>0.10500000000000001</v>
      </c>
      <c r="AM3" s="19">
        <v>0.11000000000000001</v>
      </c>
      <c r="AO3" s="19">
        <v>0.2796969696969697</v>
      </c>
      <c r="AP3" s="19">
        <v>0.08666666666666667</v>
      </c>
      <c r="AT3" s="19">
        <v>0.05</v>
      </c>
      <c r="AV3" s="19">
        <v>0.16636363636363638</v>
      </c>
      <c r="BB3" s="19">
        <v>0.030000000000000002</v>
      </c>
      <c r="BC3" s="19">
        <v>0.01</v>
      </c>
      <c r="BD3" s="19">
        <v>0.05</v>
      </c>
      <c r="BK3" s="19">
        <v>0.23125</v>
      </c>
      <c r="BM3" s="19">
        <v>0.17666666666666667</v>
      </c>
      <c r="BN3" s="19">
        <v>0.42583333333333334</v>
      </c>
      <c r="BO3" s="19">
        <v>0.1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</row>
    <row r="4">
      <c r="A4" s="9">
        <v>45318.0</v>
      </c>
      <c r="B4" s="2" t="s">
        <v>233</v>
      </c>
      <c r="C4" s="2" t="s">
        <v>97</v>
      </c>
      <c r="D4" s="2">
        <v>4.0</v>
      </c>
      <c r="E4" s="2">
        <v>42.0</v>
      </c>
      <c r="F4" s="2">
        <v>0.0</v>
      </c>
      <c r="G4" s="2">
        <v>0.0</v>
      </c>
      <c r="H4" s="2">
        <v>0.0</v>
      </c>
      <c r="I4" s="2"/>
      <c r="J4" s="2">
        <v>0.02</v>
      </c>
      <c r="K4" s="2">
        <v>0.0</v>
      </c>
      <c r="L4" s="2">
        <v>0.16</v>
      </c>
      <c r="M4" s="2">
        <v>0.09</v>
      </c>
      <c r="N4" s="2">
        <v>0.1</v>
      </c>
      <c r="O4" s="2"/>
      <c r="P4" s="2">
        <v>0.0</v>
      </c>
      <c r="Q4" s="2">
        <v>0.02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0.18</v>
      </c>
      <c r="Z4" s="2">
        <v>0.02</v>
      </c>
      <c r="AA4" s="2">
        <v>0.0</v>
      </c>
      <c r="AB4" s="2">
        <v>0.0</v>
      </c>
      <c r="AC4" s="2">
        <v>0.17</v>
      </c>
      <c r="AD4" s="2">
        <v>0.1</v>
      </c>
      <c r="AE4" s="2">
        <v>0.75</v>
      </c>
      <c r="AF4" s="2">
        <v>0.08</v>
      </c>
      <c r="AG4" s="2">
        <v>0.05</v>
      </c>
      <c r="AH4" s="2">
        <v>0.85</v>
      </c>
      <c r="AI4" s="2">
        <v>0.0</v>
      </c>
      <c r="AJ4" s="2">
        <v>0.0</v>
      </c>
      <c r="AK4" s="2">
        <v>0.2</v>
      </c>
      <c r="AL4" s="2">
        <v>1.65</v>
      </c>
      <c r="AM4" s="2">
        <v>0.05</v>
      </c>
      <c r="AN4" s="2">
        <v>0.02</v>
      </c>
      <c r="AO4" s="2">
        <v>8.01</v>
      </c>
      <c r="AP4" s="2">
        <v>0.0</v>
      </c>
      <c r="AQ4" s="2">
        <v>3.21</v>
      </c>
      <c r="AR4" s="2">
        <v>4.24</v>
      </c>
      <c r="AS4" s="2">
        <v>0.0</v>
      </c>
      <c r="AT4" s="2">
        <v>0.0</v>
      </c>
      <c r="AU4" s="2">
        <v>0.1</v>
      </c>
      <c r="AV4" s="2">
        <v>3.22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0.25</v>
      </c>
      <c r="BG4" s="2">
        <v>0.02</v>
      </c>
      <c r="BH4" s="2">
        <v>0.02</v>
      </c>
      <c r="BI4" s="2">
        <v>0.0</v>
      </c>
      <c r="BJ4" s="2">
        <v>0.07</v>
      </c>
      <c r="BK4" s="2">
        <v>0.9</v>
      </c>
      <c r="BL4" s="2">
        <v>1.11</v>
      </c>
      <c r="BM4" s="2">
        <v>0.0</v>
      </c>
      <c r="BN4" s="2">
        <v>15.61</v>
      </c>
      <c r="BO4" s="2">
        <v>0.0</v>
      </c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</row>
    <row r="5">
      <c r="A5" s="9">
        <v>45333.0</v>
      </c>
      <c r="B5" s="2" t="s">
        <v>233</v>
      </c>
      <c r="C5" s="2" t="s">
        <v>117</v>
      </c>
      <c r="D5" s="2">
        <v>4.0</v>
      </c>
      <c r="E5" s="2">
        <v>41.0</v>
      </c>
      <c r="F5" s="2">
        <v>0.0</v>
      </c>
      <c r="G5" s="2">
        <v>0.0</v>
      </c>
      <c r="H5" s="2">
        <v>0.0</v>
      </c>
      <c r="I5" s="2"/>
      <c r="J5" s="2">
        <v>0.0</v>
      </c>
      <c r="K5" s="2">
        <v>0.0</v>
      </c>
      <c r="L5" s="2">
        <v>0.013</v>
      </c>
      <c r="M5" s="2">
        <v>0.0625</v>
      </c>
      <c r="N5" s="2">
        <v>0.014</v>
      </c>
      <c r="O5" s="2"/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0.024</v>
      </c>
      <c r="W5" s="2">
        <v>0.0</v>
      </c>
      <c r="X5" s="2">
        <v>0.041</v>
      </c>
      <c r="Y5" s="2">
        <v>0.047</v>
      </c>
      <c r="Z5" s="2">
        <v>0.0</v>
      </c>
      <c r="AA5" s="2">
        <v>0.0</v>
      </c>
      <c r="AB5" s="2">
        <v>0.001</v>
      </c>
      <c r="AC5" s="2">
        <v>0.03</v>
      </c>
      <c r="AD5" s="2">
        <v>0.0</v>
      </c>
      <c r="AE5" s="2">
        <v>0.164</v>
      </c>
      <c r="AF5" s="2">
        <v>0.058</v>
      </c>
      <c r="AG5" s="2">
        <v>0.0</v>
      </c>
      <c r="AH5" s="2">
        <v>0.208</v>
      </c>
      <c r="AI5" s="2">
        <v>0.0</v>
      </c>
      <c r="AJ5" s="2">
        <v>0.0</v>
      </c>
      <c r="AK5" s="2">
        <v>0.03</v>
      </c>
      <c r="AL5" s="2">
        <v>0.0738</v>
      </c>
      <c r="AM5" s="2">
        <v>0.0278</v>
      </c>
      <c r="AN5" s="2">
        <v>0.012</v>
      </c>
      <c r="AO5" s="2">
        <v>0.362</v>
      </c>
      <c r="AP5" s="2">
        <v>0.0</v>
      </c>
      <c r="AQ5" s="2">
        <v>0.122</v>
      </c>
      <c r="AR5" s="2">
        <v>0.097</v>
      </c>
      <c r="AS5" s="2">
        <v>0.0</v>
      </c>
      <c r="AT5" s="2">
        <v>0.0</v>
      </c>
      <c r="AU5" s="2">
        <v>0.0</v>
      </c>
      <c r="AV5" s="2">
        <v>0.125</v>
      </c>
      <c r="AW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0.383</v>
      </c>
      <c r="BG5" s="2">
        <v>0.0</v>
      </c>
      <c r="BH5" s="2">
        <v>0.0</v>
      </c>
      <c r="BI5" s="2">
        <v>0.0</v>
      </c>
      <c r="BJ5" s="2">
        <v>0.015</v>
      </c>
      <c r="BK5" s="2">
        <v>0.397</v>
      </c>
      <c r="BL5" s="2">
        <v>0.222</v>
      </c>
      <c r="BM5" s="2">
        <v>0.0</v>
      </c>
      <c r="BN5" s="2">
        <v>0.301</v>
      </c>
      <c r="BO5" s="2">
        <v>0.0</v>
      </c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</row>
    <row r="6">
      <c r="A6" s="9">
        <v>45346.0</v>
      </c>
      <c r="B6" s="2" t="s">
        <v>233</v>
      </c>
      <c r="C6" s="2" t="s">
        <v>129</v>
      </c>
      <c r="D6" s="2">
        <v>4.0</v>
      </c>
      <c r="E6" s="2">
        <v>42.0</v>
      </c>
      <c r="I6" s="15">
        <f>sum('Quadrat PercentCover'!H272:H313)</f>
        <v>0.03</v>
      </c>
      <c r="L6" s="15">
        <f>sum('Quadrat PercentCover'!O272:O313)</f>
        <v>0.23</v>
      </c>
      <c r="M6" s="15">
        <f>sum('Quadrat PercentCover'!S272:S313)</f>
        <v>0.27</v>
      </c>
      <c r="N6" s="15">
        <f>sum('Quadrat PercentCover'!T272:T313)</f>
        <v>0.16</v>
      </c>
      <c r="O6" s="31">
        <f>sum('Quadrat PercentCover'!U272:U313)</f>
        <v>0.08</v>
      </c>
      <c r="V6" s="15">
        <f>sum('Quadrat PercentCover'!AH272:AH313)</f>
        <v>0.03</v>
      </c>
      <c r="W6" s="15">
        <f>sum('Quadrat PercentCover'!AI272:AI313)</f>
        <v>0.02</v>
      </c>
      <c r="X6" s="15">
        <f>sum('Quadrat PercentCover'!AK272:AK313)</f>
        <v>0.08</v>
      </c>
      <c r="Y6" s="15">
        <f>sum('Quadrat PercentCover'!AL272:AL313)</f>
        <v>0.94</v>
      </c>
      <c r="AC6" s="15">
        <f>sum('Quadrat PercentCover'!AQ272:AQ313)</f>
        <v>0.31</v>
      </c>
      <c r="AD6" s="31">
        <f>sum('Quadrat PercentCover'!AS272:AS313)</f>
        <v>0.01</v>
      </c>
      <c r="AE6" s="15">
        <f>sum('Quadrat PercentCover'!AU272:AU313)</f>
        <v>2.85</v>
      </c>
      <c r="AF6" s="15">
        <f>sum('Quadrat PercentCover'!AV272:AV313)</f>
        <v>0.24</v>
      </c>
      <c r="AH6" s="15">
        <f>sum('Quadrat PercentCover'!AX272:AX313)</f>
        <v>0.9</v>
      </c>
      <c r="AL6" s="15">
        <f>sum('Quadrat PercentCover'!BC272:BC313)</f>
        <v>0.57</v>
      </c>
      <c r="AM6" s="15">
        <f>sum('Quadrat PercentCover'!BE272:BE313)</f>
        <v>0.33</v>
      </c>
      <c r="AN6" s="15">
        <f>sum('Quadrat PercentCover'!BF272:BF313)</f>
        <v>0.13</v>
      </c>
      <c r="AO6" s="15">
        <f>sum('Quadrat PercentCover'!BH272:BH313)</f>
        <v>8.2</v>
      </c>
      <c r="AQ6" s="15">
        <f>sum('Quadrat PercentCover'!BN272:BN313)</f>
        <v>4.81</v>
      </c>
      <c r="AR6" s="15">
        <f>sum('Quadrat PercentCover'!BO272:BO313)</f>
        <v>0.79</v>
      </c>
      <c r="AU6" s="15">
        <f>sum('Quadrat PercentCover'!BS272:BS313)</f>
        <v>0.01</v>
      </c>
      <c r="AV6" s="15">
        <f>sum('Quadrat PercentCover'!BT272:BT313)</f>
        <v>1.99</v>
      </c>
      <c r="BF6" s="15">
        <f>sum('Quadrat PercentCover'!CE272:CE313)</f>
        <v>0.81</v>
      </c>
      <c r="BJ6" s="15">
        <f>sum('Quadrat PercentCover'!CJ272:CJ313)</f>
        <v>0.18</v>
      </c>
      <c r="BK6" s="15">
        <f>sum('Quadrat PercentCover'!CM272:CM313)</f>
        <v>7.25</v>
      </c>
      <c r="BL6" s="15">
        <f>sum('Quadrat PercentCover'!CN272:CN313)</f>
        <v>1.47</v>
      </c>
      <c r="BN6" s="15">
        <f>sum('Quadrat PercentCover'!CR272:CR313)</f>
        <v>9.31</v>
      </c>
    </row>
    <row r="7">
      <c r="A7" s="6">
        <v>45388.0</v>
      </c>
      <c r="B7" s="2" t="s">
        <v>27</v>
      </c>
      <c r="C7" s="2" t="s">
        <v>28</v>
      </c>
      <c r="D7" s="2">
        <v>4.0</v>
      </c>
      <c r="E7" s="2">
        <v>48.0</v>
      </c>
      <c r="F7" s="2">
        <v>0.01388888889</v>
      </c>
      <c r="G7" s="2">
        <v>0.03125</v>
      </c>
      <c r="L7" s="2">
        <v>0.04166666667</v>
      </c>
      <c r="N7" s="2">
        <v>0.1911703704</v>
      </c>
      <c r="O7" s="2">
        <v>0.007</v>
      </c>
      <c r="S7" s="2">
        <v>0.01788888889</v>
      </c>
      <c r="W7" s="2">
        <v>0.1201388889</v>
      </c>
      <c r="Z7" s="2">
        <v>0.02777777778</v>
      </c>
      <c r="AA7" s="2">
        <v>0.03240740741</v>
      </c>
      <c r="AD7" s="2">
        <v>0.015</v>
      </c>
      <c r="AE7" s="2">
        <v>0.1827222222</v>
      </c>
      <c r="AI7" s="2">
        <v>0.03222222222</v>
      </c>
      <c r="AJ7" s="2">
        <v>0.02461111111</v>
      </c>
      <c r="AK7" s="2">
        <v>0.02777777778</v>
      </c>
      <c r="AL7" s="2">
        <v>0.0277020202</v>
      </c>
      <c r="AP7" s="2">
        <v>0.02796296296</v>
      </c>
      <c r="AS7" s="2">
        <v>0.2116111111</v>
      </c>
      <c r="AT7" s="2">
        <v>0.002</v>
      </c>
      <c r="AU7" s="2">
        <v>0.04861111111</v>
      </c>
      <c r="AZ7" s="2">
        <v>0.0075</v>
      </c>
      <c r="BA7" s="2">
        <v>0.00962962963</v>
      </c>
      <c r="BE7" s="2">
        <v>0.1578111111</v>
      </c>
      <c r="BF7" s="2">
        <v>0.001</v>
      </c>
      <c r="BH7" s="2">
        <v>0.2823091787</v>
      </c>
      <c r="BP7" s="2">
        <v>0.005666666667</v>
      </c>
      <c r="BQ7" s="2">
        <v>0.01388888889</v>
      </c>
      <c r="BR7" s="2">
        <v>0.009444444444</v>
      </c>
      <c r="BS7" s="2">
        <v>0.01861111111</v>
      </c>
      <c r="BT7" s="2">
        <v>0.1219555556</v>
      </c>
      <c r="BY7" s="2">
        <v>0.008981481481</v>
      </c>
      <c r="CA7" s="2">
        <v>0.003727272727</v>
      </c>
      <c r="CB7" s="2">
        <v>0.01</v>
      </c>
      <c r="CC7" s="2">
        <v>0.01388888889</v>
      </c>
      <c r="CE7" s="2">
        <v>0.005</v>
      </c>
      <c r="CK7" s="2">
        <v>0.01</v>
      </c>
      <c r="CM7" s="2">
        <v>0.1150854701</v>
      </c>
      <c r="CO7" s="2">
        <v>0.2480980392</v>
      </c>
      <c r="CP7" s="2">
        <v>0.08680555556</v>
      </c>
      <c r="CR7" s="2">
        <v>0.02777777778</v>
      </c>
      <c r="CU7" s="2">
        <v>0.03111111111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8.5"/>
    <col customWidth="1" min="3" max="3" width="18.0"/>
    <col customWidth="1" min="4" max="4" width="6.0"/>
    <col customWidth="1" min="5" max="5" width="4.63"/>
    <col customWidth="1" min="6" max="6" width="15.5"/>
    <col customWidth="1" min="7" max="7" width="9.25"/>
  </cols>
  <sheetData>
    <row r="1">
      <c r="A1" s="40" t="s">
        <v>0</v>
      </c>
      <c r="B1" s="39" t="s">
        <v>265</v>
      </c>
      <c r="C1" s="39" t="s">
        <v>266</v>
      </c>
      <c r="D1" s="39" t="s">
        <v>267</v>
      </c>
      <c r="E1" s="39" t="s">
        <v>268</v>
      </c>
      <c r="F1" s="39" t="s">
        <v>269</v>
      </c>
      <c r="G1" s="41" t="s">
        <v>270</v>
      </c>
      <c r="H1" s="42"/>
      <c r="I1" s="43" t="s">
        <v>61</v>
      </c>
      <c r="J1" s="43" t="s">
        <v>63</v>
      </c>
      <c r="K1" s="43" t="s">
        <v>106</v>
      </c>
      <c r="L1" s="43" t="s">
        <v>66</v>
      </c>
      <c r="M1" s="43" t="s">
        <v>64</v>
      </c>
      <c r="N1" s="39" t="s">
        <v>72</v>
      </c>
      <c r="O1" s="43" t="s">
        <v>62</v>
      </c>
      <c r="P1" s="43" t="s">
        <v>78</v>
      </c>
      <c r="Q1" s="43" t="s">
        <v>82</v>
      </c>
      <c r="R1" s="43" t="s">
        <v>131</v>
      </c>
      <c r="S1" s="43" t="s">
        <v>81</v>
      </c>
      <c r="T1" s="43" t="s">
        <v>83</v>
      </c>
      <c r="U1" s="43" t="s">
        <v>84</v>
      </c>
      <c r="V1" s="39" t="s">
        <v>85</v>
      </c>
      <c r="W1" s="43" t="s">
        <v>88</v>
      </c>
      <c r="X1" s="43" t="s">
        <v>147</v>
      </c>
      <c r="Y1" s="43" t="s">
        <v>91</v>
      </c>
      <c r="Z1" s="43" t="s">
        <v>157</v>
      </c>
      <c r="AA1" s="43" t="s">
        <v>94</v>
      </c>
      <c r="AB1" s="43" t="s">
        <v>96</v>
      </c>
      <c r="AC1" s="43" t="s">
        <v>98</v>
      </c>
      <c r="AD1" s="43" t="s">
        <v>100</v>
      </c>
      <c r="AE1" s="43" t="s">
        <v>181</v>
      </c>
      <c r="AF1" s="43" t="s">
        <v>103</v>
      </c>
      <c r="AG1" s="43" t="s">
        <v>104</v>
      </c>
      <c r="AH1" s="43" t="s">
        <v>188</v>
      </c>
      <c r="AI1" s="43" t="s">
        <v>105</v>
      </c>
      <c r="AJ1" s="43" t="s">
        <v>108</v>
      </c>
      <c r="AK1" s="43" t="s">
        <v>111</v>
      </c>
      <c r="AL1" s="43" t="s">
        <v>116</v>
      </c>
      <c r="AM1" s="43" t="s">
        <v>118</v>
      </c>
      <c r="AN1" s="43" t="s">
        <v>119</v>
      </c>
      <c r="AO1" s="43" t="s">
        <v>205</v>
      </c>
      <c r="AP1" s="43" t="s">
        <v>208</v>
      </c>
      <c r="AQ1" s="43" t="s">
        <v>209</v>
      </c>
      <c r="AR1" s="43" t="s">
        <v>210</v>
      </c>
      <c r="AS1" s="43" t="s">
        <v>130</v>
      </c>
      <c r="AT1" s="43"/>
      <c r="AU1" s="43" t="s">
        <v>133</v>
      </c>
      <c r="AV1" s="43" t="s">
        <v>211</v>
      </c>
      <c r="AW1" s="43" t="s">
        <v>135</v>
      </c>
      <c r="AX1" s="43" t="s">
        <v>136</v>
      </c>
      <c r="AY1" s="43" t="s">
        <v>137</v>
      </c>
      <c r="AZ1" s="43" t="s">
        <v>139</v>
      </c>
      <c r="BA1" s="43" t="s">
        <v>212</v>
      </c>
      <c r="BB1" s="43" t="s">
        <v>243</v>
      </c>
      <c r="BC1" s="43" t="s">
        <v>271</v>
      </c>
      <c r="BD1" s="43" t="s">
        <v>216</v>
      </c>
      <c r="BE1" s="43" t="s">
        <v>217</v>
      </c>
      <c r="BF1" s="43" t="s">
        <v>218</v>
      </c>
      <c r="BG1" s="43" t="s">
        <v>219</v>
      </c>
      <c r="BH1" s="43" t="s">
        <v>176</v>
      </c>
      <c r="BI1" s="43" t="s">
        <v>220</v>
      </c>
      <c r="BJ1" s="43" t="s">
        <v>150</v>
      </c>
      <c r="BK1" s="43" t="s">
        <v>222</v>
      </c>
      <c r="BL1" s="43" t="s">
        <v>154</v>
      </c>
      <c r="BM1" s="43" t="s">
        <v>155</v>
      </c>
      <c r="BN1" s="43" t="s">
        <v>156</v>
      </c>
      <c r="BO1" s="43" t="s">
        <v>158</v>
      </c>
      <c r="BP1" s="43" t="s">
        <v>159</v>
      </c>
      <c r="BQ1" s="43" t="s">
        <v>160</v>
      </c>
      <c r="BR1" s="43" t="s">
        <v>161</v>
      </c>
      <c r="BS1" s="43" t="s">
        <v>163</v>
      </c>
      <c r="BT1" s="43" t="s">
        <v>224</v>
      </c>
      <c r="BU1" s="43" t="s">
        <v>162</v>
      </c>
      <c r="BV1" s="43"/>
      <c r="BW1" s="43" t="s">
        <v>164</v>
      </c>
      <c r="BX1" s="43" t="s">
        <v>225</v>
      </c>
      <c r="BY1" s="43" t="s">
        <v>172</v>
      </c>
      <c r="BZ1" s="43" t="s">
        <v>201</v>
      </c>
      <c r="CA1" s="43" t="s">
        <v>226</v>
      </c>
      <c r="CB1" s="43" t="s">
        <v>175</v>
      </c>
      <c r="CC1" s="43" t="s">
        <v>177</v>
      </c>
      <c r="CD1" s="43" t="s">
        <v>197</v>
      </c>
      <c r="CE1" s="43" t="s">
        <v>178</v>
      </c>
      <c r="CF1" s="43" t="s">
        <v>179</v>
      </c>
      <c r="CG1" s="43" t="s">
        <v>180</v>
      </c>
      <c r="CH1" s="43" t="s">
        <v>182</v>
      </c>
      <c r="CI1" s="43" t="s">
        <v>206</v>
      </c>
      <c r="CJ1" s="43" t="s">
        <v>228</v>
      </c>
      <c r="CK1" s="43" t="s">
        <v>184</v>
      </c>
      <c r="CL1" s="43" t="s">
        <v>229</v>
      </c>
      <c r="CM1" s="43" t="s">
        <v>186</v>
      </c>
      <c r="CN1" s="43" t="s">
        <v>189</v>
      </c>
      <c r="CO1" s="43" t="s">
        <v>230</v>
      </c>
      <c r="CP1" s="43" t="s">
        <v>187</v>
      </c>
      <c r="CQ1" s="44" t="s">
        <v>194</v>
      </c>
      <c r="CR1" s="44" t="s">
        <v>231</v>
      </c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</row>
    <row r="2">
      <c r="A2" s="40">
        <v>45332.0</v>
      </c>
      <c r="B2" s="39" t="s">
        <v>264</v>
      </c>
      <c r="C2" s="45">
        <v>1.0</v>
      </c>
      <c r="D2" s="45">
        <v>40.0</v>
      </c>
      <c r="E2" s="45">
        <v>0.0</v>
      </c>
      <c r="F2" s="45">
        <v>0.0</v>
      </c>
      <c r="G2" s="46">
        <f t="shared" ref="G2:G77" si="1"> sum(I2:BU2)-(I2+P2+AE2+AO2+AP2+AS2+AU2+BB2+BS2)</f>
        <v>0.55</v>
      </c>
      <c r="H2" s="42"/>
      <c r="I2" s="47"/>
      <c r="J2" s="47"/>
      <c r="K2" s="39">
        <v>0.05</v>
      </c>
      <c r="L2" s="47"/>
      <c r="M2" s="47"/>
      <c r="N2" s="47"/>
      <c r="O2" s="47"/>
      <c r="P2" s="47"/>
      <c r="Q2" s="47"/>
      <c r="R2" s="39"/>
      <c r="S2" s="39"/>
      <c r="T2" s="39"/>
      <c r="U2" s="39">
        <v>0.1</v>
      </c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39">
        <v>0.05</v>
      </c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39">
        <v>0.4</v>
      </c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39">
        <v>0.4</v>
      </c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8">
        <f t="shared" ref="CS2:CS77" si="2">sum(I2:CQ2)</f>
        <v>1</v>
      </c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</row>
    <row r="3">
      <c r="A3" s="40">
        <v>45332.0</v>
      </c>
      <c r="B3" s="39" t="s">
        <v>264</v>
      </c>
      <c r="C3" s="45">
        <v>1.0</v>
      </c>
      <c r="D3" s="45">
        <v>35.0</v>
      </c>
      <c r="E3" s="45">
        <v>5.0</v>
      </c>
      <c r="F3" s="45">
        <v>1.0</v>
      </c>
      <c r="G3" s="46">
        <f t="shared" si="1"/>
        <v>0.4</v>
      </c>
      <c r="H3" s="42"/>
      <c r="I3" s="47"/>
      <c r="J3" s="47"/>
      <c r="K3" s="47"/>
      <c r="L3" s="47"/>
      <c r="M3" s="47"/>
      <c r="N3" s="47"/>
      <c r="O3" s="47"/>
      <c r="P3" s="47"/>
      <c r="Q3" s="47"/>
      <c r="R3" s="39"/>
      <c r="S3" s="39"/>
      <c r="T3" s="39"/>
      <c r="U3" s="39">
        <v>0.1</v>
      </c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39">
        <v>0.05</v>
      </c>
      <c r="BB3" s="47"/>
      <c r="BC3" s="47"/>
      <c r="BD3" s="47"/>
      <c r="BE3" s="47"/>
      <c r="BF3" s="47"/>
      <c r="BG3" s="39">
        <v>0.25</v>
      </c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39">
        <v>0.5</v>
      </c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39"/>
      <c r="CK3" s="39">
        <v>0.1</v>
      </c>
      <c r="CL3" s="47"/>
      <c r="CM3" s="47"/>
      <c r="CN3" s="47"/>
      <c r="CO3" s="47"/>
      <c r="CP3" s="47"/>
      <c r="CQ3" s="47"/>
      <c r="CR3" s="47"/>
      <c r="CS3" s="48">
        <f t="shared" si="2"/>
        <v>1</v>
      </c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</row>
    <row r="4">
      <c r="A4" s="40">
        <v>45332.0</v>
      </c>
      <c r="B4" s="39" t="s">
        <v>264</v>
      </c>
      <c r="C4" s="45">
        <v>1.0</v>
      </c>
      <c r="D4" s="45">
        <v>30.0</v>
      </c>
      <c r="E4" s="45">
        <v>10.0</v>
      </c>
      <c r="F4" s="45">
        <v>0.0</v>
      </c>
      <c r="G4" s="46">
        <f t="shared" si="1"/>
        <v>0.65</v>
      </c>
      <c r="H4" s="42"/>
      <c r="I4" s="47"/>
      <c r="J4" s="47"/>
      <c r="K4" s="39">
        <v>0.1</v>
      </c>
      <c r="L4" s="47"/>
      <c r="M4" s="47"/>
      <c r="N4" s="47"/>
      <c r="O4" s="47"/>
      <c r="P4" s="47"/>
      <c r="Q4" s="47"/>
      <c r="R4" s="39"/>
      <c r="S4" s="39"/>
      <c r="T4" s="39"/>
      <c r="U4" s="39">
        <v>0.3</v>
      </c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39">
        <v>0.25</v>
      </c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39">
        <v>0.35</v>
      </c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8">
        <f t="shared" si="2"/>
        <v>1</v>
      </c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</row>
    <row r="5">
      <c r="A5" s="40">
        <v>45332.0</v>
      </c>
      <c r="B5" s="39" t="s">
        <v>264</v>
      </c>
      <c r="C5" s="45">
        <v>1.0</v>
      </c>
      <c r="D5" s="45">
        <v>25.0</v>
      </c>
      <c r="E5" s="45">
        <v>15.0</v>
      </c>
      <c r="F5" s="45">
        <v>1.0</v>
      </c>
      <c r="G5" s="46">
        <f t="shared" si="1"/>
        <v>0.5</v>
      </c>
      <c r="H5" s="42"/>
      <c r="I5" s="47"/>
      <c r="J5" s="47"/>
      <c r="K5" s="47"/>
      <c r="L5" s="47"/>
      <c r="M5" s="47"/>
      <c r="N5" s="47"/>
      <c r="O5" s="47"/>
      <c r="P5" s="47"/>
      <c r="Q5" s="47"/>
      <c r="R5" s="39"/>
      <c r="S5" s="39"/>
      <c r="T5" s="39"/>
      <c r="U5" s="39">
        <v>0.15</v>
      </c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39">
        <v>0.35</v>
      </c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39"/>
      <c r="CK5" s="39">
        <v>0.1</v>
      </c>
      <c r="CL5" s="47"/>
      <c r="CM5" s="47"/>
      <c r="CN5" s="47"/>
      <c r="CO5" s="39">
        <v>0.2</v>
      </c>
      <c r="CP5" s="39">
        <v>0.2</v>
      </c>
      <c r="CQ5" s="47"/>
      <c r="CR5" s="47"/>
      <c r="CS5" s="48">
        <f t="shared" si="2"/>
        <v>1</v>
      </c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</row>
    <row r="6">
      <c r="A6" s="40">
        <v>45332.0</v>
      </c>
      <c r="B6" s="39" t="s">
        <v>264</v>
      </c>
      <c r="C6" s="45">
        <v>1.0</v>
      </c>
      <c r="D6" s="45">
        <v>20.0</v>
      </c>
      <c r="E6" s="45">
        <v>20.0</v>
      </c>
      <c r="F6" s="45">
        <v>1.0</v>
      </c>
      <c r="G6" s="46">
        <f t="shared" si="1"/>
        <v>0.2</v>
      </c>
      <c r="H6" s="42"/>
      <c r="I6" s="47"/>
      <c r="J6" s="47"/>
      <c r="K6" s="47"/>
      <c r="L6" s="47"/>
      <c r="M6" s="47"/>
      <c r="N6" s="47"/>
      <c r="O6" s="47"/>
      <c r="P6" s="47"/>
      <c r="Q6" s="47"/>
      <c r="R6" s="39"/>
      <c r="S6" s="39"/>
      <c r="T6" s="39"/>
      <c r="U6" s="39">
        <v>0.05</v>
      </c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39">
        <v>0.15</v>
      </c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39">
        <v>0.3</v>
      </c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39">
        <v>0.5</v>
      </c>
      <c r="CQ6" s="47"/>
      <c r="CR6" s="47"/>
      <c r="CS6" s="48">
        <f t="shared" si="2"/>
        <v>1</v>
      </c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</row>
    <row r="7">
      <c r="A7" s="40">
        <v>45332.0</v>
      </c>
      <c r="B7" s="39" t="s">
        <v>264</v>
      </c>
      <c r="C7" s="45">
        <v>1.0</v>
      </c>
      <c r="D7" s="45">
        <v>15.0</v>
      </c>
      <c r="E7" s="45">
        <v>25.0</v>
      </c>
      <c r="F7" s="45">
        <v>0.0</v>
      </c>
      <c r="G7" s="46">
        <f t="shared" si="1"/>
        <v>0.15</v>
      </c>
      <c r="H7" s="42"/>
      <c r="I7" s="47"/>
      <c r="J7" s="47"/>
      <c r="K7" s="39">
        <v>0.05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39">
        <v>0.05</v>
      </c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39">
        <v>0.1</v>
      </c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39">
        <v>0.75</v>
      </c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39"/>
      <c r="CK7" s="39">
        <v>0.05</v>
      </c>
      <c r="CL7" s="47"/>
      <c r="CM7" s="47"/>
      <c r="CN7" s="47"/>
      <c r="CO7" s="47"/>
      <c r="CP7" s="47"/>
      <c r="CQ7" s="47"/>
      <c r="CR7" s="47"/>
      <c r="CS7" s="48">
        <f t="shared" si="2"/>
        <v>1</v>
      </c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</row>
    <row r="8">
      <c r="A8" s="40">
        <v>45332.0</v>
      </c>
      <c r="B8" s="39" t="s">
        <v>264</v>
      </c>
      <c r="C8" s="45">
        <v>1.0</v>
      </c>
      <c r="D8" s="45">
        <v>10.0</v>
      </c>
      <c r="E8" s="45">
        <v>30.0</v>
      </c>
      <c r="F8" s="45">
        <v>5.0</v>
      </c>
      <c r="G8" s="46">
        <f t="shared" si="1"/>
        <v>0.1</v>
      </c>
      <c r="H8" s="42"/>
      <c r="I8" s="47"/>
      <c r="J8" s="47"/>
      <c r="K8" s="39">
        <v>0.05</v>
      </c>
      <c r="L8" s="47"/>
      <c r="M8" s="47"/>
      <c r="N8" s="47"/>
      <c r="O8" s="47"/>
      <c r="P8" s="47"/>
      <c r="Q8" s="47"/>
      <c r="R8" s="39"/>
      <c r="S8" s="39"/>
      <c r="T8" s="39"/>
      <c r="U8" s="39">
        <v>0.05</v>
      </c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39">
        <v>0.05</v>
      </c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39"/>
      <c r="CK8" s="39">
        <v>0.75</v>
      </c>
      <c r="CL8" s="47"/>
      <c r="CM8" s="39">
        <v>0.1</v>
      </c>
      <c r="CN8" s="47"/>
      <c r="CO8" s="47"/>
      <c r="CP8" s="47"/>
      <c r="CQ8" s="47"/>
      <c r="CR8" s="47"/>
      <c r="CS8" s="48">
        <f t="shared" si="2"/>
        <v>1</v>
      </c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</row>
    <row r="9">
      <c r="A9" s="40">
        <v>45332.0</v>
      </c>
      <c r="B9" s="39" t="s">
        <v>264</v>
      </c>
      <c r="C9" s="45">
        <v>1.0</v>
      </c>
      <c r="D9" s="45">
        <v>5.0</v>
      </c>
      <c r="E9" s="45">
        <v>35.0</v>
      </c>
      <c r="F9" s="45">
        <v>5.0</v>
      </c>
      <c r="G9" s="46">
        <f t="shared" si="1"/>
        <v>0.15</v>
      </c>
      <c r="H9" s="42"/>
      <c r="I9" s="47"/>
      <c r="J9" s="47"/>
      <c r="K9" s="39">
        <v>0.1</v>
      </c>
      <c r="L9" s="47"/>
      <c r="M9" s="47"/>
      <c r="N9" s="47"/>
      <c r="O9" s="47"/>
      <c r="P9" s="47"/>
      <c r="Q9" s="47"/>
      <c r="R9" s="39"/>
      <c r="S9" s="39"/>
      <c r="T9" s="39"/>
      <c r="U9" s="39">
        <v>0.05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39"/>
      <c r="AS9" s="39">
        <v>0.05</v>
      </c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39"/>
      <c r="CK9" s="39">
        <v>0.7</v>
      </c>
      <c r="CL9" s="47"/>
      <c r="CM9" s="47"/>
      <c r="CN9" s="39">
        <v>0.1</v>
      </c>
      <c r="CO9" s="47"/>
      <c r="CP9" s="47"/>
      <c r="CQ9" s="47"/>
      <c r="CR9" s="47"/>
      <c r="CS9" s="48">
        <f t="shared" si="2"/>
        <v>1</v>
      </c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</row>
    <row r="10">
      <c r="A10" s="40">
        <v>45332.0</v>
      </c>
      <c r="B10" s="39" t="s">
        <v>264</v>
      </c>
      <c r="C10" s="45">
        <v>1.0</v>
      </c>
      <c r="D10" s="45">
        <v>0.0</v>
      </c>
      <c r="E10" s="45">
        <v>40.0</v>
      </c>
      <c r="F10" s="45">
        <v>1.0</v>
      </c>
      <c r="G10" s="46">
        <f t="shared" si="1"/>
        <v>0</v>
      </c>
      <c r="H10" s="42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39"/>
      <c r="CK10" s="39">
        <v>1.0</v>
      </c>
      <c r="CL10" s="47"/>
      <c r="CM10" s="47"/>
      <c r="CN10" s="47"/>
      <c r="CO10" s="47"/>
      <c r="CP10" s="47"/>
      <c r="CQ10" s="47"/>
      <c r="CR10" s="47"/>
      <c r="CS10" s="48">
        <f t="shared" si="2"/>
        <v>1</v>
      </c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</row>
    <row r="11">
      <c r="A11" s="40">
        <v>45332.0</v>
      </c>
      <c r="B11" s="39" t="s">
        <v>264</v>
      </c>
      <c r="C11" s="45">
        <v>2.0</v>
      </c>
      <c r="D11" s="48"/>
      <c r="E11" s="45">
        <v>0.0</v>
      </c>
      <c r="F11" s="48"/>
      <c r="G11" s="46">
        <f t="shared" si="1"/>
        <v>0.6716666667</v>
      </c>
      <c r="H11" s="42"/>
      <c r="I11" s="47"/>
      <c r="J11" s="47">
        <f>5/36</f>
        <v>0.1388888889</v>
      </c>
      <c r="K11" s="39"/>
      <c r="L11" s="47"/>
      <c r="M11" s="47"/>
      <c r="N11" s="47"/>
      <c r="O11" s="47"/>
      <c r="P11" s="39">
        <v>0.005</v>
      </c>
      <c r="Q11" s="47">
        <f>4/36</f>
        <v>0.1111111111</v>
      </c>
      <c r="R11" s="39"/>
      <c r="S11" s="39"/>
      <c r="T11" s="39"/>
      <c r="U11" s="39">
        <f>9/36</f>
        <v>0.25</v>
      </c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39">
        <v>0.005</v>
      </c>
      <c r="AG11" s="47"/>
      <c r="AH11" s="47"/>
      <c r="AI11" s="47"/>
      <c r="AJ11" s="47"/>
      <c r="AK11" s="47"/>
      <c r="AL11" s="47"/>
      <c r="AM11" s="47"/>
      <c r="AN11" s="47"/>
      <c r="AO11" s="47"/>
      <c r="AP11" s="39"/>
      <c r="AQ11" s="47"/>
      <c r="AR11" s="47"/>
      <c r="AS11" s="47"/>
      <c r="AT11" s="47"/>
      <c r="AU11" s="47">
        <f>6/36</f>
        <v>0.1666666667</v>
      </c>
      <c r="AV11" s="47"/>
      <c r="AW11" s="47"/>
      <c r="AX11" s="47"/>
      <c r="AY11" s="47"/>
      <c r="AZ11" s="47"/>
      <c r="BA11" s="47">
        <f>1/36</f>
        <v>0.02777777778</v>
      </c>
      <c r="BB11" s="47"/>
      <c r="BC11" s="47"/>
      <c r="BD11" s="47"/>
      <c r="BE11" s="47"/>
      <c r="BF11" s="47"/>
      <c r="BG11" s="47">
        <f>5/36</f>
        <v>0.1388888889</v>
      </c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39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>
        <f>1/36</f>
        <v>0.02777777778</v>
      </c>
      <c r="CO11" s="47"/>
      <c r="CP11" s="39">
        <f>5/36</f>
        <v>0.1388888889</v>
      </c>
      <c r="CQ11" s="47"/>
      <c r="CR11" s="47"/>
      <c r="CS11" s="48">
        <f t="shared" si="2"/>
        <v>1.01</v>
      </c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</row>
    <row r="12">
      <c r="A12" s="40">
        <v>45332.0</v>
      </c>
      <c r="B12" s="39" t="s">
        <v>264</v>
      </c>
      <c r="C12" s="45">
        <v>2.0</v>
      </c>
      <c r="D12" s="48"/>
      <c r="E12" s="45">
        <v>5.0</v>
      </c>
      <c r="F12" s="48"/>
      <c r="G12" s="46">
        <f t="shared" si="1"/>
        <v>0.5933333333</v>
      </c>
      <c r="H12" s="42"/>
      <c r="I12" s="47"/>
      <c r="J12" s="47"/>
      <c r="K12" s="39"/>
      <c r="L12" s="47"/>
      <c r="M12" s="47"/>
      <c r="N12" s="47"/>
      <c r="O12" s="47"/>
      <c r="P12" s="47"/>
      <c r="Q12" s="39">
        <v>0.005</v>
      </c>
      <c r="R12" s="39"/>
      <c r="S12" s="39"/>
      <c r="T12" s="39"/>
      <c r="U12" s="39">
        <f>3/36</f>
        <v>0.08333333333</v>
      </c>
      <c r="V12" s="47"/>
      <c r="W12" s="47"/>
      <c r="X12" s="47"/>
      <c r="Y12" s="47"/>
      <c r="Z12" s="47"/>
      <c r="AA12" s="47"/>
      <c r="AB12" s="47">
        <f>4/36</f>
        <v>0.1111111111</v>
      </c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39"/>
      <c r="AQ12" s="47"/>
      <c r="AR12" s="47"/>
      <c r="AS12" s="47">
        <f>11/36</f>
        <v>0.3055555556</v>
      </c>
      <c r="AT12" s="47"/>
      <c r="AU12" s="47">
        <f>2/36</f>
        <v>0.05555555556</v>
      </c>
      <c r="AV12" s="47"/>
      <c r="AW12" s="47"/>
      <c r="AX12" s="47"/>
      <c r="AY12" s="47"/>
      <c r="AZ12" s="47"/>
      <c r="BA12" s="39">
        <v>0.005</v>
      </c>
      <c r="BB12" s="39">
        <v>0.005</v>
      </c>
      <c r="BC12" s="47"/>
      <c r="BD12" s="47"/>
      <c r="BE12" s="47"/>
      <c r="BF12" s="47"/>
      <c r="BG12" s="47">
        <f>14/36</f>
        <v>0.3888888889</v>
      </c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39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>
        <f>2/36</f>
        <v>0.05555555556</v>
      </c>
      <c r="CO12" s="47"/>
      <c r="CP12" s="39">
        <v>0.005</v>
      </c>
      <c r="CQ12" s="47"/>
      <c r="CR12" s="47"/>
      <c r="CS12" s="48">
        <f t="shared" si="2"/>
        <v>1.02</v>
      </c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</row>
    <row r="13">
      <c r="A13" s="40">
        <v>45332.0</v>
      </c>
      <c r="B13" s="39" t="s">
        <v>264</v>
      </c>
      <c r="C13" s="45">
        <v>2.0</v>
      </c>
      <c r="D13" s="48"/>
      <c r="E13" s="45">
        <v>10.0</v>
      </c>
      <c r="F13" s="48"/>
      <c r="G13" s="46">
        <f t="shared" si="1"/>
        <v>0.6716666667</v>
      </c>
      <c r="H13" s="42"/>
      <c r="I13" s="47"/>
      <c r="J13" s="47"/>
      <c r="K13" s="39"/>
      <c r="L13" s="47"/>
      <c r="M13" s="47"/>
      <c r="N13" s="47"/>
      <c r="O13" s="47"/>
      <c r="P13" s="47"/>
      <c r="Q13" s="47"/>
      <c r="R13" s="39"/>
      <c r="S13" s="39"/>
      <c r="T13" s="39"/>
      <c r="U13" s="39">
        <f>1/36</f>
        <v>0.02777777778</v>
      </c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39"/>
      <c r="AQ13" s="47"/>
      <c r="AR13" s="47"/>
      <c r="AS13" s="47">
        <f>1/36</f>
        <v>0.02777777778</v>
      </c>
      <c r="AT13" s="47"/>
      <c r="AU13" s="47">
        <f>6/36</f>
        <v>0.1666666667</v>
      </c>
      <c r="AV13" s="39">
        <v>0.005</v>
      </c>
      <c r="AW13" s="47"/>
      <c r="AX13" s="47"/>
      <c r="AY13" s="47"/>
      <c r="AZ13" s="47"/>
      <c r="BA13" s="47">
        <f>7/36</f>
        <v>0.1944444444</v>
      </c>
      <c r="BB13" s="47"/>
      <c r="BC13" s="47"/>
      <c r="BD13" s="47"/>
      <c r="BE13" s="47"/>
      <c r="BF13" s="47"/>
      <c r="BG13" s="47">
        <f>16/36</f>
        <v>0.4444444444</v>
      </c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39">
        <f>1/36</f>
        <v>0.02777777778</v>
      </c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>
        <f>4/36</f>
        <v>0.1111111111</v>
      </c>
      <c r="CO13" s="47"/>
      <c r="CP13" s="47"/>
      <c r="CQ13" s="47"/>
      <c r="CR13" s="47"/>
      <c r="CS13" s="48">
        <f t="shared" si="2"/>
        <v>1.005</v>
      </c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</row>
    <row r="14">
      <c r="A14" s="40">
        <v>45332.0</v>
      </c>
      <c r="B14" s="39" t="s">
        <v>264</v>
      </c>
      <c r="C14" s="45">
        <v>2.0</v>
      </c>
      <c r="D14" s="48"/>
      <c r="E14" s="45">
        <v>15.0</v>
      </c>
      <c r="F14" s="48"/>
      <c r="G14" s="46">
        <f t="shared" si="1"/>
        <v>0.4216666667</v>
      </c>
      <c r="H14" s="42"/>
      <c r="I14" s="47"/>
      <c r="J14" s="39">
        <v>0.005</v>
      </c>
      <c r="K14" s="39"/>
      <c r="L14" s="47"/>
      <c r="M14" s="47"/>
      <c r="N14" s="47"/>
      <c r="O14" s="47"/>
      <c r="P14" s="47"/>
      <c r="Q14" s="47"/>
      <c r="R14" s="39"/>
      <c r="S14" s="39"/>
      <c r="T14" s="39"/>
      <c r="U14" s="39">
        <f>2/36</f>
        <v>0.05555555556</v>
      </c>
      <c r="V14" s="47"/>
      <c r="W14" s="47"/>
      <c r="X14" s="47"/>
      <c r="Y14" s="47"/>
      <c r="Z14" s="47"/>
      <c r="AA14" s="47"/>
      <c r="AB14" s="47">
        <f>2/36</f>
        <v>0.05555555556</v>
      </c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39"/>
      <c r="AQ14" s="47"/>
      <c r="AR14" s="47"/>
      <c r="AS14" s="47"/>
      <c r="AT14" s="47"/>
      <c r="AU14" s="47">
        <f>7/36</f>
        <v>0.1944444444</v>
      </c>
      <c r="AV14" s="47"/>
      <c r="AW14" s="47"/>
      <c r="AX14" s="47"/>
      <c r="AY14" s="47"/>
      <c r="AZ14" s="47"/>
      <c r="BA14" s="47">
        <f>3/36</f>
        <v>0.08333333333</v>
      </c>
      <c r="BB14" s="47"/>
      <c r="BC14" s="47"/>
      <c r="BD14" s="47"/>
      <c r="BE14" s="47"/>
      <c r="BF14" s="47"/>
      <c r="BG14" s="47">
        <f>8/36</f>
        <v>0.2222222222</v>
      </c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39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>
        <f>4/36</f>
        <v>0.1111111111</v>
      </c>
      <c r="CL14" s="47"/>
      <c r="CM14" s="47"/>
      <c r="CN14" s="47">
        <f>10/36</f>
        <v>0.2777777778</v>
      </c>
      <c r="CO14" s="47"/>
      <c r="CP14" s="47"/>
      <c r="CQ14" s="47"/>
      <c r="CR14" s="47"/>
      <c r="CS14" s="48">
        <f t="shared" si="2"/>
        <v>1.005</v>
      </c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</row>
    <row r="15">
      <c r="A15" s="40">
        <v>45332.0</v>
      </c>
      <c r="B15" s="39" t="s">
        <v>264</v>
      </c>
      <c r="C15" s="45">
        <v>2.0</v>
      </c>
      <c r="D15" s="48"/>
      <c r="E15" s="45">
        <v>20.0</v>
      </c>
      <c r="F15" s="48"/>
      <c r="G15" s="46">
        <f t="shared" si="1"/>
        <v>0.755</v>
      </c>
      <c r="H15" s="42"/>
      <c r="I15" s="47"/>
      <c r="J15" s="47"/>
      <c r="K15" s="39"/>
      <c r="L15" s="47"/>
      <c r="M15" s="47"/>
      <c r="N15" s="47"/>
      <c r="O15" s="47"/>
      <c r="P15" s="39">
        <v>0.005</v>
      </c>
      <c r="Q15" s="47"/>
      <c r="R15" s="39"/>
      <c r="S15" s="39"/>
      <c r="T15" s="39"/>
      <c r="U15" s="39">
        <f>3/36</f>
        <v>0.08333333333</v>
      </c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39">
        <v>0.005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39"/>
      <c r="AQ15" s="47"/>
      <c r="AR15" s="47"/>
      <c r="AS15" s="47"/>
      <c r="AT15" s="39"/>
      <c r="AU15" s="39">
        <v>0.005</v>
      </c>
      <c r="AV15" s="47"/>
      <c r="AW15" s="47"/>
      <c r="AX15" s="47"/>
      <c r="AY15" s="47"/>
      <c r="AZ15" s="47"/>
      <c r="BA15" s="47">
        <f>4/36</f>
        <v>0.1111111111</v>
      </c>
      <c r="BB15" s="47"/>
      <c r="BC15" s="47"/>
      <c r="BD15" s="47"/>
      <c r="BE15" s="47"/>
      <c r="BF15" s="47"/>
      <c r="BG15" s="47">
        <f>20/36</f>
        <v>0.5555555556</v>
      </c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39">
        <f>3/36</f>
        <v>0.08333333333</v>
      </c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>
        <f>6/36</f>
        <v>0.1666666667</v>
      </c>
      <c r="CO15" s="47"/>
      <c r="CP15" s="47"/>
      <c r="CQ15" s="47"/>
      <c r="CR15" s="47"/>
      <c r="CS15" s="48">
        <f t="shared" si="2"/>
        <v>1.015</v>
      </c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</row>
    <row r="16">
      <c r="A16" s="40">
        <v>45332.0</v>
      </c>
      <c r="B16" s="39" t="s">
        <v>264</v>
      </c>
      <c r="C16" s="45">
        <v>2.0</v>
      </c>
      <c r="D16" s="48"/>
      <c r="E16" s="45">
        <v>25.0</v>
      </c>
      <c r="F16" s="48"/>
      <c r="G16" s="46">
        <f t="shared" si="1"/>
        <v>0.755</v>
      </c>
      <c r="H16" s="42"/>
      <c r="I16" s="47"/>
      <c r="J16" s="47"/>
      <c r="K16" s="39">
        <v>0.005</v>
      </c>
      <c r="L16" s="47"/>
      <c r="M16" s="47"/>
      <c r="N16" s="47"/>
      <c r="O16" s="47"/>
      <c r="P16" s="47"/>
      <c r="Q16" s="47"/>
      <c r="R16" s="39"/>
      <c r="S16" s="39"/>
      <c r="T16" s="39"/>
      <c r="U16" s="39">
        <f t="shared" ref="U16:U17" si="3">1/36</f>
        <v>0.02777777778</v>
      </c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39"/>
      <c r="AQ16" s="47"/>
      <c r="AR16" s="47"/>
      <c r="AS16" s="47"/>
      <c r="AT16" s="47"/>
      <c r="AU16" s="47">
        <f>7/36</f>
        <v>0.1944444444</v>
      </c>
      <c r="AV16" s="47"/>
      <c r="AW16" s="47"/>
      <c r="AX16" s="47"/>
      <c r="AY16" s="47"/>
      <c r="AZ16" s="47"/>
      <c r="BA16" s="47">
        <f>7/36</f>
        <v>0.1944444444</v>
      </c>
      <c r="BB16" s="47"/>
      <c r="BC16" s="47"/>
      <c r="BD16" s="47"/>
      <c r="BE16" s="47"/>
      <c r="BF16" s="47"/>
      <c r="BG16" s="47">
        <f>19/36</f>
        <v>0.5277777778</v>
      </c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39">
        <f>2/36</f>
        <v>0.05555555556</v>
      </c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39"/>
      <c r="CK16" s="39">
        <v>0.005</v>
      </c>
      <c r="CL16" s="47"/>
      <c r="CM16" s="47"/>
      <c r="CN16" s="39">
        <v>0.005</v>
      </c>
      <c r="CO16" s="47"/>
      <c r="CP16" s="47"/>
      <c r="CQ16" s="47"/>
      <c r="CR16" s="47"/>
      <c r="CS16" s="48">
        <f t="shared" si="2"/>
        <v>1.015</v>
      </c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</row>
    <row r="17">
      <c r="A17" s="40">
        <v>45332.0</v>
      </c>
      <c r="B17" s="39" t="s">
        <v>264</v>
      </c>
      <c r="C17" s="45">
        <v>2.0</v>
      </c>
      <c r="D17" s="48"/>
      <c r="E17" s="45">
        <v>30.0</v>
      </c>
      <c r="F17" s="48"/>
      <c r="G17" s="46">
        <f t="shared" si="1"/>
        <v>0.1816666667</v>
      </c>
      <c r="H17" s="42"/>
      <c r="I17" s="47"/>
      <c r="J17" s="47"/>
      <c r="K17" s="39">
        <f t="shared" ref="K17:K18" si="4">1/36</f>
        <v>0.02777777778</v>
      </c>
      <c r="L17" s="47"/>
      <c r="M17" s="47"/>
      <c r="N17" s="47"/>
      <c r="O17" s="47"/>
      <c r="P17" s="47"/>
      <c r="Q17" s="47"/>
      <c r="R17" s="39"/>
      <c r="S17" s="39"/>
      <c r="T17" s="39"/>
      <c r="U17" s="39">
        <f t="shared" si="3"/>
        <v>0.02777777778</v>
      </c>
      <c r="V17" s="47"/>
      <c r="W17" s="47"/>
      <c r="X17" s="47"/>
      <c r="Y17" s="47"/>
      <c r="Z17" s="47"/>
      <c r="AA17" s="47">
        <f>2/36</f>
        <v>0.05555555556</v>
      </c>
      <c r="AB17" s="47"/>
      <c r="AC17" s="47"/>
      <c r="AD17" s="47"/>
      <c r="AE17" s="47"/>
      <c r="AF17" s="47"/>
      <c r="AG17" s="47"/>
      <c r="AH17" s="47"/>
      <c r="AI17" s="47"/>
      <c r="AJ17" s="39">
        <v>0.005</v>
      </c>
      <c r="AK17" s="47"/>
      <c r="AL17" s="47"/>
      <c r="AM17" s="47"/>
      <c r="AN17" s="47"/>
      <c r="AO17" s="47"/>
      <c r="AP17" s="39"/>
      <c r="AQ17" s="47"/>
      <c r="AR17" s="47"/>
      <c r="AS17" s="47"/>
      <c r="AT17" s="47"/>
      <c r="AU17" s="47">
        <f>12/36</f>
        <v>0.3333333333</v>
      </c>
      <c r="AV17" s="47"/>
      <c r="AW17" s="47"/>
      <c r="AX17" s="47"/>
      <c r="AY17" s="47"/>
      <c r="AZ17" s="47"/>
      <c r="BA17" s="47">
        <f t="shared" ref="BA17:BA18" si="5">1/36</f>
        <v>0.02777777778</v>
      </c>
      <c r="BB17" s="47"/>
      <c r="BC17" s="39"/>
      <c r="BD17" s="39">
        <v>0.005</v>
      </c>
      <c r="BE17" s="39">
        <v>0.005</v>
      </c>
      <c r="BF17" s="47"/>
      <c r="BG17" s="47">
        <f>1/36</f>
        <v>0.02777777778</v>
      </c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39">
        <f>6/36</f>
        <v>0.1666666667</v>
      </c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>
        <f>12/36</f>
        <v>0.3333333333</v>
      </c>
      <c r="CQ17" s="47"/>
      <c r="CR17" s="47"/>
      <c r="CS17" s="48">
        <f t="shared" si="2"/>
        <v>1.015</v>
      </c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</row>
    <row r="18">
      <c r="A18" s="40">
        <v>45332.0</v>
      </c>
      <c r="B18" s="39" t="s">
        <v>264</v>
      </c>
      <c r="C18" s="45">
        <v>2.0</v>
      </c>
      <c r="D18" s="48"/>
      <c r="E18" s="45">
        <v>35.0</v>
      </c>
      <c r="F18" s="48"/>
      <c r="G18" s="46">
        <f t="shared" si="1"/>
        <v>0.1161111111</v>
      </c>
      <c r="H18" s="42"/>
      <c r="I18" s="39">
        <v>0.005</v>
      </c>
      <c r="J18" s="47"/>
      <c r="K18" s="39">
        <f t="shared" si="4"/>
        <v>0.02777777778</v>
      </c>
      <c r="L18" s="47"/>
      <c r="M18" s="47"/>
      <c r="N18" s="47"/>
      <c r="O18" s="47"/>
      <c r="P18" s="47"/>
      <c r="Q18" s="47"/>
      <c r="R18" s="39"/>
      <c r="S18" s="39"/>
      <c r="T18" s="39"/>
      <c r="U18" s="39">
        <v>0.005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39"/>
      <c r="AQ18" s="47"/>
      <c r="AR18" s="47"/>
      <c r="AS18" s="47">
        <f>12/36</f>
        <v>0.3333333333</v>
      </c>
      <c r="AT18" s="47"/>
      <c r="AU18" s="47">
        <f>10/36</f>
        <v>0.2777777778</v>
      </c>
      <c r="AV18" s="47"/>
      <c r="AW18" s="47"/>
      <c r="AX18" s="47"/>
      <c r="AY18" s="47"/>
      <c r="AZ18" s="47"/>
      <c r="BA18" s="47">
        <f t="shared" si="5"/>
        <v>0.02777777778</v>
      </c>
      <c r="BB18" s="47"/>
      <c r="BC18" s="47"/>
      <c r="BD18" s="47"/>
      <c r="BE18" s="47"/>
      <c r="BF18" s="47"/>
      <c r="BG18" s="47">
        <f>2/36</f>
        <v>0.05555555556</v>
      </c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39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>
        <f>10/36</f>
        <v>0.2777777778</v>
      </c>
      <c r="CL18" s="47"/>
      <c r="CM18" s="47"/>
      <c r="CN18" s="47"/>
      <c r="CO18" s="47"/>
      <c r="CP18" s="39">
        <v>0.005</v>
      </c>
      <c r="CQ18" s="47"/>
      <c r="CR18" s="47"/>
      <c r="CS18" s="48">
        <f t="shared" si="2"/>
        <v>1.015</v>
      </c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</row>
    <row r="19">
      <c r="A19" s="40">
        <v>45332.0</v>
      </c>
      <c r="B19" s="39" t="s">
        <v>264</v>
      </c>
      <c r="C19" s="45">
        <v>2.0</v>
      </c>
      <c r="D19" s="48"/>
      <c r="E19" s="45">
        <v>40.0</v>
      </c>
      <c r="F19" s="48"/>
      <c r="G19" s="46">
        <f t="shared" si="1"/>
        <v>0.06055555556</v>
      </c>
      <c r="H19" s="42"/>
      <c r="I19" s="47"/>
      <c r="J19" s="47"/>
      <c r="K19" s="39"/>
      <c r="L19" s="47"/>
      <c r="M19" s="47"/>
      <c r="N19" s="47"/>
      <c r="O19" s="47"/>
      <c r="P19" s="47"/>
      <c r="Q19" s="47"/>
      <c r="R19" s="39"/>
      <c r="S19" s="39"/>
      <c r="T19" s="39"/>
      <c r="U19" s="39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39"/>
      <c r="AQ19" s="47"/>
      <c r="AR19" s="47"/>
      <c r="AS19" s="47"/>
      <c r="AT19" s="47"/>
      <c r="AU19" s="47">
        <f>5/36</f>
        <v>0.1388888889</v>
      </c>
      <c r="AV19" s="47">
        <f>2/36</f>
        <v>0.05555555556</v>
      </c>
      <c r="AW19" s="47"/>
      <c r="AX19" s="47"/>
      <c r="AY19" s="47"/>
      <c r="AZ19" s="47"/>
      <c r="BA19" s="47"/>
      <c r="BB19" s="47"/>
      <c r="BC19" s="47"/>
      <c r="BD19" s="47"/>
      <c r="BE19" s="39">
        <v>0.005</v>
      </c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39">
        <f>1/36</f>
        <v>0.02777777778</v>
      </c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>
        <f>24/36</f>
        <v>0.6666666667</v>
      </c>
      <c r="CL19" s="47"/>
      <c r="CM19" s="47"/>
      <c r="CN19" s="47">
        <f>3/36</f>
        <v>0.08333333333</v>
      </c>
      <c r="CO19" s="47"/>
      <c r="CP19" s="47">
        <f>1/36</f>
        <v>0.02777777778</v>
      </c>
      <c r="CQ19" s="47"/>
      <c r="CR19" s="47"/>
      <c r="CS19" s="48">
        <f t="shared" si="2"/>
        <v>1.005</v>
      </c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</row>
    <row r="20">
      <c r="A20" s="40">
        <v>45332.0</v>
      </c>
      <c r="B20" s="39" t="s">
        <v>264</v>
      </c>
      <c r="C20" s="45">
        <v>3.0</v>
      </c>
      <c r="D20" s="48"/>
      <c r="E20" s="45">
        <v>0.0</v>
      </c>
      <c r="F20" s="48"/>
      <c r="G20" s="46">
        <f t="shared" si="1"/>
        <v>0.7</v>
      </c>
      <c r="H20" s="42"/>
      <c r="I20" s="47"/>
      <c r="J20" s="47"/>
      <c r="K20" s="39">
        <v>0.25</v>
      </c>
      <c r="L20" s="47"/>
      <c r="M20" s="47"/>
      <c r="N20" s="47"/>
      <c r="O20" s="47"/>
      <c r="P20" s="47"/>
      <c r="Q20" s="47"/>
      <c r="R20" s="39"/>
      <c r="S20" s="39"/>
      <c r="T20" s="39"/>
      <c r="U20" s="39">
        <v>0.45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39">
        <v>0.1</v>
      </c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39">
        <v>0.2</v>
      </c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8">
        <f t="shared" si="2"/>
        <v>1</v>
      </c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</row>
    <row r="21">
      <c r="A21" s="40">
        <v>45332.0</v>
      </c>
      <c r="B21" s="39" t="s">
        <v>264</v>
      </c>
      <c r="C21" s="45">
        <v>3.0</v>
      </c>
      <c r="D21" s="48"/>
      <c r="E21" s="45">
        <v>5.0</v>
      </c>
      <c r="F21" s="48"/>
      <c r="G21" s="46">
        <f t="shared" si="1"/>
        <v>0.55</v>
      </c>
      <c r="H21" s="42"/>
      <c r="I21" s="47"/>
      <c r="J21" s="47"/>
      <c r="K21" s="39">
        <v>0.4</v>
      </c>
      <c r="L21" s="47"/>
      <c r="M21" s="47"/>
      <c r="N21" s="47"/>
      <c r="O21" s="47"/>
      <c r="P21" s="47"/>
      <c r="Q21" s="47"/>
      <c r="R21" s="39"/>
      <c r="S21" s="39"/>
      <c r="T21" s="39"/>
      <c r="U21" s="39">
        <v>0.15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39">
        <v>0.05</v>
      </c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39">
        <v>0.15</v>
      </c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39"/>
      <c r="CK21" s="39">
        <v>0.15</v>
      </c>
      <c r="CL21" s="47"/>
      <c r="CM21" s="47"/>
      <c r="CN21" s="39">
        <v>0.1</v>
      </c>
      <c r="CO21" s="47"/>
      <c r="CP21" s="47"/>
      <c r="CQ21" s="47"/>
      <c r="CR21" s="47"/>
      <c r="CS21" s="48">
        <f t="shared" si="2"/>
        <v>1</v>
      </c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</row>
    <row r="22">
      <c r="A22" s="40">
        <v>45332.0</v>
      </c>
      <c r="B22" s="39" t="s">
        <v>264</v>
      </c>
      <c r="C22" s="45">
        <v>3.0</v>
      </c>
      <c r="D22" s="48"/>
      <c r="E22" s="45">
        <v>10.0</v>
      </c>
      <c r="F22" s="48"/>
      <c r="G22" s="46">
        <f t="shared" si="1"/>
        <v>0.4</v>
      </c>
      <c r="H22" s="42"/>
      <c r="I22" s="47"/>
      <c r="J22" s="47"/>
      <c r="K22" s="39">
        <v>0.4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39">
        <v>0.3</v>
      </c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39"/>
      <c r="CK22" s="39">
        <v>0.1</v>
      </c>
      <c r="CL22" s="47"/>
      <c r="CM22" s="39">
        <v>0.2</v>
      </c>
      <c r="CN22" s="47"/>
      <c r="CO22" s="47"/>
      <c r="CP22" s="47"/>
      <c r="CQ22" s="47"/>
      <c r="CR22" s="47"/>
      <c r="CS22" s="48">
        <f t="shared" si="2"/>
        <v>1</v>
      </c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</row>
    <row r="23">
      <c r="A23" s="40">
        <v>45332.0</v>
      </c>
      <c r="B23" s="39" t="s">
        <v>264</v>
      </c>
      <c r="C23" s="45">
        <v>3.0</v>
      </c>
      <c r="D23" s="48"/>
      <c r="E23" s="45">
        <v>15.0</v>
      </c>
      <c r="F23" s="48"/>
      <c r="G23" s="46">
        <f t="shared" si="1"/>
        <v>0.5</v>
      </c>
      <c r="H23" s="42"/>
      <c r="I23" s="39">
        <v>0.1</v>
      </c>
      <c r="J23" s="47"/>
      <c r="K23" s="39">
        <v>0.4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39">
        <v>0.05</v>
      </c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39">
        <v>0.1</v>
      </c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39">
        <v>0.2</v>
      </c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39"/>
      <c r="CK23" s="39">
        <v>0.05</v>
      </c>
      <c r="CL23" s="47"/>
      <c r="CM23" s="39">
        <v>0.1</v>
      </c>
      <c r="CN23" s="47"/>
      <c r="CO23" s="47"/>
      <c r="CP23" s="47"/>
      <c r="CQ23" s="47"/>
      <c r="CR23" s="47"/>
      <c r="CS23" s="48">
        <f t="shared" si="2"/>
        <v>1</v>
      </c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</row>
    <row r="24">
      <c r="A24" s="40">
        <v>45332.0</v>
      </c>
      <c r="B24" s="39" t="s">
        <v>264</v>
      </c>
      <c r="C24" s="45">
        <v>3.0</v>
      </c>
      <c r="D24" s="48"/>
      <c r="E24" s="45">
        <v>20.0</v>
      </c>
      <c r="F24" s="48"/>
      <c r="G24" s="46">
        <f t="shared" si="1"/>
        <v>0.45</v>
      </c>
      <c r="H24" s="42"/>
      <c r="I24" s="47"/>
      <c r="J24" s="47"/>
      <c r="K24" s="39">
        <v>0.4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39">
        <v>0.1</v>
      </c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39">
        <v>0.05</v>
      </c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39">
        <v>0.35</v>
      </c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39">
        <v>0.1</v>
      </c>
      <c r="CN24" s="47"/>
      <c r="CO24" s="47"/>
      <c r="CP24" s="47"/>
      <c r="CQ24" s="47"/>
      <c r="CR24" s="47"/>
      <c r="CS24" s="48">
        <f t="shared" si="2"/>
        <v>1</v>
      </c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</row>
    <row r="25">
      <c r="A25" s="40">
        <v>45332.0</v>
      </c>
      <c r="B25" s="39" t="s">
        <v>264</v>
      </c>
      <c r="C25" s="45">
        <v>3.0</v>
      </c>
      <c r="D25" s="48"/>
      <c r="E25" s="45">
        <v>25.0</v>
      </c>
      <c r="F25" s="48"/>
      <c r="G25" s="46">
        <f t="shared" si="1"/>
        <v>0.35</v>
      </c>
      <c r="H25" s="42"/>
      <c r="I25" s="47"/>
      <c r="J25" s="47"/>
      <c r="K25" s="39">
        <v>0.2</v>
      </c>
      <c r="L25" s="47"/>
      <c r="M25" s="47"/>
      <c r="N25" s="47"/>
      <c r="O25" s="47"/>
      <c r="P25" s="47"/>
      <c r="Q25" s="47"/>
      <c r="R25" s="39"/>
      <c r="S25" s="39"/>
      <c r="T25" s="39"/>
      <c r="U25" s="39">
        <v>0.15</v>
      </c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39">
        <v>0.3</v>
      </c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39"/>
      <c r="CK25" s="39">
        <v>0.2</v>
      </c>
      <c r="CL25" s="47"/>
      <c r="CM25" s="47"/>
      <c r="CN25" s="39">
        <v>0.15</v>
      </c>
      <c r="CO25" s="47"/>
      <c r="CP25" s="47"/>
      <c r="CQ25" s="47"/>
      <c r="CR25" s="47"/>
      <c r="CS25" s="48">
        <f t="shared" si="2"/>
        <v>1</v>
      </c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</row>
    <row r="26">
      <c r="A26" s="40">
        <v>45332.0</v>
      </c>
      <c r="B26" s="39" t="s">
        <v>264</v>
      </c>
      <c r="C26" s="45">
        <v>3.0</v>
      </c>
      <c r="D26" s="48"/>
      <c r="E26" s="45">
        <v>30.0</v>
      </c>
      <c r="F26" s="48"/>
      <c r="G26" s="46">
        <f t="shared" si="1"/>
        <v>0.35</v>
      </c>
      <c r="H26" s="42"/>
      <c r="I26" s="47"/>
      <c r="J26" s="47"/>
      <c r="K26" s="39">
        <v>0.2</v>
      </c>
      <c r="L26" s="47"/>
      <c r="M26" s="47"/>
      <c r="N26" s="47"/>
      <c r="O26" s="47"/>
      <c r="P26" s="47"/>
      <c r="Q26" s="47"/>
      <c r="R26" s="39"/>
      <c r="S26" s="39"/>
      <c r="T26" s="39"/>
      <c r="U26" s="39">
        <v>0.05</v>
      </c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39"/>
      <c r="AS26" s="39">
        <v>0.15</v>
      </c>
      <c r="AT26" s="47"/>
      <c r="AU26" s="47"/>
      <c r="AV26" s="47"/>
      <c r="AW26" s="47"/>
      <c r="AX26" s="47"/>
      <c r="AY26" s="47"/>
      <c r="AZ26" s="39">
        <v>0.1</v>
      </c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39">
        <v>0.2</v>
      </c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39"/>
      <c r="CK26" s="39">
        <v>0.2</v>
      </c>
      <c r="CL26" s="47"/>
      <c r="CM26" s="47"/>
      <c r="CN26" s="39">
        <v>0.1</v>
      </c>
      <c r="CO26" s="47"/>
      <c r="CP26" s="47"/>
      <c r="CQ26" s="47"/>
      <c r="CR26" s="47"/>
      <c r="CS26" s="48">
        <f t="shared" si="2"/>
        <v>1</v>
      </c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</row>
    <row r="27">
      <c r="A27" s="40">
        <v>45332.0</v>
      </c>
      <c r="B27" s="39" t="s">
        <v>264</v>
      </c>
      <c r="C27" s="45">
        <v>3.0</v>
      </c>
      <c r="D27" s="48"/>
      <c r="E27" s="45">
        <v>35.0</v>
      </c>
      <c r="F27" s="48"/>
      <c r="G27" s="46">
        <f t="shared" si="1"/>
        <v>0.65</v>
      </c>
      <c r="H27" s="42"/>
      <c r="I27" s="39">
        <v>0.05</v>
      </c>
      <c r="J27" s="47"/>
      <c r="K27" s="39">
        <v>0.1</v>
      </c>
      <c r="L27" s="47"/>
      <c r="M27" s="47"/>
      <c r="N27" s="47"/>
      <c r="O27" s="47"/>
      <c r="P27" s="47"/>
      <c r="Q27" s="47"/>
      <c r="R27" s="39"/>
      <c r="S27" s="39"/>
      <c r="T27" s="39"/>
      <c r="U27" s="39">
        <v>0.2</v>
      </c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39"/>
      <c r="AK27" s="39">
        <v>0.25</v>
      </c>
      <c r="AL27" s="47"/>
      <c r="AM27" s="47"/>
      <c r="AN27" s="47"/>
      <c r="AO27" s="47"/>
      <c r="AP27" s="47"/>
      <c r="AQ27" s="47"/>
      <c r="AR27" s="39"/>
      <c r="AS27" s="39">
        <v>0.3</v>
      </c>
      <c r="AT27" s="47"/>
      <c r="AU27" s="47"/>
      <c r="AV27" s="47"/>
      <c r="AW27" s="47"/>
      <c r="AX27" s="47"/>
      <c r="AY27" s="47"/>
      <c r="AZ27" s="47"/>
      <c r="BA27" s="39">
        <v>0.1</v>
      </c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8">
        <f t="shared" si="2"/>
        <v>1</v>
      </c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</row>
    <row r="28">
      <c r="A28" s="40">
        <v>45332.0</v>
      </c>
      <c r="B28" s="39" t="s">
        <v>264</v>
      </c>
      <c r="C28" s="45">
        <v>3.0</v>
      </c>
      <c r="D28" s="48"/>
      <c r="E28" s="45">
        <v>40.0</v>
      </c>
      <c r="F28" s="48"/>
      <c r="G28" s="46">
        <f t="shared" si="1"/>
        <v>0.25</v>
      </c>
      <c r="H28" s="42"/>
      <c r="I28" s="47"/>
      <c r="J28" s="39">
        <v>0.1</v>
      </c>
      <c r="K28" s="39">
        <v>0.1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39">
        <v>0.05</v>
      </c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39">
        <v>0.45</v>
      </c>
      <c r="CO28" s="47"/>
      <c r="CP28" s="39">
        <v>0.3</v>
      </c>
      <c r="CQ28" s="47"/>
      <c r="CR28" s="47"/>
      <c r="CS28" s="48">
        <f t="shared" si="2"/>
        <v>1</v>
      </c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</row>
    <row r="29">
      <c r="A29" s="40">
        <v>45346.0</v>
      </c>
      <c r="B29" s="39" t="s">
        <v>171</v>
      </c>
      <c r="C29" s="45">
        <v>4.0</v>
      </c>
      <c r="D29" s="48"/>
      <c r="E29" s="45">
        <v>0.0</v>
      </c>
      <c r="F29" s="48"/>
      <c r="G29" s="46">
        <f t="shared" si="1"/>
        <v>0.3333333333</v>
      </c>
      <c r="H29" s="42"/>
      <c r="I29" s="47"/>
      <c r="J29" s="47"/>
      <c r="K29" s="47">
        <f>5/36</f>
        <v>0.1388888889</v>
      </c>
      <c r="L29" s="47"/>
      <c r="M29" s="47"/>
      <c r="N29" s="47"/>
      <c r="O29" s="47"/>
      <c r="P29" s="47"/>
      <c r="Q29" s="47"/>
      <c r="R29" s="47"/>
      <c r="S29" s="47"/>
      <c r="T29" s="47"/>
      <c r="U29" s="47">
        <f>4/36</f>
        <v>0.1111111111</v>
      </c>
      <c r="V29" s="47"/>
      <c r="W29" s="47"/>
      <c r="X29" s="47"/>
      <c r="Y29" s="47"/>
      <c r="Z29" s="47"/>
      <c r="AA29" s="47"/>
      <c r="AB29" s="47">
        <f>1/36</f>
        <v>0.02777777778</v>
      </c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>
        <f>13/36</f>
        <v>0.3611111111</v>
      </c>
      <c r="AV29" s="47"/>
      <c r="AW29" s="47"/>
      <c r="AX29" s="47"/>
      <c r="AY29" s="47"/>
      <c r="AZ29" s="47"/>
      <c r="BA29" s="47">
        <f>2/36</f>
        <v>0.05555555556</v>
      </c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>
        <f>1/36</f>
        <v>0.02777777778</v>
      </c>
      <c r="CL29" s="47"/>
      <c r="CM29" s="47"/>
      <c r="CN29" s="47">
        <f>5/36</f>
        <v>0.1388888889</v>
      </c>
      <c r="CO29" s="47"/>
      <c r="CP29" s="47">
        <f>5/36</f>
        <v>0.1388888889</v>
      </c>
      <c r="CQ29" s="47"/>
      <c r="CR29" s="47"/>
      <c r="CS29" s="48">
        <f t="shared" si="2"/>
        <v>1</v>
      </c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</row>
    <row r="30">
      <c r="A30" s="40">
        <v>45346.0</v>
      </c>
      <c r="B30" s="39" t="s">
        <v>171</v>
      </c>
      <c r="C30" s="45">
        <v>4.0</v>
      </c>
      <c r="D30" s="48"/>
      <c r="E30" s="45">
        <v>5.0</v>
      </c>
      <c r="F30" s="48"/>
      <c r="G30" s="46">
        <f t="shared" si="1"/>
        <v>0.5883333333</v>
      </c>
      <c r="H30" s="42"/>
      <c r="I30" s="47"/>
      <c r="J30" s="47"/>
      <c r="K30" s="47">
        <f>18/36</f>
        <v>0.5</v>
      </c>
      <c r="L30" s="47"/>
      <c r="M30" s="47"/>
      <c r="N30" s="47"/>
      <c r="O30" s="47"/>
      <c r="P30" s="47"/>
      <c r="Q30" s="47">
        <f>1/36</f>
        <v>0.02777777778</v>
      </c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>
        <f>2/36</f>
        <v>0.05555555556</v>
      </c>
      <c r="AV30" s="47"/>
      <c r="AW30" s="47"/>
      <c r="AX30" s="47"/>
      <c r="AY30" s="47"/>
      <c r="AZ30" s="47"/>
      <c r="BA30" s="39">
        <v>0.005</v>
      </c>
      <c r="BB30" s="47">
        <f>1/36</f>
        <v>0.02777777778</v>
      </c>
      <c r="BC30" s="47"/>
      <c r="BD30" s="47"/>
      <c r="BE30" s="47"/>
      <c r="BF30" s="47"/>
      <c r="BG30" s="47">
        <f>2/36</f>
        <v>0.05555555556</v>
      </c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>
        <f>4/36</f>
        <v>0.1111111111</v>
      </c>
      <c r="BX30" s="39">
        <v>0.005</v>
      </c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>
        <f>8/36</f>
        <v>0.2222222222</v>
      </c>
      <c r="CL30" s="47"/>
      <c r="CM30" s="47"/>
      <c r="CN30" s="39">
        <v>0.005</v>
      </c>
      <c r="CO30" s="47"/>
      <c r="CP30" s="39">
        <v>0.005</v>
      </c>
      <c r="CQ30" s="47"/>
      <c r="CR30" s="47"/>
      <c r="CS30" s="48">
        <f t="shared" si="2"/>
        <v>1.02</v>
      </c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</row>
    <row r="31">
      <c r="A31" s="40">
        <v>45346.0</v>
      </c>
      <c r="B31" s="39" t="s">
        <v>171</v>
      </c>
      <c r="C31" s="45">
        <v>4.0</v>
      </c>
      <c r="D31" s="48"/>
      <c r="E31" s="45">
        <v>10.0</v>
      </c>
      <c r="F31" s="48"/>
      <c r="G31" s="46">
        <f t="shared" si="1"/>
        <v>0.1716666667</v>
      </c>
      <c r="H31" s="42"/>
      <c r="I31" s="47">
        <f>1/36</f>
        <v>0.02777777778</v>
      </c>
      <c r="J31" s="47"/>
      <c r="K31" s="47">
        <f>6/36</f>
        <v>0.1666666667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>
        <f>3/36</f>
        <v>0.08333333333</v>
      </c>
      <c r="AV31" s="47"/>
      <c r="AW31" s="47"/>
      <c r="AX31" s="47"/>
      <c r="AY31" s="47"/>
      <c r="AZ31" s="47"/>
      <c r="BA31" s="39">
        <v>0.005</v>
      </c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>
        <f>23/36</f>
        <v>0.6388888889</v>
      </c>
      <c r="CL31" s="47"/>
      <c r="CM31" s="47"/>
      <c r="CN31" s="47">
        <f t="shared" ref="CN31:CN32" si="6">2/36</f>
        <v>0.05555555556</v>
      </c>
      <c r="CO31" s="47"/>
      <c r="CP31" s="47">
        <f>1/36</f>
        <v>0.02777777778</v>
      </c>
      <c r="CQ31" s="47"/>
      <c r="CR31" s="47"/>
      <c r="CS31" s="48">
        <f t="shared" si="2"/>
        <v>1.005</v>
      </c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</row>
    <row r="32">
      <c r="A32" s="40">
        <v>45346.0</v>
      </c>
      <c r="B32" s="39" t="s">
        <v>171</v>
      </c>
      <c r="C32" s="45">
        <v>4.0</v>
      </c>
      <c r="D32" s="48"/>
      <c r="E32" s="45">
        <v>15.0</v>
      </c>
      <c r="F32" s="48"/>
      <c r="G32" s="46">
        <f t="shared" si="1"/>
        <v>0.27</v>
      </c>
      <c r="H32" s="42"/>
      <c r="I32" s="47"/>
      <c r="J32" s="47">
        <f>4/36</f>
        <v>0.1111111111</v>
      </c>
      <c r="K32" s="47">
        <f>5/36</f>
        <v>0.1388888889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39">
        <v>0.005</v>
      </c>
      <c r="AS32" s="47"/>
      <c r="AT32" s="47"/>
      <c r="AU32" s="47"/>
      <c r="AV32" s="39">
        <v>0.005</v>
      </c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39">
        <v>0.005</v>
      </c>
      <c r="BQ32" s="39">
        <v>0.005</v>
      </c>
      <c r="BR32" s="47"/>
      <c r="BS32" s="39">
        <v>0.005</v>
      </c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>
        <f>25/36</f>
        <v>0.6944444444</v>
      </c>
      <c r="CL32" s="47"/>
      <c r="CM32" s="47"/>
      <c r="CN32" s="47">
        <f t="shared" si="6"/>
        <v>0.05555555556</v>
      </c>
      <c r="CO32" s="47"/>
      <c r="CP32" s="47"/>
      <c r="CQ32" s="47"/>
      <c r="CR32" s="47"/>
      <c r="CS32" s="48">
        <f t="shared" si="2"/>
        <v>1.025</v>
      </c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</row>
    <row r="33">
      <c r="A33" s="40">
        <v>45346.0</v>
      </c>
      <c r="B33" s="39" t="s">
        <v>171</v>
      </c>
      <c r="C33" s="45">
        <v>4.0</v>
      </c>
      <c r="D33" s="48"/>
      <c r="E33" s="45">
        <v>20.0</v>
      </c>
      <c r="F33" s="48"/>
      <c r="G33" s="46">
        <f t="shared" si="1"/>
        <v>0.2044444444</v>
      </c>
      <c r="H33" s="42"/>
      <c r="I33" s="47"/>
      <c r="J33" s="47">
        <f t="shared" ref="J33:K33" si="7">3/36</f>
        <v>0.08333333333</v>
      </c>
      <c r="K33" s="47">
        <f t="shared" si="7"/>
        <v>0.08333333333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39">
        <v>0.005</v>
      </c>
      <c r="AS33" s="39">
        <v>0.005</v>
      </c>
      <c r="AT33" s="47"/>
      <c r="AU33" s="47">
        <f>5/36</f>
        <v>0.1388888889</v>
      </c>
      <c r="AV33" s="47">
        <f>1/36</f>
        <v>0.02777777778</v>
      </c>
      <c r="AW33" s="47"/>
      <c r="AX33" s="47"/>
      <c r="AY33" s="47"/>
      <c r="AZ33" s="47"/>
      <c r="BA33" s="47"/>
      <c r="BB33" s="47"/>
      <c r="BC33" s="47"/>
      <c r="BD33" s="47"/>
      <c r="BE33" s="39">
        <v>0.005</v>
      </c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39">
        <v>0.03</v>
      </c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>
        <f>20/36</f>
        <v>0.5555555556</v>
      </c>
      <c r="CL33" s="47"/>
      <c r="CM33" s="47"/>
      <c r="CN33" s="47">
        <f>4/36</f>
        <v>0.1111111111</v>
      </c>
      <c r="CO33" s="47"/>
      <c r="CP33" s="47"/>
      <c r="CQ33" s="47"/>
      <c r="CR33" s="47"/>
      <c r="CS33" s="48">
        <f t="shared" si="2"/>
        <v>1.045</v>
      </c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</row>
    <row r="34">
      <c r="A34" s="40">
        <v>45346.0</v>
      </c>
      <c r="B34" s="39" t="s">
        <v>171</v>
      </c>
      <c r="C34" s="45">
        <v>4.0</v>
      </c>
      <c r="D34" s="48"/>
      <c r="E34" s="45">
        <v>25.0</v>
      </c>
      <c r="F34" s="48"/>
      <c r="G34" s="46">
        <f t="shared" si="1"/>
        <v>0.3988888889</v>
      </c>
      <c r="H34" s="42"/>
      <c r="I34" s="47"/>
      <c r="J34" s="47">
        <f>2/36</f>
        <v>0.05555555556</v>
      </c>
      <c r="K34" s="47">
        <f>7/36</f>
        <v>0.1944444444</v>
      </c>
      <c r="L34" s="47"/>
      <c r="M34" s="47"/>
      <c r="N34" s="47"/>
      <c r="O34" s="47"/>
      <c r="P34" s="47"/>
      <c r="Q34" s="39">
        <v>0.005</v>
      </c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>
        <f>2/36</f>
        <v>0.05555555556</v>
      </c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>
        <f>6/36</f>
        <v>0.1666666667</v>
      </c>
      <c r="AV34" s="47"/>
      <c r="AW34" s="47"/>
      <c r="AX34" s="47"/>
      <c r="AY34" s="47"/>
      <c r="AZ34" s="47"/>
      <c r="BA34" s="47">
        <f>3/36</f>
        <v>0.08333333333</v>
      </c>
      <c r="BB34" s="47"/>
      <c r="BC34" s="47"/>
      <c r="BD34" s="47"/>
      <c r="BE34" s="39">
        <v>0.005</v>
      </c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39">
        <v>0.005</v>
      </c>
      <c r="CK34" s="47">
        <f>1/36</f>
        <v>0.02777777778</v>
      </c>
      <c r="CL34" s="47"/>
      <c r="CM34" s="47"/>
      <c r="CN34" s="47">
        <f>15/36</f>
        <v>0.4166666667</v>
      </c>
      <c r="CO34" s="47"/>
      <c r="CP34" s="39">
        <v>0.005</v>
      </c>
      <c r="CQ34" s="47"/>
      <c r="CR34" s="47"/>
      <c r="CS34" s="48">
        <f t="shared" si="2"/>
        <v>1.02</v>
      </c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</row>
    <row r="35">
      <c r="A35" s="40">
        <v>45346.0</v>
      </c>
      <c r="B35" s="39" t="s">
        <v>171</v>
      </c>
      <c r="C35" s="45">
        <v>4.0</v>
      </c>
      <c r="D35" s="48"/>
      <c r="E35" s="45">
        <v>30.0</v>
      </c>
      <c r="F35" s="48"/>
      <c r="G35" s="46">
        <f t="shared" si="1"/>
        <v>0.53</v>
      </c>
      <c r="H35" s="42"/>
      <c r="I35" s="47"/>
      <c r="J35" s="47"/>
      <c r="K35" s="47">
        <f>9/36</f>
        <v>0.25</v>
      </c>
      <c r="L35" s="47"/>
      <c r="M35" s="47"/>
      <c r="N35" s="47"/>
      <c r="O35" s="47"/>
      <c r="P35" s="47"/>
      <c r="Q35" s="39">
        <v>0.005</v>
      </c>
      <c r="R35" s="47"/>
      <c r="S35" s="47"/>
      <c r="T35" s="39">
        <v>0.01</v>
      </c>
      <c r="U35" s="39">
        <v>0.005</v>
      </c>
      <c r="V35" s="47"/>
      <c r="W35" s="47"/>
      <c r="X35" s="47"/>
      <c r="Y35" s="47"/>
      <c r="Z35" s="47"/>
      <c r="AA35" s="47"/>
      <c r="AB35" s="39">
        <v>0.005</v>
      </c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39"/>
      <c r="AS35" s="39">
        <v>0.005</v>
      </c>
      <c r="AT35" s="47"/>
      <c r="AU35" s="47">
        <f>16/36</f>
        <v>0.4444444444</v>
      </c>
      <c r="AV35" s="47"/>
      <c r="AW35" s="47"/>
      <c r="AX35" s="47"/>
      <c r="AY35" s="47"/>
      <c r="AZ35" s="47"/>
      <c r="BA35" s="47"/>
      <c r="BB35" s="47"/>
      <c r="BC35" s="47"/>
      <c r="BD35" s="47"/>
      <c r="BE35" s="39">
        <v>0.005</v>
      </c>
      <c r="BF35" s="47"/>
      <c r="BG35" s="47">
        <f>9/36</f>
        <v>0.25</v>
      </c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>
        <f>1/36</f>
        <v>0.02777777778</v>
      </c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39">
        <v>0.3</v>
      </c>
      <c r="CL35" s="47"/>
      <c r="CM35" s="47"/>
      <c r="CN35" s="47">
        <f>1/36</f>
        <v>0.02777777778</v>
      </c>
      <c r="CO35" s="47"/>
      <c r="CP35" s="47"/>
      <c r="CQ35" s="47"/>
      <c r="CR35" s="47"/>
      <c r="CS35" s="48">
        <f t="shared" si="2"/>
        <v>1.335</v>
      </c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</row>
    <row r="36">
      <c r="A36" s="40">
        <v>45346.0</v>
      </c>
      <c r="B36" s="39" t="s">
        <v>171</v>
      </c>
      <c r="C36" s="45">
        <v>4.0</v>
      </c>
      <c r="D36" s="48"/>
      <c r="E36" s="45">
        <v>35.0</v>
      </c>
      <c r="F36" s="48"/>
      <c r="G36" s="46">
        <f t="shared" si="1"/>
        <v>0.55</v>
      </c>
      <c r="H36" s="42"/>
      <c r="I36" s="47"/>
      <c r="J36" s="47"/>
      <c r="K36" s="39">
        <v>0.3</v>
      </c>
      <c r="L36" s="47"/>
      <c r="M36" s="47"/>
      <c r="N36" s="47"/>
      <c r="O36" s="47"/>
      <c r="P36" s="47"/>
      <c r="Q36" s="47"/>
      <c r="R36" s="47"/>
      <c r="S36" s="47"/>
      <c r="T36" s="47"/>
      <c r="U36" s="39">
        <v>0.05</v>
      </c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39">
        <v>0.1</v>
      </c>
      <c r="BB36" s="47"/>
      <c r="BC36" s="47"/>
      <c r="BD36" s="47"/>
      <c r="BE36" s="47"/>
      <c r="BF36" s="47"/>
      <c r="BG36" s="39">
        <v>0.1</v>
      </c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39">
        <v>0.15</v>
      </c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39">
        <v>0.15</v>
      </c>
      <c r="CL36" s="47"/>
      <c r="CM36" s="47"/>
      <c r="CN36" s="47"/>
      <c r="CO36" s="47"/>
      <c r="CP36" s="47"/>
      <c r="CQ36" s="39">
        <v>0.15</v>
      </c>
      <c r="CR36" s="39"/>
      <c r="CS36" s="48">
        <f t="shared" si="2"/>
        <v>1</v>
      </c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</row>
    <row r="37">
      <c r="A37" s="40">
        <v>45346.0</v>
      </c>
      <c r="B37" s="39" t="s">
        <v>171</v>
      </c>
      <c r="C37" s="45">
        <v>4.0</v>
      </c>
      <c r="D37" s="48"/>
      <c r="E37" s="45">
        <v>40.0</v>
      </c>
      <c r="F37" s="48"/>
      <c r="G37" s="46">
        <f t="shared" si="1"/>
        <v>0.4</v>
      </c>
      <c r="H37" s="42"/>
      <c r="I37" s="47"/>
      <c r="J37" s="39">
        <v>0.05</v>
      </c>
      <c r="K37" s="39">
        <v>0.15</v>
      </c>
      <c r="L37" s="47"/>
      <c r="M37" s="47"/>
      <c r="N37" s="47"/>
      <c r="O37" s="47"/>
      <c r="P37" s="47"/>
      <c r="Q37" s="47"/>
      <c r="R37" s="47"/>
      <c r="S37" s="47"/>
      <c r="T37" s="47"/>
      <c r="U37" s="39">
        <v>0.15</v>
      </c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39">
        <v>0.2</v>
      </c>
      <c r="AT37" s="47"/>
      <c r="AU37" s="47"/>
      <c r="AV37" s="47"/>
      <c r="AW37" s="47"/>
      <c r="AX37" s="47"/>
      <c r="AY37" s="47"/>
      <c r="AZ37" s="47"/>
      <c r="BA37" s="39">
        <v>0.05</v>
      </c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39">
        <v>0.05</v>
      </c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39">
        <v>0.3</v>
      </c>
      <c r="CL37" s="47"/>
      <c r="CM37" s="47"/>
      <c r="CN37" s="39">
        <v>0.05</v>
      </c>
      <c r="CO37" s="47"/>
      <c r="CP37" s="47"/>
      <c r="CQ37" s="47"/>
      <c r="CR37" s="47"/>
      <c r="CS37" s="48">
        <f t="shared" si="2"/>
        <v>1</v>
      </c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</row>
    <row r="38">
      <c r="A38" s="51">
        <v>45360.0</v>
      </c>
      <c r="B38" s="52" t="s">
        <v>272</v>
      </c>
      <c r="C38" s="53">
        <v>1.0</v>
      </c>
      <c r="D38" s="53"/>
      <c r="E38" s="53">
        <v>20.0</v>
      </c>
      <c r="F38" s="53">
        <v>0.0</v>
      </c>
      <c r="G38" s="54">
        <f t="shared" si="1"/>
        <v>0.21</v>
      </c>
      <c r="H38" s="55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56">
        <v>0.05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>
        <v>0.05</v>
      </c>
      <c r="AW38" s="57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5">
        <v>0.1</v>
      </c>
      <c r="BN38" s="57"/>
      <c r="BO38" s="23"/>
      <c r="BP38" s="23"/>
      <c r="BQ38" s="23"/>
      <c r="BR38" s="25">
        <v>0.01</v>
      </c>
      <c r="BS38" s="56">
        <v>0.15</v>
      </c>
      <c r="BT38" s="57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5">
        <f>1-0.36</f>
        <v>0.64</v>
      </c>
      <c r="CQ38" s="23"/>
      <c r="CR38" s="23"/>
      <c r="CS38" s="58">
        <f t="shared" si="2"/>
        <v>1</v>
      </c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</row>
    <row r="39">
      <c r="A39" s="40">
        <v>45360.0</v>
      </c>
      <c r="B39" s="39" t="s">
        <v>272</v>
      </c>
      <c r="C39" s="45">
        <v>1.0</v>
      </c>
      <c r="D39" s="45"/>
      <c r="E39" s="45">
        <v>18.0</v>
      </c>
      <c r="F39" s="45">
        <v>0.0</v>
      </c>
      <c r="G39" s="46">
        <f t="shared" si="1"/>
        <v>0.12</v>
      </c>
      <c r="H39" s="4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5">
        <v>0.1</v>
      </c>
      <c r="AV39" s="56">
        <v>0.02</v>
      </c>
      <c r="AW39" s="57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5">
        <v>0.1</v>
      </c>
      <c r="BN39" s="57"/>
      <c r="BO39" s="23"/>
      <c r="BP39" s="23"/>
      <c r="BQ39" s="23"/>
      <c r="BR39" s="23"/>
      <c r="BS39" s="25">
        <v>0.15</v>
      </c>
      <c r="BT39" s="57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5">
        <f>1-0.37</f>
        <v>0.63</v>
      </c>
      <c r="CQ39" s="23"/>
      <c r="CR39" s="23"/>
      <c r="CS39" s="58">
        <f t="shared" si="2"/>
        <v>1</v>
      </c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</row>
    <row r="40">
      <c r="A40" s="40">
        <v>45360.0</v>
      </c>
      <c r="B40" s="39" t="s">
        <v>272</v>
      </c>
      <c r="C40" s="45">
        <v>1.0</v>
      </c>
      <c r="D40" s="45"/>
      <c r="E40" s="45">
        <v>16.0</v>
      </c>
      <c r="F40" s="45">
        <v>0.0</v>
      </c>
      <c r="G40" s="46">
        <f t="shared" si="1"/>
        <v>0.32</v>
      </c>
      <c r="H40" s="42"/>
      <c r="I40" s="23"/>
      <c r="J40" s="23"/>
      <c r="K40" s="23"/>
      <c r="L40" s="23"/>
      <c r="M40" s="56">
        <v>0.2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>
        <v>0.1</v>
      </c>
      <c r="BN40" s="57"/>
      <c r="BO40" s="23"/>
      <c r="BP40" s="23"/>
      <c r="BQ40" s="23"/>
      <c r="BR40" s="25">
        <v>0.02</v>
      </c>
      <c r="BS40" s="56">
        <f>1-0.62</f>
        <v>0.38</v>
      </c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5">
        <v>0.3</v>
      </c>
      <c r="CQ40" s="57"/>
      <c r="CR40" s="23"/>
      <c r="CS40" s="58">
        <f t="shared" si="2"/>
        <v>1</v>
      </c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</row>
    <row r="41">
      <c r="A41" s="40">
        <v>45360.0</v>
      </c>
      <c r="B41" s="39" t="s">
        <v>272</v>
      </c>
      <c r="C41" s="45">
        <v>1.0</v>
      </c>
      <c r="D41" s="48"/>
      <c r="E41" s="45">
        <v>14.0</v>
      </c>
      <c r="F41" s="45">
        <v>22.3</v>
      </c>
      <c r="G41" s="46">
        <f t="shared" si="1"/>
        <v>0</v>
      </c>
      <c r="H41" s="4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5">
        <v>1.0</v>
      </c>
      <c r="CQ41" s="57"/>
      <c r="CR41" s="23"/>
      <c r="CS41" s="58">
        <f t="shared" si="2"/>
        <v>1</v>
      </c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</row>
    <row r="42">
      <c r="A42" s="40">
        <v>45360.0</v>
      </c>
      <c r="B42" s="39" t="s">
        <v>272</v>
      </c>
      <c r="C42" s="45">
        <v>1.0</v>
      </c>
      <c r="D42" s="48"/>
      <c r="E42" s="45">
        <v>12.0</v>
      </c>
      <c r="F42" s="45">
        <v>37.5</v>
      </c>
      <c r="G42" s="46">
        <f t="shared" si="1"/>
        <v>0</v>
      </c>
      <c r="H42" s="4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5">
        <v>1.0</v>
      </c>
      <c r="CQ42" s="57"/>
      <c r="CR42" s="23"/>
      <c r="CS42" s="58">
        <f t="shared" si="2"/>
        <v>1</v>
      </c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</row>
    <row r="43">
      <c r="A43" s="40">
        <v>45360.0</v>
      </c>
      <c r="B43" s="39" t="s">
        <v>272</v>
      </c>
      <c r="C43" s="45">
        <v>1.0</v>
      </c>
      <c r="D43" s="48"/>
      <c r="E43" s="45">
        <v>10.0</v>
      </c>
      <c r="F43" s="45">
        <v>15.2</v>
      </c>
      <c r="G43" s="46">
        <f t="shared" si="1"/>
        <v>0.7</v>
      </c>
      <c r="H43" s="4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5">
        <v>0.3</v>
      </c>
      <c r="BH43" s="57"/>
      <c r="BI43" s="23"/>
      <c r="BJ43" s="23"/>
      <c r="BK43" s="23"/>
      <c r="BL43" s="23"/>
      <c r="BM43" s="25">
        <v>0.4</v>
      </c>
      <c r="BN43" s="57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5">
        <v>0.3</v>
      </c>
      <c r="CL43" s="57"/>
      <c r="CM43" s="23"/>
      <c r="CN43" s="23"/>
      <c r="CO43" s="23"/>
      <c r="CP43" s="23"/>
      <c r="CQ43" s="23"/>
      <c r="CR43" s="23"/>
      <c r="CS43" s="58">
        <f t="shared" si="2"/>
        <v>1</v>
      </c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</row>
    <row r="44">
      <c r="A44" s="40">
        <v>45360.0</v>
      </c>
      <c r="B44" s="39" t="s">
        <v>272</v>
      </c>
      <c r="C44" s="45">
        <v>1.0</v>
      </c>
      <c r="D44" s="48"/>
      <c r="E44" s="45">
        <v>8.0</v>
      </c>
      <c r="F44" s="45">
        <v>12.4</v>
      </c>
      <c r="G44" s="46">
        <f t="shared" si="1"/>
        <v>0.76</v>
      </c>
      <c r="H44" s="4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56">
        <v>0.01</v>
      </c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5">
        <v>0.05</v>
      </c>
      <c r="BH44" s="57"/>
      <c r="BI44" s="23"/>
      <c r="BJ44" s="23"/>
      <c r="BK44" s="23"/>
      <c r="BL44" s="23"/>
      <c r="BM44" s="25">
        <v>0.7</v>
      </c>
      <c r="BN44" s="57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5">
        <f>1-0.76</f>
        <v>0.24</v>
      </c>
      <c r="CL44" s="23"/>
      <c r="CM44" s="23"/>
      <c r="CN44" s="23"/>
      <c r="CO44" s="23"/>
      <c r="CP44" s="23"/>
      <c r="CQ44" s="23"/>
      <c r="CR44" s="23"/>
      <c r="CS44" s="58">
        <f t="shared" si="2"/>
        <v>1</v>
      </c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</row>
    <row r="45">
      <c r="A45" s="40">
        <v>45360.0</v>
      </c>
      <c r="B45" s="39" t="s">
        <v>272</v>
      </c>
      <c r="C45" s="45">
        <v>1.0</v>
      </c>
      <c r="D45" s="48"/>
      <c r="E45" s="45">
        <v>6.0</v>
      </c>
      <c r="F45" s="45">
        <v>0.0</v>
      </c>
      <c r="G45" s="46">
        <f t="shared" si="1"/>
        <v>0.85</v>
      </c>
      <c r="H45" s="4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5">
        <v>0.1</v>
      </c>
      <c r="BH45" s="57"/>
      <c r="BI45" s="23"/>
      <c r="BJ45" s="23"/>
      <c r="BK45" s="23"/>
      <c r="BL45" s="23"/>
      <c r="BM45" s="25">
        <v>0.75</v>
      </c>
      <c r="BN45" s="57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5">
        <f>1-0.85</f>
        <v>0.15</v>
      </c>
      <c r="CL45" s="23"/>
      <c r="CM45" s="23"/>
      <c r="CN45" s="23"/>
      <c r="CO45" s="23"/>
      <c r="CP45" s="23"/>
      <c r="CQ45" s="23"/>
      <c r="CR45" s="23"/>
      <c r="CS45" s="58">
        <f t="shared" si="2"/>
        <v>1</v>
      </c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</row>
    <row r="46">
      <c r="A46" s="40">
        <v>45360.0</v>
      </c>
      <c r="B46" s="39" t="s">
        <v>272</v>
      </c>
      <c r="C46" s="45">
        <v>1.0</v>
      </c>
      <c r="D46" s="48"/>
      <c r="E46" s="45">
        <v>4.0</v>
      </c>
      <c r="F46" s="45">
        <v>0.0</v>
      </c>
      <c r="G46" s="46">
        <f t="shared" si="1"/>
        <v>0.7</v>
      </c>
      <c r="H46" s="4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56">
        <v>0.05</v>
      </c>
      <c r="AE46" s="23"/>
      <c r="AF46" s="23"/>
      <c r="AG46" s="23"/>
      <c r="AH46" s="23"/>
      <c r="AI46" s="23"/>
      <c r="AJ46" s="56">
        <v>0.05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5">
        <v>0.45</v>
      </c>
      <c r="BH46" s="57"/>
      <c r="BI46" s="23"/>
      <c r="BJ46" s="23"/>
      <c r="BK46" s="23"/>
      <c r="BL46" s="23"/>
      <c r="BM46" s="25">
        <v>0.15</v>
      </c>
      <c r="BN46" s="57"/>
      <c r="BO46" s="23"/>
      <c r="BP46" s="23"/>
      <c r="BQ46" s="23"/>
      <c r="BR46" s="23"/>
      <c r="BS46" s="25">
        <v>0.1</v>
      </c>
      <c r="BT46" s="57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5">
        <v>0.2</v>
      </c>
      <c r="CQ46" s="57"/>
      <c r="CR46" s="23"/>
      <c r="CS46" s="58">
        <f t="shared" si="2"/>
        <v>1</v>
      </c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</row>
    <row r="47">
      <c r="A47" s="40">
        <v>45360.0</v>
      </c>
      <c r="B47" s="39" t="s">
        <v>272</v>
      </c>
      <c r="C47" s="45">
        <v>1.0</v>
      </c>
      <c r="D47" s="48"/>
      <c r="E47" s="45">
        <v>2.0</v>
      </c>
      <c r="F47" s="45">
        <v>0.0</v>
      </c>
      <c r="G47" s="46">
        <f t="shared" si="1"/>
        <v>0</v>
      </c>
      <c r="H47" s="4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5">
        <v>1.0</v>
      </c>
      <c r="CQ47" s="57"/>
      <c r="CR47" s="23"/>
      <c r="CS47" s="58">
        <f t="shared" si="2"/>
        <v>1</v>
      </c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</row>
    <row r="48">
      <c r="A48" s="40">
        <v>45360.0</v>
      </c>
      <c r="B48" s="39" t="s">
        <v>272</v>
      </c>
      <c r="C48" s="45">
        <v>2.0</v>
      </c>
      <c r="D48" s="48"/>
      <c r="E48" s="45">
        <v>20.0</v>
      </c>
      <c r="F48" s="45">
        <v>0.0</v>
      </c>
      <c r="G48" s="46">
        <f t="shared" si="1"/>
        <v>0.12</v>
      </c>
      <c r="H48" s="4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56">
        <v>0.02</v>
      </c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5">
        <v>0.2</v>
      </c>
      <c r="AV48" s="57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5">
        <v>0.05</v>
      </c>
      <c r="BN48" s="57"/>
      <c r="BO48" s="23"/>
      <c r="BP48" s="23"/>
      <c r="BQ48" s="23"/>
      <c r="BR48" s="25">
        <v>0.05</v>
      </c>
      <c r="BS48" s="56">
        <v>0.2</v>
      </c>
      <c r="BT48" s="57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5">
        <f>1-0.52</f>
        <v>0.48</v>
      </c>
      <c r="CQ48" s="23"/>
      <c r="CR48" s="23"/>
      <c r="CS48" s="58">
        <f t="shared" si="2"/>
        <v>1</v>
      </c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</row>
    <row r="49">
      <c r="A49" s="40">
        <v>45360.0</v>
      </c>
      <c r="B49" s="39" t="s">
        <v>272</v>
      </c>
      <c r="C49" s="45">
        <v>2.0</v>
      </c>
      <c r="D49" s="48"/>
      <c r="E49" s="45">
        <v>18.0</v>
      </c>
      <c r="F49" s="45">
        <v>0.0</v>
      </c>
      <c r="G49" s="46">
        <f t="shared" si="1"/>
        <v>0.1</v>
      </c>
      <c r="H49" s="4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5">
        <v>0.15</v>
      </c>
      <c r="AV49" s="57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5">
        <v>0.05</v>
      </c>
      <c r="BN49" s="57"/>
      <c r="BO49" s="23"/>
      <c r="BP49" s="23"/>
      <c r="BQ49" s="23"/>
      <c r="BR49" s="25">
        <v>0.05</v>
      </c>
      <c r="BS49" s="56">
        <v>0.2</v>
      </c>
      <c r="BT49" s="57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5">
        <f>1-0.45</f>
        <v>0.55</v>
      </c>
      <c r="CQ49" s="23"/>
      <c r="CR49" s="23"/>
      <c r="CS49" s="58">
        <f t="shared" si="2"/>
        <v>1</v>
      </c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</row>
    <row r="50">
      <c r="A50" s="40">
        <v>45360.0</v>
      </c>
      <c r="B50" s="39" t="s">
        <v>272</v>
      </c>
      <c r="C50" s="45">
        <v>2.0</v>
      </c>
      <c r="D50" s="48"/>
      <c r="E50" s="45">
        <v>16.0</v>
      </c>
      <c r="F50" s="45">
        <v>0.0</v>
      </c>
      <c r="G50" s="46">
        <f t="shared" si="1"/>
        <v>0.45</v>
      </c>
      <c r="H50" s="4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56">
        <v>0.05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5">
        <v>0.05</v>
      </c>
      <c r="AV50" s="57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5">
        <v>0.15</v>
      </c>
      <c r="BH50" s="57"/>
      <c r="BI50" s="23"/>
      <c r="BJ50" s="23"/>
      <c r="BK50" s="23"/>
      <c r="BL50" s="23"/>
      <c r="BM50" s="25">
        <v>0.2</v>
      </c>
      <c r="BN50" s="57"/>
      <c r="BO50" s="23"/>
      <c r="BP50" s="23"/>
      <c r="BQ50" s="23"/>
      <c r="BR50" s="25">
        <v>0.05</v>
      </c>
      <c r="BS50" s="56">
        <v>0.05</v>
      </c>
      <c r="BT50" s="57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5">
        <f>1-0.55</f>
        <v>0.45</v>
      </c>
      <c r="CQ50" s="23"/>
      <c r="CR50" s="23"/>
      <c r="CS50" s="58">
        <f t="shared" si="2"/>
        <v>1</v>
      </c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</row>
    <row r="51">
      <c r="A51" s="40">
        <v>45360.0</v>
      </c>
      <c r="B51" s="39" t="s">
        <v>272</v>
      </c>
      <c r="C51" s="45">
        <v>2.0</v>
      </c>
      <c r="D51" s="48"/>
      <c r="E51" s="45">
        <v>14.0</v>
      </c>
      <c r="F51" s="45">
        <v>38.7</v>
      </c>
      <c r="G51" s="46">
        <f t="shared" si="1"/>
        <v>0.32</v>
      </c>
      <c r="H51" s="42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56">
        <v>0.1</v>
      </c>
      <c r="V51" s="23"/>
      <c r="W51" s="23"/>
      <c r="X51" s="23"/>
      <c r="Y51" s="56">
        <v>0.02</v>
      </c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56">
        <v>0.1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5">
        <v>0.2</v>
      </c>
      <c r="AV51" s="57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5">
        <v>0.05</v>
      </c>
      <c r="BH51" s="57"/>
      <c r="BI51" s="23"/>
      <c r="BJ51" s="23"/>
      <c r="BK51" s="23"/>
      <c r="BL51" s="23"/>
      <c r="BM51" s="25">
        <v>0.05</v>
      </c>
      <c r="BN51" s="57"/>
      <c r="BO51" s="23"/>
      <c r="BP51" s="23"/>
      <c r="BQ51" s="23"/>
      <c r="BR51" s="23"/>
      <c r="BS51" s="25">
        <v>0.1</v>
      </c>
      <c r="BT51" s="57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5">
        <f>1-0.62</f>
        <v>0.38</v>
      </c>
      <c r="CQ51" s="23"/>
      <c r="CR51" s="23"/>
      <c r="CS51" s="58">
        <f t="shared" si="2"/>
        <v>1</v>
      </c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</row>
    <row r="52">
      <c r="A52" s="40">
        <v>45360.0</v>
      </c>
      <c r="B52" s="39" t="s">
        <v>272</v>
      </c>
      <c r="C52" s="45">
        <v>2.0</v>
      </c>
      <c r="D52" s="48"/>
      <c r="E52" s="45">
        <v>12.0</v>
      </c>
      <c r="F52" s="45">
        <v>15.9</v>
      </c>
      <c r="G52" s="46">
        <f t="shared" si="1"/>
        <v>0.57</v>
      </c>
      <c r="H52" s="42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56">
        <v>0.02</v>
      </c>
      <c r="V52" s="23"/>
      <c r="W52" s="23"/>
      <c r="X52" s="23"/>
      <c r="Y52" s="23"/>
      <c r="Z52" s="23"/>
      <c r="AA52" s="23"/>
      <c r="AB52" s="23"/>
      <c r="AC52" s="23"/>
      <c r="AD52" s="56">
        <v>0.1</v>
      </c>
      <c r="AE52" s="23"/>
      <c r="AF52" s="23"/>
      <c r="AG52" s="23"/>
      <c r="AH52" s="23"/>
      <c r="AI52" s="23"/>
      <c r="AJ52" s="56">
        <v>0.05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5">
        <v>0.15</v>
      </c>
      <c r="AV52" s="57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5">
        <v>0.1</v>
      </c>
      <c r="BH52" s="57"/>
      <c r="BI52" s="23"/>
      <c r="BJ52" s="23"/>
      <c r="BK52" s="23"/>
      <c r="BL52" s="23"/>
      <c r="BM52" s="25">
        <v>0.3</v>
      </c>
      <c r="BN52" s="57"/>
      <c r="BO52" s="23"/>
      <c r="BP52" s="23"/>
      <c r="BQ52" s="23"/>
      <c r="BR52" s="23"/>
      <c r="BS52" s="25">
        <v>0.1</v>
      </c>
      <c r="BT52" s="57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5">
        <f>1-0.87</f>
        <v>0.13</v>
      </c>
      <c r="CL52" s="23"/>
      <c r="CM52" s="23"/>
      <c r="CN52" s="23"/>
      <c r="CO52" s="23"/>
      <c r="CP52" s="25">
        <v>0.05</v>
      </c>
      <c r="CQ52" s="57"/>
      <c r="CR52" s="23"/>
      <c r="CS52" s="58">
        <f t="shared" si="2"/>
        <v>1</v>
      </c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</row>
    <row r="53">
      <c r="A53" s="40">
        <v>45360.0</v>
      </c>
      <c r="B53" s="39" t="s">
        <v>272</v>
      </c>
      <c r="C53" s="45">
        <v>2.0</v>
      </c>
      <c r="D53" s="48"/>
      <c r="E53" s="45">
        <v>10.0</v>
      </c>
      <c r="F53" s="45">
        <v>24.7</v>
      </c>
      <c r="G53" s="46">
        <f t="shared" si="1"/>
        <v>0.83</v>
      </c>
      <c r="H53" s="42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56">
        <v>0.01</v>
      </c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5">
        <v>0.02</v>
      </c>
      <c r="BH53" s="57"/>
      <c r="BI53" s="23"/>
      <c r="BJ53" s="23"/>
      <c r="BK53" s="23"/>
      <c r="BL53" s="23"/>
      <c r="BM53" s="25">
        <v>0.8</v>
      </c>
      <c r="BN53" s="57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5">
        <f>1-0.83</f>
        <v>0.17</v>
      </c>
      <c r="CL53" s="23"/>
      <c r="CM53" s="23"/>
      <c r="CN53" s="23"/>
      <c r="CO53" s="23"/>
      <c r="CP53" s="23"/>
      <c r="CQ53" s="23"/>
      <c r="CR53" s="23"/>
      <c r="CS53" s="58">
        <f t="shared" si="2"/>
        <v>1</v>
      </c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</row>
    <row r="54">
      <c r="A54" s="40">
        <v>45360.0</v>
      </c>
      <c r="B54" s="39" t="s">
        <v>272</v>
      </c>
      <c r="C54" s="45">
        <v>2.0</v>
      </c>
      <c r="D54" s="48"/>
      <c r="E54" s="45">
        <v>8.0</v>
      </c>
      <c r="F54" s="45">
        <v>7.9</v>
      </c>
      <c r="G54" s="46">
        <f t="shared" si="1"/>
        <v>0</v>
      </c>
      <c r="H54" s="42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5">
        <v>0.2</v>
      </c>
      <c r="CL54" s="57"/>
      <c r="CM54" s="23"/>
      <c r="CN54" s="23"/>
      <c r="CO54" s="23"/>
      <c r="CP54" s="25">
        <v>0.8</v>
      </c>
      <c r="CQ54" s="57"/>
      <c r="CR54" s="23"/>
      <c r="CS54" s="58">
        <f t="shared" si="2"/>
        <v>1</v>
      </c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</row>
    <row r="55">
      <c r="A55" s="40">
        <v>45360.0</v>
      </c>
      <c r="B55" s="39" t="s">
        <v>272</v>
      </c>
      <c r="C55" s="45">
        <v>2.0</v>
      </c>
      <c r="D55" s="48"/>
      <c r="E55" s="45">
        <v>6.0</v>
      </c>
      <c r="F55" s="45">
        <v>0.0</v>
      </c>
      <c r="G55" s="46">
        <f t="shared" si="1"/>
        <v>0.76</v>
      </c>
      <c r="H55" s="4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56">
        <v>0.01</v>
      </c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5">
        <v>0.15</v>
      </c>
      <c r="BH55" s="57"/>
      <c r="BI55" s="23"/>
      <c r="BJ55" s="23"/>
      <c r="BK55" s="23"/>
      <c r="BL55" s="23"/>
      <c r="BM55" s="25">
        <v>0.6</v>
      </c>
      <c r="BN55" s="57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5">
        <f>1-0.78</f>
        <v>0.22</v>
      </c>
      <c r="CL55" s="23"/>
      <c r="CM55" s="23"/>
      <c r="CN55" s="23"/>
      <c r="CO55" s="23"/>
      <c r="CP55" s="25">
        <v>0.02</v>
      </c>
      <c r="CQ55" s="57"/>
      <c r="CR55" s="23"/>
      <c r="CS55" s="58">
        <f t="shared" si="2"/>
        <v>1</v>
      </c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</row>
    <row r="56">
      <c r="A56" s="40">
        <v>45360.0</v>
      </c>
      <c r="B56" s="39" t="s">
        <v>272</v>
      </c>
      <c r="C56" s="45">
        <v>2.0</v>
      </c>
      <c r="D56" s="48"/>
      <c r="E56" s="45">
        <v>4.0</v>
      </c>
      <c r="F56" s="45">
        <v>0.0</v>
      </c>
      <c r="G56" s="46">
        <f t="shared" si="1"/>
        <v>0.24</v>
      </c>
      <c r="H56" s="42"/>
      <c r="I56" s="23"/>
      <c r="J56" s="23"/>
      <c r="K56" s="23"/>
      <c r="L56" s="23"/>
      <c r="M56" s="23"/>
      <c r="N56" s="23"/>
      <c r="O56" s="23"/>
      <c r="P56" s="56">
        <v>0.5</v>
      </c>
      <c r="Q56" s="23"/>
      <c r="R56" s="23"/>
      <c r="S56" s="23"/>
      <c r="T56" s="23"/>
      <c r="U56" s="56">
        <v>0.02</v>
      </c>
      <c r="V56" s="23"/>
      <c r="W56" s="23"/>
      <c r="X56" s="23"/>
      <c r="Y56" s="23"/>
      <c r="Z56" s="23"/>
      <c r="AA56" s="23"/>
      <c r="AB56" s="23"/>
      <c r="AC56" s="23"/>
      <c r="AD56" s="56">
        <v>0.1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5">
        <v>0.1</v>
      </c>
      <c r="BH56" s="57"/>
      <c r="BI56" s="23"/>
      <c r="BJ56" s="23"/>
      <c r="BK56" s="23"/>
      <c r="BL56" s="23"/>
      <c r="BM56" s="25">
        <v>0.02</v>
      </c>
      <c r="BN56" s="57"/>
      <c r="BO56" s="23"/>
      <c r="BP56" s="23"/>
      <c r="BQ56" s="23"/>
      <c r="BR56" s="23"/>
      <c r="BS56" s="25">
        <v>0.02</v>
      </c>
      <c r="BT56" s="57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5">
        <f>1-0.76</f>
        <v>0.24</v>
      </c>
      <c r="CL56" s="23"/>
      <c r="CM56" s="23"/>
      <c r="CN56" s="23"/>
      <c r="CO56" s="23"/>
      <c r="CP56" s="23"/>
      <c r="CQ56" s="23"/>
      <c r="CR56" s="23"/>
      <c r="CS56" s="58">
        <f t="shared" si="2"/>
        <v>1</v>
      </c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</row>
    <row r="57">
      <c r="A57" s="40">
        <v>45360.0</v>
      </c>
      <c r="B57" s="39" t="s">
        <v>272</v>
      </c>
      <c r="C57" s="45">
        <v>2.0</v>
      </c>
      <c r="D57" s="48"/>
      <c r="E57" s="45">
        <v>2.0</v>
      </c>
      <c r="F57" s="45">
        <v>0.0</v>
      </c>
      <c r="G57" s="46">
        <f t="shared" si="1"/>
        <v>0.2</v>
      </c>
      <c r="H57" s="42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56">
        <v>0.1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5">
        <v>0.05</v>
      </c>
      <c r="BH57" s="57"/>
      <c r="BI57" s="23"/>
      <c r="BJ57" s="23"/>
      <c r="BK57" s="23"/>
      <c r="BL57" s="23"/>
      <c r="BM57" s="25">
        <v>0.05</v>
      </c>
      <c r="BN57" s="57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5">
        <v>0.8</v>
      </c>
      <c r="CQ57" s="57"/>
      <c r="CR57" s="23"/>
      <c r="CS57" s="58">
        <f t="shared" si="2"/>
        <v>1</v>
      </c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</row>
    <row r="58">
      <c r="A58" s="40">
        <v>45360.0</v>
      </c>
      <c r="B58" s="39" t="s">
        <v>272</v>
      </c>
      <c r="C58" s="45">
        <v>3.0</v>
      </c>
      <c r="D58" s="48"/>
      <c r="E58" s="45">
        <v>20.0</v>
      </c>
      <c r="F58" s="45">
        <v>0.0</v>
      </c>
      <c r="G58" s="46">
        <f t="shared" si="1"/>
        <v>0.05</v>
      </c>
      <c r="H58" s="42"/>
      <c r="I58" s="23"/>
      <c r="J58" s="23"/>
      <c r="K58" s="23"/>
      <c r="L58" s="23"/>
      <c r="M58" s="23"/>
      <c r="N58" s="23"/>
      <c r="O58" s="23"/>
      <c r="P58" s="56">
        <v>0.02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5">
        <v>0.05</v>
      </c>
      <c r="AV58" s="57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5">
        <v>0.05</v>
      </c>
      <c r="BN58" s="57"/>
      <c r="BO58" s="23"/>
      <c r="BP58" s="23"/>
      <c r="BQ58" s="23"/>
      <c r="BR58" s="23"/>
      <c r="BS58" s="25">
        <v>0.05</v>
      </c>
      <c r="BT58" s="57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5">
        <v>0.2</v>
      </c>
      <c r="CQ58" s="56">
        <f>1-0.37</f>
        <v>0.63</v>
      </c>
      <c r="CR58" s="23"/>
      <c r="CS58" s="58">
        <f t="shared" si="2"/>
        <v>1</v>
      </c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</row>
    <row r="59">
      <c r="A59" s="40">
        <v>45360.0</v>
      </c>
      <c r="B59" s="39" t="s">
        <v>272</v>
      </c>
      <c r="C59" s="45">
        <v>3.0</v>
      </c>
      <c r="D59" s="48"/>
      <c r="E59" s="45">
        <v>18.0</v>
      </c>
      <c r="F59" s="45">
        <v>0.0</v>
      </c>
      <c r="G59" s="46">
        <f t="shared" si="1"/>
        <v>0.31</v>
      </c>
      <c r="H59" s="4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56">
        <v>0.1</v>
      </c>
      <c r="Z59" s="23"/>
      <c r="AA59" s="23"/>
      <c r="AB59" s="23"/>
      <c r="AC59" s="23"/>
      <c r="AD59" s="56">
        <v>0.01</v>
      </c>
      <c r="AE59" s="23"/>
      <c r="AF59" s="23"/>
      <c r="AG59" s="23"/>
      <c r="AH59" s="23"/>
      <c r="AI59" s="23"/>
      <c r="AJ59" s="56">
        <v>0.02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5">
        <v>0.15</v>
      </c>
      <c r="AV59" s="57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5">
        <v>0.01</v>
      </c>
      <c r="BH59" s="57"/>
      <c r="BI59" s="23"/>
      <c r="BJ59" s="23"/>
      <c r="BK59" s="23"/>
      <c r="BL59" s="23"/>
      <c r="BM59" s="25">
        <v>0.1</v>
      </c>
      <c r="BN59" s="57"/>
      <c r="BO59" s="23"/>
      <c r="BP59" s="23"/>
      <c r="BQ59" s="23"/>
      <c r="BR59" s="25">
        <v>0.02</v>
      </c>
      <c r="BS59" s="57"/>
      <c r="BT59" s="23"/>
      <c r="BU59" s="25">
        <v>0.05</v>
      </c>
      <c r="BV59" s="57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5">
        <f>1-0.46</f>
        <v>0.54</v>
      </c>
      <c r="CQ59" s="23"/>
      <c r="CR59" s="23"/>
      <c r="CS59" s="58">
        <f t="shared" si="2"/>
        <v>1</v>
      </c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</row>
    <row r="60">
      <c r="A60" s="40">
        <v>45360.0</v>
      </c>
      <c r="B60" s="39" t="s">
        <v>272</v>
      </c>
      <c r="C60" s="45">
        <v>3.0</v>
      </c>
      <c r="D60" s="48"/>
      <c r="E60" s="45">
        <v>16.0</v>
      </c>
      <c r="F60" s="45">
        <v>0.0</v>
      </c>
      <c r="G60" s="46">
        <f t="shared" si="1"/>
        <v>0.43</v>
      </c>
      <c r="H60" s="42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56">
        <v>0.15</v>
      </c>
      <c r="Z60" s="23"/>
      <c r="AA60" s="23"/>
      <c r="AB60" s="23"/>
      <c r="AC60" s="23"/>
      <c r="AD60" s="23"/>
      <c r="AE60" s="23"/>
      <c r="AF60" s="56">
        <v>0.02</v>
      </c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5">
        <v>0.15</v>
      </c>
      <c r="AV60" s="57"/>
      <c r="AW60" s="23"/>
      <c r="AX60" s="23"/>
      <c r="AY60" s="23"/>
      <c r="AZ60" s="23"/>
      <c r="BA60" s="23"/>
      <c r="BB60" s="23"/>
      <c r="BC60" s="23"/>
      <c r="BD60" s="23"/>
      <c r="BE60" s="25">
        <v>0.01</v>
      </c>
      <c r="BF60" s="57"/>
      <c r="BG60" s="25">
        <v>0.02</v>
      </c>
      <c r="BH60" s="57"/>
      <c r="BI60" s="23"/>
      <c r="BJ60" s="23"/>
      <c r="BK60" s="23"/>
      <c r="BL60" s="23"/>
      <c r="BM60" s="25">
        <v>0.15</v>
      </c>
      <c r="BN60" s="57"/>
      <c r="BO60" s="25">
        <v>0.03</v>
      </c>
      <c r="BP60" s="57"/>
      <c r="BQ60" s="23"/>
      <c r="BR60" s="23"/>
      <c r="BS60" s="23"/>
      <c r="BT60" s="23"/>
      <c r="BU60" s="25">
        <v>0.05</v>
      </c>
      <c r="BV60" s="57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5">
        <f>1-0.68</f>
        <v>0.32</v>
      </c>
      <c r="CQ60" s="25">
        <v>0.1</v>
      </c>
      <c r="CR60" s="57"/>
      <c r="CS60" s="58">
        <f t="shared" si="2"/>
        <v>1</v>
      </c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</row>
    <row r="61">
      <c r="A61" s="40">
        <v>45360.0</v>
      </c>
      <c r="B61" s="39" t="s">
        <v>272</v>
      </c>
      <c r="C61" s="45">
        <v>3.0</v>
      </c>
      <c r="D61" s="48"/>
      <c r="E61" s="45">
        <v>14.0</v>
      </c>
      <c r="F61" s="45">
        <v>40.2</v>
      </c>
      <c r="G61" s="46">
        <f t="shared" si="1"/>
        <v>0.39</v>
      </c>
      <c r="H61" s="42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56">
        <v>0.1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56">
        <v>0.02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5">
        <v>0.02</v>
      </c>
      <c r="BH61" s="57"/>
      <c r="BI61" s="23"/>
      <c r="BJ61" s="23"/>
      <c r="BK61" s="23"/>
      <c r="BL61" s="23"/>
      <c r="BM61" s="25">
        <v>0.2</v>
      </c>
      <c r="BN61" s="57"/>
      <c r="BO61" s="23"/>
      <c r="BP61" s="23"/>
      <c r="BQ61" s="23"/>
      <c r="BR61" s="23"/>
      <c r="BS61" s="25">
        <v>0.1</v>
      </c>
      <c r="BT61" s="57"/>
      <c r="BU61" s="25">
        <v>0.05</v>
      </c>
      <c r="BV61" s="57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5">
        <f>1-0.54</f>
        <v>0.46</v>
      </c>
      <c r="CQ61" s="25">
        <v>0.05</v>
      </c>
      <c r="CR61" s="57"/>
      <c r="CS61" s="58">
        <f t="shared" si="2"/>
        <v>1</v>
      </c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</row>
    <row r="62">
      <c r="A62" s="40">
        <v>45360.0</v>
      </c>
      <c r="B62" s="39" t="s">
        <v>272</v>
      </c>
      <c r="C62" s="45">
        <v>3.0</v>
      </c>
      <c r="D62" s="48"/>
      <c r="E62" s="45">
        <v>12.0</v>
      </c>
      <c r="F62" s="45">
        <v>7.8</v>
      </c>
      <c r="G62" s="46">
        <f t="shared" si="1"/>
        <v>0.28</v>
      </c>
      <c r="H62" s="42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56">
        <v>0.02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5">
        <v>0.1</v>
      </c>
      <c r="AV62" s="57"/>
      <c r="AW62" s="23"/>
      <c r="AX62" s="23"/>
      <c r="AY62" s="23"/>
      <c r="AZ62" s="23"/>
      <c r="BA62" s="23"/>
      <c r="BB62" s="23"/>
      <c r="BC62" s="23"/>
      <c r="BD62" s="23"/>
      <c r="BE62" s="25">
        <v>0.01</v>
      </c>
      <c r="BF62" s="57"/>
      <c r="BG62" s="25">
        <v>0.2</v>
      </c>
      <c r="BH62" s="57"/>
      <c r="BI62" s="23"/>
      <c r="BJ62" s="23"/>
      <c r="BK62" s="23"/>
      <c r="BL62" s="23"/>
      <c r="BM62" s="25">
        <v>0.05</v>
      </c>
      <c r="BN62" s="57"/>
      <c r="BO62" s="23"/>
      <c r="BP62" s="23"/>
      <c r="BQ62" s="23"/>
      <c r="BR62" s="23"/>
      <c r="BS62" s="25">
        <v>0.05</v>
      </c>
      <c r="BT62" s="57"/>
      <c r="BU62" s="23"/>
      <c r="BV62" s="23"/>
      <c r="BW62" s="23"/>
      <c r="BX62" s="23"/>
      <c r="BY62" s="25">
        <v>0.05</v>
      </c>
      <c r="BZ62" s="57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5">
        <f>1-0.48</f>
        <v>0.52</v>
      </c>
      <c r="CQ62" s="23"/>
      <c r="CR62" s="23"/>
      <c r="CS62" s="58">
        <f t="shared" si="2"/>
        <v>1</v>
      </c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</row>
    <row r="63">
      <c r="A63" s="40">
        <v>45360.0</v>
      </c>
      <c r="B63" s="39" t="s">
        <v>272</v>
      </c>
      <c r="C63" s="45">
        <v>3.0</v>
      </c>
      <c r="D63" s="48"/>
      <c r="E63" s="45">
        <v>10.0</v>
      </c>
      <c r="F63" s="45">
        <v>50.8</v>
      </c>
      <c r="G63" s="46">
        <f t="shared" si="1"/>
        <v>0.42</v>
      </c>
      <c r="H63" s="42"/>
      <c r="I63" s="56">
        <v>0.01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56">
        <v>0.15</v>
      </c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56">
        <v>0.02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5">
        <v>0.05</v>
      </c>
      <c r="AV63" s="57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5">
        <v>0.05</v>
      </c>
      <c r="BH63" s="57"/>
      <c r="BI63" s="23"/>
      <c r="BJ63" s="23"/>
      <c r="BK63" s="23"/>
      <c r="BL63" s="23"/>
      <c r="BM63" s="25">
        <v>0.15</v>
      </c>
      <c r="BN63" s="57"/>
      <c r="BO63" s="23"/>
      <c r="BP63" s="23"/>
      <c r="BQ63" s="23"/>
      <c r="BR63" s="23"/>
      <c r="BS63" s="23"/>
      <c r="BT63" s="23"/>
      <c r="BU63" s="25">
        <v>0.05</v>
      </c>
      <c r="BV63" s="57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5">
        <f>1-0.58</f>
        <v>0.42</v>
      </c>
      <c r="CQ63" s="25">
        <v>0.1</v>
      </c>
      <c r="CR63" s="57"/>
      <c r="CS63" s="58">
        <f t="shared" si="2"/>
        <v>1</v>
      </c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</row>
    <row r="64">
      <c r="A64" s="40">
        <v>45360.0</v>
      </c>
      <c r="B64" s="39" t="s">
        <v>272</v>
      </c>
      <c r="C64" s="45">
        <v>3.0</v>
      </c>
      <c r="D64" s="48"/>
      <c r="E64" s="45">
        <v>8.0</v>
      </c>
      <c r="F64" s="45">
        <v>10.7</v>
      </c>
      <c r="G64" s="46">
        <f t="shared" si="1"/>
        <v>0.33</v>
      </c>
      <c r="H64" s="42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56">
        <v>0.05</v>
      </c>
      <c r="Z64" s="23"/>
      <c r="AA64" s="23"/>
      <c r="AB64" s="23"/>
      <c r="AC64" s="23"/>
      <c r="AD64" s="56">
        <v>0.02</v>
      </c>
      <c r="AE64" s="23"/>
      <c r="AF64" s="23"/>
      <c r="AG64" s="23"/>
      <c r="AH64" s="23"/>
      <c r="AI64" s="23"/>
      <c r="AJ64" s="56">
        <v>0.05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5">
        <v>0.1</v>
      </c>
      <c r="AV64" s="57"/>
      <c r="AW64" s="23"/>
      <c r="AX64" s="23"/>
      <c r="AY64" s="23"/>
      <c r="AZ64" s="23"/>
      <c r="BA64" s="23"/>
      <c r="BB64" s="23"/>
      <c r="BC64" s="23"/>
      <c r="BD64" s="23"/>
      <c r="BE64" s="25">
        <v>0.01</v>
      </c>
      <c r="BF64" s="57"/>
      <c r="BG64" s="25">
        <v>0.1</v>
      </c>
      <c r="BH64" s="57"/>
      <c r="BI64" s="23"/>
      <c r="BJ64" s="23"/>
      <c r="BK64" s="23"/>
      <c r="BL64" s="23"/>
      <c r="BM64" s="25">
        <v>0.1</v>
      </c>
      <c r="BN64" s="57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5">
        <f>1-0.43</f>
        <v>0.57</v>
      </c>
      <c r="CQ64" s="23"/>
      <c r="CR64" s="23"/>
      <c r="CS64" s="58">
        <f t="shared" si="2"/>
        <v>1</v>
      </c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</row>
    <row r="65">
      <c r="A65" s="40">
        <v>45360.0</v>
      </c>
      <c r="B65" s="39" t="s">
        <v>272</v>
      </c>
      <c r="C65" s="45">
        <v>3.0</v>
      </c>
      <c r="D65" s="48"/>
      <c r="E65" s="45">
        <v>6.0</v>
      </c>
      <c r="F65" s="45">
        <v>0.0</v>
      </c>
      <c r="G65" s="46">
        <f t="shared" si="1"/>
        <v>0.3</v>
      </c>
      <c r="H65" s="42"/>
      <c r="I65" s="23"/>
      <c r="J65" s="23"/>
      <c r="K65" s="23"/>
      <c r="L65" s="23"/>
      <c r="M65" s="23"/>
      <c r="N65" s="23"/>
      <c r="O65" s="23"/>
      <c r="P65" s="56">
        <v>0.05</v>
      </c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56">
        <v>0.05</v>
      </c>
      <c r="AK65" s="56">
        <v>0.05</v>
      </c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5">
        <v>0.1</v>
      </c>
      <c r="BH65" s="57"/>
      <c r="BI65" s="23"/>
      <c r="BJ65" s="23"/>
      <c r="BK65" s="23"/>
      <c r="BL65" s="23"/>
      <c r="BM65" s="25">
        <v>0.1</v>
      </c>
      <c r="BN65" s="57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5">
        <v>0.1</v>
      </c>
      <c r="CL65" s="57"/>
      <c r="CM65" s="23"/>
      <c r="CN65" s="23"/>
      <c r="CO65" s="23"/>
      <c r="CP65" s="25">
        <v>0.55</v>
      </c>
      <c r="CQ65" s="57"/>
      <c r="CR65" s="23"/>
      <c r="CS65" s="58">
        <f t="shared" si="2"/>
        <v>1</v>
      </c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</row>
    <row r="66">
      <c r="A66" s="40">
        <v>45360.0</v>
      </c>
      <c r="B66" s="39" t="s">
        <v>272</v>
      </c>
      <c r="C66" s="45">
        <v>3.0</v>
      </c>
      <c r="D66" s="48"/>
      <c r="E66" s="45">
        <v>4.0</v>
      </c>
      <c r="F66" s="45">
        <v>0.0</v>
      </c>
      <c r="G66" s="46">
        <f t="shared" si="1"/>
        <v>0.35</v>
      </c>
      <c r="H66" s="42"/>
      <c r="I66" s="23"/>
      <c r="J66" s="23"/>
      <c r="K66" s="23"/>
      <c r="L66" s="23"/>
      <c r="M66" s="23"/>
      <c r="N66" s="23"/>
      <c r="O66" s="23"/>
      <c r="P66" s="56">
        <v>0.1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56">
        <v>0.05</v>
      </c>
      <c r="AE66" s="23"/>
      <c r="AF66" s="23"/>
      <c r="AG66" s="23"/>
      <c r="AH66" s="23"/>
      <c r="AI66" s="23"/>
      <c r="AJ66" s="56">
        <v>0.1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5">
        <v>0.1</v>
      </c>
      <c r="BH66" s="57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5">
        <v>0.1</v>
      </c>
      <c r="BV66" s="57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5">
        <v>0.02</v>
      </c>
      <c r="CM66" s="57"/>
      <c r="CN66" s="23"/>
      <c r="CO66" s="25">
        <f>1-0.47</f>
        <v>0.53</v>
      </c>
      <c r="CP66" s="23"/>
      <c r="CQ66" s="23"/>
      <c r="CR66" s="23"/>
      <c r="CS66" s="58">
        <f t="shared" si="2"/>
        <v>1</v>
      </c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</row>
    <row r="67">
      <c r="A67" s="40">
        <v>45360.0</v>
      </c>
      <c r="B67" s="39" t="s">
        <v>272</v>
      </c>
      <c r="C67" s="45">
        <v>3.0</v>
      </c>
      <c r="D67" s="48"/>
      <c r="E67" s="45">
        <v>2.0</v>
      </c>
      <c r="F67" s="45">
        <v>0.0</v>
      </c>
      <c r="G67" s="46">
        <f t="shared" si="1"/>
        <v>0</v>
      </c>
      <c r="H67" s="42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5">
        <v>0.05</v>
      </c>
      <c r="CP67" s="56">
        <v>0.75</v>
      </c>
      <c r="CQ67" s="56">
        <v>0.2</v>
      </c>
      <c r="CR67" s="57"/>
      <c r="CS67" s="58">
        <f t="shared" si="2"/>
        <v>1</v>
      </c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</row>
    <row r="68">
      <c r="A68" s="40">
        <v>45360.0</v>
      </c>
      <c r="B68" s="39" t="s">
        <v>272</v>
      </c>
      <c r="C68" s="45">
        <v>4.0</v>
      </c>
      <c r="D68" s="48"/>
      <c r="E68" s="45">
        <v>20.0</v>
      </c>
      <c r="F68" s="45">
        <v>0.0</v>
      </c>
      <c r="G68" s="46">
        <f t="shared" si="1"/>
        <v>0.29</v>
      </c>
      <c r="H68" s="42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56">
        <v>0.1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56">
        <v>0.02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5">
        <v>0.15</v>
      </c>
      <c r="AV68" s="57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5">
        <v>0.02</v>
      </c>
      <c r="BH68" s="57"/>
      <c r="BI68" s="23"/>
      <c r="BJ68" s="23"/>
      <c r="BK68" s="23"/>
      <c r="BL68" s="23"/>
      <c r="BM68" s="25">
        <v>0.15</v>
      </c>
      <c r="BN68" s="57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5">
        <f>1-0.44</f>
        <v>0.56</v>
      </c>
      <c r="CQ68" s="23"/>
      <c r="CR68" s="23"/>
      <c r="CS68" s="58">
        <f t="shared" si="2"/>
        <v>1</v>
      </c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</row>
    <row r="69">
      <c r="A69" s="40">
        <v>45360.0</v>
      </c>
      <c r="B69" s="39" t="s">
        <v>272</v>
      </c>
      <c r="C69" s="45">
        <v>4.0</v>
      </c>
      <c r="D69" s="48"/>
      <c r="E69" s="45">
        <v>18.0</v>
      </c>
      <c r="F69" s="45">
        <v>0.0</v>
      </c>
      <c r="G69" s="46">
        <f t="shared" si="1"/>
        <v>0.45</v>
      </c>
      <c r="H69" s="42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56">
        <v>0.05</v>
      </c>
      <c r="AA69" s="23"/>
      <c r="AB69" s="23"/>
      <c r="AC69" s="23"/>
      <c r="AD69" s="56">
        <v>0.05</v>
      </c>
      <c r="AE69" s="23"/>
      <c r="AF69" s="23"/>
      <c r="AG69" s="23"/>
      <c r="AH69" s="23"/>
      <c r="AI69" s="23"/>
      <c r="AJ69" s="56">
        <v>0.05</v>
      </c>
      <c r="AK69" s="56">
        <v>0.03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5">
        <v>0.15</v>
      </c>
      <c r="AV69" s="57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5">
        <v>0.02</v>
      </c>
      <c r="BH69" s="57"/>
      <c r="BI69" s="23"/>
      <c r="BJ69" s="23"/>
      <c r="BK69" s="23"/>
      <c r="BL69" s="23"/>
      <c r="BM69" s="25">
        <v>0.2</v>
      </c>
      <c r="BN69" s="57"/>
      <c r="BO69" s="23"/>
      <c r="BP69" s="23"/>
      <c r="BQ69" s="23"/>
      <c r="BR69" s="25">
        <v>0.05</v>
      </c>
      <c r="BS69" s="57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5">
        <v>0.4</v>
      </c>
      <c r="CQ69" s="57"/>
      <c r="CR69" s="23"/>
      <c r="CS69" s="58">
        <f t="shared" si="2"/>
        <v>1</v>
      </c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</row>
    <row r="70">
      <c r="A70" s="40">
        <v>45360.0</v>
      </c>
      <c r="B70" s="39" t="s">
        <v>272</v>
      </c>
      <c r="C70" s="45">
        <v>4.0</v>
      </c>
      <c r="D70" s="48"/>
      <c r="E70" s="45">
        <v>16.0</v>
      </c>
      <c r="F70" s="45">
        <v>0.0</v>
      </c>
      <c r="G70" s="46">
        <f t="shared" si="1"/>
        <v>0.4</v>
      </c>
      <c r="H70" s="42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56">
        <v>0.05</v>
      </c>
      <c r="AA70" s="23"/>
      <c r="AB70" s="23"/>
      <c r="AC70" s="23"/>
      <c r="AD70" s="56">
        <v>0.05</v>
      </c>
      <c r="AE70" s="23"/>
      <c r="AF70" s="23"/>
      <c r="AG70" s="23"/>
      <c r="AH70" s="23"/>
      <c r="AI70" s="23"/>
      <c r="AJ70" s="56">
        <v>0.05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5">
        <v>0.1</v>
      </c>
      <c r="AV70" s="57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5">
        <v>0.05</v>
      </c>
      <c r="BH70" s="57"/>
      <c r="BI70" s="23"/>
      <c r="BJ70" s="23"/>
      <c r="BK70" s="23"/>
      <c r="BL70" s="23"/>
      <c r="BM70" s="25">
        <v>0.15</v>
      </c>
      <c r="BN70" s="57"/>
      <c r="BO70" s="23"/>
      <c r="BP70" s="23"/>
      <c r="BQ70" s="23"/>
      <c r="BR70" s="25">
        <v>0.05</v>
      </c>
      <c r="BS70" s="57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5">
        <v>0.5</v>
      </c>
      <c r="CQ70" s="57"/>
      <c r="CR70" s="23"/>
      <c r="CS70" s="58">
        <f t="shared" si="2"/>
        <v>1</v>
      </c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</row>
    <row r="71">
      <c r="A71" s="40">
        <v>45360.0</v>
      </c>
      <c r="B71" s="39" t="s">
        <v>272</v>
      </c>
      <c r="C71" s="45">
        <v>4.0</v>
      </c>
      <c r="D71" s="48"/>
      <c r="E71" s="45">
        <v>14.0</v>
      </c>
      <c r="F71" s="45">
        <v>12.4</v>
      </c>
      <c r="G71" s="46">
        <f t="shared" si="1"/>
        <v>0.25</v>
      </c>
      <c r="H71" s="42"/>
      <c r="I71" s="23"/>
      <c r="J71" s="23"/>
      <c r="K71" s="23"/>
      <c r="L71" s="23"/>
      <c r="M71" s="23"/>
      <c r="N71" s="23"/>
      <c r="O71" s="23"/>
      <c r="P71" s="56">
        <v>0.01</v>
      </c>
      <c r="Q71" s="23"/>
      <c r="R71" s="23"/>
      <c r="S71" s="23"/>
      <c r="T71" s="23"/>
      <c r="U71" s="23"/>
      <c r="V71" s="23"/>
      <c r="W71" s="23"/>
      <c r="X71" s="23"/>
      <c r="Y71" s="56">
        <v>0.05</v>
      </c>
      <c r="Z71" s="23"/>
      <c r="AA71" s="23"/>
      <c r="AB71" s="23"/>
      <c r="AC71" s="23"/>
      <c r="AD71" s="56">
        <v>0.05</v>
      </c>
      <c r="AE71" s="23"/>
      <c r="AF71" s="23"/>
      <c r="AG71" s="23"/>
      <c r="AH71" s="23"/>
      <c r="AI71" s="23"/>
      <c r="AJ71" s="56">
        <v>0.03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5">
        <v>0.02</v>
      </c>
      <c r="BH71" s="57"/>
      <c r="BI71" s="23"/>
      <c r="BJ71" s="23"/>
      <c r="BK71" s="23"/>
      <c r="BL71" s="23"/>
      <c r="BM71" s="25">
        <v>0.1</v>
      </c>
      <c r="BN71" s="57"/>
      <c r="BO71" s="23"/>
      <c r="BP71" s="23"/>
      <c r="BQ71" s="23"/>
      <c r="BR71" s="23"/>
      <c r="BS71" s="25">
        <v>0.15</v>
      </c>
      <c r="BT71" s="57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5">
        <f>1-0.41</f>
        <v>0.59</v>
      </c>
      <c r="CQ71" s="23"/>
      <c r="CR71" s="23"/>
      <c r="CS71" s="58">
        <f t="shared" si="2"/>
        <v>1</v>
      </c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</row>
    <row r="72">
      <c r="A72" s="40">
        <v>45360.0</v>
      </c>
      <c r="B72" s="39" t="s">
        <v>272</v>
      </c>
      <c r="C72" s="45">
        <v>4.0</v>
      </c>
      <c r="D72" s="48"/>
      <c r="E72" s="45">
        <v>12.0</v>
      </c>
      <c r="F72" s="45">
        <v>20.6</v>
      </c>
      <c r="G72" s="46">
        <f t="shared" si="1"/>
        <v>0.27</v>
      </c>
      <c r="H72" s="42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56">
        <v>0.05</v>
      </c>
      <c r="AE72" s="23"/>
      <c r="AF72" s="23"/>
      <c r="AG72" s="23"/>
      <c r="AH72" s="23"/>
      <c r="AI72" s="23"/>
      <c r="AJ72" s="56">
        <v>0.02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5">
        <v>0.15</v>
      </c>
      <c r="AV72" s="57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5">
        <v>0.1</v>
      </c>
      <c r="BH72" s="57"/>
      <c r="BI72" s="23"/>
      <c r="BJ72" s="23"/>
      <c r="BK72" s="23"/>
      <c r="BL72" s="23"/>
      <c r="BM72" s="25">
        <v>0.1</v>
      </c>
      <c r="BN72" s="57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5">
        <v>0.58</v>
      </c>
      <c r="CQ72" s="57"/>
      <c r="CR72" s="23"/>
      <c r="CS72" s="58">
        <f t="shared" si="2"/>
        <v>1</v>
      </c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</row>
    <row r="73">
      <c r="A73" s="40">
        <v>45360.0</v>
      </c>
      <c r="B73" s="39" t="s">
        <v>272</v>
      </c>
      <c r="C73" s="45">
        <v>4.0</v>
      </c>
      <c r="D73" s="48"/>
      <c r="E73" s="45">
        <v>10.0</v>
      </c>
      <c r="F73" s="45">
        <v>7.9</v>
      </c>
      <c r="G73" s="46">
        <f t="shared" si="1"/>
        <v>0.36</v>
      </c>
      <c r="H73" s="42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56">
        <v>0.02</v>
      </c>
      <c r="Z73" s="23"/>
      <c r="AA73" s="23"/>
      <c r="AB73" s="23"/>
      <c r="AC73" s="23"/>
      <c r="AD73" s="56">
        <v>0.03</v>
      </c>
      <c r="AE73" s="23"/>
      <c r="AF73" s="23"/>
      <c r="AG73" s="23"/>
      <c r="AH73" s="23"/>
      <c r="AI73" s="23"/>
      <c r="AJ73" s="56">
        <v>0.05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5">
        <v>0.1</v>
      </c>
      <c r="AV73" s="57"/>
      <c r="AW73" s="23"/>
      <c r="AX73" s="23"/>
      <c r="AY73" s="23"/>
      <c r="AZ73" s="23"/>
      <c r="BA73" s="23"/>
      <c r="BB73" s="23"/>
      <c r="BC73" s="23"/>
      <c r="BD73" s="23"/>
      <c r="BE73" s="25">
        <v>0.01</v>
      </c>
      <c r="BF73" s="57"/>
      <c r="BG73" s="25">
        <v>0.05</v>
      </c>
      <c r="BH73" s="57"/>
      <c r="BI73" s="23"/>
      <c r="BJ73" s="23"/>
      <c r="BK73" s="23"/>
      <c r="BL73" s="23"/>
      <c r="BM73" s="25">
        <v>0.15</v>
      </c>
      <c r="BN73" s="57"/>
      <c r="BO73" s="25">
        <v>0.05</v>
      </c>
      <c r="BP73" s="57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5">
        <v>0.54</v>
      </c>
      <c r="CQ73" s="57"/>
      <c r="CR73" s="23"/>
      <c r="CS73" s="58">
        <f t="shared" si="2"/>
        <v>1</v>
      </c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</row>
    <row r="74">
      <c r="A74" s="40">
        <v>45360.0</v>
      </c>
      <c r="B74" s="39" t="s">
        <v>272</v>
      </c>
      <c r="C74" s="45">
        <v>4.0</v>
      </c>
      <c r="D74" s="48"/>
      <c r="E74" s="45">
        <v>8.0</v>
      </c>
      <c r="F74" s="45">
        <v>17.6</v>
      </c>
      <c r="G74" s="46">
        <f t="shared" si="1"/>
        <v>0.37</v>
      </c>
      <c r="H74" s="42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56">
        <v>0.02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56">
        <v>0.05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5">
        <v>0.05</v>
      </c>
      <c r="AV74" s="57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5">
        <v>0.05</v>
      </c>
      <c r="BH74" s="57"/>
      <c r="BI74" s="23"/>
      <c r="BJ74" s="23"/>
      <c r="BK74" s="23"/>
      <c r="BL74" s="23"/>
      <c r="BM74" s="25">
        <v>0.15</v>
      </c>
      <c r="BN74" s="57"/>
      <c r="BO74" s="25">
        <v>0.1</v>
      </c>
      <c r="BP74" s="57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5">
        <v>0.53</v>
      </c>
      <c r="CQ74" s="56">
        <v>0.05</v>
      </c>
      <c r="CR74" s="57"/>
      <c r="CS74" s="58">
        <f t="shared" si="2"/>
        <v>1</v>
      </c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</row>
    <row r="75">
      <c r="A75" s="40">
        <v>45360.0</v>
      </c>
      <c r="B75" s="39" t="s">
        <v>272</v>
      </c>
      <c r="C75" s="45">
        <v>4.0</v>
      </c>
      <c r="D75" s="48"/>
      <c r="E75" s="45">
        <v>6.0</v>
      </c>
      <c r="F75" s="45">
        <v>0.0</v>
      </c>
      <c r="G75" s="46">
        <f t="shared" si="1"/>
        <v>0.35</v>
      </c>
      <c r="H75" s="42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56">
        <v>0.05</v>
      </c>
      <c r="AK75" s="23"/>
      <c r="AL75" s="23"/>
      <c r="AM75" s="23"/>
      <c r="AN75" s="56">
        <v>0.05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5">
        <v>0.1</v>
      </c>
      <c r="BH75" s="57"/>
      <c r="BI75" s="23"/>
      <c r="BJ75" s="23"/>
      <c r="BK75" s="23"/>
      <c r="BL75" s="23"/>
      <c r="BM75" s="25">
        <v>0.1</v>
      </c>
      <c r="BN75" s="57"/>
      <c r="BO75" s="25">
        <v>0.05</v>
      </c>
      <c r="BP75" s="57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5">
        <v>0.2</v>
      </c>
      <c r="CL75" s="56">
        <v>0.02</v>
      </c>
      <c r="CM75" s="57"/>
      <c r="CN75" s="23"/>
      <c r="CO75" s="23"/>
      <c r="CP75" s="25">
        <v>0.43</v>
      </c>
      <c r="CQ75" s="57"/>
      <c r="CR75" s="23"/>
      <c r="CS75" s="58">
        <f t="shared" si="2"/>
        <v>1</v>
      </c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</row>
    <row r="76">
      <c r="A76" s="40">
        <v>45360.0</v>
      </c>
      <c r="B76" s="39" t="s">
        <v>272</v>
      </c>
      <c r="C76" s="45">
        <v>4.0</v>
      </c>
      <c r="D76" s="48"/>
      <c r="E76" s="45">
        <v>4.0</v>
      </c>
      <c r="F76" s="45">
        <v>0.0</v>
      </c>
      <c r="G76" s="46">
        <f t="shared" si="1"/>
        <v>0.82</v>
      </c>
      <c r="H76" s="42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56">
        <v>0.05</v>
      </c>
      <c r="AE76" s="23"/>
      <c r="AF76" s="23"/>
      <c r="AG76" s="23"/>
      <c r="AH76" s="23"/>
      <c r="AI76" s="23"/>
      <c r="AJ76" s="56">
        <v>0.01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5">
        <v>0.6</v>
      </c>
      <c r="BH76" s="57"/>
      <c r="BI76" s="23"/>
      <c r="BJ76" s="23"/>
      <c r="BK76" s="23"/>
      <c r="BL76" s="23"/>
      <c r="BM76" s="25">
        <v>0.15</v>
      </c>
      <c r="BN76" s="57"/>
      <c r="BO76" s="25">
        <v>0.01</v>
      </c>
      <c r="BP76" s="57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5">
        <v>0.02</v>
      </c>
      <c r="CL76" s="57"/>
      <c r="CM76" s="23"/>
      <c r="CN76" s="23"/>
      <c r="CO76" s="23"/>
      <c r="CP76" s="25">
        <v>0.16</v>
      </c>
      <c r="CQ76" s="57"/>
      <c r="CR76" s="23"/>
      <c r="CS76" s="58">
        <f t="shared" si="2"/>
        <v>1</v>
      </c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</row>
    <row r="77">
      <c r="A77" s="40">
        <v>45360.0</v>
      </c>
      <c r="B77" s="39" t="s">
        <v>272</v>
      </c>
      <c r="C77" s="45">
        <v>4.0</v>
      </c>
      <c r="D77" s="48"/>
      <c r="E77" s="45">
        <v>2.0</v>
      </c>
      <c r="F77" s="45">
        <v>0.0</v>
      </c>
      <c r="G77" s="46">
        <f t="shared" si="1"/>
        <v>0</v>
      </c>
      <c r="H77" s="42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5">
        <v>0.05</v>
      </c>
      <c r="CI77" s="57"/>
      <c r="CJ77" s="23"/>
      <c r="CK77" s="23"/>
      <c r="CL77" s="23"/>
      <c r="CM77" s="23"/>
      <c r="CN77" s="23"/>
      <c r="CO77" s="23"/>
      <c r="CP77" s="25">
        <v>0.85</v>
      </c>
      <c r="CQ77" s="56">
        <v>0.1</v>
      </c>
      <c r="CR77" s="57"/>
      <c r="CS77" s="58">
        <f t="shared" si="2"/>
        <v>1</v>
      </c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</row>
    <row r="78">
      <c r="A78" s="60" t="s">
        <v>0</v>
      </c>
      <c r="B78" s="60" t="s">
        <v>4</v>
      </c>
      <c r="C78" s="60"/>
      <c r="D78" s="60"/>
      <c r="E78" s="60"/>
      <c r="F78" s="61"/>
      <c r="G78" s="61"/>
      <c r="H78" s="61"/>
      <c r="I78" s="13" t="s">
        <v>61</v>
      </c>
      <c r="J78" s="13" t="s">
        <v>63</v>
      </c>
      <c r="K78" s="13" t="s">
        <v>106</v>
      </c>
      <c r="L78" s="13" t="s">
        <v>66</v>
      </c>
      <c r="M78" s="13" t="s">
        <v>114</v>
      </c>
      <c r="N78" s="2" t="s">
        <v>72</v>
      </c>
      <c r="O78" s="13" t="s">
        <v>62</v>
      </c>
      <c r="P78" s="12" t="s">
        <v>123</v>
      </c>
      <c r="Q78" s="13" t="s">
        <v>78</v>
      </c>
      <c r="R78" s="13" t="s">
        <v>82</v>
      </c>
      <c r="S78" s="13" t="s">
        <v>131</v>
      </c>
      <c r="T78" s="13" t="s">
        <v>81</v>
      </c>
      <c r="U78" s="13" t="s">
        <v>83</v>
      </c>
      <c r="V78" s="13" t="s">
        <v>84</v>
      </c>
      <c r="W78" s="2" t="s">
        <v>85</v>
      </c>
      <c r="X78" s="13" t="s">
        <v>88</v>
      </c>
      <c r="Y78" s="13" t="s">
        <v>147</v>
      </c>
      <c r="Z78" s="13" t="s">
        <v>91</v>
      </c>
      <c r="AA78" s="13" t="s">
        <v>153</v>
      </c>
      <c r="AB78" s="13" t="s">
        <v>157</v>
      </c>
      <c r="AC78" s="13" t="s">
        <v>94</v>
      </c>
      <c r="AD78" s="13" t="s">
        <v>96</v>
      </c>
      <c r="AE78" s="13" t="s">
        <v>98</v>
      </c>
      <c r="AF78" s="13" t="s">
        <v>100</v>
      </c>
      <c r="AG78" s="13" t="s">
        <v>101</v>
      </c>
      <c r="AH78" s="13" t="s">
        <v>181</v>
      </c>
      <c r="AI78" s="13" t="s">
        <v>103</v>
      </c>
      <c r="AJ78" s="13" t="s">
        <v>104</v>
      </c>
      <c r="AK78" s="13" t="s">
        <v>188</v>
      </c>
      <c r="AL78" s="13" t="s">
        <v>105</v>
      </c>
      <c r="AM78" s="13" t="s">
        <v>108</v>
      </c>
      <c r="AN78" s="13" t="s">
        <v>111</v>
      </c>
      <c r="AO78" s="13" t="s">
        <v>116</v>
      </c>
      <c r="AP78" s="13" t="s">
        <v>202</v>
      </c>
      <c r="AQ78" s="13" t="s">
        <v>119</v>
      </c>
      <c r="AR78" s="13" t="s">
        <v>205</v>
      </c>
      <c r="AS78" s="13" t="s">
        <v>208</v>
      </c>
      <c r="AT78" s="13" t="s">
        <v>209</v>
      </c>
      <c r="AU78" s="13" t="s">
        <v>210</v>
      </c>
      <c r="AV78" s="13" t="s">
        <v>130</v>
      </c>
      <c r="AW78" s="13" t="s">
        <v>127</v>
      </c>
      <c r="AX78" s="13" t="s">
        <v>133</v>
      </c>
      <c r="AY78" s="13" t="s">
        <v>211</v>
      </c>
      <c r="AZ78" s="13" t="s">
        <v>135</v>
      </c>
      <c r="BA78" s="13" t="s">
        <v>136</v>
      </c>
      <c r="BB78" s="13" t="s">
        <v>137</v>
      </c>
      <c r="BC78" s="13" t="s">
        <v>139</v>
      </c>
      <c r="BD78" s="13" t="s">
        <v>212</v>
      </c>
      <c r="BE78" s="13" t="s">
        <v>142</v>
      </c>
      <c r="BF78" s="13" t="s">
        <v>213</v>
      </c>
      <c r="BG78" s="13" t="s">
        <v>214</v>
      </c>
      <c r="BH78" s="13" t="s">
        <v>216</v>
      </c>
      <c r="BI78" s="13" t="s">
        <v>217</v>
      </c>
      <c r="BJ78" s="13" t="s">
        <v>218</v>
      </c>
      <c r="BK78" s="13" t="s">
        <v>219</v>
      </c>
      <c r="BL78" s="13" t="s">
        <v>176</v>
      </c>
      <c r="BM78" s="13" t="s">
        <v>220</v>
      </c>
      <c r="BN78" s="13" t="s">
        <v>221</v>
      </c>
      <c r="BO78" s="13" t="s">
        <v>222</v>
      </c>
      <c r="BP78" s="13" t="s">
        <v>154</v>
      </c>
      <c r="BQ78" s="13" t="s">
        <v>155</v>
      </c>
      <c r="BR78" s="13" t="s">
        <v>156</v>
      </c>
      <c r="BS78" s="13" t="s">
        <v>158</v>
      </c>
      <c r="BT78" s="13" t="s">
        <v>223</v>
      </c>
      <c r="BU78" s="13" t="s">
        <v>160</v>
      </c>
      <c r="BV78" s="13" t="s">
        <v>161</v>
      </c>
      <c r="BW78" s="13" t="s">
        <v>163</v>
      </c>
      <c r="BX78" s="13" t="s">
        <v>224</v>
      </c>
      <c r="BY78" s="13" t="s">
        <v>162</v>
      </c>
      <c r="BZ78" s="13"/>
      <c r="CA78" s="13" t="s">
        <v>164</v>
      </c>
      <c r="CB78" s="13" t="s">
        <v>225</v>
      </c>
      <c r="CC78" s="13" t="s">
        <v>172</v>
      </c>
      <c r="CD78" s="13" t="s">
        <v>173</v>
      </c>
      <c r="CE78" s="13" t="s">
        <v>226</v>
      </c>
      <c r="CF78" s="13" t="s">
        <v>175</v>
      </c>
      <c r="CG78" s="13" t="s">
        <v>177</v>
      </c>
      <c r="CH78" s="13" t="s">
        <v>197</v>
      </c>
      <c r="CI78" s="13" t="s">
        <v>178</v>
      </c>
      <c r="CJ78" s="13" t="s">
        <v>179</v>
      </c>
      <c r="CK78" s="12" t="s">
        <v>227</v>
      </c>
      <c r="CL78" s="13" t="s">
        <v>180</v>
      </c>
      <c r="CM78" s="13" t="s">
        <v>182</v>
      </c>
      <c r="CN78" s="13" t="s">
        <v>206</v>
      </c>
      <c r="CO78" s="13" t="s">
        <v>228</v>
      </c>
      <c r="CP78" s="13" t="s">
        <v>184</v>
      </c>
      <c r="CQ78" s="13" t="s">
        <v>229</v>
      </c>
      <c r="CR78" s="13" t="s">
        <v>186</v>
      </c>
      <c r="CS78" s="13" t="s">
        <v>189</v>
      </c>
      <c r="CT78" s="13" t="s">
        <v>230</v>
      </c>
      <c r="CU78" s="13" t="s">
        <v>187</v>
      </c>
      <c r="CV78" s="16" t="s">
        <v>194</v>
      </c>
      <c r="CW78" s="16" t="s">
        <v>231</v>
      </c>
      <c r="CX78" s="17" t="s">
        <v>232</v>
      </c>
      <c r="CY78" s="17" t="s">
        <v>198</v>
      </c>
      <c r="CZ78" s="61"/>
      <c r="DA78" s="61"/>
      <c r="DB78" s="61"/>
      <c r="DC78" s="61"/>
      <c r="DD78" s="61"/>
      <c r="DE78" s="61"/>
      <c r="DF78" s="61"/>
      <c r="DG78" s="61"/>
      <c r="DH78" s="61"/>
    </row>
    <row r="79">
      <c r="A79" s="40">
        <v>45388.0</v>
      </c>
      <c r="B79" s="39" t="s">
        <v>238</v>
      </c>
      <c r="C79" s="25">
        <v>1.0</v>
      </c>
      <c r="D79" s="25">
        <v>0.0</v>
      </c>
      <c r="E79" s="45">
        <v>22.0</v>
      </c>
      <c r="F79" s="2">
        <v>1.0</v>
      </c>
      <c r="G79" s="46">
        <f t="shared" ref="G79:G101" si="8"> sum(I79:BU79)-(I79+P79+AE79+AO79+AP79+AS79+AU79+BB79+BS79)</f>
        <v>0.45</v>
      </c>
      <c r="H79" s="42"/>
      <c r="V79" s="2">
        <v>0.05</v>
      </c>
      <c r="AS79" s="2">
        <v>0.15</v>
      </c>
      <c r="AX79" s="2">
        <v>0.05</v>
      </c>
      <c r="BH79" s="2">
        <v>0.3</v>
      </c>
      <c r="BK79" s="2">
        <v>0.05</v>
      </c>
      <c r="BW79" s="2">
        <v>0.25</v>
      </c>
      <c r="CV79" s="2">
        <v>0.15</v>
      </c>
      <c r="CX79" s="19"/>
      <c r="CY79" s="19">
        <f t="shared" ref="CY79:CY126" si="9">SUM(I79:CX79)</f>
        <v>1</v>
      </c>
      <c r="CZ79" s="19"/>
      <c r="DA79" s="19"/>
      <c r="DB79" s="19"/>
      <c r="DC79" s="19"/>
      <c r="DD79" s="19"/>
      <c r="DE79" s="19"/>
      <c r="DF79" s="19"/>
      <c r="DG79" s="19"/>
      <c r="DH79" s="19"/>
    </row>
    <row r="80">
      <c r="A80" s="40">
        <v>45388.0</v>
      </c>
      <c r="B80" s="39" t="s">
        <v>238</v>
      </c>
      <c r="C80" s="25">
        <v>1.0</v>
      </c>
      <c r="D80" s="25">
        <v>2.0</v>
      </c>
      <c r="E80" s="45">
        <v>20.0</v>
      </c>
      <c r="F80" s="2">
        <v>5.0</v>
      </c>
      <c r="G80" s="46">
        <f t="shared" si="8"/>
        <v>0.5</v>
      </c>
      <c r="H80" s="42"/>
      <c r="AD80" s="2">
        <v>0.15</v>
      </c>
      <c r="AS80" s="2">
        <v>0.1</v>
      </c>
      <c r="AV80" s="2">
        <v>0.15</v>
      </c>
      <c r="BD80" s="2">
        <v>0.05</v>
      </c>
      <c r="BK80" s="2">
        <v>0.15</v>
      </c>
      <c r="BW80" s="2">
        <v>0.25</v>
      </c>
      <c r="CV80" s="2">
        <v>0.1</v>
      </c>
      <c r="CX80" s="20">
        <v>0.05</v>
      </c>
      <c r="CY80" s="19">
        <f t="shared" si="9"/>
        <v>1</v>
      </c>
      <c r="CZ80" s="19"/>
      <c r="DA80" s="19"/>
      <c r="DB80" s="19"/>
      <c r="DC80" s="19"/>
      <c r="DD80" s="19"/>
      <c r="DE80" s="19"/>
      <c r="DF80" s="19"/>
      <c r="DG80" s="19"/>
      <c r="DH80" s="19"/>
    </row>
    <row r="81">
      <c r="A81" s="40">
        <v>45388.0</v>
      </c>
      <c r="B81" s="39" t="s">
        <v>238</v>
      </c>
      <c r="C81" s="25">
        <v>1.0</v>
      </c>
      <c r="D81" s="25">
        <v>4.0</v>
      </c>
      <c r="E81" s="45">
        <v>18.0</v>
      </c>
      <c r="F81" s="2">
        <v>5.0</v>
      </c>
      <c r="G81" s="46">
        <f t="shared" si="8"/>
        <v>0.75</v>
      </c>
      <c r="H81" s="42"/>
      <c r="AD81" s="2">
        <v>0.1</v>
      </c>
      <c r="AY81" s="2">
        <v>0.05</v>
      </c>
      <c r="BH81" s="2">
        <v>0.2</v>
      </c>
      <c r="BK81" s="2">
        <v>0.4</v>
      </c>
      <c r="BW81" s="2">
        <v>0.15</v>
      </c>
      <c r="CV81" s="2">
        <v>0.1</v>
      </c>
      <c r="CX81" s="19"/>
      <c r="CY81" s="19">
        <f t="shared" si="9"/>
        <v>1</v>
      </c>
      <c r="CZ81" s="19"/>
      <c r="DA81" s="19"/>
      <c r="DB81" s="19"/>
      <c r="DC81" s="19"/>
      <c r="DD81" s="19"/>
      <c r="DE81" s="19"/>
      <c r="DF81" s="19"/>
      <c r="DG81" s="19"/>
      <c r="DH81" s="19"/>
    </row>
    <row r="82">
      <c r="A82" s="40">
        <v>45388.0</v>
      </c>
      <c r="B82" s="39" t="s">
        <v>238</v>
      </c>
      <c r="C82" s="25">
        <v>1.0</v>
      </c>
      <c r="D82" s="25">
        <v>6.0</v>
      </c>
      <c r="E82" s="45">
        <v>16.0</v>
      </c>
      <c r="F82" s="2">
        <v>1.0</v>
      </c>
      <c r="G82" s="46">
        <f t="shared" si="8"/>
        <v>0.9</v>
      </c>
      <c r="H82" s="42"/>
      <c r="V82" s="2">
        <v>0.1</v>
      </c>
      <c r="AY82" s="2">
        <v>0.1</v>
      </c>
      <c r="BH82" s="2">
        <v>0.3</v>
      </c>
      <c r="BK82" s="2">
        <v>0.4</v>
      </c>
      <c r="BW82" s="2">
        <v>0.05</v>
      </c>
      <c r="CV82" s="2">
        <v>0.05</v>
      </c>
      <c r="CX82" s="19"/>
      <c r="CY82" s="19">
        <f t="shared" si="9"/>
        <v>1</v>
      </c>
      <c r="CZ82" s="19"/>
      <c r="DA82" s="19"/>
      <c r="DB82" s="19"/>
      <c r="DC82" s="19"/>
      <c r="DD82" s="19"/>
      <c r="DE82" s="19"/>
      <c r="DF82" s="19"/>
      <c r="DG82" s="19"/>
      <c r="DH82" s="19"/>
    </row>
    <row r="83">
      <c r="A83" s="40">
        <v>45388.0</v>
      </c>
      <c r="B83" s="39" t="s">
        <v>238</v>
      </c>
      <c r="C83" s="25">
        <v>1.0</v>
      </c>
      <c r="D83" s="25">
        <v>8.0</v>
      </c>
      <c r="E83" s="45">
        <v>14.0</v>
      </c>
      <c r="F83" s="2">
        <v>5.0</v>
      </c>
      <c r="G83" s="46">
        <f t="shared" si="8"/>
        <v>0.8</v>
      </c>
      <c r="H83" s="42"/>
      <c r="P83" s="2">
        <v>0.05</v>
      </c>
      <c r="AD83" s="2">
        <v>0.05</v>
      </c>
      <c r="AX83" s="2">
        <v>0.05</v>
      </c>
      <c r="AY83" s="2">
        <v>0.05</v>
      </c>
      <c r="BE83" s="2">
        <v>0.1</v>
      </c>
      <c r="BH83" s="2">
        <v>0.25</v>
      </c>
      <c r="BK83" s="2">
        <v>0.3</v>
      </c>
      <c r="BW83" s="2">
        <v>0.05</v>
      </c>
      <c r="CV83" s="2">
        <v>0.1</v>
      </c>
      <c r="CX83" s="19"/>
      <c r="CY83" s="19">
        <f t="shared" si="9"/>
        <v>1</v>
      </c>
      <c r="CZ83" s="19"/>
      <c r="DA83" s="19"/>
      <c r="DB83" s="19"/>
      <c r="DC83" s="19"/>
      <c r="DD83" s="19"/>
      <c r="DE83" s="19"/>
      <c r="DF83" s="19"/>
      <c r="DG83" s="19"/>
      <c r="DH83" s="19"/>
    </row>
    <row r="84">
      <c r="A84" s="40">
        <v>45388.0</v>
      </c>
      <c r="B84" s="39" t="s">
        <v>238</v>
      </c>
      <c r="C84" s="25">
        <v>1.0</v>
      </c>
      <c r="D84" s="25">
        <v>10.0</v>
      </c>
      <c r="E84" s="45">
        <v>12.0</v>
      </c>
      <c r="F84" s="2">
        <v>10.0</v>
      </c>
      <c r="G84" s="46">
        <f t="shared" si="8"/>
        <v>0.75</v>
      </c>
      <c r="H84" s="42"/>
      <c r="V84" s="2">
        <v>0.1</v>
      </c>
      <c r="AD84" s="2">
        <v>0.05</v>
      </c>
      <c r="AM84" s="2">
        <v>0.05</v>
      </c>
      <c r="AV84" s="2">
        <v>0.05</v>
      </c>
      <c r="AX84" s="2">
        <v>0.05</v>
      </c>
      <c r="AY84" s="2">
        <v>0.05</v>
      </c>
      <c r="BH84" s="2">
        <v>0.2</v>
      </c>
      <c r="BN84" s="2">
        <v>0.2</v>
      </c>
      <c r="BV84" s="2">
        <v>0.05</v>
      </c>
      <c r="BW84" s="2">
        <v>0.05</v>
      </c>
      <c r="CV84" s="2">
        <v>0.15</v>
      </c>
      <c r="CX84" s="19"/>
      <c r="CY84" s="19">
        <f t="shared" si="9"/>
        <v>1</v>
      </c>
      <c r="CZ84" s="19"/>
      <c r="DA84" s="19"/>
      <c r="DB84" s="19"/>
      <c r="DC84" s="19"/>
      <c r="DD84" s="19"/>
      <c r="DE84" s="19"/>
      <c r="DF84" s="19"/>
      <c r="DG84" s="19"/>
      <c r="DH84" s="19"/>
    </row>
    <row r="85">
      <c r="A85" s="40">
        <v>45388.0</v>
      </c>
      <c r="B85" s="39" t="s">
        <v>238</v>
      </c>
      <c r="C85" s="25">
        <v>1.0</v>
      </c>
      <c r="D85" s="25">
        <v>12.0</v>
      </c>
      <c r="E85" s="45">
        <v>10.0</v>
      </c>
      <c r="F85" s="2">
        <v>5.0</v>
      </c>
      <c r="G85" s="46">
        <f t="shared" si="8"/>
        <v>1</v>
      </c>
      <c r="H85" s="42"/>
      <c r="Q85" s="2">
        <v>0.05</v>
      </c>
      <c r="V85" s="2">
        <v>0.15</v>
      </c>
      <c r="Z85" s="2">
        <v>0.3</v>
      </c>
      <c r="AD85" s="2">
        <v>0.15</v>
      </c>
      <c r="AL85" s="2">
        <v>0.1</v>
      </c>
      <c r="AV85" s="2">
        <v>0.1</v>
      </c>
      <c r="BK85" s="2">
        <v>0.15</v>
      </c>
      <c r="CX85" s="19"/>
      <c r="CY85" s="19">
        <f t="shared" si="9"/>
        <v>1</v>
      </c>
      <c r="CZ85" s="19"/>
      <c r="DA85" s="19"/>
      <c r="DB85" s="19"/>
      <c r="DC85" s="19"/>
      <c r="DD85" s="19"/>
      <c r="DE85" s="19"/>
      <c r="DF85" s="19"/>
      <c r="DG85" s="19"/>
      <c r="DH85" s="19"/>
    </row>
    <row r="86">
      <c r="A86" s="40">
        <v>45388.0</v>
      </c>
      <c r="B86" s="39" t="s">
        <v>238</v>
      </c>
      <c r="C86" s="25">
        <v>1.0</v>
      </c>
      <c r="D86" s="25">
        <v>14.0</v>
      </c>
      <c r="E86" s="45">
        <v>8.0</v>
      </c>
      <c r="F86" s="2">
        <v>10.0</v>
      </c>
      <c r="G86" s="46">
        <f t="shared" si="8"/>
        <v>0.75</v>
      </c>
      <c r="H86" s="42"/>
      <c r="Q86" s="2">
        <v>0.15</v>
      </c>
      <c r="V86" s="2">
        <v>0.05</v>
      </c>
      <c r="AN86" s="2">
        <v>0.1</v>
      </c>
      <c r="AO86" s="2">
        <v>0.1</v>
      </c>
      <c r="AV86" s="2">
        <v>0.05</v>
      </c>
      <c r="BK86" s="2">
        <v>0.4</v>
      </c>
      <c r="BW86" s="2">
        <v>0.15</v>
      </c>
      <c r="CX86" s="19"/>
      <c r="CY86" s="19">
        <f t="shared" si="9"/>
        <v>1</v>
      </c>
      <c r="CZ86" s="19"/>
      <c r="DA86" s="19"/>
      <c r="DB86" s="19"/>
      <c r="DC86" s="19"/>
      <c r="DD86" s="19"/>
      <c r="DE86" s="19"/>
      <c r="DF86" s="19"/>
      <c r="DG86" s="19"/>
      <c r="DH86" s="19"/>
    </row>
    <row r="87">
      <c r="A87" s="40">
        <v>45388.0</v>
      </c>
      <c r="B87" s="39" t="s">
        <v>238</v>
      </c>
      <c r="C87" s="25">
        <v>1.0</v>
      </c>
      <c r="D87" s="25">
        <v>16.0</v>
      </c>
      <c r="E87" s="45">
        <v>6.0</v>
      </c>
      <c r="F87" s="2">
        <v>10.0</v>
      </c>
      <c r="G87" s="46">
        <f t="shared" si="8"/>
        <v>0.9</v>
      </c>
      <c r="H87" s="42"/>
      <c r="V87" s="2">
        <v>0.15</v>
      </c>
      <c r="Z87" s="2">
        <v>0.1</v>
      </c>
      <c r="BH87" s="2">
        <v>0.15</v>
      </c>
      <c r="BK87" s="2">
        <v>0.5</v>
      </c>
      <c r="BW87" s="2">
        <v>0.1</v>
      </c>
      <c r="CX87" s="19"/>
      <c r="CY87" s="19">
        <f t="shared" si="9"/>
        <v>1</v>
      </c>
      <c r="CZ87" s="19"/>
      <c r="DA87" s="19"/>
      <c r="DB87" s="19"/>
      <c r="DC87" s="19"/>
      <c r="DD87" s="19"/>
      <c r="DE87" s="19"/>
      <c r="DF87" s="19"/>
      <c r="DG87" s="19"/>
      <c r="DH87" s="19"/>
    </row>
    <row r="88">
      <c r="A88" s="40">
        <v>45388.0</v>
      </c>
      <c r="B88" s="39" t="s">
        <v>238</v>
      </c>
      <c r="C88" s="25">
        <v>1.0</v>
      </c>
      <c r="D88" s="25">
        <v>18.0</v>
      </c>
      <c r="E88" s="45">
        <v>4.0</v>
      </c>
      <c r="F88" s="2">
        <v>0.0</v>
      </c>
      <c r="G88" s="46">
        <f t="shared" si="8"/>
        <v>0.8</v>
      </c>
      <c r="H88" s="42"/>
      <c r="V88" s="2">
        <v>0.05</v>
      </c>
      <c r="AL88" s="2">
        <v>0.05</v>
      </c>
      <c r="AN88" s="2">
        <v>0.15</v>
      </c>
      <c r="BK88" s="2">
        <v>0.5</v>
      </c>
      <c r="BO88" s="2">
        <v>0.05</v>
      </c>
      <c r="BW88" s="2">
        <v>0.2</v>
      </c>
      <c r="CX88" s="19"/>
      <c r="CY88" s="19">
        <f t="shared" si="9"/>
        <v>1</v>
      </c>
      <c r="CZ88" s="19"/>
      <c r="DA88" s="19"/>
      <c r="DB88" s="19"/>
      <c r="DC88" s="19"/>
      <c r="DD88" s="19"/>
      <c r="DE88" s="19"/>
      <c r="DF88" s="19"/>
      <c r="DG88" s="19"/>
      <c r="DH88" s="19"/>
    </row>
    <row r="89">
      <c r="A89" s="40">
        <v>45388.0</v>
      </c>
      <c r="B89" s="39" t="s">
        <v>238</v>
      </c>
      <c r="C89" s="25">
        <v>1.0</v>
      </c>
      <c r="D89" s="25">
        <v>20.0</v>
      </c>
      <c r="E89" s="45">
        <v>2.0</v>
      </c>
      <c r="F89" s="2">
        <v>0.0</v>
      </c>
      <c r="G89" s="46">
        <f t="shared" si="8"/>
        <v>0.7</v>
      </c>
      <c r="H89" s="42"/>
      <c r="Q89" s="2">
        <v>0.35</v>
      </c>
      <c r="AL89" s="2">
        <v>0.15</v>
      </c>
      <c r="AV89" s="2">
        <v>0.1</v>
      </c>
      <c r="BK89" s="2">
        <v>0.1</v>
      </c>
      <c r="BW89" s="2">
        <v>0.05</v>
      </c>
      <c r="CK89" s="2">
        <v>0.025</v>
      </c>
      <c r="CX89" s="20">
        <v>0.25</v>
      </c>
      <c r="CY89" s="19">
        <f t="shared" si="9"/>
        <v>1.025</v>
      </c>
      <c r="CZ89" s="19"/>
      <c r="DA89" s="19"/>
      <c r="DB89" s="19"/>
      <c r="DC89" s="19"/>
      <c r="DD89" s="19"/>
      <c r="DE89" s="19"/>
      <c r="DF89" s="19"/>
      <c r="DG89" s="19"/>
      <c r="DH89" s="19"/>
    </row>
    <row r="90">
      <c r="A90" s="40">
        <v>45388.0</v>
      </c>
      <c r="B90" s="39" t="s">
        <v>238</v>
      </c>
      <c r="C90" s="25">
        <v>1.0</v>
      </c>
      <c r="D90" s="25">
        <v>22.0</v>
      </c>
      <c r="E90" s="45">
        <v>0.0</v>
      </c>
      <c r="F90" s="2">
        <v>0.0</v>
      </c>
      <c r="G90" s="46">
        <f t="shared" si="8"/>
        <v>0.65</v>
      </c>
      <c r="H90" s="42"/>
      <c r="Q90" s="2">
        <v>0.2</v>
      </c>
      <c r="AN90" s="2">
        <v>0.1</v>
      </c>
      <c r="AO90" s="2">
        <v>0.05</v>
      </c>
      <c r="AV90" s="2">
        <v>0.1</v>
      </c>
      <c r="BK90" s="2">
        <v>0.25</v>
      </c>
      <c r="CP90" s="2">
        <v>0.3</v>
      </c>
      <c r="CX90" s="19"/>
      <c r="CY90" s="19">
        <f t="shared" si="9"/>
        <v>1</v>
      </c>
      <c r="CZ90" s="19"/>
      <c r="DA90" s="19"/>
      <c r="DB90" s="19"/>
      <c r="DC90" s="19"/>
      <c r="DD90" s="19"/>
      <c r="DE90" s="19"/>
      <c r="DF90" s="19"/>
      <c r="DG90" s="19"/>
      <c r="DH90" s="19"/>
    </row>
    <row r="91">
      <c r="A91" s="40">
        <v>45388.0</v>
      </c>
      <c r="B91" s="39" t="s">
        <v>238</v>
      </c>
      <c r="C91" s="25">
        <v>2.0</v>
      </c>
      <c r="D91" s="25">
        <v>22.0</v>
      </c>
      <c r="E91" s="45">
        <v>0.0</v>
      </c>
      <c r="F91" s="45">
        <v>10.0</v>
      </c>
      <c r="G91" s="46">
        <f t="shared" si="8"/>
        <v>0.005</v>
      </c>
      <c r="H91" s="42"/>
      <c r="Q91" s="2">
        <v>0.005</v>
      </c>
      <c r="CP91" s="15">
        <f>28/36</f>
        <v>0.7777777778</v>
      </c>
      <c r="CS91" s="15">
        <f>8/36</f>
        <v>0.2222222222</v>
      </c>
      <c r="CX91" s="19"/>
      <c r="CY91" s="19">
        <f t="shared" si="9"/>
        <v>1.005</v>
      </c>
      <c r="CZ91" s="19"/>
      <c r="DA91" s="19"/>
      <c r="DB91" s="19"/>
      <c r="DC91" s="19"/>
      <c r="DD91" s="19"/>
      <c r="DE91" s="19"/>
      <c r="DF91" s="19"/>
      <c r="DG91" s="19"/>
      <c r="DH91" s="19"/>
    </row>
    <row r="92">
      <c r="A92" s="40">
        <v>45388.0</v>
      </c>
      <c r="B92" s="39" t="s">
        <v>238</v>
      </c>
      <c r="C92" s="25">
        <v>2.0</v>
      </c>
      <c r="D92" s="25">
        <v>20.0</v>
      </c>
      <c r="E92" s="45">
        <v>2.0</v>
      </c>
      <c r="F92" s="45">
        <v>0.0</v>
      </c>
      <c r="G92" s="46">
        <f t="shared" si="8"/>
        <v>0.375</v>
      </c>
      <c r="H92" s="42"/>
      <c r="J92" s="15">
        <f>0.5/36</f>
        <v>0.01388888889</v>
      </c>
      <c r="Q92" s="15">
        <f>4/36</f>
        <v>0.1111111111</v>
      </c>
      <c r="Z92" s="15">
        <f>1/36</f>
        <v>0.02777777778</v>
      </c>
      <c r="AH92" s="15">
        <f>1/36</f>
        <v>0.02777777778</v>
      </c>
      <c r="AM92" s="15">
        <f>1/36</f>
        <v>0.02777777778</v>
      </c>
      <c r="BK92" s="15">
        <f>6/36</f>
        <v>0.1666666667</v>
      </c>
      <c r="BW92" s="15">
        <f t="shared" ref="BW92:BW94" si="10">2/36</f>
        <v>0.05555555556</v>
      </c>
      <c r="CP92" s="15">
        <f>1/36</f>
        <v>0.02777777778</v>
      </c>
      <c r="CR92" s="15">
        <f>1-(sum(I92:CQ92)+sum(CS92:CX92))</f>
        <v>0.5416666667</v>
      </c>
      <c r="CX92" s="19"/>
      <c r="CY92" s="19">
        <f t="shared" si="9"/>
        <v>1</v>
      </c>
      <c r="CZ92" s="19"/>
      <c r="DA92" s="19"/>
      <c r="DB92" s="19"/>
      <c r="DC92" s="19"/>
      <c r="DD92" s="19"/>
      <c r="DE92" s="19"/>
      <c r="DF92" s="19"/>
      <c r="DG92" s="19"/>
      <c r="DH92" s="19"/>
    </row>
    <row r="93">
      <c r="A93" s="40">
        <v>45388.0</v>
      </c>
      <c r="B93" s="39" t="s">
        <v>238</v>
      </c>
      <c r="C93" s="25">
        <v>2.0</v>
      </c>
      <c r="D93" s="25">
        <v>18.0</v>
      </c>
      <c r="E93" s="45">
        <v>4.0</v>
      </c>
      <c r="F93" s="45">
        <v>1.0</v>
      </c>
      <c r="G93" s="46">
        <f t="shared" si="8"/>
        <v>0.8381111111</v>
      </c>
      <c r="H93" s="42"/>
      <c r="Q93" s="2">
        <v>0.01</v>
      </c>
      <c r="R93" s="2">
        <v>0.01</v>
      </c>
      <c r="AH93" s="15">
        <f>1-(sum(I93:AG93)+sum(AI93:CX93))</f>
        <v>0.6653333333</v>
      </c>
      <c r="AM93" s="15">
        <f>1.5/36</f>
        <v>0.04166666667</v>
      </c>
      <c r="AX93" s="15">
        <f>3/36</f>
        <v>0.08333333333</v>
      </c>
      <c r="BK93" s="15">
        <f>1/36</f>
        <v>0.02777777778</v>
      </c>
      <c r="BS93" s="2">
        <v>0.005</v>
      </c>
      <c r="BV93" s="2">
        <v>0.005</v>
      </c>
      <c r="BW93" s="15">
        <f t="shared" si="10"/>
        <v>0.05555555556</v>
      </c>
      <c r="CB93" s="2">
        <v>0.01</v>
      </c>
      <c r="CD93" s="2">
        <v>0.003</v>
      </c>
      <c r="CR93" s="15">
        <f>3/36</f>
        <v>0.08333333333</v>
      </c>
      <c r="CX93" s="19"/>
      <c r="CY93" s="19">
        <f t="shared" si="9"/>
        <v>1</v>
      </c>
      <c r="CZ93" s="19"/>
      <c r="DA93" s="19"/>
      <c r="DB93" s="19"/>
      <c r="DC93" s="19"/>
      <c r="DD93" s="19"/>
      <c r="DE93" s="19"/>
      <c r="DF93" s="19"/>
      <c r="DG93" s="19"/>
      <c r="DH93" s="19"/>
    </row>
    <row r="94">
      <c r="A94" s="40">
        <v>45388.0</v>
      </c>
      <c r="B94" s="39" t="s">
        <v>238</v>
      </c>
      <c r="C94" s="25">
        <v>2.0</v>
      </c>
      <c r="D94" s="25">
        <v>16.0</v>
      </c>
      <c r="E94" s="45">
        <v>6.0</v>
      </c>
      <c r="F94" s="45">
        <v>1.0</v>
      </c>
      <c r="G94" s="46">
        <f t="shared" si="8"/>
        <v>0.8888888889</v>
      </c>
      <c r="H94" s="42"/>
      <c r="Q94" s="15">
        <f>1-(SUM(I94:P94)+sum(R94:CX94))</f>
        <v>0.6566666667</v>
      </c>
      <c r="R94" s="2">
        <v>0.01</v>
      </c>
      <c r="V94" s="15">
        <f>1/36</f>
        <v>0.02777777778</v>
      </c>
      <c r="AL94" s="15">
        <f>1/36</f>
        <v>0.02777777778</v>
      </c>
      <c r="AM94" s="15">
        <f>0.5/36</f>
        <v>0.01388888889</v>
      </c>
      <c r="AN94" s="15">
        <f>1/36</f>
        <v>0.02777777778</v>
      </c>
      <c r="BK94" s="15">
        <f>4/36</f>
        <v>0.1111111111</v>
      </c>
      <c r="BT94" s="15">
        <f>0.5/36</f>
        <v>0.01388888889</v>
      </c>
      <c r="BW94" s="15">
        <f t="shared" si="10"/>
        <v>0.05555555556</v>
      </c>
      <c r="CP94" s="15">
        <f>2/36</f>
        <v>0.05555555556</v>
      </c>
      <c r="CX94" s="19"/>
      <c r="CY94" s="19">
        <f t="shared" si="9"/>
        <v>1</v>
      </c>
      <c r="CZ94" s="19"/>
      <c r="DA94" s="19"/>
      <c r="DB94" s="19"/>
      <c r="DC94" s="19"/>
      <c r="DD94" s="19"/>
      <c r="DE94" s="19"/>
      <c r="DF94" s="19"/>
      <c r="DG94" s="19"/>
      <c r="DH94" s="19"/>
    </row>
    <row r="95">
      <c r="A95" s="40">
        <v>45388.0</v>
      </c>
      <c r="B95" s="39" t="s">
        <v>238</v>
      </c>
      <c r="C95" s="25">
        <v>2.0</v>
      </c>
      <c r="D95" s="25">
        <v>14.0</v>
      </c>
      <c r="E95" s="45">
        <v>8.0</v>
      </c>
      <c r="F95" s="45">
        <v>0.0</v>
      </c>
      <c r="G95" s="46">
        <f t="shared" si="8"/>
        <v>0.8977777778</v>
      </c>
      <c r="H95" s="42"/>
      <c r="V95" s="15">
        <f>0.5/36</f>
        <v>0.01388888889</v>
      </c>
      <c r="Z95" s="15">
        <f>1-(sum(I95:Y95)+sum(AA95:CX95))</f>
        <v>0.6</v>
      </c>
      <c r="AL95" s="2">
        <v>0.02</v>
      </c>
      <c r="AM95" s="15">
        <f t="shared" ref="AM95:AM97" si="12">1/36</f>
        <v>0.02777777778</v>
      </c>
      <c r="AO95" s="15">
        <f t="shared" ref="AO95:AO96" si="13">1/36</f>
        <v>0.02777777778</v>
      </c>
      <c r="BK95" s="15">
        <f>8/36</f>
        <v>0.2222222222</v>
      </c>
      <c r="BU95" s="15">
        <f t="shared" ref="BU95:BV95" si="11">0.5/36</f>
        <v>0.01388888889</v>
      </c>
      <c r="BV95" s="15">
        <f t="shared" si="11"/>
        <v>0.01388888889</v>
      </c>
      <c r="CD95" s="2">
        <v>0.005</v>
      </c>
      <c r="CR95" s="15">
        <f>2/36</f>
        <v>0.05555555556</v>
      </c>
      <c r="CX95" s="19"/>
      <c r="CY95" s="19">
        <f t="shared" si="9"/>
        <v>1</v>
      </c>
      <c r="CZ95" s="19"/>
      <c r="DA95" s="19"/>
      <c r="DB95" s="19"/>
      <c r="DC95" s="19"/>
      <c r="DD95" s="19"/>
      <c r="DE95" s="19"/>
      <c r="DF95" s="19"/>
      <c r="DG95" s="19"/>
      <c r="DH95" s="19"/>
    </row>
    <row r="96">
      <c r="A96" s="40">
        <v>45388.0</v>
      </c>
      <c r="B96" s="39" t="s">
        <v>238</v>
      </c>
      <c r="C96" s="25">
        <v>2.0</v>
      </c>
      <c r="D96" s="25">
        <v>12.0</v>
      </c>
      <c r="E96" s="45">
        <v>10.0</v>
      </c>
      <c r="F96" s="45">
        <v>0.0</v>
      </c>
      <c r="G96" s="46">
        <f t="shared" si="8"/>
        <v>0.7975555556</v>
      </c>
      <c r="H96" s="42"/>
      <c r="Q96" s="15">
        <f t="shared" ref="Q96:Q97" si="14">3/36</f>
        <v>0.08333333333</v>
      </c>
      <c r="V96" s="15">
        <f>1/36</f>
        <v>0.02777777778</v>
      </c>
      <c r="AM96" s="15">
        <f t="shared" si="12"/>
        <v>0.02777777778</v>
      </c>
      <c r="AO96" s="15">
        <f t="shared" si="13"/>
        <v>0.02777777778</v>
      </c>
      <c r="AS96" s="2">
        <v>0.005</v>
      </c>
      <c r="BH96" s="15">
        <f>1-(sum(I96:BG96)+sum(BI96:CX96))</f>
        <v>0.617</v>
      </c>
      <c r="BK96" s="15">
        <f>1/36</f>
        <v>0.02777777778</v>
      </c>
      <c r="BU96" s="15">
        <f>0.5/36</f>
        <v>0.01388888889</v>
      </c>
      <c r="CD96" s="2">
        <v>0.003</v>
      </c>
      <c r="CR96" s="15">
        <f>6/36</f>
        <v>0.1666666667</v>
      </c>
      <c r="CX96" s="19"/>
      <c r="CY96" s="19">
        <f t="shared" si="9"/>
        <v>1</v>
      </c>
      <c r="CZ96" s="19"/>
      <c r="DA96" s="19"/>
      <c r="DB96" s="19"/>
      <c r="DC96" s="19"/>
      <c r="DD96" s="19"/>
      <c r="DE96" s="19"/>
      <c r="DF96" s="19"/>
      <c r="DG96" s="19"/>
      <c r="DH96" s="19"/>
    </row>
    <row r="97">
      <c r="A97" s="40">
        <v>45388.0</v>
      </c>
      <c r="B97" s="39" t="s">
        <v>238</v>
      </c>
      <c r="C97" s="25">
        <v>2.0</v>
      </c>
      <c r="D97" s="25">
        <v>10.0</v>
      </c>
      <c r="E97" s="45">
        <v>12.0</v>
      </c>
      <c r="F97" s="45">
        <v>1.0</v>
      </c>
      <c r="G97" s="46">
        <f t="shared" si="8"/>
        <v>0.4822222222</v>
      </c>
      <c r="H97" s="42"/>
      <c r="Q97" s="15">
        <f t="shared" si="14"/>
        <v>0.08333333333</v>
      </c>
      <c r="Z97" s="15">
        <f>3/36</f>
        <v>0.08333333333</v>
      </c>
      <c r="AL97" s="2">
        <v>0.01</v>
      </c>
      <c r="AM97" s="15">
        <f t="shared" si="12"/>
        <v>0.02777777778</v>
      </c>
      <c r="AO97" s="2">
        <v>0.01</v>
      </c>
      <c r="AS97" s="15">
        <f>3/36</f>
        <v>0.08333333333</v>
      </c>
      <c r="BK97" s="15">
        <f>10/36</f>
        <v>0.2777777778</v>
      </c>
      <c r="BW97" s="15">
        <f>2/36</f>
        <v>0.05555555556</v>
      </c>
      <c r="CP97" s="15">
        <f>2/36</f>
        <v>0.05555555556</v>
      </c>
      <c r="CR97" s="15">
        <f>1-(sum(I97:CQ97)+sum(CS97:CX97))</f>
        <v>0.23</v>
      </c>
      <c r="CS97" s="15">
        <f>3/36</f>
        <v>0.08333333333</v>
      </c>
      <c r="CX97" s="19"/>
      <c r="CY97" s="19">
        <f t="shared" si="9"/>
        <v>1</v>
      </c>
      <c r="CZ97" s="19"/>
      <c r="DA97" s="19"/>
      <c r="DB97" s="19"/>
      <c r="DC97" s="19"/>
      <c r="DD97" s="19"/>
      <c r="DE97" s="19"/>
      <c r="DF97" s="19"/>
      <c r="DG97" s="19"/>
      <c r="DH97" s="19"/>
    </row>
    <row r="98">
      <c r="A98" s="40">
        <v>45388.0</v>
      </c>
      <c r="B98" s="39" t="s">
        <v>238</v>
      </c>
      <c r="C98" s="25">
        <v>2.0</v>
      </c>
      <c r="D98" s="25">
        <v>8.0</v>
      </c>
      <c r="E98" s="45">
        <v>14.0</v>
      </c>
      <c r="F98" s="45">
        <v>1.0</v>
      </c>
      <c r="G98" s="46">
        <f t="shared" si="8"/>
        <v>0.7805555556</v>
      </c>
      <c r="H98" s="42"/>
      <c r="AM98" s="15">
        <f>2/36</f>
        <v>0.05555555556</v>
      </c>
      <c r="AS98" s="2">
        <v>0.01</v>
      </c>
      <c r="BH98" s="15">
        <f>1-(sum(I98:BG98)+sum(BI98:CX98))</f>
        <v>0.5583333333</v>
      </c>
      <c r="BK98" s="15">
        <f>6/36</f>
        <v>0.1666666667</v>
      </c>
      <c r="CD98" s="2">
        <v>0.005</v>
      </c>
      <c r="CN98" s="2">
        <v>0.01</v>
      </c>
      <c r="CR98" s="15">
        <f>7/36</f>
        <v>0.1944444444</v>
      </c>
      <c r="CX98" s="19"/>
      <c r="CY98" s="19">
        <f t="shared" si="9"/>
        <v>1</v>
      </c>
      <c r="CZ98" s="19"/>
      <c r="DA98" s="19"/>
      <c r="DB98" s="19"/>
      <c r="DC98" s="19"/>
      <c r="DD98" s="19"/>
      <c r="DE98" s="19"/>
      <c r="DF98" s="19"/>
      <c r="DG98" s="19"/>
      <c r="DH98" s="19"/>
    </row>
    <row r="99">
      <c r="A99" s="40">
        <v>45388.0</v>
      </c>
      <c r="B99" s="39" t="s">
        <v>238</v>
      </c>
      <c r="C99" s="25">
        <v>2.0</v>
      </c>
      <c r="D99" s="25">
        <v>6.0</v>
      </c>
      <c r="E99" s="45">
        <v>16.0</v>
      </c>
      <c r="F99" s="45">
        <v>3.0</v>
      </c>
      <c r="G99" s="46">
        <f t="shared" si="8"/>
        <v>0.7777777778</v>
      </c>
      <c r="H99" s="42"/>
      <c r="Z99" s="15">
        <f t="shared" ref="Z99:Z101" si="15">2/36</f>
        <v>0.05555555556</v>
      </c>
      <c r="AM99" s="15">
        <f t="shared" ref="AM99:AM100" si="16">1/36</f>
        <v>0.02777777778</v>
      </c>
      <c r="AV99" s="15">
        <f t="shared" ref="AV99:AV101" si="17">1/36</f>
        <v>0.02777777778</v>
      </c>
      <c r="BK99" s="15">
        <f>1-(sum(I99:BJ99)+sum(BL99:CX99))</f>
        <v>0.6666666667</v>
      </c>
      <c r="BV99" s="15">
        <f>1/36</f>
        <v>0.02777777778</v>
      </c>
      <c r="BW99" s="15">
        <f>2/36</f>
        <v>0.05555555556</v>
      </c>
      <c r="CP99" s="15">
        <f>2/36</f>
        <v>0.05555555556</v>
      </c>
      <c r="CR99" s="15">
        <f t="shared" ref="CR99:CR100" si="18">2/36</f>
        <v>0.05555555556</v>
      </c>
      <c r="CU99" s="15">
        <f>1/36</f>
        <v>0.02777777778</v>
      </c>
      <c r="CX99" s="19"/>
      <c r="CY99" s="19">
        <f t="shared" si="9"/>
        <v>1</v>
      </c>
      <c r="CZ99" s="19"/>
      <c r="DA99" s="19"/>
      <c r="DB99" s="19"/>
      <c r="DC99" s="19"/>
      <c r="DD99" s="19"/>
      <c r="DE99" s="19"/>
      <c r="DF99" s="19"/>
      <c r="DG99" s="19"/>
      <c r="DH99" s="19"/>
    </row>
    <row r="100">
      <c r="A100" s="40">
        <v>45388.0</v>
      </c>
      <c r="B100" s="39" t="s">
        <v>238</v>
      </c>
      <c r="C100" s="25">
        <v>2.0</v>
      </c>
      <c r="D100" s="25">
        <v>4.0</v>
      </c>
      <c r="E100" s="45">
        <v>18.0</v>
      </c>
      <c r="F100" s="45">
        <v>2.0</v>
      </c>
      <c r="G100" s="46">
        <f t="shared" si="8"/>
        <v>0.25</v>
      </c>
      <c r="H100" s="42"/>
      <c r="Q100" s="15">
        <f>2/36</f>
        <v>0.05555555556</v>
      </c>
      <c r="Z100" s="15">
        <f t="shared" si="15"/>
        <v>0.05555555556</v>
      </c>
      <c r="AM100" s="15">
        <f t="shared" si="16"/>
        <v>0.02777777778</v>
      </c>
      <c r="AO100" s="15">
        <f>1/36</f>
        <v>0.02777777778</v>
      </c>
      <c r="AV100" s="15">
        <f t="shared" si="17"/>
        <v>0.02777777778</v>
      </c>
      <c r="BH100" s="15">
        <f>1/36</f>
        <v>0.02777777778</v>
      </c>
      <c r="BK100" s="15">
        <f>2/36</f>
        <v>0.05555555556</v>
      </c>
      <c r="BW100" s="15">
        <f>1-(sum(I100:BV100)+sum(BX100:CX100))</f>
        <v>0.621</v>
      </c>
      <c r="CD100" s="2">
        <v>0.004</v>
      </c>
      <c r="CP100" s="15">
        <f>0.5/36</f>
        <v>0.01388888889</v>
      </c>
      <c r="CR100" s="15">
        <f t="shared" si="18"/>
        <v>0.05555555556</v>
      </c>
      <c r="CS100" s="15">
        <f>1/36</f>
        <v>0.02777777778</v>
      </c>
      <c r="CX100" s="19"/>
      <c r="CY100" s="19">
        <f t="shared" si="9"/>
        <v>1</v>
      </c>
      <c r="CZ100" s="19"/>
      <c r="DA100" s="19"/>
      <c r="DB100" s="19"/>
      <c r="DC100" s="19"/>
      <c r="DD100" s="19"/>
      <c r="DE100" s="19"/>
      <c r="DF100" s="19"/>
      <c r="DG100" s="19"/>
      <c r="DH100" s="19"/>
    </row>
    <row r="101">
      <c r="A101" s="40">
        <v>45388.0</v>
      </c>
      <c r="B101" s="39" t="s">
        <v>238</v>
      </c>
      <c r="C101" s="25">
        <v>2.0</v>
      </c>
      <c r="D101" s="25">
        <v>2.0</v>
      </c>
      <c r="E101" s="45">
        <v>20.0</v>
      </c>
      <c r="F101" s="45">
        <v>5.0</v>
      </c>
      <c r="G101" s="46">
        <f t="shared" si="8"/>
        <v>0.3433333333</v>
      </c>
      <c r="H101" s="42"/>
      <c r="Q101" s="15">
        <f>1/36</f>
        <v>0.02777777778</v>
      </c>
      <c r="Z101" s="15">
        <f t="shared" si="15"/>
        <v>0.05555555556</v>
      </c>
      <c r="AL101" s="15">
        <f>3/36</f>
        <v>0.08333333333</v>
      </c>
      <c r="AO101" s="2">
        <v>0.01</v>
      </c>
      <c r="AS101" s="15">
        <f>1/36</f>
        <v>0.02777777778</v>
      </c>
      <c r="AV101" s="15">
        <f t="shared" si="17"/>
        <v>0.02777777778</v>
      </c>
      <c r="BC101" s="2">
        <v>0.005</v>
      </c>
      <c r="BH101" s="15">
        <f>2/36</f>
        <v>0.05555555556</v>
      </c>
      <c r="BK101" s="15">
        <f>3/36</f>
        <v>0.08333333333</v>
      </c>
      <c r="BU101" s="2">
        <v>0.005</v>
      </c>
      <c r="BW101" s="15">
        <f>1/36</f>
        <v>0.02777777778</v>
      </c>
      <c r="CP101" s="15">
        <f>1/36</f>
        <v>0.02777777778</v>
      </c>
      <c r="CR101" s="15">
        <f>1-(sum(I101:CQ101)+sum(CS101:CX101))</f>
        <v>0.5633333333</v>
      </c>
      <c r="CX101" s="19"/>
      <c r="CY101" s="19">
        <f t="shared" si="9"/>
        <v>1</v>
      </c>
      <c r="CZ101" s="19"/>
      <c r="DA101" s="19"/>
      <c r="DB101" s="19"/>
      <c r="DC101" s="19"/>
      <c r="DD101" s="19"/>
      <c r="DE101" s="19"/>
      <c r="DF101" s="19"/>
      <c r="DG101" s="19"/>
      <c r="DH101" s="19"/>
    </row>
    <row r="102">
      <c r="A102" s="40">
        <v>45388.0</v>
      </c>
      <c r="B102" s="39" t="s">
        <v>238</v>
      </c>
      <c r="C102" s="25">
        <v>2.0</v>
      </c>
      <c r="D102" s="25">
        <v>0.0</v>
      </c>
      <c r="E102" s="45">
        <v>22.0</v>
      </c>
      <c r="F102" s="45">
        <v>5.0</v>
      </c>
      <c r="G102" s="46"/>
      <c r="H102" s="42"/>
      <c r="R102" s="2">
        <v>0.005</v>
      </c>
      <c r="AC102" s="15">
        <f>1/36</f>
        <v>0.02777777778</v>
      </c>
      <c r="AM102" s="15">
        <f>1/36</f>
        <v>0.02777777778</v>
      </c>
      <c r="BH102" s="15">
        <f>1/36</f>
        <v>0.02777777778</v>
      </c>
      <c r="BK102" s="15">
        <f>1-(sum(I102:BJ102)+sum(BL102:CX102))</f>
        <v>0.7577777778</v>
      </c>
      <c r="BU102" s="2">
        <v>0.005</v>
      </c>
      <c r="BW102" s="15">
        <f>2/36</f>
        <v>0.05555555556</v>
      </c>
      <c r="CP102" s="2">
        <v>0.01</v>
      </c>
      <c r="CR102" s="15">
        <f>3/36</f>
        <v>0.08333333333</v>
      </c>
      <c r="CX102" s="19"/>
      <c r="CY102" s="19">
        <f t="shared" si="9"/>
        <v>1</v>
      </c>
      <c r="CZ102" s="19"/>
      <c r="DA102" s="19"/>
      <c r="DB102" s="19"/>
      <c r="DC102" s="19"/>
      <c r="DD102" s="19"/>
      <c r="DE102" s="19"/>
      <c r="DF102" s="19"/>
      <c r="DG102" s="19"/>
      <c r="DH102" s="19"/>
    </row>
    <row r="103">
      <c r="A103" s="40">
        <v>45388.0</v>
      </c>
      <c r="B103" s="39" t="s">
        <v>238</v>
      </c>
      <c r="C103" s="25">
        <v>3.0</v>
      </c>
      <c r="D103" s="25">
        <v>0.0</v>
      </c>
      <c r="E103" s="45">
        <v>22.0</v>
      </c>
      <c r="F103" s="2">
        <v>5.0</v>
      </c>
      <c r="G103" s="46"/>
      <c r="H103" s="42"/>
      <c r="V103" s="2">
        <v>0.1</v>
      </c>
      <c r="AD103" s="2">
        <v>0.25</v>
      </c>
      <c r="AN103" s="2">
        <v>0.05</v>
      </c>
      <c r="AV103" s="2">
        <v>0.05</v>
      </c>
      <c r="BH103" s="2">
        <v>0.25</v>
      </c>
      <c r="BK103" s="2">
        <v>0.15</v>
      </c>
      <c r="CV103" s="2">
        <v>0.15</v>
      </c>
      <c r="CX103" s="19"/>
      <c r="CY103" s="19">
        <f t="shared" si="9"/>
        <v>1</v>
      </c>
      <c r="CZ103" s="19"/>
      <c r="DA103" s="19"/>
      <c r="DB103" s="19"/>
      <c r="DC103" s="19"/>
      <c r="DD103" s="19"/>
      <c r="DE103" s="19"/>
      <c r="DF103" s="19"/>
      <c r="DG103" s="19"/>
      <c r="DH103" s="19"/>
    </row>
    <row r="104">
      <c r="A104" s="40">
        <v>45388.0</v>
      </c>
      <c r="B104" s="39" t="s">
        <v>238</v>
      </c>
      <c r="C104" s="25">
        <v>3.0</v>
      </c>
      <c r="D104" s="25">
        <v>2.0</v>
      </c>
      <c r="E104" s="45">
        <v>20.0</v>
      </c>
      <c r="F104" s="2">
        <v>1.0</v>
      </c>
      <c r="G104" s="46"/>
      <c r="H104" s="42"/>
      <c r="V104" s="2">
        <v>0.1</v>
      </c>
      <c r="AL104" s="2">
        <v>0.15</v>
      </c>
      <c r="AS104" s="2">
        <v>0.05</v>
      </c>
      <c r="BC104" s="2">
        <v>0.05</v>
      </c>
      <c r="BK104" s="2">
        <v>0.3</v>
      </c>
      <c r="BW104" s="2">
        <v>0.25</v>
      </c>
      <c r="CV104" s="2">
        <v>0.1</v>
      </c>
      <c r="CX104" s="19"/>
      <c r="CY104" s="19">
        <f t="shared" si="9"/>
        <v>1</v>
      </c>
      <c r="CZ104" s="19"/>
      <c r="DA104" s="19"/>
      <c r="DB104" s="19"/>
      <c r="DC104" s="19"/>
      <c r="DD104" s="19"/>
      <c r="DE104" s="19"/>
      <c r="DF104" s="19"/>
      <c r="DG104" s="19"/>
      <c r="DH104" s="19"/>
    </row>
    <row r="105">
      <c r="A105" s="40">
        <v>45388.0</v>
      </c>
      <c r="B105" s="39" t="s">
        <v>238</v>
      </c>
      <c r="C105" s="25">
        <v>3.0</v>
      </c>
      <c r="D105" s="25">
        <v>4.0</v>
      </c>
      <c r="E105" s="45">
        <v>18.0</v>
      </c>
      <c r="F105" s="2">
        <v>1.0</v>
      </c>
      <c r="G105" s="46"/>
      <c r="H105" s="42"/>
      <c r="Q105" s="2">
        <v>0.1</v>
      </c>
      <c r="V105" s="2">
        <v>0.05</v>
      </c>
      <c r="AL105" s="2">
        <v>0.1</v>
      </c>
      <c r="AX105" s="2">
        <v>0.05</v>
      </c>
      <c r="BH105" s="2">
        <v>0.1</v>
      </c>
      <c r="BK105" s="2">
        <v>0.25</v>
      </c>
      <c r="BW105" s="2">
        <v>0.15</v>
      </c>
      <c r="CV105" s="2">
        <v>0.2</v>
      </c>
      <c r="CX105" s="19"/>
      <c r="CY105" s="19">
        <f t="shared" si="9"/>
        <v>1</v>
      </c>
      <c r="CZ105" s="19"/>
      <c r="DA105" s="19"/>
      <c r="DB105" s="19"/>
      <c r="DC105" s="19"/>
      <c r="DD105" s="19"/>
      <c r="DE105" s="19"/>
      <c r="DF105" s="19"/>
      <c r="DG105" s="19"/>
      <c r="DH105" s="19"/>
    </row>
    <row r="106">
      <c r="A106" s="40">
        <v>45388.0</v>
      </c>
      <c r="B106" s="39" t="s">
        <v>238</v>
      </c>
      <c r="C106" s="25">
        <v>3.0</v>
      </c>
      <c r="D106" s="25">
        <v>6.0</v>
      </c>
      <c r="E106" s="45">
        <v>16.0</v>
      </c>
      <c r="F106" s="2">
        <v>5.0</v>
      </c>
      <c r="G106" s="46"/>
      <c r="H106" s="42"/>
      <c r="V106" s="2">
        <v>0.05</v>
      </c>
      <c r="AD106" s="2">
        <v>0.5</v>
      </c>
      <c r="BH106" s="2">
        <v>0.1</v>
      </c>
      <c r="BK106" s="2">
        <v>0.2</v>
      </c>
      <c r="CP106" s="2">
        <v>0.15</v>
      </c>
      <c r="CX106" s="19"/>
      <c r="CY106" s="19">
        <f t="shared" si="9"/>
        <v>1</v>
      </c>
      <c r="CZ106" s="19"/>
      <c r="DA106" s="19"/>
      <c r="DB106" s="19"/>
      <c r="DC106" s="19"/>
      <c r="DD106" s="19"/>
      <c r="DE106" s="19"/>
      <c r="DF106" s="19"/>
      <c r="DG106" s="19"/>
      <c r="DH106" s="19"/>
    </row>
    <row r="107">
      <c r="A107" s="40">
        <v>45388.0</v>
      </c>
      <c r="B107" s="39" t="s">
        <v>238</v>
      </c>
      <c r="C107" s="25">
        <v>3.0</v>
      </c>
      <c r="D107" s="25">
        <v>8.0</v>
      </c>
      <c r="E107" s="45">
        <v>14.0</v>
      </c>
      <c r="F107" s="2">
        <v>5.0</v>
      </c>
      <c r="G107" s="46"/>
      <c r="H107" s="42"/>
      <c r="V107" s="2">
        <v>0.05</v>
      </c>
      <c r="AD107" s="2">
        <v>0.2</v>
      </c>
      <c r="AL107" s="2">
        <v>0.05</v>
      </c>
      <c r="AN107" s="2">
        <v>0.1</v>
      </c>
      <c r="AS107" s="2">
        <v>0.3</v>
      </c>
      <c r="BH107" s="2">
        <v>0.1</v>
      </c>
      <c r="BK107" s="2">
        <v>0.1</v>
      </c>
      <c r="CV107" s="2">
        <v>0.1</v>
      </c>
      <c r="CX107" s="19"/>
      <c r="CY107" s="19">
        <f t="shared" si="9"/>
        <v>1</v>
      </c>
      <c r="CZ107" s="19"/>
      <c r="DA107" s="19"/>
      <c r="DB107" s="19"/>
      <c r="DC107" s="19"/>
      <c r="DD107" s="19"/>
      <c r="DE107" s="19"/>
      <c r="DF107" s="19"/>
      <c r="DG107" s="19"/>
      <c r="DH107" s="19"/>
    </row>
    <row r="108">
      <c r="A108" s="40">
        <v>45388.0</v>
      </c>
      <c r="B108" s="39" t="s">
        <v>238</v>
      </c>
      <c r="C108" s="25">
        <v>3.0</v>
      </c>
      <c r="D108" s="25">
        <v>10.0</v>
      </c>
      <c r="E108" s="45">
        <v>12.0</v>
      </c>
      <c r="F108" s="2">
        <v>5.0</v>
      </c>
      <c r="G108" s="46"/>
      <c r="H108" s="42"/>
      <c r="V108" s="2">
        <v>0.2</v>
      </c>
      <c r="AN108" s="2">
        <v>0.05</v>
      </c>
      <c r="BH108" s="2">
        <v>0.1</v>
      </c>
      <c r="BK108" s="2">
        <v>0.55</v>
      </c>
      <c r="CV108" s="2">
        <v>0.1</v>
      </c>
      <c r="CX108" s="19"/>
      <c r="CY108" s="19">
        <f t="shared" si="9"/>
        <v>1</v>
      </c>
      <c r="CZ108" s="19"/>
      <c r="DA108" s="19"/>
      <c r="DB108" s="19"/>
      <c r="DC108" s="19"/>
      <c r="DD108" s="19"/>
      <c r="DE108" s="19"/>
      <c r="DF108" s="19"/>
      <c r="DG108" s="19"/>
      <c r="DH108" s="19"/>
    </row>
    <row r="109">
      <c r="A109" s="40">
        <v>45388.0</v>
      </c>
      <c r="B109" s="39" t="s">
        <v>238</v>
      </c>
      <c r="C109" s="25">
        <v>3.0</v>
      </c>
      <c r="D109" s="25">
        <v>12.0</v>
      </c>
      <c r="E109" s="45">
        <v>10.0</v>
      </c>
      <c r="F109" s="2">
        <v>5.0</v>
      </c>
      <c r="G109" s="46"/>
      <c r="H109" s="42"/>
      <c r="V109" s="2">
        <v>0.05</v>
      </c>
      <c r="AL109" s="2">
        <v>0.1</v>
      </c>
      <c r="AN109" s="2">
        <v>0.15</v>
      </c>
      <c r="AO109" s="2">
        <v>0.15</v>
      </c>
      <c r="BE109" s="2">
        <v>0.05</v>
      </c>
      <c r="BK109" s="2">
        <v>0.45</v>
      </c>
      <c r="BW109" s="2">
        <v>0.05</v>
      </c>
      <c r="CX109" s="19"/>
      <c r="CY109" s="19">
        <f t="shared" si="9"/>
        <v>1</v>
      </c>
      <c r="CZ109" s="19"/>
      <c r="DA109" s="19"/>
      <c r="DB109" s="19"/>
      <c r="DC109" s="19"/>
      <c r="DD109" s="19"/>
      <c r="DE109" s="19"/>
      <c r="DF109" s="19"/>
      <c r="DG109" s="19"/>
      <c r="DH109" s="19"/>
    </row>
    <row r="110">
      <c r="A110" s="40">
        <v>45388.0</v>
      </c>
      <c r="B110" s="39" t="s">
        <v>238</v>
      </c>
      <c r="C110" s="25">
        <v>3.0</v>
      </c>
      <c r="D110" s="25">
        <v>14.0</v>
      </c>
      <c r="E110" s="45">
        <v>8.0</v>
      </c>
      <c r="F110" s="2">
        <v>5.0</v>
      </c>
      <c r="G110" s="46"/>
      <c r="H110" s="42"/>
      <c r="Q110" s="2">
        <v>0.15</v>
      </c>
      <c r="AL110" s="2">
        <v>0.15</v>
      </c>
      <c r="AN110" s="2">
        <v>0.1</v>
      </c>
      <c r="AV110" s="2">
        <v>0.05</v>
      </c>
      <c r="BK110" s="2">
        <v>0.55</v>
      </c>
      <c r="CX110" s="19"/>
      <c r="CY110" s="19">
        <f t="shared" si="9"/>
        <v>1</v>
      </c>
      <c r="CZ110" s="19"/>
      <c r="DA110" s="19"/>
      <c r="DB110" s="19"/>
      <c r="DC110" s="19"/>
      <c r="DD110" s="19"/>
      <c r="DE110" s="19"/>
      <c r="DF110" s="19"/>
      <c r="DG110" s="19"/>
      <c r="DH110" s="19"/>
    </row>
    <row r="111">
      <c r="A111" s="40">
        <v>45388.0</v>
      </c>
      <c r="B111" s="39" t="s">
        <v>238</v>
      </c>
      <c r="C111" s="25">
        <v>3.0</v>
      </c>
      <c r="D111" s="25">
        <v>16.0</v>
      </c>
      <c r="E111" s="45">
        <v>6.0</v>
      </c>
      <c r="F111" s="2">
        <v>5.0</v>
      </c>
      <c r="G111" s="46"/>
      <c r="H111" s="42"/>
      <c r="Q111" s="2">
        <v>0.05</v>
      </c>
      <c r="AL111" s="2">
        <v>0.05</v>
      </c>
      <c r="BK111" s="2">
        <v>0.8</v>
      </c>
      <c r="BW111" s="2">
        <v>0.05</v>
      </c>
      <c r="CP111" s="2">
        <v>0.05</v>
      </c>
      <c r="CX111" s="19"/>
      <c r="CY111" s="19">
        <f t="shared" si="9"/>
        <v>1</v>
      </c>
      <c r="CZ111" s="19"/>
      <c r="DA111" s="19"/>
      <c r="DB111" s="19"/>
      <c r="DC111" s="19"/>
      <c r="DD111" s="19"/>
      <c r="DE111" s="19"/>
      <c r="DF111" s="19"/>
      <c r="DG111" s="19"/>
      <c r="DH111" s="19"/>
    </row>
    <row r="112">
      <c r="A112" s="40">
        <v>45388.0</v>
      </c>
      <c r="B112" s="39" t="s">
        <v>238</v>
      </c>
      <c r="C112" s="25">
        <v>3.0</v>
      </c>
      <c r="D112" s="25">
        <v>18.0</v>
      </c>
      <c r="E112" s="45">
        <v>4.0</v>
      </c>
      <c r="F112" s="2">
        <v>5.0</v>
      </c>
      <c r="G112" s="46"/>
      <c r="H112" s="42"/>
      <c r="AL112" s="2">
        <v>0.1</v>
      </c>
      <c r="BK112" s="2">
        <v>0.3</v>
      </c>
      <c r="BT112" s="2">
        <v>0.1</v>
      </c>
      <c r="BW112" s="2">
        <v>0.2</v>
      </c>
      <c r="CX112" s="20">
        <v>0.3</v>
      </c>
      <c r="CY112" s="19">
        <f t="shared" si="9"/>
        <v>1</v>
      </c>
      <c r="CZ112" s="19"/>
      <c r="DA112" s="19"/>
      <c r="DB112" s="19"/>
      <c r="DC112" s="19"/>
      <c r="DD112" s="19"/>
      <c r="DE112" s="19"/>
      <c r="DF112" s="19"/>
      <c r="DG112" s="19"/>
      <c r="DH112" s="19"/>
    </row>
    <row r="113">
      <c r="A113" s="40">
        <v>45388.0</v>
      </c>
      <c r="B113" s="39" t="s">
        <v>238</v>
      </c>
      <c r="C113" s="25">
        <v>3.0</v>
      </c>
      <c r="D113" s="25">
        <v>20.0</v>
      </c>
      <c r="E113" s="45">
        <v>2.0</v>
      </c>
      <c r="F113" s="2">
        <v>5.0</v>
      </c>
      <c r="G113" s="46"/>
      <c r="H113" s="42"/>
      <c r="AL113" s="2">
        <v>0.15</v>
      </c>
      <c r="BK113" s="2">
        <v>0.15</v>
      </c>
      <c r="BW113" s="2">
        <v>0.025</v>
      </c>
      <c r="CH113" s="2">
        <v>0.25</v>
      </c>
      <c r="CU113" s="2">
        <v>0.4</v>
      </c>
      <c r="CX113" s="19"/>
      <c r="CY113" s="19">
        <f t="shared" si="9"/>
        <v>0.975</v>
      </c>
      <c r="CZ113" s="19"/>
      <c r="DA113" s="19"/>
      <c r="DB113" s="19"/>
      <c r="DC113" s="19"/>
      <c r="DD113" s="19"/>
      <c r="DE113" s="19"/>
      <c r="DF113" s="19"/>
      <c r="DG113" s="19"/>
      <c r="DH113" s="19"/>
    </row>
    <row r="114">
      <c r="A114" s="40">
        <v>45388.0</v>
      </c>
      <c r="B114" s="39" t="s">
        <v>238</v>
      </c>
      <c r="C114" s="25">
        <v>3.0</v>
      </c>
      <c r="D114" s="25">
        <v>22.0</v>
      </c>
      <c r="E114" s="45">
        <v>0.0</v>
      </c>
      <c r="F114" s="2">
        <v>10.0</v>
      </c>
      <c r="G114" s="46"/>
      <c r="H114" s="42"/>
      <c r="V114" s="2">
        <v>0.05</v>
      </c>
      <c r="BK114" s="2">
        <v>0.6</v>
      </c>
      <c r="CX114" s="19"/>
      <c r="CY114" s="19">
        <f t="shared" si="9"/>
        <v>0.65</v>
      </c>
      <c r="CZ114" s="19"/>
      <c r="DA114" s="19"/>
      <c r="DB114" s="19"/>
      <c r="DC114" s="19"/>
      <c r="DD114" s="19"/>
      <c r="DE114" s="19"/>
      <c r="DF114" s="19"/>
      <c r="DG114" s="19"/>
      <c r="DH114" s="19"/>
    </row>
    <row r="115">
      <c r="A115" s="40">
        <v>45388.0</v>
      </c>
      <c r="B115" s="39" t="s">
        <v>238</v>
      </c>
      <c r="C115" s="25">
        <v>4.0</v>
      </c>
      <c r="D115" s="25">
        <v>0.0</v>
      </c>
      <c r="E115" s="45">
        <v>22.0</v>
      </c>
      <c r="F115" s="45">
        <v>1.0</v>
      </c>
      <c r="G115" s="46"/>
      <c r="H115" s="42"/>
      <c r="V115" s="2">
        <v>0.01</v>
      </c>
      <c r="AD115" s="15">
        <f t="shared" ref="AD115:AD116" si="19">0.5/36</f>
        <v>0.01388888889</v>
      </c>
      <c r="BH115" s="15">
        <f>0.5/36</f>
        <v>0.01388888889</v>
      </c>
      <c r="BK115" s="15">
        <f t="shared" ref="BK115:BK118" si="20">1-(sum(I115:BJ115)+sum(BL115:CX115))</f>
        <v>0.8511111111</v>
      </c>
      <c r="BW115" s="15">
        <f>4/36</f>
        <v>0.1111111111</v>
      </c>
      <c r="CX115" s="19"/>
      <c r="CY115" s="19">
        <f t="shared" si="9"/>
        <v>1</v>
      </c>
      <c r="CZ115" s="19"/>
      <c r="DA115" s="19"/>
      <c r="DB115" s="19"/>
      <c r="DC115" s="19"/>
      <c r="DD115" s="19"/>
      <c r="DE115" s="19"/>
      <c r="DF115" s="19"/>
      <c r="DG115" s="19"/>
      <c r="DH115" s="19"/>
    </row>
    <row r="116">
      <c r="A116" s="40">
        <v>45388.0</v>
      </c>
      <c r="B116" s="39" t="s">
        <v>238</v>
      </c>
      <c r="C116" s="25">
        <v>4.0</v>
      </c>
      <c r="D116" s="25">
        <v>2.0</v>
      </c>
      <c r="E116" s="45">
        <v>20.0</v>
      </c>
      <c r="F116" s="45">
        <v>5.0</v>
      </c>
      <c r="G116" s="46"/>
      <c r="H116" s="42"/>
      <c r="Q116" s="15">
        <f>0.5/36</f>
        <v>0.01388888889</v>
      </c>
      <c r="AD116" s="15">
        <f t="shared" si="19"/>
        <v>0.01388888889</v>
      </c>
      <c r="AM116" s="15">
        <f>0.5/36</f>
        <v>0.01388888889</v>
      </c>
      <c r="BD116" s="15">
        <f>0.5/36</f>
        <v>0.01388888889</v>
      </c>
      <c r="BH116" s="15">
        <f>5/36</f>
        <v>0.1388888889</v>
      </c>
      <c r="BK116" s="15">
        <f t="shared" si="20"/>
        <v>0.5763888889</v>
      </c>
      <c r="BW116" s="15">
        <f>6/36</f>
        <v>0.1666666667</v>
      </c>
      <c r="CB116" s="15">
        <f>0.25/36</f>
        <v>0.006944444444</v>
      </c>
      <c r="CR116" s="15">
        <f>2/36</f>
        <v>0.05555555556</v>
      </c>
      <c r="CX116" s="19"/>
      <c r="CY116" s="19">
        <f t="shared" si="9"/>
        <v>1</v>
      </c>
      <c r="CZ116" s="19"/>
      <c r="DA116" s="19"/>
      <c r="DB116" s="19"/>
      <c r="DC116" s="19"/>
      <c r="DD116" s="19"/>
      <c r="DE116" s="19"/>
      <c r="DF116" s="19"/>
      <c r="DG116" s="19"/>
      <c r="DH116" s="19"/>
    </row>
    <row r="117">
      <c r="A117" s="40">
        <v>45388.0</v>
      </c>
      <c r="B117" s="39" t="s">
        <v>238</v>
      </c>
      <c r="C117" s="25">
        <v>4.0</v>
      </c>
      <c r="D117" s="25">
        <v>4.0</v>
      </c>
      <c r="E117" s="45">
        <v>18.0</v>
      </c>
      <c r="F117" s="45">
        <v>5.0</v>
      </c>
      <c r="G117" s="46"/>
      <c r="H117" s="42"/>
      <c r="I117" s="15">
        <f>0.5/36</f>
        <v>0.01388888889</v>
      </c>
      <c r="V117" s="2">
        <v>0.01</v>
      </c>
      <c r="AD117" s="15">
        <f>2.5/36</f>
        <v>0.06944444444</v>
      </c>
      <c r="AH117" s="2">
        <v>0.01</v>
      </c>
      <c r="AS117" s="15">
        <f>1/36</f>
        <v>0.02777777778</v>
      </c>
      <c r="BC117" s="2">
        <v>0.01</v>
      </c>
      <c r="BK117" s="15">
        <f t="shared" si="20"/>
        <v>0.5433333333</v>
      </c>
      <c r="BS117" s="2">
        <v>0.01</v>
      </c>
      <c r="BW117" s="15">
        <f t="shared" ref="BW117:BW118" si="21">7/36</f>
        <v>0.1944444444</v>
      </c>
      <c r="CR117" s="15">
        <f>3/36</f>
        <v>0.08333333333</v>
      </c>
      <c r="CX117" s="62">
        <f>1/36</f>
        <v>0.02777777778</v>
      </c>
      <c r="CY117" s="19">
        <f t="shared" si="9"/>
        <v>1</v>
      </c>
      <c r="CZ117" s="19"/>
      <c r="DA117" s="19"/>
      <c r="DB117" s="19"/>
      <c r="DC117" s="19"/>
      <c r="DD117" s="19"/>
      <c r="DE117" s="19"/>
      <c r="DF117" s="19"/>
      <c r="DG117" s="19"/>
      <c r="DH117" s="19"/>
    </row>
    <row r="118">
      <c r="A118" s="40">
        <v>45388.0</v>
      </c>
      <c r="B118" s="39" t="s">
        <v>238</v>
      </c>
      <c r="C118" s="25">
        <v>4.0</v>
      </c>
      <c r="D118" s="25">
        <v>6.0</v>
      </c>
      <c r="E118" s="45">
        <v>16.0</v>
      </c>
      <c r="F118" s="45">
        <v>5.0</v>
      </c>
      <c r="G118" s="46"/>
      <c r="H118" s="42"/>
      <c r="Q118" s="15">
        <f>12/36</f>
        <v>0.3333333333</v>
      </c>
      <c r="AM118" s="15">
        <f t="shared" ref="AM118:AM120" si="22">0.5/36</f>
        <v>0.01388888889</v>
      </c>
      <c r="AS118" s="15">
        <f>0.5/36</f>
        <v>0.01388888889</v>
      </c>
      <c r="BK118" s="15">
        <f t="shared" si="20"/>
        <v>0.2916666667</v>
      </c>
      <c r="BW118" s="15">
        <f t="shared" si="21"/>
        <v>0.1944444444</v>
      </c>
      <c r="CP118" s="15">
        <f>4/36</f>
        <v>0.1111111111</v>
      </c>
      <c r="CR118" s="15">
        <f>1/36</f>
        <v>0.02777777778</v>
      </c>
      <c r="CS118" s="15">
        <f>0.5/36</f>
        <v>0.01388888889</v>
      </c>
      <c r="CX118" s="62"/>
      <c r="CY118" s="19">
        <f t="shared" si="9"/>
        <v>1</v>
      </c>
      <c r="CZ118" s="19"/>
      <c r="DA118" s="19"/>
      <c r="DB118" s="19"/>
      <c r="DC118" s="19"/>
      <c r="DD118" s="19"/>
      <c r="DE118" s="19"/>
      <c r="DF118" s="19"/>
      <c r="DG118" s="19"/>
      <c r="DH118" s="19"/>
    </row>
    <row r="119">
      <c r="A119" s="40">
        <v>45388.0</v>
      </c>
      <c r="B119" s="39" t="s">
        <v>238</v>
      </c>
      <c r="C119" s="25">
        <v>4.0</v>
      </c>
      <c r="D119" s="25">
        <v>8.0</v>
      </c>
      <c r="E119" s="45">
        <v>14.0</v>
      </c>
      <c r="F119" s="45">
        <v>5.0</v>
      </c>
      <c r="G119" s="46"/>
      <c r="H119" s="42"/>
      <c r="O119" s="15">
        <f>2/36</f>
        <v>0.05555555556</v>
      </c>
      <c r="Q119" s="15">
        <f>1/36</f>
        <v>0.02777777778</v>
      </c>
      <c r="AG119" s="2">
        <v>0.005</v>
      </c>
      <c r="AM119" s="15">
        <f t="shared" si="22"/>
        <v>0.01388888889</v>
      </c>
      <c r="AO119" s="15">
        <f>0.5/36</f>
        <v>0.01388888889</v>
      </c>
      <c r="AV119" s="15">
        <f t="shared" ref="AV119:AV120" si="23">1-(sum(I119:AU119)+sum(AW119:CX119))</f>
        <v>0.5007777778</v>
      </c>
      <c r="BH119" s="15">
        <f t="shared" ref="BH119:BH120" si="24">2/36</f>
        <v>0.05555555556</v>
      </c>
      <c r="BK119" s="15">
        <f t="shared" ref="BK119:BK120" si="25">3/36</f>
        <v>0.08333333333</v>
      </c>
      <c r="BS119" s="2">
        <v>0.002</v>
      </c>
      <c r="CB119" s="2">
        <v>0.01</v>
      </c>
      <c r="CE119" s="2">
        <v>0.01</v>
      </c>
      <c r="CR119" s="15">
        <f>8/36</f>
        <v>0.2222222222</v>
      </c>
      <c r="CX119" s="62"/>
      <c r="CY119" s="19">
        <f t="shared" si="9"/>
        <v>1</v>
      </c>
      <c r="CZ119" s="19"/>
      <c r="DA119" s="19"/>
      <c r="DB119" s="19"/>
      <c r="DC119" s="19"/>
      <c r="DD119" s="19"/>
      <c r="DE119" s="19"/>
      <c r="DF119" s="19"/>
      <c r="DG119" s="19"/>
      <c r="DH119" s="19"/>
    </row>
    <row r="120">
      <c r="A120" s="40">
        <v>45388.0</v>
      </c>
      <c r="B120" s="39" t="s">
        <v>238</v>
      </c>
      <c r="C120" s="25">
        <v>4.0</v>
      </c>
      <c r="D120" s="25">
        <v>10.0</v>
      </c>
      <c r="E120" s="45">
        <v>12.0</v>
      </c>
      <c r="F120" s="45">
        <v>1.0</v>
      </c>
      <c r="G120" s="46"/>
      <c r="H120" s="42"/>
      <c r="O120" s="15">
        <f>1/36</f>
        <v>0.02777777778</v>
      </c>
      <c r="Z120" s="15">
        <f>1/36</f>
        <v>0.02777777778</v>
      </c>
      <c r="AM120" s="15">
        <f t="shared" si="22"/>
        <v>0.01388888889</v>
      </c>
      <c r="AO120" s="15">
        <f>1/36</f>
        <v>0.02777777778</v>
      </c>
      <c r="AV120" s="15">
        <f t="shared" si="23"/>
        <v>0.6805555556</v>
      </c>
      <c r="BH120" s="15">
        <f t="shared" si="24"/>
        <v>0.05555555556</v>
      </c>
      <c r="BK120" s="15">
        <f t="shared" si="25"/>
        <v>0.08333333333</v>
      </c>
      <c r="BW120" s="15">
        <f>2.5/36</f>
        <v>0.06944444444</v>
      </c>
      <c r="CF120" s="15">
        <f>0.5/36</f>
        <v>0.01388888889</v>
      </c>
      <c r="CX120" s="62"/>
      <c r="CY120" s="19">
        <f t="shared" si="9"/>
        <v>1</v>
      </c>
      <c r="CZ120" s="19"/>
      <c r="DA120" s="19"/>
      <c r="DB120" s="19"/>
      <c r="DC120" s="19"/>
      <c r="DD120" s="19"/>
      <c r="DE120" s="19"/>
      <c r="DF120" s="19"/>
      <c r="DG120" s="19"/>
      <c r="DH120" s="19"/>
    </row>
    <row r="121">
      <c r="A121" s="40">
        <v>45388.0</v>
      </c>
      <c r="B121" s="39" t="s">
        <v>238</v>
      </c>
      <c r="C121" s="25">
        <v>4.0</v>
      </c>
      <c r="D121" s="25">
        <v>12.0</v>
      </c>
      <c r="E121" s="45">
        <v>10.0</v>
      </c>
      <c r="F121" s="45">
        <v>1.0</v>
      </c>
      <c r="G121" s="46"/>
      <c r="H121" s="42"/>
      <c r="J121" s="15">
        <f>2/36</f>
        <v>0.05555555556</v>
      </c>
      <c r="AL121" s="2">
        <v>0.02</v>
      </c>
      <c r="AM121" s="2">
        <v>0.01</v>
      </c>
      <c r="AO121" s="15">
        <f>0.75/36</f>
        <v>0.02083333333</v>
      </c>
      <c r="BD121" s="2">
        <v>0.01</v>
      </c>
      <c r="BH121" s="15">
        <f>1/36</f>
        <v>0.02777777778</v>
      </c>
      <c r="BK121" s="15">
        <f>1-(sum(I121:BJ121)+sum(BL121:CX121))</f>
        <v>0.6741666667</v>
      </c>
      <c r="BV121" s="15">
        <f>1/36</f>
        <v>0.02777777778</v>
      </c>
      <c r="BW121" s="15">
        <f t="shared" ref="BW121:BW122" si="26">2/36</f>
        <v>0.05555555556</v>
      </c>
      <c r="CD121" s="2">
        <v>0.005</v>
      </c>
      <c r="CR121" s="15">
        <f>3/36</f>
        <v>0.08333333333</v>
      </c>
      <c r="CX121" s="63">
        <v>0.01</v>
      </c>
      <c r="CY121" s="19">
        <f t="shared" si="9"/>
        <v>1</v>
      </c>
      <c r="CZ121" s="19"/>
      <c r="DA121" s="19"/>
      <c r="DB121" s="19"/>
      <c r="DC121" s="19"/>
      <c r="DD121" s="19"/>
      <c r="DE121" s="19"/>
      <c r="DF121" s="19"/>
      <c r="DG121" s="19"/>
      <c r="DH121" s="19"/>
    </row>
    <row r="122">
      <c r="A122" s="40">
        <v>45388.0</v>
      </c>
      <c r="B122" s="39" t="s">
        <v>238</v>
      </c>
      <c r="C122" s="25">
        <v>4.0</v>
      </c>
      <c r="D122" s="25">
        <v>14.0</v>
      </c>
      <c r="E122" s="45">
        <v>8.0</v>
      </c>
      <c r="F122" s="45">
        <v>1.0</v>
      </c>
      <c r="G122" s="46"/>
      <c r="H122" s="42"/>
      <c r="J122" s="15">
        <f>0.5/36</f>
        <v>0.01388888889</v>
      </c>
      <c r="Q122" s="15">
        <f t="shared" ref="Q122:Q123" si="27">1-(sum(I122:P122)+sum(R122:CX122))</f>
        <v>0.6833333333</v>
      </c>
      <c r="Z122" s="15">
        <f>2/36</f>
        <v>0.05555555556</v>
      </c>
      <c r="AM122" s="2">
        <v>0.01</v>
      </c>
      <c r="AO122" s="15">
        <f>1/36</f>
        <v>0.02777777778</v>
      </c>
      <c r="BD122" s="2">
        <v>0.005</v>
      </c>
      <c r="BK122" s="15">
        <f>5/36</f>
        <v>0.1388888889</v>
      </c>
      <c r="BW122" s="15">
        <f t="shared" si="26"/>
        <v>0.05555555556</v>
      </c>
      <c r="CD122" s="2">
        <v>0.005</v>
      </c>
      <c r="CH122" s="2">
        <v>0.005</v>
      </c>
      <c r="CX122" s="62"/>
      <c r="CY122" s="19">
        <f t="shared" si="9"/>
        <v>1</v>
      </c>
      <c r="CZ122" s="19"/>
      <c r="DA122" s="19"/>
      <c r="DB122" s="19"/>
      <c r="DC122" s="19"/>
      <c r="DD122" s="19"/>
      <c r="DE122" s="19"/>
      <c r="DF122" s="19"/>
      <c r="DG122" s="19"/>
      <c r="DH122" s="19"/>
    </row>
    <row r="123">
      <c r="A123" s="40">
        <v>45388.0</v>
      </c>
      <c r="B123" s="39" t="s">
        <v>238</v>
      </c>
      <c r="C123" s="25">
        <v>4.0</v>
      </c>
      <c r="D123" s="25">
        <v>16.0</v>
      </c>
      <c r="E123" s="45">
        <v>6.0</v>
      </c>
      <c r="F123" s="45">
        <v>5.0</v>
      </c>
      <c r="G123" s="46"/>
      <c r="H123" s="42"/>
      <c r="J123" s="15">
        <f>1.5/36</f>
        <v>0.04166666667</v>
      </c>
      <c r="Q123" s="15">
        <f t="shared" si="27"/>
        <v>0.6514444444</v>
      </c>
      <c r="R123" s="2">
        <v>0.005</v>
      </c>
      <c r="AG123" s="2">
        <v>0.03</v>
      </c>
      <c r="AM123" s="15">
        <f>1/36</f>
        <v>0.02777777778</v>
      </c>
      <c r="AO123" s="15">
        <f>2.5/36</f>
        <v>0.06944444444</v>
      </c>
      <c r="AW123" s="2">
        <v>0.002</v>
      </c>
      <c r="AX123" s="15">
        <f>0.5/36</f>
        <v>0.01388888889</v>
      </c>
      <c r="BI123" s="2">
        <v>0.001</v>
      </c>
      <c r="BK123" s="15">
        <f>0.5/36</f>
        <v>0.01388888889</v>
      </c>
      <c r="CD123" s="2">
        <v>0.005</v>
      </c>
      <c r="CP123" s="15">
        <f>3/36</f>
        <v>0.08333333333</v>
      </c>
      <c r="CX123" s="62">
        <f>2/36</f>
        <v>0.05555555556</v>
      </c>
      <c r="CY123" s="19">
        <f t="shared" si="9"/>
        <v>1</v>
      </c>
      <c r="CZ123" s="19"/>
      <c r="DA123" s="19"/>
      <c r="DB123" s="19"/>
      <c r="DC123" s="19"/>
      <c r="DD123" s="19"/>
      <c r="DE123" s="19"/>
      <c r="DF123" s="19"/>
      <c r="DG123" s="19"/>
      <c r="DH123" s="19"/>
    </row>
    <row r="124">
      <c r="A124" s="40">
        <v>45388.0</v>
      </c>
      <c r="B124" s="39" t="s">
        <v>238</v>
      </c>
      <c r="C124" s="25">
        <v>4.0</v>
      </c>
      <c r="D124" s="25">
        <v>18.0</v>
      </c>
      <c r="E124" s="45">
        <v>4.0</v>
      </c>
      <c r="F124" s="45">
        <v>5.0</v>
      </c>
      <c r="G124" s="46"/>
      <c r="H124" s="42"/>
      <c r="Q124" s="15">
        <f>4/36</f>
        <v>0.1111111111</v>
      </c>
      <c r="AG124" s="2">
        <v>0.01</v>
      </c>
      <c r="AM124" s="15">
        <f t="shared" ref="AM124:AM125" si="28">0.5/36</f>
        <v>0.01388888889</v>
      </c>
      <c r="AO124" s="15">
        <f>1.5/36</f>
        <v>0.04166666667</v>
      </c>
      <c r="BI124" s="2">
        <v>0.001</v>
      </c>
      <c r="BK124" s="15">
        <f>1-(sum(I124:BJ124)+sum(BL124:CX124))</f>
        <v>0.6536666667</v>
      </c>
      <c r="CD124" s="2">
        <v>0.002</v>
      </c>
      <c r="CP124" s="15">
        <f>6/36</f>
        <v>0.1666666667</v>
      </c>
      <c r="CX124" s="19"/>
      <c r="CY124" s="19">
        <f t="shared" si="9"/>
        <v>1</v>
      </c>
      <c r="CZ124" s="19"/>
      <c r="DA124" s="19"/>
      <c r="DB124" s="19"/>
      <c r="DC124" s="19"/>
      <c r="DD124" s="19"/>
      <c r="DE124" s="19"/>
      <c r="DF124" s="19"/>
      <c r="DG124" s="19"/>
      <c r="DH124" s="19"/>
    </row>
    <row r="125">
      <c r="A125" s="40">
        <v>45388.0</v>
      </c>
      <c r="B125" s="39" t="s">
        <v>238</v>
      </c>
      <c r="C125" s="25">
        <v>4.0</v>
      </c>
      <c r="D125" s="25">
        <v>20.0</v>
      </c>
      <c r="E125" s="45">
        <v>2.0</v>
      </c>
      <c r="F125" s="45">
        <v>1.0</v>
      </c>
      <c r="G125" s="46"/>
      <c r="H125" s="42"/>
      <c r="AM125" s="15">
        <f t="shared" si="28"/>
        <v>0.01388888889</v>
      </c>
      <c r="AV125" s="2">
        <v>0.005</v>
      </c>
      <c r="BK125" s="2">
        <v>0.01</v>
      </c>
      <c r="CD125" s="2">
        <v>0.002</v>
      </c>
      <c r="CP125" s="15">
        <f>1/36</f>
        <v>0.02777777778</v>
      </c>
      <c r="CR125" s="15">
        <f t="shared" ref="CR125:CR126" si="29">1-(sum(I125:CQ125)+sum(CS125:CX125))</f>
        <v>0.9413333333</v>
      </c>
      <c r="CX125" s="19"/>
      <c r="CY125" s="19">
        <f t="shared" si="9"/>
        <v>1</v>
      </c>
      <c r="CZ125" s="19"/>
      <c r="DA125" s="19"/>
      <c r="DB125" s="19"/>
      <c r="DC125" s="19"/>
      <c r="DD125" s="19"/>
      <c r="DE125" s="19"/>
      <c r="DF125" s="19"/>
      <c r="DG125" s="19"/>
      <c r="DH125" s="19"/>
    </row>
    <row r="126">
      <c r="A126" s="40">
        <v>45388.0</v>
      </c>
      <c r="B126" s="39" t="s">
        <v>238</v>
      </c>
      <c r="C126" s="25">
        <v>4.0</v>
      </c>
      <c r="D126" s="25">
        <v>22.0</v>
      </c>
      <c r="E126" s="45">
        <v>0.0</v>
      </c>
      <c r="F126" s="45">
        <v>1.0</v>
      </c>
      <c r="G126" s="46"/>
      <c r="H126" s="42"/>
      <c r="Q126" s="15">
        <f>0.5/36</f>
        <v>0.01388888889</v>
      </c>
      <c r="R126" s="2">
        <v>0.005</v>
      </c>
      <c r="AH126" s="15">
        <f>1/36</f>
        <v>0.02777777778</v>
      </c>
      <c r="AM126" s="15">
        <f>2/36</f>
        <v>0.05555555556</v>
      </c>
      <c r="BK126" s="2">
        <v>0.01</v>
      </c>
      <c r="CD126" s="2">
        <v>0.002</v>
      </c>
      <c r="CP126" s="15">
        <f>3/36</f>
        <v>0.08333333333</v>
      </c>
      <c r="CR126" s="15">
        <f t="shared" si="29"/>
        <v>0.7746666667</v>
      </c>
      <c r="CU126" s="15">
        <f>1/36</f>
        <v>0.02777777778</v>
      </c>
      <c r="CX126" s="19"/>
      <c r="CY126" s="19">
        <f t="shared" si="9"/>
        <v>1</v>
      </c>
      <c r="CZ126" s="19"/>
      <c r="DA126" s="19"/>
      <c r="DB126" s="19"/>
      <c r="DC126" s="19"/>
      <c r="DD126" s="19"/>
      <c r="DE126" s="19"/>
      <c r="DF126" s="19"/>
      <c r="DG126" s="19"/>
      <c r="DH126" s="19"/>
    </row>
    <row r="127">
      <c r="A127" s="64"/>
      <c r="B127" s="47"/>
      <c r="C127" s="47"/>
      <c r="D127" s="47"/>
      <c r="E127" s="47"/>
      <c r="F127" s="47"/>
      <c r="G127" s="46"/>
      <c r="H127" s="42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</row>
    <row r="128">
      <c r="A128" s="64"/>
      <c r="B128" s="47"/>
      <c r="C128" s="47"/>
      <c r="D128" s="47"/>
      <c r="E128" s="47"/>
      <c r="F128" s="47"/>
      <c r="G128" s="46"/>
      <c r="H128" s="42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</row>
    <row r="129">
      <c r="A129" s="64"/>
      <c r="B129" s="47"/>
      <c r="C129" s="47"/>
      <c r="D129" s="47"/>
      <c r="E129" s="47"/>
      <c r="F129" s="47"/>
      <c r="G129" s="46"/>
      <c r="H129" s="42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</row>
    <row r="130">
      <c r="A130" s="64"/>
      <c r="B130" s="47"/>
      <c r="C130" s="47"/>
      <c r="D130" s="47"/>
      <c r="E130" s="47"/>
      <c r="F130" s="47"/>
      <c r="G130" s="46"/>
      <c r="H130" s="42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</row>
    <row r="131">
      <c r="A131" s="64"/>
      <c r="B131" s="47"/>
      <c r="C131" s="47"/>
      <c r="D131" s="47"/>
      <c r="E131" s="47"/>
      <c r="F131" s="47"/>
      <c r="G131" s="46"/>
      <c r="H131" s="42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</row>
    <row r="132">
      <c r="A132" s="64"/>
      <c r="B132" s="47"/>
      <c r="C132" s="47"/>
      <c r="D132" s="47"/>
      <c r="E132" s="47"/>
      <c r="F132" s="47"/>
      <c r="G132" s="46"/>
      <c r="H132" s="42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</row>
    <row r="133">
      <c r="A133" s="64"/>
      <c r="B133" s="47"/>
      <c r="C133" s="47"/>
      <c r="D133" s="47"/>
      <c r="E133" s="47"/>
      <c r="F133" s="47"/>
      <c r="G133" s="46"/>
      <c r="H133" s="42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</row>
    <row r="134">
      <c r="A134" s="64"/>
      <c r="B134" s="47"/>
      <c r="C134" s="47"/>
      <c r="D134" s="47"/>
      <c r="E134" s="47"/>
      <c r="F134" s="47"/>
      <c r="G134" s="46"/>
      <c r="H134" s="42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</row>
    <row r="135">
      <c r="A135" s="64"/>
      <c r="B135" s="47"/>
      <c r="C135" s="47"/>
      <c r="D135" s="47"/>
      <c r="E135" s="47"/>
      <c r="F135" s="47"/>
      <c r="G135" s="46"/>
      <c r="H135" s="42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</row>
    <row r="136">
      <c r="A136" s="64"/>
      <c r="B136" s="47"/>
      <c r="C136" s="47"/>
      <c r="D136" s="47"/>
      <c r="E136" s="47"/>
      <c r="F136" s="47"/>
      <c r="G136" s="46"/>
      <c r="H136" s="42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</row>
    <row r="137">
      <c r="A137" s="64"/>
      <c r="B137" s="47"/>
      <c r="C137" s="47"/>
      <c r="D137" s="47"/>
      <c r="E137" s="47"/>
      <c r="F137" s="47"/>
      <c r="G137" s="46"/>
      <c r="H137" s="42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</row>
    <row r="138">
      <c r="A138" s="64"/>
      <c r="B138" s="47"/>
      <c r="C138" s="47"/>
      <c r="D138" s="47"/>
      <c r="E138" s="47"/>
      <c r="F138" s="47"/>
      <c r="G138" s="46"/>
      <c r="H138" s="42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</row>
    <row r="139">
      <c r="A139" s="64"/>
      <c r="B139" s="47"/>
      <c r="C139" s="47"/>
      <c r="D139" s="47"/>
      <c r="E139" s="47"/>
      <c r="F139" s="47"/>
      <c r="G139" s="46"/>
      <c r="H139" s="42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</row>
    <row r="140">
      <c r="A140" s="64"/>
      <c r="B140" s="47"/>
      <c r="C140" s="47"/>
      <c r="D140" s="47"/>
      <c r="E140" s="47"/>
      <c r="F140" s="47"/>
      <c r="G140" s="46"/>
      <c r="H140" s="42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</row>
    <row r="141">
      <c r="A141" s="64"/>
      <c r="B141" s="47"/>
      <c r="C141" s="47"/>
      <c r="D141" s="47"/>
      <c r="E141" s="47"/>
      <c r="F141" s="47"/>
      <c r="G141" s="46"/>
      <c r="H141" s="42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</row>
    <row r="142">
      <c r="A142" s="64"/>
      <c r="B142" s="47"/>
      <c r="C142" s="47"/>
      <c r="D142" s="47"/>
      <c r="E142" s="47"/>
      <c r="F142" s="47"/>
      <c r="G142" s="46"/>
      <c r="H142" s="42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</row>
    <row r="143">
      <c r="A143" s="64"/>
      <c r="B143" s="47"/>
      <c r="C143" s="47"/>
      <c r="D143" s="47"/>
      <c r="E143" s="47"/>
      <c r="F143" s="47"/>
      <c r="G143" s="46"/>
      <c r="H143" s="42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</row>
    <row r="144">
      <c r="A144" s="64"/>
      <c r="B144" s="47"/>
      <c r="C144" s="47"/>
      <c r="D144" s="47"/>
      <c r="E144" s="47"/>
      <c r="F144" s="47"/>
      <c r="G144" s="46"/>
      <c r="H144" s="42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</row>
    <row r="145">
      <c r="A145" s="64"/>
      <c r="B145" s="47"/>
      <c r="C145" s="47"/>
      <c r="D145" s="47"/>
      <c r="E145" s="47"/>
      <c r="F145" s="47"/>
      <c r="G145" s="46"/>
      <c r="H145" s="42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</row>
    <row r="146">
      <c r="A146" s="64"/>
      <c r="B146" s="47"/>
      <c r="C146" s="47"/>
      <c r="D146" s="47"/>
      <c r="E146" s="47"/>
      <c r="F146" s="47"/>
      <c r="G146" s="46"/>
      <c r="H146" s="42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</row>
    <row r="147">
      <c r="A147" s="64"/>
      <c r="B147" s="47"/>
      <c r="C147" s="47"/>
      <c r="D147" s="47"/>
      <c r="E147" s="47"/>
      <c r="F147" s="47"/>
      <c r="G147" s="46"/>
      <c r="H147" s="42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</row>
    <row r="148">
      <c r="A148" s="64"/>
      <c r="B148" s="47"/>
      <c r="C148" s="47"/>
      <c r="D148" s="47"/>
      <c r="E148" s="47"/>
      <c r="F148" s="47"/>
      <c r="G148" s="46"/>
      <c r="H148" s="42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</row>
    <row r="149">
      <c r="A149" s="64"/>
      <c r="B149" s="47"/>
      <c r="C149" s="47"/>
      <c r="D149" s="47"/>
      <c r="E149" s="47"/>
      <c r="F149" s="47"/>
      <c r="G149" s="46"/>
      <c r="H149" s="42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</row>
    <row r="150">
      <c r="A150" s="64"/>
      <c r="B150" s="47"/>
      <c r="C150" s="47"/>
      <c r="D150" s="47"/>
      <c r="E150" s="47"/>
      <c r="F150" s="47"/>
      <c r="G150" s="46"/>
      <c r="H150" s="42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</row>
    <row r="151">
      <c r="A151" s="64"/>
      <c r="B151" s="47"/>
      <c r="C151" s="47"/>
      <c r="D151" s="47"/>
      <c r="E151" s="47"/>
      <c r="F151" s="47"/>
      <c r="G151" s="46"/>
      <c r="H151" s="42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</row>
    <row r="152">
      <c r="A152" s="64"/>
      <c r="B152" s="47"/>
      <c r="C152" s="47"/>
      <c r="D152" s="47"/>
      <c r="E152" s="47"/>
      <c r="F152" s="47"/>
      <c r="G152" s="46"/>
      <c r="H152" s="42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</row>
    <row r="153">
      <c r="A153" s="64"/>
      <c r="B153" s="47"/>
      <c r="C153" s="47"/>
      <c r="D153" s="47"/>
      <c r="E153" s="47"/>
      <c r="F153" s="47"/>
      <c r="G153" s="46"/>
      <c r="H153" s="42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</row>
    <row r="154">
      <c r="A154" s="64"/>
      <c r="B154" s="47"/>
      <c r="C154" s="47"/>
      <c r="D154" s="47"/>
      <c r="E154" s="47"/>
      <c r="F154" s="47"/>
      <c r="G154" s="46"/>
      <c r="H154" s="42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</row>
    <row r="155">
      <c r="A155" s="64"/>
      <c r="B155" s="47"/>
      <c r="C155" s="47"/>
      <c r="D155" s="47"/>
      <c r="E155" s="47"/>
      <c r="F155" s="47"/>
      <c r="G155" s="46"/>
      <c r="H155" s="42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</row>
    <row r="156">
      <c r="A156" s="64"/>
      <c r="B156" s="47"/>
      <c r="C156" s="47"/>
      <c r="D156" s="47"/>
      <c r="E156" s="47"/>
      <c r="F156" s="47"/>
      <c r="G156" s="46"/>
      <c r="H156" s="42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</row>
    <row r="157">
      <c r="A157" s="64"/>
      <c r="B157" s="47"/>
      <c r="C157" s="47"/>
      <c r="D157" s="47"/>
      <c r="E157" s="47"/>
      <c r="F157" s="47"/>
      <c r="G157" s="46"/>
      <c r="H157" s="42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</row>
    <row r="158">
      <c r="A158" s="64"/>
      <c r="B158" s="47"/>
      <c r="C158" s="47"/>
      <c r="D158" s="47"/>
      <c r="E158" s="47"/>
      <c r="F158" s="47"/>
      <c r="G158" s="46"/>
      <c r="H158" s="42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</row>
    <row r="159">
      <c r="A159" s="64"/>
      <c r="B159" s="47"/>
      <c r="C159" s="47"/>
      <c r="D159" s="47"/>
      <c r="E159" s="47"/>
      <c r="F159" s="47"/>
      <c r="G159" s="46"/>
      <c r="H159" s="42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</row>
    <row r="160">
      <c r="A160" s="64"/>
      <c r="B160" s="47"/>
      <c r="C160" s="47"/>
      <c r="D160" s="47"/>
      <c r="E160" s="47"/>
      <c r="F160" s="47"/>
      <c r="G160" s="46"/>
      <c r="H160" s="42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</row>
    <row r="161">
      <c r="A161" s="64"/>
      <c r="B161" s="47"/>
      <c r="C161" s="47"/>
      <c r="D161" s="47"/>
      <c r="E161" s="47"/>
      <c r="F161" s="47"/>
      <c r="G161" s="46"/>
      <c r="H161" s="42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</row>
    <row r="162">
      <c r="A162" s="64"/>
      <c r="B162" s="47"/>
      <c r="C162" s="47"/>
      <c r="D162" s="47"/>
      <c r="E162" s="47"/>
      <c r="F162" s="47"/>
      <c r="G162" s="46"/>
      <c r="H162" s="42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</row>
    <row r="163">
      <c r="A163" s="64"/>
      <c r="B163" s="47"/>
      <c r="C163" s="47"/>
      <c r="D163" s="47"/>
      <c r="E163" s="47"/>
      <c r="F163" s="47"/>
      <c r="G163" s="46"/>
      <c r="H163" s="42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</row>
    <row r="164">
      <c r="A164" s="64"/>
      <c r="B164" s="47"/>
      <c r="C164" s="47"/>
      <c r="D164" s="47"/>
      <c r="E164" s="47"/>
      <c r="F164" s="47"/>
      <c r="G164" s="46"/>
      <c r="H164" s="42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</row>
    <row r="165">
      <c r="A165" s="64"/>
      <c r="B165" s="47"/>
      <c r="C165" s="47"/>
      <c r="D165" s="47"/>
      <c r="E165" s="47"/>
      <c r="F165" s="47"/>
      <c r="G165" s="46"/>
      <c r="H165" s="42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</row>
    <row r="166">
      <c r="A166" s="64"/>
      <c r="B166" s="47"/>
      <c r="C166" s="47"/>
      <c r="D166" s="47"/>
      <c r="E166" s="47"/>
      <c r="F166" s="47"/>
      <c r="G166" s="46"/>
      <c r="H166" s="42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</row>
    <row r="167">
      <c r="A167" s="64"/>
      <c r="B167" s="47"/>
      <c r="C167" s="47"/>
      <c r="D167" s="47"/>
      <c r="E167" s="47"/>
      <c r="F167" s="47"/>
      <c r="G167" s="46"/>
      <c r="H167" s="42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</row>
    <row r="168">
      <c r="A168" s="64"/>
      <c r="B168" s="47"/>
      <c r="C168" s="47"/>
      <c r="D168" s="47"/>
      <c r="E168" s="47"/>
      <c r="F168" s="47"/>
      <c r="G168" s="46"/>
      <c r="H168" s="42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</row>
    <row r="169">
      <c r="A169" s="64"/>
      <c r="B169" s="47"/>
      <c r="C169" s="47"/>
      <c r="D169" s="47"/>
      <c r="E169" s="47"/>
      <c r="F169" s="47"/>
      <c r="G169" s="46"/>
      <c r="H169" s="42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</row>
    <row r="170">
      <c r="A170" s="64"/>
      <c r="B170" s="47"/>
      <c r="C170" s="47"/>
      <c r="D170" s="47"/>
      <c r="E170" s="47"/>
      <c r="F170" s="47"/>
      <c r="G170" s="46"/>
      <c r="H170" s="42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</row>
    <row r="171">
      <c r="A171" s="64"/>
      <c r="B171" s="47"/>
      <c r="C171" s="47"/>
      <c r="D171" s="47"/>
      <c r="E171" s="47"/>
      <c r="F171" s="47"/>
      <c r="G171" s="46"/>
      <c r="H171" s="42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</row>
    <row r="172">
      <c r="A172" s="64"/>
      <c r="B172" s="47"/>
      <c r="C172" s="47"/>
      <c r="D172" s="47"/>
      <c r="E172" s="47"/>
      <c r="F172" s="47"/>
      <c r="G172" s="46"/>
      <c r="H172" s="42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</row>
    <row r="173">
      <c r="A173" s="64"/>
      <c r="B173" s="47"/>
      <c r="C173" s="47"/>
      <c r="D173" s="47"/>
      <c r="E173" s="47"/>
      <c r="F173" s="47"/>
      <c r="G173" s="46"/>
      <c r="H173" s="42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</row>
    <row r="174">
      <c r="A174" s="64"/>
      <c r="B174" s="47"/>
      <c r="C174" s="47"/>
      <c r="D174" s="47"/>
      <c r="E174" s="47"/>
      <c r="F174" s="47"/>
      <c r="G174" s="46"/>
      <c r="H174" s="42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</row>
    <row r="175">
      <c r="A175" s="64"/>
      <c r="B175" s="47"/>
      <c r="C175" s="47"/>
      <c r="D175" s="47"/>
      <c r="E175" s="47"/>
      <c r="F175" s="47"/>
      <c r="G175" s="46"/>
      <c r="H175" s="42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</row>
    <row r="176">
      <c r="A176" s="64"/>
      <c r="B176" s="47"/>
      <c r="C176" s="47"/>
      <c r="D176" s="47"/>
      <c r="E176" s="47"/>
      <c r="F176" s="47"/>
      <c r="G176" s="46"/>
      <c r="H176" s="42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</row>
    <row r="177">
      <c r="A177" s="64"/>
      <c r="B177" s="47"/>
      <c r="C177" s="47"/>
      <c r="D177" s="47"/>
      <c r="E177" s="47"/>
      <c r="F177" s="47"/>
      <c r="G177" s="46"/>
      <c r="H177" s="42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</row>
    <row r="178">
      <c r="A178" s="64"/>
      <c r="B178" s="47"/>
      <c r="C178" s="47"/>
      <c r="D178" s="47"/>
      <c r="E178" s="47"/>
      <c r="F178" s="47"/>
      <c r="G178" s="46"/>
      <c r="H178" s="42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</row>
    <row r="179">
      <c r="A179" s="64"/>
      <c r="B179" s="47"/>
      <c r="C179" s="47"/>
      <c r="D179" s="47"/>
      <c r="E179" s="47"/>
      <c r="F179" s="47"/>
      <c r="G179" s="46"/>
      <c r="H179" s="42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</row>
    <row r="180">
      <c r="A180" s="64"/>
      <c r="B180" s="47"/>
      <c r="C180" s="47"/>
      <c r="D180" s="47"/>
      <c r="E180" s="47"/>
      <c r="F180" s="47"/>
      <c r="G180" s="46"/>
      <c r="H180" s="42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</row>
    <row r="181">
      <c r="A181" s="64"/>
      <c r="B181" s="47"/>
      <c r="C181" s="47"/>
      <c r="D181" s="47"/>
      <c r="E181" s="47"/>
      <c r="F181" s="47"/>
      <c r="G181" s="46"/>
      <c r="H181" s="42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</row>
    <row r="182">
      <c r="A182" s="64"/>
      <c r="B182" s="47"/>
      <c r="C182" s="47"/>
      <c r="D182" s="47"/>
      <c r="E182" s="47"/>
      <c r="F182" s="47"/>
      <c r="G182" s="46"/>
      <c r="H182" s="42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</row>
    <row r="183">
      <c r="A183" s="64"/>
      <c r="B183" s="47"/>
      <c r="C183" s="47"/>
      <c r="D183" s="47"/>
      <c r="E183" s="47"/>
      <c r="F183" s="47"/>
      <c r="G183" s="46"/>
      <c r="H183" s="42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</row>
    <row r="184">
      <c r="A184" s="64"/>
      <c r="B184" s="47"/>
      <c r="C184" s="47"/>
      <c r="D184" s="47"/>
      <c r="E184" s="47"/>
      <c r="F184" s="47"/>
      <c r="G184" s="46"/>
      <c r="H184" s="42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</row>
    <row r="185">
      <c r="A185" s="64"/>
      <c r="B185" s="47"/>
      <c r="C185" s="47"/>
      <c r="D185" s="47"/>
      <c r="E185" s="47"/>
      <c r="F185" s="47"/>
      <c r="G185" s="46"/>
      <c r="H185" s="42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</row>
    <row r="186">
      <c r="A186" s="64"/>
      <c r="B186" s="47"/>
      <c r="C186" s="47"/>
      <c r="D186" s="47"/>
      <c r="E186" s="47"/>
      <c r="F186" s="47"/>
      <c r="G186" s="46"/>
      <c r="H186" s="42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</row>
    <row r="187">
      <c r="A187" s="64"/>
      <c r="B187" s="47"/>
      <c r="C187" s="47"/>
      <c r="D187" s="47"/>
      <c r="E187" s="47"/>
      <c r="F187" s="47"/>
      <c r="G187" s="46"/>
      <c r="H187" s="42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</row>
    <row r="188">
      <c r="A188" s="64"/>
      <c r="B188" s="47"/>
      <c r="C188" s="47"/>
      <c r="D188" s="47"/>
      <c r="E188" s="47"/>
      <c r="F188" s="47"/>
      <c r="G188" s="46"/>
      <c r="H188" s="42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</row>
    <row r="189">
      <c r="A189" s="64"/>
      <c r="B189" s="47"/>
      <c r="C189" s="47"/>
      <c r="D189" s="47"/>
      <c r="E189" s="47"/>
      <c r="F189" s="47"/>
      <c r="G189" s="46"/>
      <c r="H189" s="42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</row>
    <row r="190">
      <c r="A190" s="64"/>
      <c r="B190" s="47"/>
      <c r="C190" s="47"/>
      <c r="D190" s="47"/>
      <c r="E190" s="47"/>
      <c r="F190" s="47"/>
      <c r="G190" s="46"/>
      <c r="H190" s="42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</row>
    <row r="191">
      <c r="A191" s="64"/>
      <c r="B191" s="47"/>
      <c r="C191" s="47"/>
      <c r="D191" s="47"/>
      <c r="E191" s="47"/>
      <c r="F191" s="47"/>
      <c r="G191" s="46"/>
      <c r="H191" s="42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</row>
    <row r="192">
      <c r="A192" s="64"/>
      <c r="B192" s="47"/>
      <c r="C192" s="47"/>
      <c r="D192" s="47"/>
      <c r="E192" s="47"/>
      <c r="F192" s="47"/>
      <c r="G192" s="46"/>
      <c r="H192" s="42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</row>
    <row r="193">
      <c r="A193" s="64"/>
      <c r="B193" s="47"/>
      <c r="C193" s="47"/>
      <c r="D193" s="47"/>
      <c r="E193" s="47"/>
      <c r="F193" s="47"/>
      <c r="G193" s="46"/>
      <c r="H193" s="42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</row>
    <row r="194">
      <c r="A194" s="64"/>
      <c r="B194" s="47"/>
      <c r="C194" s="47"/>
      <c r="D194" s="47"/>
      <c r="E194" s="47"/>
      <c r="F194" s="47"/>
      <c r="G194" s="46"/>
      <c r="H194" s="42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</row>
    <row r="195">
      <c r="A195" s="64"/>
      <c r="B195" s="47"/>
      <c r="C195" s="47"/>
      <c r="D195" s="47"/>
      <c r="E195" s="47"/>
      <c r="F195" s="47"/>
      <c r="G195" s="46"/>
      <c r="H195" s="42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</row>
    <row r="196">
      <c r="A196" s="64"/>
      <c r="B196" s="47"/>
      <c r="C196" s="47"/>
      <c r="D196" s="47"/>
      <c r="E196" s="47"/>
      <c r="F196" s="47"/>
      <c r="G196" s="46"/>
      <c r="H196" s="42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</row>
    <row r="197">
      <c r="A197" s="64"/>
      <c r="B197" s="47"/>
      <c r="C197" s="47"/>
      <c r="D197" s="47"/>
      <c r="E197" s="47"/>
      <c r="F197" s="47"/>
      <c r="G197" s="46"/>
      <c r="H197" s="42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</row>
    <row r="198">
      <c r="A198" s="64"/>
      <c r="B198" s="47"/>
      <c r="C198" s="47"/>
      <c r="D198" s="47"/>
      <c r="E198" s="47"/>
      <c r="F198" s="47"/>
      <c r="G198" s="46"/>
      <c r="H198" s="42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R198" s="47"/>
      <c r="CS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</row>
    <row r="199">
      <c r="A199" s="64"/>
      <c r="B199" s="47"/>
      <c r="C199" s="47"/>
      <c r="D199" s="47"/>
      <c r="E199" s="47"/>
      <c r="F199" s="47"/>
      <c r="G199" s="46"/>
      <c r="H199" s="42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</row>
    <row r="200">
      <c r="A200" s="64"/>
      <c r="B200" s="47"/>
      <c r="C200" s="47"/>
      <c r="D200" s="47"/>
      <c r="E200" s="47"/>
      <c r="F200" s="47"/>
      <c r="G200" s="46"/>
      <c r="H200" s="42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</row>
    <row r="201">
      <c r="A201" s="64"/>
      <c r="B201" s="47"/>
      <c r="C201" s="47"/>
      <c r="D201" s="47"/>
      <c r="E201" s="47"/>
      <c r="F201" s="47"/>
      <c r="G201" s="46"/>
      <c r="H201" s="42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</row>
    <row r="202">
      <c r="A202" s="64"/>
      <c r="B202" s="47"/>
      <c r="C202" s="47"/>
      <c r="D202" s="47"/>
      <c r="E202" s="47"/>
      <c r="F202" s="47"/>
      <c r="G202" s="46"/>
      <c r="H202" s="42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</row>
    <row r="203">
      <c r="A203" s="64"/>
      <c r="B203" s="47"/>
      <c r="C203" s="47"/>
      <c r="D203" s="47"/>
      <c r="E203" s="47"/>
      <c r="F203" s="47"/>
      <c r="G203" s="46"/>
      <c r="H203" s="42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</row>
    <row r="204">
      <c r="A204" s="64"/>
      <c r="B204" s="47"/>
      <c r="C204" s="47"/>
      <c r="D204" s="47"/>
      <c r="E204" s="47"/>
      <c r="F204" s="47"/>
      <c r="G204" s="46"/>
      <c r="H204" s="42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</row>
    <row r="205">
      <c r="A205" s="64"/>
      <c r="B205" s="47"/>
      <c r="C205" s="47"/>
      <c r="D205" s="47"/>
      <c r="E205" s="47"/>
      <c r="F205" s="47"/>
      <c r="G205" s="46"/>
      <c r="H205" s="42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</row>
    <row r="206">
      <c r="A206" s="64"/>
      <c r="B206" s="47"/>
      <c r="C206" s="47"/>
      <c r="D206" s="47"/>
      <c r="E206" s="47"/>
      <c r="F206" s="47"/>
      <c r="G206" s="46"/>
      <c r="H206" s="42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  <c r="CS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</row>
    <row r="207">
      <c r="A207" s="64"/>
      <c r="B207" s="47"/>
      <c r="C207" s="47"/>
      <c r="D207" s="47"/>
      <c r="E207" s="47"/>
      <c r="F207" s="47"/>
      <c r="G207" s="46"/>
      <c r="H207" s="42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</row>
    <row r="208">
      <c r="A208" s="64"/>
      <c r="B208" s="47"/>
      <c r="C208" s="47"/>
      <c r="D208" s="47"/>
      <c r="E208" s="47"/>
      <c r="F208" s="47"/>
      <c r="G208" s="46"/>
      <c r="H208" s="42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</row>
    <row r="209">
      <c r="A209" s="64"/>
      <c r="B209" s="47"/>
      <c r="C209" s="47"/>
      <c r="D209" s="47"/>
      <c r="E209" s="47"/>
      <c r="F209" s="47"/>
      <c r="G209" s="46"/>
      <c r="H209" s="42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</row>
    <row r="210">
      <c r="A210" s="64"/>
      <c r="B210" s="47"/>
      <c r="C210" s="47"/>
      <c r="D210" s="47"/>
      <c r="E210" s="47"/>
      <c r="F210" s="47"/>
      <c r="G210" s="46"/>
      <c r="H210" s="42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</row>
    <row r="211">
      <c r="A211" s="64"/>
      <c r="B211" s="47"/>
      <c r="C211" s="47"/>
      <c r="D211" s="47"/>
      <c r="E211" s="47"/>
      <c r="F211" s="47"/>
      <c r="G211" s="46"/>
      <c r="H211" s="42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</row>
    <row r="212">
      <c r="A212" s="64"/>
      <c r="B212" s="47"/>
      <c r="C212" s="47"/>
      <c r="D212" s="47"/>
      <c r="E212" s="47"/>
      <c r="F212" s="47"/>
      <c r="G212" s="46"/>
      <c r="H212" s="42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</row>
    <row r="213">
      <c r="A213" s="64"/>
      <c r="B213" s="47"/>
      <c r="C213" s="47"/>
      <c r="D213" s="47"/>
      <c r="E213" s="47"/>
      <c r="F213" s="47"/>
      <c r="G213" s="46"/>
      <c r="H213" s="42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</row>
    <row r="214">
      <c r="A214" s="64"/>
      <c r="B214" s="47"/>
      <c r="C214" s="47"/>
      <c r="D214" s="47"/>
      <c r="E214" s="47"/>
      <c r="F214" s="47"/>
      <c r="G214" s="46"/>
      <c r="H214" s="42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</row>
    <row r="215">
      <c r="A215" s="64"/>
      <c r="B215" s="47"/>
      <c r="C215" s="47"/>
      <c r="D215" s="47"/>
      <c r="E215" s="47"/>
      <c r="F215" s="47"/>
      <c r="G215" s="46"/>
      <c r="H215" s="42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</row>
    <row r="216">
      <c r="A216" s="64"/>
      <c r="B216" s="47"/>
      <c r="C216" s="47"/>
      <c r="D216" s="47"/>
      <c r="E216" s="47"/>
      <c r="F216" s="47"/>
      <c r="G216" s="46"/>
      <c r="H216" s="42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</row>
    <row r="217">
      <c r="A217" s="64"/>
      <c r="B217" s="47"/>
      <c r="C217" s="47"/>
      <c r="D217" s="47"/>
      <c r="E217" s="47"/>
      <c r="F217" s="47"/>
      <c r="G217" s="46"/>
      <c r="H217" s="42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</row>
    <row r="218">
      <c r="A218" s="64"/>
      <c r="B218" s="47"/>
      <c r="C218" s="47"/>
      <c r="D218" s="47"/>
      <c r="E218" s="47"/>
      <c r="F218" s="47"/>
      <c r="G218" s="46"/>
      <c r="H218" s="42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</row>
    <row r="219">
      <c r="A219" s="64"/>
      <c r="B219" s="47"/>
      <c r="C219" s="47"/>
      <c r="D219" s="47"/>
      <c r="E219" s="47"/>
      <c r="F219" s="47"/>
      <c r="G219" s="46"/>
      <c r="H219" s="42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</row>
    <row r="220">
      <c r="A220" s="64"/>
      <c r="B220" s="47"/>
      <c r="C220" s="47"/>
      <c r="D220" s="47"/>
      <c r="E220" s="47"/>
      <c r="F220" s="47"/>
      <c r="G220" s="46"/>
      <c r="H220" s="42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</row>
    <row r="221">
      <c r="A221" s="64"/>
      <c r="B221" s="47"/>
      <c r="C221" s="47"/>
      <c r="D221" s="47"/>
      <c r="E221" s="47"/>
      <c r="F221" s="47"/>
      <c r="G221" s="46"/>
      <c r="H221" s="42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</row>
    <row r="222">
      <c r="A222" s="64"/>
      <c r="B222" s="47"/>
      <c r="C222" s="47"/>
      <c r="D222" s="47"/>
      <c r="E222" s="47"/>
      <c r="F222" s="47"/>
      <c r="G222" s="46"/>
      <c r="H222" s="42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</row>
    <row r="223">
      <c r="A223" s="64"/>
      <c r="B223" s="47"/>
      <c r="C223" s="47"/>
      <c r="D223" s="47"/>
      <c r="E223" s="47"/>
      <c r="F223" s="47"/>
      <c r="G223" s="46"/>
      <c r="H223" s="42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</row>
    <row r="224">
      <c r="A224" s="64"/>
      <c r="B224" s="47"/>
      <c r="C224" s="47"/>
      <c r="D224" s="47"/>
      <c r="E224" s="47"/>
      <c r="F224" s="47"/>
      <c r="G224" s="46"/>
      <c r="H224" s="42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</row>
    <row r="225">
      <c r="A225" s="64"/>
      <c r="B225" s="47"/>
      <c r="C225" s="47"/>
      <c r="D225" s="47"/>
      <c r="E225" s="47"/>
      <c r="F225" s="47"/>
      <c r="G225" s="46"/>
      <c r="H225" s="42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</row>
    <row r="226">
      <c r="A226" s="64"/>
      <c r="B226" s="47"/>
      <c r="C226" s="47"/>
      <c r="D226" s="47"/>
      <c r="E226" s="47"/>
      <c r="F226" s="47"/>
      <c r="G226" s="46"/>
      <c r="H226" s="42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</row>
    <row r="227">
      <c r="A227" s="64"/>
      <c r="B227" s="47"/>
      <c r="C227" s="47"/>
      <c r="D227" s="47"/>
      <c r="E227" s="47"/>
      <c r="F227" s="47"/>
      <c r="G227" s="46"/>
      <c r="H227" s="42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</row>
    <row r="228">
      <c r="A228" s="64"/>
      <c r="B228" s="47"/>
      <c r="C228" s="47"/>
      <c r="D228" s="47"/>
      <c r="E228" s="47"/>
      <c r="F228" s="47"/>
      <c r="G228" s="46"/>
      <c r="H228" s="42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</row>
    <row r="229">
      <c r="A229" s="64"/>
      <c r="B229" s="47"/>
      <c r="C229" s="47"/>
      <c r="D229" s="47"/>
      <c r="E229" s="47"/>
      <c r="F229" s="47"/>
      <c r="G229" s="46"/>
      <c r="H229" s="42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</row>
    <row r="230">
      <c r="A230" s="64"/>
      <c r="B230" s="47"/>
      <c r="C230" s="47"/>
      <c r="D230" s="47"/>
      <c r="E230" s="47"/>
      <c r="F230" s="47"/>
      <c r="G230" s="46"/>
      <c r="H230" s="42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</row>
    <row r="231">
      <c r="A231" s="64"/>
      <c r="B231" s="47"/>
      <c r="C231" s="47"/>
      <c r="D231" s="47"/>
      <c r="E231" s="47"/>
      <c r="F231" s="47"/>
      <c r="G231" s="46"/>
      <c r="H231" s="42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</row>
    <row r="232">
      <c r="A232" s="64"/>
      <c r="B232" s="47"/>
      <c r="C232" s="47"/>
      <c r="D232" s="47"/>
      <c r="E232" s="47"/>
      <c r="F232" s="47"/>
      <c r="G232" s="46"/>
      <c r="H232" s="42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</row>
    <row r="233">
      <c r="A233" s="64"/>
      <c r="B233" s="47"/>
      <c r="C233" s="47"/>
      <c r="D233" s="47"/>
      <c r="E233" s="47"/>
      <c r="F233" s="47"/>
      <c r="G233" s="46"/>
      <c r="H233" s="42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</row>
    <row r="234">
      <c r="A234" s="64"/>
      <c r="B234" s="47"/>
      <c r="C234" s="47"/>
      <c r="D234" s="47"/>
      <c r="E234" s="47"/>
      <c r="F234" s="47"/>
      <c r="G234" s="46"/>
      <c r="H234" s="42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</row>
    <row r="235">
      <c r="A235" s="64"/>
      <c r="B235" s="47"/>
      <c r="C235" s="47"/>
      <c r="D235" s="47"/>
      <c r="E235" s="47"/>
      <c r="F235" s="47"/>
      <c r="G235" s="46"/>
      <c r="H235" s="42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</row>
    <row r="236">
      <c r="A236" s="64"/>
      <c r="B236" s="47"/>
      <c r="C236" s="47"/>
      <c r="D236" s="47"/>
      <c r="E236" s="47"/>
      <c r="F236" s="47"/>
      <c r="G236" s="46"/>
      <c r="H236" s="42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</row>
    <row r="237">
      <c r="A237" s="64"/>
      <c r="B237" s="47"/>
      <c r="C237" s="47"/>
      <c r="D237" s="47"/>
      <c r="E237" s="47"/>
      <c r="F237" s="47"/>
      <c r="G237" s="46"/>
      <c r="H237" s="42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</row>
    <row r="238">
      <c r="A238" s="64"/>
      <c r="B238" s="47"/>
      <c r="C238" s="47"/>
      <c r="D238" s="47"/>
      <c r="E238" s="47"/>
      <c r="F238" s="47"/>
      <c r="G238" s="46"/>
      <c r="H238" s="42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</row>
    <row r="239">
      <c r="A239" s="64"/>
      <c r="B239" s="47"/>
      <c r="C239" s="47"/>
      <c r="D239" s="47"/>
      <c r="E239" s="47"/>
      <c r="F239" s="47"/>
      <c r="G239" s="46"/>
      <c r="H239" s="42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</row>
    <row r="240">
      <c r="A240" s="64"/>
      <c r="B240" s="47"/>
      <c r="C240" s="47"/>
      <c r="D240" s="47"/>
      <c r="E240" s="47"/>
      <c r="F240" s="47"/>
      <c r="G240" s="46"/>
      <c r="H240" s="42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</row>
    <row r="241">
      <c r="A241" s="64"/>
      <c r="B241" s="47"/>
      <c r="C241" s="47"/>
      <c r="D241" s="47"/>
      <c r="E241" s="47"/>
      <c r="F241" s="47"/>
      <c r="G241" s="46"/>
      <c r="H241" s="42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</row>
    <row r="242">
      <c r="A242" s="64"/>
      <c r="B242" s="47"/>
      <c r="C242" s="47"/>
      <c r="D242" s="47"/>
      <c r="E242" s="47"/>
      <c r="F242" s="47"/>
      <c r="G242" s="46"/>
      <c r="H242" s="42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R242" s="47"/>
      <c r="CS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</row>
    <row r="243">
      <c r="A243" s="64"/>
      <c r="B243" s="47"/>
      <c r="C243" s="47"/>
      <c r="D243" s="47"/>
      <c r="E243" s="47"/>
      <c r="F243" s="47"/>
      <c r="G243" s="46"/>
      <c r="H243" s="42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</row>
    <row r="244">
      <c r="A244" s="64"/>
      <c r="B244" s="47"/>
      <c r="C244" s="47"/>
      <c r="D244" s="47"/>
      <c r="E244" s="47"/>
      <c r="F244" s="47"/>
      <c r="G244" s="46"/>
      <c r="H244" s="42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</row>
    <row r="245">
      <c r="A245" s="64"/>
      <c r="B245" s="47"/>
      <c r="C245" s="47"/>
      <c r="D245" s="47"/>
      <c r="E245" s="47"/>
      <c r="F245" s="47"/>
      <c r="G245" s="46"/>
      <c r="H245" s="42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</row>
    <row r="246">
      <c r="A246" s="64"/>
      <c r="B246" s="47"/>
      <c r="C246" s="47"/>
      <c r="D246" s="47"/>
      <c r="E246" s="47"/>
      <c r="F246" s="47"/>
      <c r="G246" s="46"/>
      <c r="H246" s="42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R246" s="47"/>
      <c r="CS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</row>
    <row r="247">
      <c r="A247" s="64"/>
      <c r="B247" s="47"/>
      <c r="C247" s="47"/>
      <c r="D247" s="47"/>
      <c r="E247" s="47"/>
      <c r="F247" s="47"/>
      <c r="G247" s="46"/>
      <c r="H247" s="42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</row>
    <row r="248">
      <c r="A248" s="64"/>
      <c r="B248" s="47"/>
      <c r="C248" s="47"/>
      <c r="D248" s="47"/>
      <c r="E248" s="47"/>
      <c r="F248" s="47"/>
      <c r="G248" s="46"/>
      <c r="H248" s="42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</row>
    <row r="249">
      <c r="A249" s="64"/>
      <c r="B249" s="47"/>
      <c r="C249" s="47"/>
      <c r="D249" s="47"/>
      <c r="E249" s="47"/>
      <c r="F249" s="47"/>
      <c r="G249" s="46"/>
      <c r="H249" s="42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</row>
    <row r="250">
      <c r="A250" s="64"/>
      <c r="B250" s="47"/>
      <c r="C250" s="47"/>
      <c r="D250" s="47"/>
      <c r="E250" s="47"/>
      <c r="F250" s="47"/>
      <c r="G250" s="46"/>
      <c r="H250" s="42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</row>
    <row r="251">
      <c r="A251" s="64"/>
      <c r="B251" s="47"/>
      <c r="C251" s="47"/>
      <c r="D251" s="47"/>
      <c r="E251" s="47"/>
      <c r="F251" s="47"/>
      <c r="G251" s="46"/>
      <c r="H251" s="42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</row>
    <row r="252">
      <c r="A252" s="64"/>
      <c r="B252" s="47"/>
      <c r="C252" s="47"/>
      <c r="D252" s="47"/>
      <c r="E252" s="47"/>
      <c r="F252" s="47"/>
      <c r="G252" s="46"/>
      <c r="H252" s="42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</row>
    <row r="253">
      <c r="A253" s="64"/>
      <c r="B253" s="47"/>
      <c r="C253" s="47"/>
      <c r="D253" s="47"/>
      <c r="E253" s="47"/>
      <c r="F253" s="47"/>
      <c r="G253" s="46"/>
      <c r="H253" s="42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</row>
    <row r="254">
      <c r="A254" s="64"/>
      <c r="B254" s="47"/>
      <c r="C254" s="47"/>
      <c r="D254" s="47"/>
      <c r="E254" s="47"/>
      <c r="F254" s="47"/>
      <c r="G254" s="46"/>
      <c r="H254" s="42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</row>
    <row r="255">
      <c r="A255" s="64"/>
      <c r="B255" s="47"/>
      <c r="C255" s="47"/>
      <c r="D255" s="47"/>
      <c r="E255" s="47"/>
      <c r="F255" s="47"/>
      <c r="G255" s="46"/>
      <c r="H255" s="42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</row>
    <row r="256">
      <c r="A256" s="64"/>
      <c r="B256" s="47"/>
      <c r="C256" s="47"/>
      <c r="D256" s="47"/>
      <c r="E256" s="47"/>
      <c r="F256" s="47"/>
      <c r="G256" s="46"/>
      <c r="H256" s="42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</row>
    <row r="257">
      <c r="A257" s="64"/>
      <c r="B257" s="47"/>
      <c r="C257" s="47"/>
      <c r="D257" s="47"/>
      <c r="E257" s="47"/>
      <c r="F257" s="47"/>
      <c r="G257" s="46"/>
      <c r="H257" s="42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</row>
    <row r="258">
      <c r="A258" s="64"/>
      <c r="B258" s="47"/>
      <c r="C258" s="47"/>
      <c r="D258" s="47"/>
      <c r="E258" s="47"/>
      <c r="F258" s="47"/>
      <c r="G258" s="46"/>
      <c r="H258" s="42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R258" s="47"/>
      <c r="CS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</row>
    <row r="259">
      <c r="A259" s="64"/>
      <c r="B259" s="47"/>
      <c r="C259" s="47"/>
      <c r="D259" s="47"/>
      <c r="E259" s="47"/>
      <c r="F259" s="47"/>
      <c r="G259" s="46"/>
      <c r="H259" s="42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</row>
    <row r="260">
      <c r="A260" s="64"/>
      <c r="B260" s="47"/>
      <c r="C260" s="47"/>
      <c r="D260" s="47"/>
      <c r="E260" s="47"/>
      <c r="F260" s="47"/>
      <c r="G260" s="46"/>
      <c r="H260" s="42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</row>
    <row r="261">
      <c r="A261" s="64"/>
      <c r="B261" s="47"/>
      <c r="C261" s="47"/>
      <c r="D261" s="47"/>
      <c r="E261" s="47"/>
      <c r="F261" s="47"/>
      <c r="G261" s="46"/>
      <c r="H261" s="42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</row>
    <row r="262">
      <c r="A262" s="64"/>
      <c r="B262" s="47"/>
      <c r="C262" s="47"/>
      <c r="D262" s="47"/>
      <c r="E262" s="47"/>
      <c r="F262" s="47"/>
      <c r="G262" s="46"/>
      <c r="H262" s="42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</row>
    <row r="263">
      <c r="A263" s="64"/>
      <c r="B263" s="47"/>
      <c r="C263" s="47"/>
      <c r="D263" s="47"/>
      <c r="E263" s="47"/>
      <c r="F263" s="47"/>
      <c r="G263" s="46"/>
      <c r="H263" s="42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</row>
    <row r="264">
      <c r="A264" s="64"/>
      <c r="B264" s="47"/>
      <c r="C264" s="47"/>
      <c r="D264" s="47"/>
      <c r="E264" s="47"/>
      <c r="F264" s="47"/>
      <c r="G264" s="46"/>
      <c r="H264" s="42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R264" s="47"/>
      <c r="CS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</row>
    <row r="265">
      <c r="A265" s="64"/>
      <c r="B265" s="47"/>
      <c r="C265" s="47"/>
      <c r="D265" s="47"/>
      <c r="E265" s="47"/>
      <c r="F265" s="47"/>
      <c r="G265" s="46"/>
      <c r="H265" s="42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</row>
    <row r="266">
      <c r="A266" s="64"/>
      <c r="B266" s="47"/>
      <c r="C266" s="47"/>
      <c r="D266" s="47"/>
      <c r="E266" s="47"/>
      <c r="F266" s="47"/>
      <c r="G266" s="46"/>
      <c r="H266" s="42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</row>
    <row r="267">
      <c r="A267" s="64"/>
      <c r="B267" s="47"/>
      <c r="C267" s="47"/>
      <c r="D267" s="47"/>
      <c r="E267" s="47"/>
      <c r="F267" s="47"/>
      <c r="G267" s="46"/>
      <c r="H267" s="42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</row>
    <row r="268">
      <c r="A268" s="64"/>
      <c r="B268" s="47"/>
      <c r="C268" s="47"/>
      <c r="D268" s="47"/>
      <c r="E268" s="47"/>
      <c r="F268" s="47"/>
      <c r="G268" s="46"/>
      <c r="H268" s="42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</row>
    <row r="269">
      <c r="A269" s="64"/>
      <c r="B269" s="47"/>
      <c r="C269" s="47"/>
      <c r="D269" s="47"/>
      <c r="E269" s="47"/>
      <c r="F269" s="47"/>
      <c r="G269" s="46"/>
      <c r="H269" s="42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</row>
    <row r="270">
      <c r="A270" s="64"/>
      <c r="B270" s="47"/>
      <c r="C270" s="47"/>
      <c r="D270" s="47"/>
      <c r="E270" s="47"/>
      <c r="F270" s="47"/>
      <c r="G270" s="46"/>
      <c r="H270" s="42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</row>
    <row r="271">
      <c r="A271" s="64"/>
      <c r="B271" s="47"/>
      <c r="C271" s="47"/>
      <c r="D271" s="47"/>
      <c r="E271" s="47"/>
      <c r="F271" s="47"/>
      <c r="G271" s="46"/>
      <c r="H271" s="42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R271" s="47"/>
      <c r="CS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</row>
    <row r="272">
      <c r="A272" s="64"/>
      <c r="B272" s="47"/>
      <c r="C272" s="47"/>
      <c r="D272" s="47"/>
      <c r="E272" s="47"/>
      <c r="F272" s="47"/>
      <c r="G272" s="46"/>
      <c r="H272" s="42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</row>
    <row r="273">
      <c r="A273" s="64"/>
      <c r="B273" s="47"/>
      <c r="C273" s="47"/>
      <c r="D273" s="47"/>
      <c r="E273" s="47"/>
      <c r="F273" s="47"/>
      <c r="G273" s="46"/>
      <c r="H273" s="42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</row>
    <row r="274">
      <c r="A274" s="64"/>
      <c r="B274" s="47"/>
      <c r="C274" s="47"/>
      <c r="D274" s="47"/>
      <c r="E274" s="47"/>
      <c r="F274" s="47"/>
      <c r="G274" s="46"/>
      <c r="H274" s="42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</row>
    <row r="275">
      <c r="A275" s="64"/>
      <c r="B275" s="47"/>
      <c r="C275" s="47"/>
      <c r="D275" s="47"/>
      <c r="E275" s="47"/>
      <c r="F275" s="47"/>
      <c r="G275" s="46"/>
      <c r="H275" s="42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</row>
    <row r="276">
      <c r="A276" s="64"/>
      <c r="B276" s="47"/>
      <c r="C276" s="47"/>
      <c r="D276" s="47"/>
      <c r="E276" s="47"/>
      <c r="F276" s="47"/>
      <c r="G276" s="46"/>
      <c r="H276" s="42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</row>
    <row r="277">
      <c r="A277" s="64"/>
      <c r="B277" s="47"/>
      <c r="C277" s="47"/>
      <c r="D277" s="47"/>
      <c r="E277" s="47"/>
      <c r="F277" s="47"/>
      <c r="G277" s="46"/>
      <c r="H277" s="42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</row>
    <row r="278">
      <c r="A278" s="64"/>
      <c r="B278" s="47"/>
      <c r="C278" s="47"/>
      <c r="D278" s="47"/>
      <c r="E278" s="47"/>
      <c r="F278" s="47"/>
      <c r="G278" s="46"/>
      <c r="H278" s="42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</row>
    <row r="279">
      <c r="A279" s="64"/>
      <c r="B279" s="47"/>
      <c r="C279" s="47"/>
      <c r="D279" s="47"/>
      <c r="E279" s="47"/>
      <c r="F279" s="47"/>
      <c r="G279" s="46"/>
      <c r="H279" s="42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</row>
    <row r="280">
      <c r="A280" s="64"/>
      <c r="B280" s="47"/>
      <c r="C280" s="47"/>
      <c r="D280" s="47"/>
      <c r="E280" s="47"/>
      <c r="F280" s="47"/>
      <c r="G280" s="46"/>
      <c r="H280" s="42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</row>
    <row r="281">
      <c r="A281" s="64"/>
      <c r="B281" s="47"/>
      <c r="C281" s="47"/>
      <c r="D281" s="47"/>
      <c r="E281" s="47"/>
      <c r="F281" s="47"/>
      <c r="G281" s="46"/>
      <c r="H281" s="42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</row>
    <row r="282">
      <c r="A282" s="64"/>
      <c r="B282" s="47"/>
      <c r="C282" s="47"/>
      <c r="D282" s="47"/>
      <c r="E282" s="47"/>
      <c r="F282" s="47"/>
      <c r="G282" s="46"/>
      <c r="H282" s="42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</row>
    <row r="283">
      <c r="A283" s="64"/>
      <c r="B283" s="47"/>
      <c r="C283" s="47"/>
      <c r="D283" s="47"/>
      <c r="E283" s="47"/>
      <c r="F283" s="47"/>
      <c r="G283" s="46"/>
      <c r="H283" s="42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R283" s="47"/>
      <c r="CS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</row>
    <row r="284">
      <c r="A284" s="64"/>
      <c r="B284" s="47"/>
      <c r="C284" s="47"/>
      <c r="D284" s="47"/>
      <c r="E284" s="47"/>
      <c r="F284" s="47"/>
      <c r="G284" s="46"/>
      <c r="H284" s="42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R284" s="47"/>
      <c r="CS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</row>
    <row r="285">
      <c r="A285" s="64"/>
      <c r="B285" s="47"/>
      <c r="C285" s="47"/>
      <c r="D285" s="47"/>
      <c r="E285" s="47"/>
      <c r="F285" s="47"/>
      <c r="G285" s="46"/>
      <c r="H285" s="42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</row>
    <row r="286">
      <c r="A286" s="64"/>
      <c r="B286" s="47"/>
      <c r="C286" s="47"/>
      <c r="D286" s="47"/>
      <c r="E286" s="47"/>
      <c r="F286" s="47"/>
      <c r="G286" s="46"/>
      <c r="H286" s="42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</row>
    <row r="287">
      <c r="A287" s="64"/>
      <c r="B287" s="47"/>
      <c r="C287" s="47"/>
      <c r="D287" s="47"/>
      <c r="E287" s="47"/>
      <c r="F287" s="47"/>
      <c r="G287" s="46"/>
      <c r="H287" s="42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</row>
    <row r="288">
      <c r="A288" s="64"/>
      <c r="B288" s="47"/>
      <c r="C288" s="47"/>
      <c r="D288" s="47"/>
      <c r="E288" s="47"/>
      <c r="F288" s="47"/>
      <c r="G288" s="46"/>
      <c r="H288" s="42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S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</row>
    <row r="289">
      <c r="A289" s="64"/>
      <c r="B289" s="47"/>
      <c r="C289" s="47"/>
      <c r="D289" s="47"/>
      <c r="E289" s="47"/>
      <c r="F289" s="47"/>
      <c r="G289" s="46"/>
      <c r="H289" s="42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S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</row>
    <row r="290">
      <c r="A290" s="64"/>
      <c r="B290" s="47"/>
      <c r="C290" s="47"/>
      <c r="D290" s="47"/>
      <c r="E290" s="47"/>
      <c r="F290" s="47"/>
      <c r="G290" s="46"/>
      <c r="H290" s="42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S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</row>
    <row r="291">
      <c r="A291" s="64"/>
      <c r="B291" s="47"/>
      <c r="C291" s="47"/>
      <c r="D291" s="47"/>
      <c r="E291" s="47"/>
      <c r="F291" s="47"/>
      <c r="G291" s="46"/>
      <c r="H291" s="42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S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</row>
    <row r="292">
      <c r="A292" s="64"/>
      <c r="B292" s="47"/>
      <c r="C292" s="47"/>
      <c r="D292" s="47"/>
      <c r="E292" s="47"/>
      <c r="F292" s="47"/>
      <c r="G292" s="46"/>
      <c r="H292" s="42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</row>
    <row r="293">
      <c r="A293" s="64"/>
      <c r="B293" s="47"/>
      <c r="C293" s="47"/>
      <c r="D293" s="47"/>
      <c r="E293" s="47"/>
      <c r="F293" s="47"/>
      <c r="G293" s="46"/>
      <c r="H293" s="42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S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</row>
    <row r="294">
      <c r="A294" s="64"/>
      <c r="B294" s="47"/>
      <c r="C294" s="47"/>
      <c r="D294" s="47"/>
      <c r="E294" s="47"/>
      <c r="F294" s="47"/>
      <c r="G294" s="46"/>
      <c r="H294" s="42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S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</row>
    <row r="295">
      <c r="A295" s="64"/>
      <c r="B295" s="47"/>
      <c r="C295" s="47"/>
      <c r="D295" s="47"/>
      <c r="E295" s="47"/>
      <c r="F295" s="47"/>
      <c r="G295" s="46"/>
      <c r="H295" s="42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S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</row>
    <row r="296">
      <c r="A296" s="64"/>
      <c r="B296" s="47"/>
      <c r="C296" s="47"/>
      <c r="D296" s="47"/>
      <c r="E296" s="47"/>
      <c r="F296" s="47"/>
      <c r="G296" s="46"/>
      <c r="H296" s="42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</row>
    <row r="297">
      <c r="A297" s="64"/>
      <c r="B297" s="47"/>
      <c r="C297" s="47"/>
      <c r="D297" s="47"/>
      <c r="E297" s="47"/>
      <c r="F297" s="47"/>
      <c r="G297" s="46"/>
      <c r="H297" s="42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S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</row>
    <row r="298">
      <c r="A298" s="64"/>
      <c r="B298" s="47"/>
      <c r="C298" s="47"/>
      <c r="D298" s="47"/>
      <c r="E298" s="47"/>
      <c r="F298" s="47"/>
      <c r="G298" s="46"/>
      <c r="H298" s="42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S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</row>
    <row r="299">
      <c r="A299" s="64"/>
      <c r="B299" s="47"/>
      <c r="C299" s="47"/>
      <c r="D299" s="47"/>
      <c r="E299" s="47"/>
      <c r="F299" s="47"/>
      <c r="G299" s="46"/>
      <c r="H299" s="42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</row>
    <row r="300">
      <c r="A300" s="64"/>
      <c r="B300" s="47"/>
      <c r="C300" s="47"/>
      <c r="D300" s="47"/>
      <c r="E300" s="47"/>
      <c r="F300" s="47"/>
      <c r="G300" s="46"/>
      <c r="H300" s="42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S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</row>
    <row r="301">
      <c r="A301" s="64"/>
      <c r="B301" s="47"/>
      <c r="C301" s="47"/>
      <c r="D301" s="47"/>
      <c r="E301" s="47"/>
      <c r="F301" s="47"/>
      <c r="G301" s="46"/>
      <c r="H301" s="42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</row>
    <row r="302">
      <c r="A302" s="64"/>
      <c r="B302" s="47"/>
      <c r="C302" s="47"/>
      <c r="D302" s="47"/>
      <c r="E302" s="47"/>
      <c r="F302" s="47"/>
      <c r="G302" s="46"/>
      <c r="H302" s="42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S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</row>
    <row r="303">
      <c r="A303" s="64"/>
      <c r="B303" s="47"/>
      <c r="C303" s="47"/>
      <c r="D303" s="47"/>
      <c r="E303" s="47"/>
      <c r="F303" s="47"/>
      <c r="G303" s="46"/>
      <c r="H303" s="42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</row>
    <row r="304">
      <c r="A304" s="64"/>
      <c r="B304" s="47"/>
      <c r="C304" s="47"/>
      <c r="D304" s="47"/>
      <c r="E304" s="47"/>
      <c r="F304" s="47"/>
      <c r="G304" s="46"/>
      <c r="H304" s="42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</row>
    <row r="305">
      <c r="A305" s="64"/>
      <c r="B305" s="47"/>
      <c r="C305" s="47"/>
      <c r="D305" s="47"/>
      <c r="E305" s="47"/>
      <c r="F305" s="47"/>
      <c r="G305" s="46"/>
      <c r="H305" s="42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</row>
    <row r="306">
      <c r="A306" s="64"/>
      <c r="B306" s="47"/>
      <c r="C306" s="47"/>
      <c r="D306" s="47"/>
      <c r="E306" s="47"/>
      <c r="F306" s="47"/>
      <c r="G306" s="46"/>
      <c r="H306" s="42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</row>
    <row r="307">
      <c r="A307" s="64"/>
      <c r="B307" s="47"/>
      <c r="C307" s="47"/>
      <c r="D307" s="47"/>
      <c r="E307" s="47"/>
      <c r="F307" s="47"/>
      <c r="G307" s="46"/>
      <c r="H307" s="42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</row>
    <row r="308">
      <c r="A308" s="64"/>
      <c r="B308" s="47"/>
      <c r="C308" s="47"/>
      <c r="D308" s="47"/>
      <c r="E308" s="47"/>
      <c r="F308" s="47"/>
      <c r="G308" s="46"/>
      <c r="H308" s="42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</row>
    <row r="309">
      <c r="A309" s="64"/>
      <c r="B309" s="47"/>
      <c r="C309" s="47"/>
      <c r="D309" s="47"/>
      <c r="E309" s="47"/>
      <c r="F309" s="47"/>
      <c r="G309" s="46"/>
      <c r="H309" s="42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</row>
    <row r="310">
      <c r="A310" s="64"/>
      <c r="B310" s="47"/>
      <c r="C310" s="47"/>
      <c r="D310" s="47"/>
      <c r="E310" s="47"/>
      <c r="F310" s="47"/>
      <c r="G310" s="46"/>
      <c r="H310" s="42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</row>
    <row r="311">
      <c r="A311" s="64"/>
      <c r="B311" s="47"/>
      <c r="C311" s="47"/>
      <c r="D311" s="47"/>
      <c r="E311" s="47"/>
      <c r="F311" s="47"/>
      <c r="G311" s="46"/>
      <c r="H311" s="42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</row>
    <row r="312">
      <c r="A312" s="64"/>
      <c r="B312" s="47"/>
      <c r="C312" s="47"/>
      <c r="D312" s="47"/>
      <c r="E312" s="47"/>
      <c r="F312" s="47"/>
      <c r="G312" s="46"/>
      <c r="H312" s="42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</row>
    <row r="313">
      <c r="A313" s="64"/>
      <c r="B313" s="47"/>
      <c r="C313" s="47"/>
      <c r="D313" s="47"/>
      <c r="E313" s="47"/>
      <c r="F313" s="47"/>
      <c r="G313" s="46"/>
      <c r="H313" s="42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</row>
    <row r="314">
      <c r="A314" s="64"/>
      <c r="B314" s="47"/>
      <c r="C314" s="47"/>
      <c r="D314" s="47"/>
      <c r="E314" s="47"/>
      <c r="F314" s="47"/>
      <c r="G314" s="46"/>
      <c r="H314" s="42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</row>
    <row r="315">
      <c r="A315" s="64"/>
      <c r="B315" s="47"/>
      <c r="C315" s="47"/>
      <c r="D315" s="47"/>
      <c r="E315" s="47"/>
      <c r="F315" s="47"/>
      <c r="G315" s="46"/>
      <c r="H315" s="42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</row>
    <row r="316">
      <c r="A316" s="64"/>
      <c r="B316" s="47"/>
      <c r="C316" s="47"/>
      <c r="D316" s="47"/>
      <c r="E316" s="47"/>
      <c r="F316" s="47"/>
      <c r="G316" s="46"/>
      <c r="H316" s="42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</row>
    <row r="317">
      <c r="A317" s="64"/>
      <c r="B317" s="47"/>
      <c r="C317" s="47"/>
      <c r="D317" s="47"/>
      <c r="E317" s="47"/>
      <c r="F317" s="47"/>
      <c r="G317" s="46"/>
      <c r="H317" s="42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</row>
    <row r="318">
      <c r="A318" s="64"/>
      <c r="B318" s="47"/>
      <c r="C318" s="47"/>
      <c r="D318" s="47"/>
      <c r="E318" s="47"/>
      <c r="F318" s="47"/>
      <c r="G318" s="46"/>
      <c r="H318" s="42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</row>
    <row r="319">
      <c r="A319" s="64"/>
      <c r="B319" s="47"/>
      <c r="C319" s="47"/>
      <c r="D319" s="47"/>
      <c r="E319" s="47"/>
      <c r="F319" s="47"/>
      <c r="G319" s="46"/>
      <c r="H319" s="42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</row>
    <row r="320">
      <c r="A320" s="64"/>
      <c r="B320" s="47"/>
      <c r="C320" s="47"/>
      <c r="D320" s="47"/>
      <c r="E320" s="47"/>
      <c r="F320" s="47"/>
      <c r="G320" s="46"/>
      <c r="H320" s="42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</row>
    <row r="321">
      <c r="A321" s="64"/>
      <c r="B321" s="47"/>
      <c r="C321" s="47"/>
      <c r="D321" s="47"/>
      <c r="E321" s="47"/>
      <c r="F321" s="47"/>
      <c r="G321" s="46"/>
      <c r="H321" s="42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</row>
    <row r="322">
      <c r="A322" s="64"/>
      <c r="B322" s="47"/>
      <c r="C322" s="47"/>
      <c r="D322" s="47"/>
      <c r="E322" s="47"/>
      <c r="F322" s="47"/>
      <c r="G322" s="46"/>
      <c r="H322" s="42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</row>
    <row r="323">
      <c r="A323" s="64"/>
      <c r="B323" s="47"/>
      <c r="C323" s="47"/>
      <c r="D323" s="47"/>
      <c r="E323" s="47"/>
      <c r="F323" s="47"/>
      <c r="G323" s="46"/>
      <c r="H323" s="42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</row>
    <row r="324">
      <c r="A324" s="64"/>
      <c r="B324" s="47"/>
      <c r="C324" s="47"/>
      <c r="D324" s="47"/>
      <c r="E324" s="47"/>
      <c r="F324" s="47"/>
      <c r="G324" s="46"/>
      <c r="H324" s="42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</row>
    <row r="325">
      <c r="A325" s="64"/>
      <c r="B325" s="47"/>
      <c r="C325" s="47"/>
      <c r="D325" s="47"/>
      <c r="E325" s="47"/>
      <c r="F325" s="47"/>
      <c r="G325" s="46"/>
      <c r="H325" s="42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</row>
    <row r="326">
      <c r="A326" s="64"/>
      <c r="B326" s="47"/>
      <c r="C326" s="47"/>
      <c r="D326" s="47"/>
      <c r="E326" s="47"/>
      <c r="F326" s="47"/>
      <c r="G326" s="46"/>
      <c r="H326" s="42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</row>
    <row r="327">
      <c r="A327" s="64"/>
      <c r="B327" s="47"/>
      <c r="C327" s="47"/>
      <c r="D327" s="47"/>
      <c r="E327" s="47"/>
      <c r="F327" s="47"/>
      <c r="G327" s="46"/>
      <c r="H327" s="42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</row>
    <row r="328">
      <c r="A328" s="64"/>
      <c r="B328" s="47"/>
      <c r="C328" s="47"/>
      <c r="D328" s="47"/>
      <c r="E328" s="47"/>
      <c r="F328" s="47"/>
      <c r="G328" s="46"/>
      <c r="H328" s="42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R328" s="47"/>
      <c r="CS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</row>
    <row r="329">
      <c r="A329" s="64"/>
      <c r="B329" s="47"/>
      <c r="C329" s="47"/>
      <c r="D329" s="47"/>
      <c r="E329" s="47"/>
      <c r="F329" s="47"/>
      <c r="G329" s="46"/>
      <c r="H329" s="42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</row>
    <row r="330">
      <c r="A330" s="64"/>
      <c r="B330" s="47"/>
      <c r="C330" s="47"/>
      <c r="D330" s="47"/>
      <c r="E330" s="47"/>
      <c r="F330" s="47"/>
      <c r="G330" s="46"/>
      <c r="H330" s="42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S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</row>
    <row r="331">
      <c r="A331" s="64"/>
      <c r="B331" s="47"/>
      <c r="C331" s="47"/>
      <c r="D331" s="47"/>
      <c r="E331" s="47"/>
      <c r="F331" s="47"/>
      <c r="G331" s="46"/>
      <c r="H331" s="42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</row>
    <row r="332">
      <c r="A332" s="64"/>
      <c r="B332" s="47"/>
      <c r="C332" s="47"/>
      <c r="D332" s="47"/>
      <c r="E332" s="47"/>
      <c r="F332" s="47"/>
      <c r="G332" s="46"/>
      <c r="H332" s="42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S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</row>
    <row r="333">
      <c r="A333" s="64"/>
      <c r="B333" s="47"/>
      <c r="C333" s="47"/>
      <c r="D333" s="47"/>
      <c r="E333" s="47"/>
      <c r="F333" s="47"/>
      <c r="G333" s="46"/>
      <c r="H333" s="42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</row>
    <row r="334">
      <c r="A334" s="64"/>
      <c r="B334" s="47"/>
      <c r="C334" s="47"/>
      <c r="D334" s="47"/>
      <c r="E334" s="47"/>
      <c r="F334" s="47"/>
      <c r="G334" s="46"/>
      <c r="H334" s="42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S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</row>
    <row r="335">
      <c r="A335" s="64"/>
      <c r="B335" s="47"/>
      <c r="C335" s="47"/>
      <c r="D335" s="47"/>
      <c r="E335" s="47"/>
      <c r="F335" s="47"/>
      <c r="G335" s="46"/>
      <c r="H335" s="42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</row>
    <row r="336">
      <c r="A336" s="64"/>
      <c r="B336" s="47"/>
      <c r="C336" s="47"/>
      <c r="D336" s="47"/>
      <c r="E336" s="47"/>
      <c r="F336" s="47"/>
      <c r="G336" s="46"/>
      <c r="H336" s="42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R336" s="47"/>
      <c r="CS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</row>
    <row r="337">
      <c r="A337" s="64"/>
      <c r="B337" s="47"/>
      <c r="C337" s="47"/>
      <c r="D337" s="47"/>
      <c r="E337" s="47"/>
      <c r="F337" s="47"/>
      <c r="G337" s="46"/>
      <c r="H337" s="42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R337" s="47"/>
      <c r="CS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</row>
    <row r="338">
      <c r="A338" s="64"/>
      <c r="B338" s="47"/>
      <c r="C338" s="47"/>
      <c r="D338" s="47"/>
      <c r="E338" s="47"/>
      <c r="F338" s="47"/>
      <c r="G338" s="46"/>
      <c r="H338" s="42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S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</row>
    <row r="339">
      <c r="A339" s="64"/>
      <c r="B339" s="47"/>
      <c r="C339" s="47"/>
      <c r="D339" s="47"/>
      <c r="E339" s="47"/>
      <c r="F339" s="47"/>
      <c r="G339" s="46"/>
      <c r="H339" s="42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S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</row>
    <row r="340">
      <c r="A340" s="64"/>
      <c r="B340" s="47"/>
      <c r="C340" s="47"/>
      <c r="D340" s="47"/>
      <c r="E340" s="47"/>
      <c r="F340" s="47"/>
      <c r="G340" s="46"/>
      <c r="H340" s="42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</row>
    <row r="341">
      <c r="A341" s="64"/>
      <c r="B341" s="47"/>
      <c r="C341" s="47"/>
      <c r="D341" s="47"/>
      <c r="E341" s="47"/>
      <c r="F341" s="47"/>
      <c r="G341" s="46"/>
      <c r="H341" s="42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S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</row>
    <row r="342">
      <c r="A342" s="64"/>
      <c r="B342" s="47"/>
      <c r="C342" s="47"/>
      <c r="D342" s="47"/>
      <c r="E342" s="47"/>
      <c r="F342" s="47"/>
      <c r="G342" s="46"/>
      <c r="H342" s="42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R342" s="47"/>
      <c r="CS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</row>
    <row r="343">
      <c r="A343" s="64"/>
      <c r="B343" s="47"/>
      <c r="C343" s="47"/>
      <c r="D343" s="47"/>
      <c r="E343" s="47"/>
      <c r="F343" s="47"/>
      <c r="G343" s="46"/>
      <c r="H343" s="42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</row>
    <row r="344">
      <c r="A344" s="64"/>
      <c r="B344" s="47"/>
      <c r="C344" s="47"/>
      <c r="D344" s="47"/>
      <c r="E344" s="47"/>
      <c r="F344" s="47"/>
      <c r="G344" s="46"/>
      <c r="H344" s="42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R344" s="47"/>
      <c r="CS344" s="47"/>
      <c r="CT344" s="47"/>
      <c r="CU344" s="47"/>
      <c r="CV344" s="47"/>
      <c r="CW344" s="47"/>
      <c r="CX344" s="47"/>
      <c r="CY344" s="47"/>
      <c r="CZ344" s="47"/>
      <c r="DA344" s="47"/>
      <c r="DB344" s="47"/>
      <c r="DC344" s="47"/>
      <c r="DD344" s="47"/>
      <c r="DE344" s="47"/>
      <c r="DF344" s="47"/>
      <c r="DG344" s="47"/>
      <c r="DH344" s="47"/>
    </row>
    <row r="345">
      <c r="A345" s="64"/>
      <c r="B345" s="47"/>
      <c r="C345" s="47"/>
      <c r="D345" s="47"/>
      <c r="E345" s="47"/>
      <c r="F345" s="47"/>
      <c r="G345" s="46"/>
      <c r="H345" s="42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  <c r="CY345" s="47"/>
      <c r="CZ345" s="47"/>
      <c r="DA345" s="47"/>
      <c r="DB345" s="47"/>
      <c r="DC345" s="47"/>
      <c r="DD345" s="47"/>
      <c r="DE345" s="47"/>
      <c r="DF345" s="47"/>
      <c r="DG345" s="47"/>
      <c r="DH345" s="47"/>
    </row>
    <row r="346">
      <c r="A346" s="64"/>
      <c r="B346" s="47"/>
      <c r="C346" s="47"/>
      <c r="D346" s="47"/>
      <c r="E346" s="47"/>
      <c r="F346" s="47"/>
      <c r="G346" s="46"/>
      <c r="H346" s="42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S346" s="47"/>
      <c r="CT346" s="47"/>
      <c r="CU346" s="47"/>
      <c r="CV346" s="47"/>
      <c r="CW346" s="47"/>
      <c r="CX346" s="47"/>
      <c r="CY346" s="47"/>
      <c r="CZ346" s="47"/>
      <c r="DA346" s="47"/>
      <c r="DB346" s="47"/>
      <c r="DC346" s="47"/>
      <c r="DD346" s="47"/>
      <c r="DE346" s="47"/>
      <c r="DF346" s="47"/>
      <c r="DG346" s="47"/>
      <c r="DH346" s="47"/>
    </row>
    <row r="347">
      <c r="A347" s="64"/>
      <c r="B347" s="47"/>
      <c r="C347" s="47"/>
      <c r="D347" s="47"/>
      <c r="E347" s="47"/>
      <c r="F347" s="47"/>
      <c r="G347" s="46"/>
      <c r="H347" s="42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  <c r="CY347" s="47"/>
      <c r="CZ347" s="47"/>
      <c r="DA347" s="47"/>
      <c r="DB347" s="47"/>
      <c r="DC347" s="47"/>
      <c r="DD347" s="47"/>
      <c r="DE347" s="47"/>
      <c r="DF347" s="47"/>
      <c r="DG347" s="47"/>
      <c r="DH347" s="47"/>
    </row>
    <row r="348">
      <c r="A348" s="64"/>
      <c r="B348" s="47"/>
      <c r="C348" s="47"/>
      <c r="D348" s="47"/>
      <c r="E348" s="47"/>
      <c r="F348" s="47"/>
      <c r="G348" s="46"/>
      <c r="H348" s="42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R348" s="47"/>
      <c r="CS348" s="47"/>
      <c r="CT348" s="47"/>
      <c r="CU348" s="47"/>
      <c r="CV348" s="47"/>
      <c r="CW348" s="47"/>
      <c r="CX348" s="47"/>
      <c r="CY348" s="47"/>
      <c r="CZ348" s="47"/>
      <c r="DA348" s="47"/>
      <c r="DB348" s="47"/>
      <c r="DC348" s="47"/>
      <c r="DD348" s="47"/>
      <c r="DE348" s="47"/>
      <c r="DF348" s="47"/>
      <c r="DG348" s="47"/>
      <c r="DH348" s="47"/>
    </row>
    <row r="349">
      <c r="A349" s="64"/>
      <c r="B349" s="47"/>
      <c r="C349" s="47"/>
      <c r="D349" s="47"/>
      <c r="E349" s="47"/>
      <c r="F349" s="47"/>
      <c r="G349" s="46"/>
      <c r="H349" s="42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  <c r="CY349" s="47"/>
      <c r="CZ349" s="47"/>
      <c r="DA349" s="47"/>
      <c r="DB349" s="47"/>
      <c r="DC349" s="47"/>
      <c r="DD349" s="47"/>
      <c r="DE349" s="47"/>
      <c r="DF349" s="47"/>
      <c r="DG349" s="47"/>
      <c r="DH349" s="47"/>
    </row>
    <row r="350">
      <c r="A350" s="64"/>
      <c r="B350" s="47"/>
      <c r="C350" s="47"/>
      <c r="D350" s="47"/>
      <c r="E350" s="47"/>
      <c r="F350" s="47"/>
      <c r="G350" s="46"/>
      <c r="H350" s="42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R350" s="47"/>
      <c r="CS350" s="47"/>
      <c r="CT350" s="47"/>
      <c r="CU350" s="47"/>
      <c r="CV350" s="47"/>
      <c r="CW350" s="47"/>
      <c r="CX350" s="47"/>
      <c r="CY350" s="47"/>
      <c r="CZ350" s="47"/>
      <c r="DA350" s="47"/>
      <c r="DB350" s="47"/>
      <c r="DC350" s="47"/>
      <c r="DD350" s="47"/>
      <c r="DE350" s="47"/>
      <c r="DF350" s="47"/>
      <c r="DG350" s="47"/>
      <c r="DH350" s="47"/>
    </row>
    <row r="351">
      <c r="A351" s="64"/>
      <c r="B351" s="47"/>
      <c r="C351" s="47"/>
      <c r="D351" s="47"/>
      <c r="E351" s="47"/>
      <c r="F351" s="47"/>
      <c r="G351" s="46"/>
      <c r="H351" s="42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</row>
    <row r="352">
      <c r="A352" s="64"/>
      <c r="B352" s="47"/>
      <c r="C352" s="47"/>
      <c r="D352" s="47"/>
      <c r="E352" s="47"/>
      <c r="F352" s="47"/>
      <c r="G352" s="46"/>
      <c r="H352" s="42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R352" s="47"/>
      <c r="CS352" s="47"/>
      <c r="CT352" s="47"/>
      <c r="CU352" s="47"/>
      <c r="CV352" s="47"/>
      <c r="CW352" s="47"/>
      <c r="CX352" s="47"/>
      <c r="CY352" s="47"/>
      <c r="CZ352" s="47"/>
      <c r="DA352" s="47"/>
      <c r="DB352" s="47"/>
      <c r="DC352" s="47"/>
      <c r="DD352" s="47"/>
      <c r="DE352" s="47"/>
      <c r="DF352" s="47"/>
      <c r="DG352" s="47"/>
      <c r="DH352" s="47"/>
    </row>
    <row r="353">
      <c r="A353" s="64"/>
      <c r="B353" s="47"/>
      <c r="C353" s="47"/>
      <c r="D353" s="47"/>
      <c r="E353" s="47"/>
      <c r="F353" s="47"/>
      <c r="G353" s="46"/>
      <c r="H353" s="42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  <c r="DD353" s="47"/>
      <c r="DE353" s="47"/>
      <c r="DF353" s="47"/>
      <c r="DG353" s="47"/>
      <c r="DH353" s="47"/>
    </row>
    <row r="354">
      <c r="A354" s="64"/>
      <c r="B354" s="47"/>
      <c r="C354" s="47"/>
      <c r="D354" s="47"/>
      <c r="E354" s="47"/>
      <c r="F354" s="47"/>
      <c r="G354" s="46"/>
      <c r="H354" s="42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R354" s="47"/>
      <c r="CS354" s="47"/>
      <c r="CT354" s="47"/>
      <c r="CU354" s="47"/>
      <c r="CV354" s="47"/>
      <c r="CW354" s="47"/>
      <c r="CX354" s="47"/>
      <c r="CY354" s="47"/>
      <c r="CZ354" s="47"/>
      <c r="DA354" s="47"/>
      <c r="DB354" s="47"/>
      <c r="DC354" s="47"/>
      <c r="DD354" s="47"/>
      <c r="DE354" s="47"/>
      <c r="DF354" s="47"/>
      <c r="DG354" s="47"/>
      <c r="DH354" s="47"/>
    </row>
    <row r="355">
      <c r="A355" s="64"/>
      <c r="B355" s="47"/>
      <c r="C355" s="47"/>
      <c r="D355" s="47"/>
      <c r="E355" s="47"/>
      <c r="F355" s="47"/>
      <c r="G355" s="46"/>
      <c r="H355" s="42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</row>
    <row r="356">
      <c r="A356" s="64"/>
      <c r="B356" s="47"/>
      <c r="C356" s="47"/>
      <c r="D356" s="47"/>
      <c r="E356" s="47"/>
      <c r="F356" s="47"/>
      <c r="G356" s="46"/>
      <c r="H356" s="42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S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</row>
    <row r="357">
      <c r="A357" s="64"/>
      <c r="B357" s="47"/>
      <c r="C357" s="47"/>
      <c r="D357" s="47"/>
      <c r="E357" s="47"/>
      <c r="F357" s="47"/>
      <c r="G357" s="46"/>
      <c r="H357" s="42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  <c r="CY357" s="47"/>
      <c r="CZ357" s="47"/>
      <c r="DA357" s="47"/>
      <c r="DB357" s="47"/>
      <c r="DC357" s="47"/>
      <c r="DD357" s="47"/>
      <c r="DE357" s="47"/>
      <c r="DF357" s="47"/>
      <c r="DG357" s="47"/>
      <c r="DH357" s="47"/>
    </row>
    <row r="358">
      <c r="A358" s="64"/>
      <c r="B358" s="47"/>
      <c r="C358" s="47"/>
      <c r="D358" s="47"/>
      <c r="E358" s="47"/>
      <c r="F358" s="47"/>
      <c r="G358" s="46"/>
      <c r="H358" s="42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S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</row>
    <row r="359">
      <c r="A359" s="64"/>
      <c r="B359" s="47"/>
      <c r="C359" s="47"/>
      <c r="D359" s="47"/>
      <c r="E359" s="47"/>
      <c r="F359" s="47"/>
      <c r="G359" s="46"/>
      <c r="H359" s="42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R359" s="47"/>
      <c r="CS359" s="47"/>
      <c r="CT359" s="47"/>
      <c r="CU359" s="47"/>
      <c r="CV359" s="47"/>
      <c r="CW359" s="47"/>
      <c r="CX359" s="47"/>
      <c r="CY359" s="47"/>
      <c r="CZ359" s="47"/>
      <c r="DA359" s="47"/>
      <c r="DB359" s="47"/>
      <c r="DC359" s="47"/>
      <c r="DD359" s="47"/>
      <c r="DE359" s="47"/>
      <c r="DF359" s="47"/>
      <c r="DG359" s="47"/>
      <c r="DH359" s="47"/>
    </row>
    <row r="360">
      <c r="A360" s="64"/>
      <c r="B360" s="47"/>
      <c r="C360" s="47"/>
      <c r="D360" s="47"/>
      <c r="E360" s="47"/>
      <c r="F360" s="47"/>
      <c r="G360" s="46"/>
      <c r="H360" s="42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R360" s="47"/>
      <c r="CS360" s="47"/>
      <c r="CT360" s="47"/>
      <c r="CU360" s="47"/>
      <c r="CV360" s="47"/>
      <c r="CW360" s="47"/>
      <c r="CX360" s="47"/>
      <c r="CY360" s="47"/>
      <c r="CZ360" s="47"/>
      <c r="DA360" s="47"/>
      <c r="DB360" s="47"/>
      <c r="DC360" s="47"/>
      <c r="DD360" s="47"/>
      <c r="DE360" s="47"/>
      <c r="DF360" s="47"/>
      <c r="DG360" s="47"/>
      <c r="DH360" s="47"/>
    </row>
    <row r="361">
      <c r="A361" s="64"/>
      <c r="B361" s="47"/>
      <c r="C361" s="47"/>
      <c r="D361" s="47"/>
      <c r="E361" s="47"/>
      <c r="F361" s="47"/>
      <c r="G361" s="46"/>
      <c r="H361" s="42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R361" s="47"/>
      <c r="CS361" s="47"/>
      <c r="CT361" s="47"/>
      <c r="CU361" s="47"/>
      <c r="CV361" s="47"/>
      <c r="CW361" s="47"/>
      <c r="CX361" s="47"/>
      <c r="CY361" s="47"/>
      <c r="CZ361" s="47"/>
      <c r="DA361" s="47"/>
      <c r="DB361" s="47"/>
      <c r="DC361" s="47"/>
      <c r="DD361" s="47"/>
      <c r="DE361" s="47"/>
      <c r="DF361" s="47"/>
      <c r="DG361" s="47"/>
      <c r="DH361" s="47"/>
    </row>
    <row r="362">
      <c r="A362" s="64"/>
      <c r="B362" s="47"/>
      <c r="C362" s="47"/>
      <c r="D362" s="47"/>
      <c r="E362" s="47"/>
      <c r="F362" s="47"/>
      <c r="G362" s="46"/>
      <c r="H362" s="42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R362" s="47"/>
      <c r="CS362" s="47"/>
      <c r="CT362" s="47"/>
      <c r="CU362" s="47"/>
      <c r="CV362" s="47"/>
      <c r="CW362" s="47"/>
      <c r="CX362" s="47"/>
      <c r="CY362" s="47"/>
      <c r="CZ362" s="47"/>
      <c r="DA362" s="47"/>
      <c r="DB362" s="47"/>
      <c r="DC362" s="47"/>
      <c r="DD362" s="47"/>
      <c r="DE362" s="47"/>
      <c r="DF362" s="47"/>
      <c r="DG362" s="47"/>
      <c r="DH362" s="47"/>
    </row>
    <row r="363">
      <c r="A363" s="64"/>
      <c r="B363" s="47"/>
      <c r="C363" s="47"/>
      <c r="D363" s="47"/>
      <c r="E363" s="47"/>
      <c r="F363" s="47"/>
      <c r="G363" s="46"/>
      <c r="H363" s="42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R363" s="47"/>
      <c r="CS363" s="47"/>
      <c r="CT363" s="47"/>
      <c r="CU363" s="47"/>
      <c r="CV363" s="47"/>
      <c r="CW363" s="47"/>
      <c r="CX363" s="47"/>
      <c r="CY363" s="47"/>
      <c r="CZ363" s="47"/>
      <c r="DA363" s="47"/>
      <c r="DB363" s="47"/>
      <c r="DC363" s="47"/>
      <c r="DD363" s="47"/>
      <c r="DE363" s="47"/>
      <c r="DF363" s="47"/>
      <c r="DG363" s="47"/>
      <c r="DH363" s="47"/>
    </row>
    <row r="364">
      <c r="A364" s="64"/>
      <c r="B364" s="47"/>
      <c r="C364" s="47"/>
      <c r="D364" s="47"/>
      <c r="E364" s="47"/>
      <c r="F364" s="47"/>
      <c r="G364" s="46"/>
      <c r="H364" s="42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R364" s="47"/>
      <c r="CS364" s="47"/>
      <c r="CT364" s="47"/>
      <c r="CU364" s="47"/>
      <c r="CV364" s="47"/>
      <c r="CW364" s="47"/>
      <c r="CX364" s="47"/>
      <c r="CY364" s="47"/>
      <c r="CZ364" s="47"/>
      <c r="DA364" s="47"/>
      <c r="DB364" s="47"/>
      <c r="DC364" s="47"/>
      <c r="DD364" s="47"/>
      <c r="DE364" s="47"/>
      <c r="DF364" s="47"/>
      <c r="DG364" s="47"/>
      <c r="DH364" s="47"/>
    </row>
    <row r="365">
      <c r="A365" s="64"/>
      <c r="B365" s="47"/>
      <c r="C365" s="47"/>
      <c r="D365" s="47"/>
      <c r="E365" s="47"/>
      <c r="F365" s="47"/>
      <c r="G365" s="46"/>
      <c r="H365" s="42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R365" s="47"/>
      <c r="CS365" s="47"/>
      <c r="CT365" s="47"/>
      <c r="CU365" s="47"/>
      <c r="CV365" s="47"/>
      <c r="CW365" s="47"/>
      <c r="CX365" s="47"/>
      <c r="CY365" s="47"/>
      <c r="CZ365" s="47"/>
      <c r="DA365" s="47"/>
      <c r="DB365" s="47"/>
      <c r="DC365" s="47"/>
      <c r="DD365" s="47"/>
      <c r="DE365" s="47"/>
      <c r="DF365" s="47"/>
      <c r="DG365" s="47"/>
      <c r="DH365" s="47"/>
    </row>
    <row r="366">
      <c r="A366" s="64"/>
      <c r="B366" s="47"/>
      <c r="C366" s="47"/>
      <c r="D366" s="47"/>
      <c r="E366" s="47"/>
      <c r="F366" s="47"/>
      <c r="G366" s="46"/>
      <c r="H366" s="42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R366" s="47"/>
      <c r="CS366" s="47"/>
      <c r="CT366" s="47"/>
      <c r="CU366" s="47"/>
      <c r="CV366" s="47"/>
      <c r="CW366" s="47"/>
      <c r="CX366" s="47"/>
      <c r="CY366" s="47"/>
      <c r="CZ366" s="47"/>
      <c r="DA366" s="47"/>
      <c r="DB366" s="47"/>
      <c r="DC366" s="47"/>
      <c r="DD366" s="47"/>
      <c r="DE366" s="47"/>
      <c r="DF366" s="47"/>
      <c r="DG366" s="47"/>
      <c r="DH366" s="47"/>
    </row>
    <row r="367">
      <c r="A367" s="64"/>
      <c r="B367" s="47"/>
      <c r="C367" s="47"/>
      <c r="D367" s="47"/>
      <c r="E367" s="47"/>
      <c r="F367" s="47"/>
      <c r="G367" s="46"/>
      <c r="H367" s="42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R367" s="47"/>
      <c r="CS367" s="47"/>
      <c r="CT367" s="47"/>
      <c r="CU367" s="47"/>
      <c r="CV367" s="47"/>
      <c r="CW367" s="47"/>
      <c r="CX367" s="47"/>
      <c r="CY367" s="47"/>
      <c r="CZ367" s="47"/>
      <c r="DA367" s="47"/>
      <c r="DB367" s="47"/>
      <c r="DC367" s="47"/>
      <c r="DD367" s="47"/>
      <c r="DE367" s="47"/>
      <c r="DF367" s="47"/>
      <c r="DG367" s="47"/>
      <c r="DH367" s="47"/>
    </row>
    <row r="368">
      <c r="A368" s="64"/>
      <c r="B368" s="47"/>
      <c r="C368" s="47"/>
      <c r="D368" s="47"/>
      <c r="E368" s="47"/>
      <c r="F368" s="47"/>
      <c r="G368" s="46"/>
      <c r="H368" s="42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R368" s="47"/>
      <c r="CS368" s="47"/>
      <c r="CT368" s="47"/>
      <c r="CU368" s="47"/>
      <c r="CV368" s="47"/>
      <c r="CW368" s="47"/>
      <c r="CX368" s="47"/>
      <c r="CY368" s="47"/>
      <c r="CZ368" s="47"/>
      <c r="DA368" s="47"/>
      <c r="DB368" s="47"/>
      <c r="DC368" s="47"/>
      <c r="DD368" s="47"/>
      <c r="DE368" s="47"/>
      <c r="DF368" s="47"/>
      <c r="DG368" s="47"/>
      <c r="DH368" s="47"/>
    </row>
    <row r="369">
      <c r="A369" s="64"/>
      <c r="B369" s="47"/>
      <c r="C369" s="47"/>
      <c r="D369" s="47"/>
      <c r="E369" s="47"/>
      <c r="F369" s="47"/>
      <c r="G369" s="46"/>
      <c r="H369" s="42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R369" s="47"/>
      <c r="CS369" s="47"/>
      <c r="CT369" s="47"/>
      <c r="CU369" s="47"/>
      <c r="CV369" s="47"/>
      <c r="CW369" s="47"/>
      <c r="CX369" s="47"/>
      <c r="CY369" s="47"/>
      <c r="CZ369" s="47"/>
      <c r="DA369" s="47"/>
      <c r="DB369" s="47"/>
      <c r="DC369" s="47"/>
      <c r="DD369" s="47"/>
      <c r="DE369" s="47"/>
      <c r="DF369" s="47"/>
      <c r="DG369" s="47"/>
      <c r="DH369" s="47"/>
    </row>
    <row r="370">
      <c r="A370" s="64"/>
      <c r="B370" s="47"/>
      <c r="C370" s="47"/>
      <c r="D370" s="47"/>
      <c r="E370" s="47"/>
      <c r="F370" s="47"/>
      <c r="G370" s="46"/>
      <c r="H370" s="42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R370" s="47"/>
      <c r="CS370" s="47"/>
      <c r="CT370" s="47"/>
      <c r="CU370" s="47"/>
      <c r="CV370" s="47"/>
      <c r="CW370" s="47"/>
      <c r="CX370" s="47"/>
      <c r="CY370" s="47"/>
      <c r="CZ370" s="47"/>
      <c r="DA370" s="47"/>
      <c r="DB370" s="47"/>
      <c r="DC370" s="47"/>
      <c r="DD370" s="47"/>
      <c r="DE370" s="47"/>
      <c r="DF370" s="47"/>
      <c r="DG370" s="47"/>
      <c r="DH370" s="47"/>
    </row>
    <row r="371">
      <c r="A371" s="64"/>
      <c r="B371" s="47"/>
      <c r="C371" s="47"/>
      <c r="D371" s="47"/>
      <c r="E371" s="47"/>
      <c r="F371" s="47"/>
      <c r="G371" s="46"/>
      <c r="H371" s="42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R371" s="47"/>
      <c r="CS371" s="47"/>
      <c r="CT371" s="47"/>
      <c r="CU371" s="47"/>
      <c r="CV371" s="47"/>
      <c r="CW371" s="47"/>
      <c r="CX371" s="47"/>
      <c r="CY371" s="47"/>
      <c r="CZ371" s="47"/>
      <c r="DA371" s="47"/>
      <c r="DB371" s="47"/>
      <c r="DC371" s="47"/>
      <c r="DD371" s="47"/>
      <c r="DE371" s="47"/>
      <c r="DF371" s="47"/>
      <c r="DG371" s="47"/>
      <c r="DH371" s="47"/>
    </row>
    <row r="372">
      <c r="A372" s="64"/>
      <c r="B372" s="47"/>
      <c r="C372" s="47"/>
      <c r="D372" s="47"/>
      <c r="E372" s="47"/>
      <c r="F372" s="47"/>
      <c r="G372" s="46"/>
      <c r="H372" s="42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R372" s="47"/>
      <c r="CS372" s="47"/>
      <c r="CT372" s="47"/>
      <c r="CU372" s="47"/>
      <c r="CV372" s="47"/>
      <c r="CW372" s="47"/>
      <c r="CX372" s="47"/>
      <c r="CY372" s="47"/>
      <c r="CZ372" s="47"/>
      <c r="DA372" s="47"/>
      <c r="DB372" s="47"/>
      <c r="DC372" s="47"/>
      <c r="DD372" s="47"/>
      <c r="DE372" s="47"/>
      <c r="DF372" s="47"/>
      <c r="DG372" s="47"/>
      <c r="DH372" s="47"/>
    </row>
    <row r="373">
      <c r="A373" s="64"/>
      <c r="B373" s="47"/>
      <c r="C373" s="47"/>
      <c r="D373" s="47"/>
      <c r="E373" s="47"/>
      <c r="F373" s="47"/>
      <c r="G373" s="46"/>
      <c r="H373" s="42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R373" s="47"/>
      <c r="CS373" s="47"/>
      <c r="CT373" s="47"/>
      <c r="CU373" s="47"/>
      <c r="CV373" s="47"/>
      <c r="CW373" s="47"/>
      <c r="CX373" s="47"/>
      <c r="CY373" s="47"/>
      <c r="CZ373" s="47"/>
      <c r="DA373" s="47"/>
      <c r="DB373" s="47"/>
      <c r="DC373" s="47"/>
      <c r="DD373" s="47"/>
      <c r="DE373" s="47"/>
      <c r="DF373" s="47"/>
      <c r="DG373" s="47"/>
      <c r="DH373" s="47"/>
    </row>
    <row r="374">
      <c r="A374" s="64"/>
      <c r="B374" s="47"/>
      <c r="C374" s="47"/>
      <c r="D374" s="47"/>
      <c r="E374" s="47"/>
      <c r="F374" s="47"/>
      <c r="G374" s="46"/>
      <c r="H374" s="42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R374" s="47"/>
      <c r="CS374" s="47"/>
      <c r="CT374" s="47"/>
      <c r="CU374" s="47"/>
      <c r="CV374" s="47"/>
      <c r="CW374" s="47"/>
      <c r="CX374" s="47"/>
      <c r="CY374" s="47"/>
      <c r="CZ374" s="47"/>
      <c r="DA374" s="47"/>
      <c r="DB374" s="47"/>
      <c r="DC374" s="47"/>
      <c r="DD374" s="47"/>
      <c r="DE374" s="47"/>
      <c r="DF374" s="47"/>
      <c r="DG374" s="47"/>
      <c r="DH374" s="47"/>
    </row>
    <row r="375">
      <c r="A375" s="64"/>
      <c r="B375" s="47"/>
      <c r="C375" s="47"/>
      <c r="D375" s="47"/>
      <c r="E375" s="47"/>
      <c r="F375" s="47"/>
      <c r="G375" s="46"/>
      <c r="H375" s="42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R375" s="47"/>
      <c r="CS375" s="47"/>
      <c r="CT375" s="47"/>
      <c r="CU375" s="47"/>
      <c r="CV375" s="47"/>
      <c r="CW375" s="47"/>
      <c r="CX375" s="47"/>
      <c r="CY375" s="47"/>
      <c r="CZ375" s="47"/>
      <c r="DA375" s="47"/>
      <c r="DB375" s="47"/>
      <c r="DC375" s="47"/>
      <c r="DD375" s="47"/>
      <c r="DE375" s="47"/>
      <c r="DF375" s="47"/>
      <c r="DG375" s="47"/>
      <c r="DH375" s="47"/>
    </row>
    <row r="376">
      <c r="A376" s="64"/>
      <c r="B376" s="47"/>
      <c r="C376" s="47"/>
      <c r="D376" s="47"/>
      <c r="E376" s="47"/>
      <c r="F376" s="47"/>
      <c r="G376" s="46"/>
      <c r="H376" s="42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R376" s="47"/>
      <c r="CS376" s="47"/>
      <c r="CT376" s="47"/>
      <c r="CU376" s="47"/>
      <c r="CV376" s="47"/>
      <c r="CW376" s="47"/>
      <c r="CX376" s="47"/>
      <c r="CY376" s="47"/>
      <c r="CZ376" s="47"/>
      <c r="DA376" s="47"/>
      <c r="DB376" s="47"/>
      <c r="DC376" s="47"/>
      <c r="DD376" s="47"/>
      <c r="DE376" s="47"/>
      <c r="DF376" s="47"/>
      <c r="DG376" s="47"/>
      <c r="DH376" s="47"/>
    </row>
    <row r="377">
      <c r="A377" s="64"/>
      <c r="B377" s="47"/>
      <c r="C377" s="47"/>
      <c r="D377" s="47"/>
      <c r="E377" s="47"/>
      <c r="F377" s="47"/>
      <c r="G377" s="46"/>
      <c r="H377" s="42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R377" s="47"/>
      <c r="CS377" s="47"/>
      <c r="CT377" s="47"/>
      <c r="CU377" s="47"/>
      <c r="CV377" s="47"/>
      <c r="CW377" s="47"/>
      <c r="CX377" s="47"/>
      <c r="CY377" s="47"/>
      <c r="CZ377" s="47"/>
      <c r="DA377" s="47"/>
      <c r="DB377" s="47"/>
      <c r="DC377" s="47"/>
      <c r="DD377" s="47"/>
      <c r="DE377" s="47"/>
      <c r="DF377" s="47"/>
      <c r="DG377" s="47"/>
      <c r="DH377" s="47"/>
    </row>
    <row r="378">
      <c r="A378" s="64"/>
      <c r="B378" s="47"/>
      <c r="C378" s="47"/>
      <c r="D378" s="47"/>
      <c r="E378" s="47"/>
      <c r="F378" s="47"/>
      <c r="G378" s="46"/>
      <c r="H378" s="42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R378" s="47"/>
      <c r="CS378" s="47"/>
      <c r="CT378" s="47"/>
      <c r="CU378" s="47"/>
      <c r="CV378" s="47"/>
      <c r="CW378" s="47"/>
      <c r="CX378" s="47"/>
      <c r="CY378" s="47"/>
      <c r="CZ378" s="47"/>
      <c r="DA378" s="47"/>
      <c r="DB378" s="47"/>
      <c r="DC378" s="47"/>
      <c r="DD378" s="47"/>
      <c r="DE378" s="47"/>
      <c r="DF378" s="47"/>
      <c r="DG378" s="47"/>
      <c r="DH378" s="47"/>
    </row>
    <row r="379">
      <c r="A379" s="64"/>
      <c r="B379" s="47"/>
      <c r="C379" s="47"/>
      <c r="D379" s="47"/>
      <c r="E379" s="47"/>
      <c r="F379" s="47"/>
      <c r="G379" s="46"/>
      <c r="H379" s="42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R379" s="47"/>
      <c r="CS379" s="47"/>
      <c r="CT379" s="47"/>
      <c r="CU379" s="47"/>
      <c r="CV379" s="47"/>
      <c r="CW379" s="47"/>
      <c r="CX379" s="47"/>
      <c r="CY379" s="47"/>
      <c r="CZ379" s="47"/>
      <c r="DA379" s="47"/>
      <c r="DB379" s="47"/>
      <c r="DC379" s="47"/>
      <c r="DD379" s="47"/>
      <c r="DE379" s="47"/>
      <c r="DF379" s="47"/>
      <c r="DG379" s="47"/>
      <c r="DH379" s="47"/>
    </row>
    <row r="380">
      <c r="A380" s="64"/>
      <c r="B380" s="47"/>
      <c r="C380" s="47"/>
      <c r="D380" s="47"/>
      <c r="E380" s="47"/>
      <c r="F380" s="47"/>
      <c r="G380" s="46"/>
      <c r="H380" s="42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R380" s="47"/>
      <c r="CS380" s="47"/>
      <c r="CT380" s="47"/>
      <c r="CU380" s="47"/>
      <c r="CV380" s="47"/>
      <c r="CW380" s="47"/>
      <c r="CX380" s="47"/>
      <c r="CY380" s="47"/>
      <c r="CZ380" s="47"/>
      <c r="DA380" s="47"/>
      <c r="DB380" s="47"/>
      <c r="DC380" s="47"/>
      <c r="DD380" s="47"/>
      <c r="DE380" s="47"/>
      <c r="DF380" s="47"/>
      <c r="DG380" s="47"/>
      <c r="DH380" s="47"/>
    </row>
    <row r="381">
      <c r="A381" s="64"/>
      <c r="B381" s="47"/>
      <c r="C381" s="47"/>
      <c r="D381" s="47"/>
      <c r="E381" s="47"/>
      <c r="F381" s="47"/>
      <c r="G381" s="46"/>
      <c r="H381" s="42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R381" s="47"/>
      <c r="CS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</row>
    <row r="382">
      <c r="A382" s="64"/>
      <c r="B382" s="47"/>
      <c r="C382" s="47"/>
      <c r="D382" s="47"/>
      <c r="E382" s="47"/>
      <c r="F382" s="47"/>
      <c r="G382" s="46"/>
      <c r="H382" s="42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R382" s="47"/>
      <c r="CS382" s="47"/>
      <c r="CT382" s="47"/>
      <c r="CU382" s="47"/>
      <c r="CV382" s="47"/>
      <c r="CW382" s="47"/>
      <c r="CX382" s="47"/>
      <c r="CY382" s="47"/>
      <c r="CZ382" s="47"/>
      <c r="DA382" s="47"/>
      <c r="DB382" s="47"/>
      <c r="DC382" s="47"/>
      <c r="DD382" s="47"/>
      <c r="DE382" s="47"/>
      <c r="DF382" s="47"/>
      <c r="DG382" s="47"/>
      <c r="DH382" s="47"/>
    </row>
    <row r="383">
      <c r="A383" s="64"/>
      <c r="B383" s="47"/>
      <c r="C383" s="47"/>
      <c r="D383" s="47"/>
      <c r="E383" s="47"/>
      <c r="F383" s="47"/>
      <c r="G383" s="46"/>
      <c r="H383" s="42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R383" s="47"/>
      <c r="CS383" s="47"/>
      <c r="CT383" s="47"/>
      <c r="CU383" s="47"/>
      <c r="CV383" s="47"/>
      <c r="CW383" s="47"/>
      <c r="CX383" s="47"/>
      <c r="CY383" s="47"/>
      <c r="CZ383" s="47"/>
      <c r="DA383" s="47"/>
      <c r="DB383" s="47"/>
      <c r="DC383" s="47"/>
      <c r="DD383" s="47"/>
      <c r="DE383" s="47"/>
      <c r="DF383" s="47"/>
      <c r="DG383" s="47"/>
      <c r="DH383" s="47"/>
    </row>
    <row r="384">
      <c r="A384" s="64"/>
      <c r="B384" s="47"/>
      <c r="C384" s="47"/>
      <c r="D384" s="47"/>
      <c r="E384" s="47"/>
      <c r="F384" s="47"/>
      <c r="G384" s="46"/>
      <c r="H384" s="42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R384" s="47"/>
      <c r="CS384" s="47"/>
      <c r="CT384" s="47"/>
      <c r="CU384" s="47"/>
      <c r="CV384" s="47"/>
      <c r="CW384" s="47"/>
      <c r="CX384" s="47"/>
      <c r="CY384" s="47"/>
      <c r="CZ384" s="47"/>
      <c r="DA384" s="47"/>
      <c r="DB384" s="47"/>
      <c r="DC384" s="47"/>
      <c r="DD384" s="47"/>
      <c r="DE384" s="47"/>
      <c r="DF384" s="47"/>
      <c r="DG384" s="47"/>
      <c r="DH384" s="47"/>
    </row>
    <row r="385">
      <c r="A385" s="64"/>
      <c r="B385" s="47"/>
      <c r="C385" s="47"/>
      <c r="D385" s="47"/>
      <c r="E385" s="47"/>
      <c r="F385" s="47"/>
      <c r="G385" s="46"/>
      <c r="H385" s="42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R385" s="47"/>
      <c r="CS385" s="47"/>
      <c r="CT385" s="47"/>
      <c r="CU385" s="47"/>
      <c r="CV385" s="47"/>
      <c r="CW385" s="47"/>
      <c r="CX385" s="47"/>
      <c r="CY385" s="47"/>
      <c r="CZ385" s="47"/>
      <c r="DA385" s="47"/>
      <c r="DB385" s="47"/>
      <c r="DC385" s="47"/>
      <c r="DD385" s="47"/>
      <c r="DE385" s="47"/>
      <c r="DF385" s="47"/>
      <c r="DG385" s="47"/>
      <c r="DH385" s="47"/>
    </row>
    <row r="386">
      <c r="A386" s="64"/>
      <c r="B386" s="47"/>
      <c r="C386" s="47"/>
      <c r="D386" s="47"/>
      <c r="E386" s="47"/>
      <c r="F386" s="47"/>
      <c r="G386" s="46"/>
      <c r="H386" s="42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R386" s="47"/>
      <c r="CS386" s="47"/>
      <c r="CT386" s="47"/>
      <c r="CU386" s="47"/>
      <c r="CV386" s="47"/>
      <c r="CW386" s="47"/>
      <c r="CX386" s="47"/>
      <c r="CY386" s="47"/>
      <c r="CZ386" s="47"/>
      <c r="DA386" s="47"/>
      <c r="DB386" s="47"/>
      <c r="DC386" s="47"/>
      <c r="DD386" s="47"/>
      <c r="DE386" s="47"/>
      <c r="DF386" s="47"/>
      <c r="DG386" s="47"/>
      <c r="DH386" s="47"/>
    </row>
    <row r="387">
      <c r="A387" s="64"/>
      <c r="B387" s="47"/>
      <c r="C387" s="47"/>
      <c r="D387" s="47"/>
      <c r="E387" s="47"/>
      <c r="F387" s="47"/>
      <c r="G387" s="46"/>
      <c r="H387" s="42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R387" s="47"/>
      <c r="CS387" s="47"/>
      <c r="CT387" s="47"/>
      <c r="CU387" s="47"/>
      <c r="CV387" s="47"/>
      <c r="CW387" s="47"/>
      <c r="CX387" s="47"/>
      <c r="CY387" s="47"/>
      <c r="CZ387" s="47"/>
      <c r="DA387" s="47"/>
      <c r="DB387" s="47"/>
      <c r="DC387" s="47"/>
      <c r="DD387" s="47"/>
      <c r="DE387" s="47"/>
      <c r="DF387" s="47"/>
      <c r="DG387" s="47"/>
      <c r="DH387" s="47"/>
    </row>
    <row r="388">
      <c r="A388" s="64"/>
      <c r="B388" s="47"/>
      <c r="C388" s="47"/>
      <c r="D388" s="47"/>
      <c r="E388" s="47"/>
      <c r="F388" s="47"/>
      <c r="G388" s="46"/>
      <c r="H388" s="42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R388" s="47"/>
      <c r="CS388" s="47"/>
      <c r="CT388" s="47"/>
      <c r="CU388" s="47"/>
      <c r="CV388" s="47"/>
      <c r="CW388" s="47"/>
      <c r="CX388" s="47"/>
      <c r="CY388" s="47"/>
      <c r="CZ388" s="47"/>
      <c r="DA388" s="47"/>
      <c r="DB388" s="47"/>
      <c r="DC388" s="47"/>
      <c r="DD388" s="47"/>
      <c r="DE388" s="47"/>
      <c r="DF388" s="47"/>
      <c r="DG388" s="47"/>
      <c r="DH388" s="47"/>
    </row>
    <row r="389">
      <c r="A389" s="64"/>
      <c r="B389" s="47"/>
      <c r="C389" s="47"/>
      <c r="D389" s="47"/>
      <c r="E389" s="47"/>
      <c r="F389" s="47"/>
      <c r="G389" s="46"/>
      <c r="H389" s="42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R389" s="47"/>
      <c r="CS389" s="47"/>
      <c r="CT389" s="47"/>
      <c r="CU389" s="47"/>
      <c r="CV389" s="47"/>
      <c r="CW389" s="47"/>
      <c r="CX389" s="47"/>
      <c r="CY389" s="47"/>
      <c r="CZ389" s="47"/>
      <c r="DA389" s="47"/>
      <c r="DB389" s="47"/>
      <c r="DC389" s="47"/>
      <c r="DD389" s="47"/>
      <c r="DE389" s="47"/>
      <c r="DF389" s="47"/>
      <c r="DG389" s="47"/>
      <c r="DH389" s="47"/>
    </row>
    <row r="390">
      <c r="A390" s="64"/>
      <c r="B390" s="47"/>
      <c r="C390" s="47"/>
      <c r="D390" s="47"/>
      <c r="E390" s="47"/>
      <c r="F390" s="47"/>
      <c r="G390" s="46"/>
      <c r="H390" s="42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R390" s="47"/>
      <c r="CS390" s="47"/>
      <c r="CT390" s="47"/>
      <c r="CU390" s="47"/>
      <c r="CV390" s="47"/>
      <c r="CW390" s="47"/>
      <c r="CX390" s="47"/>
      <c r="CY390" s="47"/>
      <c r="CZ390" s="47"/>
      <c r="DA390" s="47"/>
      <c r="DB390" s="47"/>
      <c r="DC390" s="47"/>
      <c r="DD390" s="47"/>
      <c r="DE390" s="47"/>
      <c r="DF390" s="47"/>
      <c r="DG390" s="47"/>
      <c r="DH390" s="47"/>
    </row>
    <row r="391">
      <c r="A391" s="64"/>
      <c r="B391" s="47"/>
      <c r="C391" s="47"/>
      <c r="D391" s="47"/>
      <c r="E391" s="47"/>
      <c r="F391" s="47"/>
      <c r="G391" s="46"/>
      <c r="H391" s="42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R391" s="47"/>
      <c r="CS391" s="47"/>
      <c r="CT391" s="47"/>
      <c r="CU391" s="47"/>
      <c r="CV391" s="47"/>
      <c r="CW391" s="47"/>
      <c r="CX391" s="47"/>
      <c r="CY391" s="47"/>
      <c r="CZ391" s="47"/>
      <c r="DA391" s="47"/>
      <c r="DB391" s="47"/>
      <c r="DC391" s="47"/>
      <c r="DD391" s="47"/>
      <c r="DE391" s="47"/>
      <c r="DF391" s="47"/>
      <c r="DG391" s="47"/>
      <c r="DH391" s="47"/>
    </row>
    <row r="392">
      <c r="A392" s="64"/>
      <c r="B392" s="47"/>
      <c r="C392" s="47"/>
      <c r="D392" s="47"/>
      <c r="E392" s="47"/>
      <c r="F392" s="47"/>
      <c r="G392" s="46"/>
      <c r="H392" s="42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R392" s="47"/>
      <c r="CS392" s="47"/>
      <c r="CT392" s="47"/>
      <c r="CU392" s="47"/>
      <c r="CV392" s="47"/>
      <c r="CW392" s="47"/>
      <c r="CX392" s="47"/>
      <c r="CY392" s="47"/>
      <c r="CZ392" s="47"/>
      <c r="DA392" s="47"/>
      <c r="DB392" s="47"/>
      <c r="DC392" s="47"/>
      <c r="DD392" s="47"/>
      <c r="DE392" s="47"/>
      <c r="DF392" s="47"/>
      <c r="DG392" s="47"/>
      <c r="DH392" s="47"/>
    </row>
    <row r="393">
      <c r="A393" s="64"/>
      <c r="B393" s="47"/>
      <c r="C393" s="47"/>
      <c r="D393" s="47"/>
      <c r="E393" s="47"/>
      <c r="F393" s="47"/>
      <c r="G393" s="46"/>
      <c r="H393" s="42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R393" s="47"/>
      <c r="CS393" s="47"/>
      <c r="CT393" s="47"/>
      <c r="CU393" s="47"/>
      <c r="CV393" s="47"/>
      <c r="CW393" s="47"/>
      <c r="CX393" s="47"/>
      <c r="CY393" s="47"/>
      <c r="CZ393" s="47"/>
      <c r="DA393" s="47"/>
      <c r="DB393" s="47"/>
      <c r="DC393" s="47"/>
      <c r="DD393" s="47"/>
      <c r="DE393" s="47"/>
      <c r="DF393" s="47"/>
      <c r="DG393" s="47"/>
      <c r="DH393" s="47"/>
    </row>
    <row r="394">
      <c r="A394" s="64"/>
      <c r="B394" s="47"/>
      <c r="C394" s="47"/>
      <c r="D394" s="47"/>
      <c r="E394" s="47"/>
      <c r="F394" s="47"/>
      <c r="G394" s="46"/>
      <c r="H394" s="42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R394" s="47"/>
      <c r="CS394" s="47"/>
      <c r="CT394" s="47"/>
      <c r="CU394" s="47"/>
      <c r="CV394" s="47"/>
      <c r="CW394" s="47"/>
      <c r="CX394" s="47"/>
      <c r="CY394" s="47"/>
      <c r="CZ394" s="47"/>
      <c r="DA394" s="47"/>
      <c r="DB394" s="47"/>
      <c r="DC394" s="47"/>
      <c r="DD394" s="47"/>
      <c r="DE394" s="47"/>
      <c r="DF394" s="47"/>
      <c r="DG394" s="47"/>
      <c r="DH394" s="47"/>
    </row>
    <row r="395">
      <c r="A395" s="64"/>
      <c r="B395" s="47"/>
      <c r="C395" s="47"/>
      <c r="D395" s="47"/>
      <c r="E395" s="47"/>
      <c r="F395" s="47"/>
      <c r="G395" s="46"/>
      <c r="H395" s="42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R395" s="47"/>
      <c r="CS395" s="47"/>
      <c r="CT395" s="47"/>
      <c r="CU395" s="47"/>
      <c r="CV395" s="47"/>
      <c r="CW395" s="47"/>
      <c r="CX395" s="47"/>
      <c r="CY395" s="47"/>
      <c r="CZ395" s="47"/>
      <c r="DA395" s="47"/>
      <c r="DB395" s="47"/>
      <c r="DC395" s="47"/>
      <c r="DD395" s="47"/>
      <c r="DE395" s="47"/>
      <c r="DF395" s="47"/>
      <c r="DG395" s="47"/>
      <c r="DH395" s="47"/>
    </row>
    <row r="396">
      <c r="A396" s="64"/>
      <c r="B396" s="47"/>
      <c r="C396" s="47"/>
      <c r="D396" s="47"/>
      <c r="E396" s="47"/>
      <c r="F396" s="47"/>
      <c r="G396" s="46"/>
      <c r="H396" s="42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R396" s="47"/>
      <c r="CS396" s="47"/>
      <c r="CT396" s="47"/>
      <c r="CU396" s="47"/>
      <c r="CV396" s="47"/>
      <c r="CW396" s="47"/>
      <c r="CX396" s="47"/>
      <c r="CY396" s="47"/>
      <c r="CZ396" s="47"/>
      <c r="DA396" s="47"/>
      <c r="DB396" s="47"/>
      <c r="DC396" s="47"/>
      <c r="DD396" s="47"/>
      <c r="DE396" s="47"/>
      <c r="DF396" s="47"/>
      <c r="DG396" s="47"/>
      <c r="DH396" s="47"/>
    </row>
    <row r="397">
      <c r="A397" s="64"/>
      <c r="B397" s="47"/>
      <c r="C397" s="47"/>
      <c r="D397" s="47"/>
      <c r="E397" s="47"/>
      <c r="F397" s="47"/>
      <c r="G397" s="46"/>
      <c r="H397" s="42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R397" s="47"/>
      <c r="CS397" s="47"/>
      <c r="CT397" s="47"/>
      <c r="CU397" s="47"/>
      <c r="CV397" s="47"/>
      <c r="CW397" s="47"/>
      <c r="CX397" s="47"/>
      <c r="CY397" s="47"/>
      <c r="CZ397" s="47"/>
      <c r="DA397" s="47"/>
      <c r="DB397" s="47"/>
      <c r="DC397" s="47"/>
      <c r="DD397" s="47"/>
      <c r="DE397" s="47"/>
      <c r="DF397" s="47"/>
      <c r="DG397" s="47"/>
      <c r="DH397" s="47"/>
    </row>
    <row r="398">
      <c r="A398" s="64"/>
      <c r="B398" s="47"/>
      <c r="C398" s="47"/>
      <c r="D398" s="47"/>
      <c r="E398" s="47"/>
      <c r="F398" s="47"/>
      <c r="G398" s="46"/>
      <c r="H398" s="42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R398" s="47"/>
      <c r="CS398" s="47"/>
      <c r="CT398" s="47"/>
      <c r="CU398" s="47"/>
      <c r="CV398" s="47"/>
      <c r="CW398" s="47"/>
      <c r="CX398" s="47"/>
      <c r="CY398" s="47"/>
      <c r="CZ398" s="47"/>
      <c r="DA398" s="47"/>
      <c r="DB398" s="47"/>
      <c r="DC398" s="47"/>
      <c r="DD398" s="47"/>
      <c r="DE398" s="47"/>
      <c r="DF398" s="47"/>
      <c r="DG398" s="47"/>
      <c r="DH398" s="47"/>
    </row>
    <row r="399">
      <c r="A399" s="64"/>
      <c r="B399" s="47"/>
      <c r="C399" s="47"/>
      <c r="D399" s="47"/>
      <c r="E399" s="47"/>
      <c r="F399" s="47"/>
      <c r="G399" s="46"/>
      <c r="H399" s="42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R399" s="47"/>
      <c r="CS399" s="47"/>
      <c r="CT399" s="47"/>
      <c r="CU399" s="47"/>
      <c r="CV399" s="47"/>
      <c r="CW399" s="47"/>
      <c r="CX399" s="47"/>
      <c r="CY399" s="47"/>
      <c r="CZ399" s="47"/>
      <c r="DA399" s="47"/>
      <c r="DB399" s="47"/>
      <c r="DC399" s="47"/>
      <c r="DD399" s="47"/>
      <c r="DE399" s="47"/>
      <c r="DF399" s="47"/>
      <c r="DG399" s="47"/>
      <c r="DH399" s="47"/>
    </row>
    <row r="400">
      <c r="A400" s="64"/>
      <c r="B400" s="47"/>
      <c r="C400" s="47"/>
      <c r="D400" s="47"/>
      <c r="E400" s="47"/>
      <c r="F400" s="47"/>
      <c r="G400" s="46"/>
      <c r="H400" s="42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R400" s="47"/>
      <c r="CS400" s="47"/>
      <c r="CT400" s="47"/>
      <c r="CU400" s="47"/>
      <c r="CV400" s="47"/>
      <c r="CW400" s="47"/>
      <c r="CX400" s="47"/>
      <c r="CY400" s="47"/>
      <c r="CZ400" s="47"/>
      <c r="DA400" s="47"/>
      <c r="DB400" s="47"/>
      <c r="DC400" s="47"/>
      <c r="DD400" s="47"/>
      <c r="DE400" s="47"/>
      <c r="DF400" s="47"/>
      <c r="DG400" s="47"/>
      <c r="DH400" s="47"/>
    </row>
    <row r="401">
      <c r="A401" s="64"/>
      <c r="B401" s="47"/>
      <c r="C401" s="47"/>
      <c r="D401" s="47"/>
      <c r="E401" s="47"/>
      <c r="F401" s="47"/>
      <c r="G401" s="46"/>
      <c r="H401" s="42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R401" s="47"/>
      <c r="CS401" s="47"/>
      <c r="CT401" s="47"/>
      <c r="CU401" s="47"/>
      <c r="CV401" s="47"/>
      <c r="CW401" s="47"/>
      <c r="CX401" s="47"/>
      <c r="CY401" s="47"/>
      <c r="CZ401" s="47"/>
      <c r="DA401" s="47"/>
      <c r="DB401" s="47"/>
      <c r="DC401" s="47"/>
      <c r="DD401" s="47"/>
      <c r="DE401" s="47"/>
      <c r="DF401" s="47"/>
      <c r="DG401" s="47"/>
      <c r="DH401" s="47"/>
    </row>
    <row r="402">
      <c r="A402" s="64"/>
      <c r="B402" s="47"/>
      <c r="C402" s="47"/>
      <c r="D402" s="47"/>
      <c r="E402" s="47"/>
      <c r="F402" s="47"/>
      <c r="G402" s="46"/>
      <c r="H402" s="42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R402" s="47"/>
      <c r="CS402" s="47"/>
      <c r="CT402" s="47"/>
      <c r="CU402" s="47"/>
      <c r="CV402" s="47"/>
      <c r="CW402" s="47"/>
      <c r="CX402" s="47"/>
      <c r="CY402" s="47"/>
      <c r="CZ402" s="47"/>
      <c r="DA402" s="47"/>
      <c r="DB402" s="47"/>
      <c r="DC402" s="47"/>
      <c r="DD402" s="47"/>
      <c r="DE402" s="47"/>
      <c r="DF402" s="47"/>
      <c r="DG402" s="47"/>
      <c r="DH402" s="47"/>
    </row>
    <row r="403">
      <c r="A403" s="64"/>
      <c r="B403" s="47"/>
      <c r="C403" s="47"/>
      <c r="D403" s="47"/>
      <c r="E403" s="47"/>
      <c r="F403" s="47"/>
      <c r="G403" s="46"/>
      <c r="H403" s="42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R403" s="47"/>
      <c r="CS403" s="47"/>
      <c r="CT403" s="47"/>
      <c r="CU403" s="47"/>
      <c r="CV403" s="47"/>
      <c r="CW403" s="47"/>
      <c r="CX403" s="47"/>
      <c r="CY403" s="47"/>
      <c r="CZ403" s="47"/>
      <c r="DA403" s="47"/>
      <c r="DB403" s="47"/>
      <c r="DC403" s="47"/>
      <c r="DD403" s="47"/>
      <c r="DE403" s="47"/>
      <c r="DF403" s="47"/>
      <c r="DG403" s="47"/>
      <c r="DH403" s="47"/>
    </row>
    <row r="404">
      <c r="A404" s="64"/>
      <c r="B404" s="47"/>
      <c r="C404" s="47"/>
      <c r="D404" s="47"/>
      <c r="E404" s="47"/>
      <c r="F404" s="47"/>
      <c r="G404" s="46"/>
      <c r="H404" s="42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R404" s="47"/>
      <c r="CS404" s="47"/>
      <c r="CT404" s="47"/>
      <c r="CU404" s="47"/>
      <c r="CV404" s="47"/>
      <c r="CW404" s="47"/>
      <c r="CX404" s="47"/>
      <c r="CY404" s="47"/>
      <c r="CZ404" s="47"/>
      <c r="DA404" s="47"/>
      <c r="DB404" s="47"/>
      <c r="DC404" s="47"/>
      <c r="DD404" s="47"/>
      <c r="DE404" s="47"/>
      <c r="DF404" s="47"/>
      <c r="DG404" s="47"/>
      <c r="DH404" s="47"/>
    </row>
    <row r="405">
      <c r="A405" s="64"/>
      <c r="B405" s="47"/>
      <c r="C405" s="47"/>
      <c r="D405" s="47"/>
      <c r="E405" s="47"/>
      <c r="F405" s="47"/>
      <c r="G405" s="46"/>
      <c r="H405" s="42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R405" s="47"/>
      <c r="CS405" s="47"/>
      <c r="CT405" s="47"/>
      <c r="CU405" s="47"/>
      <c r="CV405" s="47"/>
      <c r="CW405" s="47"/>
      <c r="CX405" s="47"/>
      <c r="CY405" s="47"/>
      <c r="CZ405" s="47"/>
      <c r="DA405" s="47"/>
      <c r="DB405" s="47"/>
      <c r="DC405" s="47"/>
      <c r="DD405" s="47"/>
      <c r="DE405" s="47"/>
      <c r="DF405" s="47"/>
      <c r="DG405" s="47"/>
      <c r="DH405" s="47"/>
    </row>
    <row r="406">
      <c r="A406" s="64"/>
      <c r="B406" s="47"/>
      <c r="C406" s="47"/>
      <c r="D406" s="47"/>
      <c r="E406" s="47"/>
      <c r="F406" s="47"/>
      <c r="G406" s="46"/>
      <c r="H406" s="42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R406" s="47"/>
      <c r="CS406" s="47"/>
      <c r="CT406" s="47"/>
      <c r="CU406" s="47"/>
      <c r="CV406" s="47"/>
      <c r="CW406" s="47"/>
      <c r="CX406" s="47"/>
      <c r="CY406" s="47"/>
      <c r="CZ406" s="47"/>
      <c r="DA406" s="47"/>
      <c r="DB406" s="47"/>
      <c r="DC406" s="47"/>
      <c r="DD406" s="47"/>
      <c r="DE406" s="47"/>
      <c r="DF406" s="47"/>
      <c r="DG406" s="47"/>
      <c r="DH406" s="47"/>
    </row>
    <row r="407">
      <c r="A407" s="64"/>
      <c r="B407" s="47"/>
      <c r="C407" s="47"/>
      <c r="D407" s="47"/>
      <c r="E407" s="47"/>
      <c r="F407" s="47"/>
      <c r="G407" s="46"/>
      <c r="H407" s="42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R407" s="47"/>
      <c r="CS407" s="47"/>
      <c r="CT407" s="47"/>
      <c r="CU407" s="47"/>
      <c r="CV407" s="47"/>
      <c r="CW407" s="47"/>
      <c r="CX407" s="47"/>
      <c r="CY407" s="47"/>
      <c r="CZ407" s="47"/>
      <c r="DA407" s="47"/>
      <c r="DB407" s="47"/>
      <c r="DC407" s="47"/>
      <c r="DD407" s="47"/>
      <c r="DE407" s="47"/>
      <c r="DF407" s="47"/>
      <c r="DG407" s="47"/>
      <c r="DH407" s="47"/>
    </row>
    <row r="408">
      <c r="A408" s="64"/>
      <c r="B408" s="47"/>
      <c r="C408" s="47"/>
      <c r="D408" s="47"/>
      <c r="E408" s="47"/>
      <c r="F408" s="47"/>
      <c r="G408" s="46"/>
      <c r="H408" s="42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R408" s="47"/>
      <c r="CS408" s="47"/>
      <c r="CT408" s="47"/>
      <c r="CU408" s="47"/>
      <c r="CV408" s="47"/>
      <c r="CW408" s="47"/>
      <c r="CX408" s="47"/>
      <c r="CY408" s="47"/>
      <c r="CZ408" s="47"/>
      <c r="DA408" s="47"/>
      <c r="DB408" s="47"/>
      <c r="DC408" s="47"/>
      <c r="DD408" s="47"/>
      <c r="DE408" s="47"/>
      <c r="DF408" s="47"/>
      <c r="DG408" s="47"/>
      <c r="DH408" s="47"/>
    </row>
    <row r="409">
      <c r="A409" s="64"/>
      <c r="B409" s="47"/>
      <c r="C409" s="47"/>
      <c r="D409" s="47"/>
      <c r="E409" s="47"/>
      <c r="F409" s="47"/>
      <c r="G409" s="46"/>
      <c r="H409" s="42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R409" s="47"/>
      <c r="CS409" s="47"/>
      <c r="CT409" s="47"/>
      <c r="CU409" s="47"/>
      <c r="CV409" s="47"/>
      <c r="CW409" s="47"/>
      <c r="CX409" s="47"/>
      <c r="CY409" s="47"/>
      <c r="CZ409" s="47"/>
      <c r="DA409" s="47"/>
      <c r="DB409" s="47"/>
      <c r="DC409" s="47"/>
      <c r="DD409" s="47"/>
      <c r="DE409" s="47"/>
      <c r="DF409" s="47"/>
      <c r="DG409" s="47"/>
      <c r="DH409" s="47"/>
    </row>
    <row r="410">
      <c r="A410" s="64"/>
      <c r="B410" s="47"/>
      <c r="C410" s="47"/>
      <c r="D410" s="47"/>
      <c r="E410" s="47"/>
      <c r="F410" s="47"/>
      <c r="G410" s="46"/>
      <c r="H410" s="42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R410" s="47"/>
      <c r="CS410" s="47"/>
      <c r="CT410" s="47"/>
      <c r="CU410" s="47"/>
      <c r="CV410" s="47"/>
      <c r="CW410" s="47"/>
      <c r="CX410" s="47"/>
      <c r="CY410" s="47"/>
      <c r="CZ410" s="47"/>
      <c r="DA410" s="47"/>
      <c r="DB410" s="47"/>
      <c r="DC410" s="47"/>
      <c r="DD410" s="47"/>
      <c r="DE410" s="47"/>
      <c r="DF410" s="47"/>
      <c r="DG410" s="47"/>
      <c r="DH410" s="47"/>
    </row>
    <row r="411">
      <c r="A411" s="64"/>
      <c r="B411" s="47"/>
      <c r="C411" s="47"/>
      <c r="D411" s="47"/>
      <c r="E411" s="47"/>
      <c r="F411" s="47"/>
      <c r="G411" s="46"/>
      <c r="H411" s="42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R411" s="47"/>
      <c r="CS411" s="47"/>
      <c r="CT411" s="47"/>
      <c r="CU411" s="47"/>
      <c r="CV411" s="47"/>
      <c r="CW411" s="47"/>
      <c r="CX411" s="47"/>
      <c r="CY411" s="47"/>
      <c r="CZ411" s="47"/>
      <c r="DA411" s="47"/>
      <c r="DB411" s="47"/>
      <c r="DC411" s="47"/>
      <c r="DD411" s="47"/>
      <c r="DE411" s="47"/>
      <c r="DF411" s="47"/>
      <c r="DG411" s="47"/>
      <c r="DH411" s="47"/>
    </row>
    <row r="412">
      <c r="A412" s="64"/>
      <c r="B412" s="47"/>
      <c r="C412" s="47"/>
      <c r="D412" s="47"/>
      <c r="E412" s="47"/>
      <c r="F412" s="47"/>
      <c r="G412" s="46"/>
      <c r="H412" s="42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R412" s="47"/>
      <c r="CS412" s="47"/>
      <c r="CT412" s="47"/>
      <c r="CU412" s="47"/>
      <c r="CV412" s="47"/>
      <c r="CW412" s="47"/>
      <c r="CX412" s="47"/>
      <c r="CY412" s="47"/>
      <c r="CZ412" s="47"/>
      <c r="DA412" s="47"/>
      <c r="DB412" s="47"/>
      <c r="DC412" s="47"/>
      <c r="DD412" s="47"/>
      <c r="DE412" s="47"/>
      <c r="DF412" s="47"/>
      <c r="DG412" s="47"/>
      <c r="DH412" s="47"/>
    </row>
    <row r="413">
      <c r="A413" s="64"/>
      <c r="B413" s="47"/>
      <c r="C413" s="47"/>
      <c r="D413" s="47"/>
      <c r="E413" s="47"/>
      <c r="F413" s="47"/>
      <c r="G413" s="46"/>
      <c r="H413" s="42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  <c r="CY413" s="47"/>
      <c r="CZ413" s="47"/>
      <c r="DA413" s="47"/>
      <c r="DB413" s="47"/>
      <c r="DC413" s="47"/>
      <c r="DD413" s="47"/>
      <c r="DE413" s="47"/>
      <c r="DF413" s="47"/>
      <c r="DG413" s="47"/>
      <c r="DH413" s="47"/>
    </row>
    <row r="414">
      <c r="A414" s="64"/>
      <c r="B414" s="47"/>
      <c r="C414" s="47"/>
      <c r="D414" s="47"/>
      <c r="E414" s="47"/>
      <c r="F414" s="47"/>
      <c r="G414" s="46"/>
      <c r="H414" s="42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R414" s="47"/>
      <c r="CS414" s="47"/>
      <c r="CT414" s="47"/>
      <c r="CU414" s="47"/>
      <c r="CV414" s="47"/>
      <c r="CW414" s="47"/>
      <c r="CX414" s="47"/>
      <c r="CY414" s="47"/>
      <c r="CZ414" s="47"/>
      <c r="DA414" s="47"/>
      <c r="DB414" s="47"/>
      <c r="DC414" s="47"/>
      <c r="DD414" s="47"/>
      <c r="DE414" s="47"/>
      <c r="DF414" s="47"/>
      <c r="DG414" s="47"/>
      <c r="DH414" s="47"/>
    </row>
    <row r="415">
      <c r="A415" s="64"/>
      <c r="B415" s="47"/>
      <c r="C415" s="47"/>
      <c r="D415" s="47"/>
      <c r="E415" s="47"/>
      <c r="F415" s="47"/>
      <c r="G415" s="46"/>
      <c r="H415" s="42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R415" s="47"/>
      <c r="CS415" s="47"/>
      <c r="CT415" s="47"/>
      <c r="CU415" s="47"/>
      <c r="CV415" s="47"/>
      <c r="CW415" s="47"/>
      <c r="CX415" s="47"/>
      <c r="CY415" s="47"/>
      <c r="CZ415" s="47"/>
      <c r="DA415" s="47"/>
      <c r="DB415" s="47"/>
      <c r="DC415" s="47"/>
      <c r="DD415" s="47"/>
      <c r="DE415" s="47"/>
      <c r="DF415" s="47"/>
      <c r="DG415" s="47"/>
      <c r="DH415" s="47"/>
    </row>
    <row r="416">
      <c r="A416" s="64"/>
      <c r="B416" s="47"/>
      <c r="C416" s="47"/>
      <c r="D416" s="47"/>
      <c r="E416" s="47"/>
      <c r="F416" s="47"/>
      <c r="G416" s="46"/>
      <c r="H416" s="42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R416" s="47"/>
      <c r="CS416" s="47"/>
      <c r="CT416" s="47"/>
      <c r="CU416" s="47"/>
      <c r="CV416" s="47"/>
      <c r="CW416" s="47"/>
      <c r="CX416" s="47"/>
      <c r="CY416" s="47"/>
      <c r="CZ416" s="47"/>
      <c r="DA416" s="47"/>
      <c r="DB416" s="47"/>
      <c r="DC416" s="47"/>
      <c r="DD416" s="47"/>
      <c r="DE416" s="47"/>
      <c r="DF416" s="47"/>
      <c r="DG416" s="47"/>
      <c r="DH416" s="47"/>
    </row>
    <row r="417">
      <c r="A417" s="64"/>
      <c r="B417" s="47"/>
      <c r="C417" s="47"/>
      <c r="D417" s="47"/>
      <c r="E417" s="47"/>
      <c r="F417" s="47"/>
      <c r="G417" s="46"/>
      <c r="H417" s="42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R417" s="47"/>
      <c r="CS417" s="47"/>
      <c r="CT417" s="47"/>
      <c r="CU417" s="47"/>
      <c r="CV417" s="47"/>
      <c r="CW417" s="47"/>
      <c r="CX417" s="47"/>
      <c r="CY417" s="47"/>
      <c r="CZ417" s="47"/>
      <c r="DA417" s="47"/>
      <c r="DB417" s="47"/>
      <c r="DC417" s="47"/>
      <c r="DD417" s="47"/>
      <c r="DE417" s="47"/>
      <c r="DF417" s="47"/>
      <c r="DG417" s="47"/>
      <c r="DH417" s="47"/>
    </row>
    <row r="418">
      <c r="A418" s="64"/>
      <c r="B418" s="47"/>
      <c r="C418" s="47"/>
      <c r="D418" s="47"/>
      <c r="E418" s="47"/>
      <c r="F418" s="47"/>
      <c r="G418" s="46"/>
      <c r="H418" s="42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R418" s="47"/>
      <c r="CS418" s="47"/>
      <c r="CT418" s="47"/>
      <c r="CU418" s="47"/>
      <c r="CV418" s="47"/>
      <c r="CW418" s="47"/>
      <c r="CX418" s="47"/>
      <c r="CY418" s="47"/>
      <c r="CZ418" s="47"/>
      <c r="DA418" s="47"/>
      <c r="DB418" s="47"/>
      <c r="DC418" s="47"/>
      <c r="DD418" s="47"/>
      <c r="DE418" s="47"/>
      <c r="DF418" s="47"/>
      <c r="DG418" s="47"/>
      <c r="DH418" s="47"/>
    </row>
    <row r="419">
      <c r="A419" s="64"/>
      <c r="B419" s="47"/>
      <c r="C419" s="47"/>
      <c r="D419" s="47"/>
      <c r="E419" s="47"/>
      <c r="F419" s="47"/>
      <c r="G419" s="46"/>
      <c r="H419" s="42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R419" s="47"/>
      <c r="CS419" s="47"/>
      <c r="CT419" s="47"/>
      <c r="CU419" s="47"/>
      <c r="CV419" s="47"/>
      <c r="CW419" s="47"/>
      <c r="CX419" s="47"/>
      <c r="CY419" s="47"/>
      <c r="CZ419" s="47"/>
      <c r="DA419" s="47"/>
      <c r="DB419" s="47"/>
      <c r="DC419" s="47"/>
      <c r="DD419" s="47"/>
      <c r="DE419" s="47"/>
      <c r="DF419" s="47"/>
      <c r="DG419" s="47"/>
      <c r="DH419" s="47"/>
    </row>
    <row r="420">
      <c r="A420" s="64"/>
      <c r="B420" s="47"/>
      <c r="C420" s="47"/>
      <c r="D420" s="47"/>
      <c r="E420" s="47"/>
      <c r="F420" s="47"/>
      <c r="G420" s="46"/>
      <c r="H420" s="42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R420" s="47"/>
      <c r="CS420" s="47"/>
      <c r="CT420" s="47"/>
      <c r="CU420" s="47"/>
      <c r="CV420" s="47"/>
      <c r="CW420" s="47"/>
      <c r="CX420" s="47"/>
      <c r="CY420" s="47"/>
      <c r="CZ420" s="47"/>
      <c r="DA420" s="47"/>
      <c r="DB420" s="47"/>
      <c r="DC420" s="47"/>
      <c r="DD420" s="47"/>
      <c r="DE420" s="47"/>
      <c r="DF420" s="47"/>
      <c r="DG420" s="47"/>
      <c r="DH420" s="47"/>
    </row>
    <row r="421">
      <c r="A421" s="64"/>
      <c r="B421" s="47"/>
      <c r="C421" s="47"/>
      <c r="D421" s="47"/>
      <c r="E421" s="47"/>
      <c r="F421" s="47"/>
      <c r="G421" s="46"/>
      <c r="H421" s="42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R421" s="47"/>
      <c r="CS421" s="47"/>
      <c r="CT421" s="47"/>
      <c r="CU421" s="47"/>
      <c r="CV421" s="47"/>
      <c r="CW421" s="47"/>
      <c r="CX421" s="47"/>
      <c r="CY421" s="47"/>
      <c r="CZ421" s="47"/>
      <c r="DA421" s="47"/>
      <c r="DB421" s="47"/>
      <c r="DC421" s="47"/>
      <c r="DD421" s="47"/>
      <c r="DE421" s="47"/>
      <c r="DF421" s="47"/>
      <c r="DG421" s="47"/>
      <c r="DH421" s="47"/>
    </row>
    <row r="422">
      <c r="A422" s="64"/>
      <c r="B422" s="47"/>
      <c r="C422" s="47"/>
      <c r="D422" s="47"/>
      <c r="E422" s="47"/>
      <c r="F422" s="47"/>
      <c r="G422" s="46"/>
      <c r="H422" s="42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R422" s="47"/>
      <c r="CS422" s="47"/>
      <c r="CT422" s="47"/>
      <c r="CU422" s="47"/>
      <c r="CV422" s="47"/>
      <c r="CW422" s="47"/>
      <c r="CX422" s="47"/>
      <c r="CY422" s="47"/>
      <c r="CZ422" s="47"/>
      <c r="DA422" s="47"/>
      <c r="DB422" s="47"/>
      <c r="DC422" s="47"/>
      <c r="DD422" s="47"/>
      <c r="DE422" s="47"/>
      <c r="DF422" s="47"/>
      <c r="DG422" s="47"/>
      <c r="DH422" s="47"/>
    </row>
    <row r="423">
      <c r="A423" s="64"/>
      <c r="B423" s="47"/>
      <c r="C423" s="47"/>
      <c r="D423" s="47"/>
      <c r="E423" s="47"/>
      <c r="F423" s="47"/>
      <c r="G423" s="46"/>
      <c r="H423" s="42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R423" s="47"/>
      <c r="CS423" s="47"/>
      <c r="CT423" s="47"/>
      <c r="CU423" s="47"/>
      <c r="CV423" s="47"/>
      <c r="CW423" s="47"/>
      <c r="CX423" s="47"/>
      <c r="CY423" s="47"/>
      <c r="CZ423" s="47"/>
      <c r="DA423" s="47"/>
      <c r="DB423" s="47"/>
      <c r="DC423" s="47"/>
      <c r="DD423" s="47"/>
      <c r="DE423" s="47"/>
      <c r="DF423" s="47"/>
      <c r="DG423" s="47"/>
      <c r="DH423" s="47"/>
    </row>
    <row r="424">
      <c r="A424" s="64"/>
      <c r="B424" s="47"/>
      <c r="C424" s="47"/>
      <c r="D424" s="47"/>
      <c r="E424" s="47"/>
      <c r="F424" s="47"/>
      <c r="G424" s="46"/>
      <c r="H424" s="42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R424" s="47"/>
      <c r="CS424" s="47"/>
      <c r="CT424" s="47"/>
      <c r="CU424" s="47"/>
      <c r="CV424" s="47"/>
      <c r="CW424" s="47"/>
      <c r="CX424" s="47"/>
      <c r="CY424" s="47"/>
      <c r="CZ424" s="47"/>
      <c r="DA424" s="47"/>
      <c r="DB424" s="47"/>
      <c r="DC424" s="47"/>
      <c r="DD424" s="47"/>
      <c r="DE424" s="47"/>
      <c r="DF424" s="47"/>
      <c r="DG424" s="47"/>
      <c r="DH424" s="47"/>
    </row>
    <row r="425">
      <c r="A425" s="64"/>
      <c r="B425" s="47"/>
      <c r="C425" s="47"/>
      <c r="D425" s="47"/>
      <c r="E425" s="47"/>
      <c r="F425" s="47"/>
      <c r="G425" s="46"/>
      <c r="H425" s="42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R425" s="47"/>
      <c r="CS425" s="47"/>
      <c r="CT425" s="47"/>
      <c r="CU425" s="47"/>
      <c r="CV425" s="47"/>
      <c r="CW425" s="47"/>
      <c r="CX425" s="47"/>
      <c r="CY425" s="47"/>
      <c r="CZ425" s="47"/>
      <c r="DA425" s="47"/>
      <c r="DB425" s="47"/>
      <c r="DC425" s="47"/>
      <c r="DD425" s="47"/>
      <c r="DE425" s="47"/>
      <c r="DF425" s="47"/>
      <c r="DG425" s="47"/>
      <c r="DH425" s="47"/>
    </row>
    <row r="426">
      <c r="A426" s="64"/>
      <c r="B426" s="47"/>
      <c r="C426" s="47"/>
      <c r="D426" s="47"/>
      <c r="E426" s="47"/>
      <c r="F426" s="47"/>
      <c r="G426" s="46"/>
      <c r="H426" s="42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R426" s="47"/>
      <c r="CS426" s="47"/>
      <c r="CT426" s="47"/>
      <c r="CU426" s="47"/>
      <c r="CV426" s="47"/>
      <c r="CW426" s="47"/>
      <c r="CX426" s="47"/>
      <c r="CY426" s="47"/>
      <c r="CZ426" s="47"/>
      <c r="DA426" s="47"/>
      <c r="DB426" s="47"/>
      <c r="DC426" s="47"/>
      <c r="DD426" s="47"/>
      <c r="DE426" s="47"/>
      <c r="DF426" s="47"/>
      <c r="DG426" s="47"/>
      <c r="DH426" s="47"/>
    </row>
    <row r="427">
      <c r="A427" s="64"/>
      <c r="B427" s="47"/>
      <c r="C427" s="47"/>
      <c r="D427" s="47"/>
      <c r="E427" s="47"/>
      <c r="F427" s="47"/>
      <c r="G427" s="46"/>
      <c r="H427" s="42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R427" s="47"/>
      <c r="CS427" s="47"/>
      <c r="CT427" s="47"/>
      <c r="CU427" s="47"/>
      <c r="CV427" s="47"/>
      <c r="CW427" s="47"/>
      <c r="CX427" s="47"/>
      <c r="CY427" s="47"/>
      <c r="CZ427" s="47"/>
      <c r="DA427" s="47"/>
      <c r="DB427" s="47"/>
      <c r="DC427" s="47"/>
      <c r="DD427" s="47"/>
      <c r="DE427" s="47"/>
      <c r="DF427" s="47"/>
      <c r="DG427" s="47"/>
      <c r="DH427" s="47"/>
    </row>
    <row r="428">
      <c r="A428" s="64"/>
      <c r="B428" s="47"/>
      <c r="C428" s="47"/>
      <c r="D428" s="47"/>
      <c r="E428" s="47"/>
      <c r="F428" s="47"/>
      <c r="G428" s="46"/>
      <c r="H428" s="42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R428" s="47"/>
      <c r="CS428" s="47"/>
      <c r="CT428" s="47"/>
      <c r="CU428" s="47"/>
      <c r="CV428" s="47"/>
      <c r="CW428" s="47"/>
      <c r="CX428" s="47"/>
      <c r="CY428" s="47"/>
      <c r="CZ428" s="47"/>
      <c r="DA428" s="47"/>
      <c r="DB428" s="47"/>
      <c r="DC428" s="47"/>
      <c r="DD428" s="47"/>
      <c r="DE428" s="47"/>
      <c r="DF428" s="47"/>
      <c r="DG428" s="47"/>
      <c r="DH428" s="47"/>
    </row>
    <row r="429">
      <c r="A429" s="64"/>
      <c r="B429" s="47"/>
      <c r="C429" s="47"/>
      <c r="D429" s="47"/>
      <c r="E429" s="47"/>
      <c r="F429" s="47"/>
      <c r="G429" s="46"/>
      <c r="H429" s="42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R429" s="47"/>
      <c r="CS429" s="47"/>
      <c r="CT429" s="47"/>
      <c r="CU429" s="47"/>
      <c r="CV429" s="47"/>
      <c r="CW429" s="47"/>
      <c r="CX429" s="47"/>
      <c r="CY429" s="47"/>
      <c r="CZ429" s="47"/>
      <c r="DA429" s="47"/>
      <c r="DB429" s="47"/>
      <c r="DC429" s="47"/>
      <c r="DD429" s="47"/>
      <c r="DE429" s="47"/>
      <c r="DF429" s="47"/>
      <c r="DG429" s="47"/>
      <c r="DH429" s="47"/>
    </row>
    <row r="430">
      <c r="A430" s="64"/>
      <c r="B430" s="47"/>
      <c r="C430" s="47"/>
      <c r="D430" s="47"/>
      <c r="E430" s="47"/>
      <c r="F430" s="47"/>
      <c r="G430" s="46"/>
      <c r="H430" s="42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R430" s="47"/>
      <c r="CS430" s="47"/>
      <c r="CT430" s="47"/>
      <c r="CU430" s="47"/>
      <c r="CV430" s="47"/>
      <c r="CW430" s="47"/>
      <c r="CX430" s="47"/>
      <c r="CY430" s="47"/>
      <c r="CZ430" s="47"/>
      <c r="DA430" s="47"/>
      <c r="DB430" s="47"/>
      <c r="DC430" s="47"/>
      <c r="DD430" s="47"/>
      <c r="DE430" s="47"/>
      <c r="DF430" s="47"/>
      <c r="DG430" s="47"/>
      <c r="DH430" s="47"/>
    </row>
    <row r="431">
      <c r="A431" s="64"/>
      <c r="B431" s="47"/>
      <c r="C431" s="47"/>
      <c r="D431" s="47"/>
      <c r="E431" s="47"/>
      <c r="F431" s="47"/>
      <c r="G431" s="46"/>
      <c r="H431" s="42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R431" s="47"/>
      <c r="CS431" s="47"/>
      <c r="CT431" s="47"/>
      <c r="CU431" s="47"/>
      <c r="CV431" s="47"/>
      <c r="CW431" s="47"/>
      <c r="CX431" s="47"/>
      <c r="CY431" s="47"/>
      <c r="CZ431" s="47"/>
      <c r="DA431" s="47"/>
      <c r="DB431" s="47"/>
      <c r="DC431" s="47"/>
      <c r="DD431" s="47"/>
      <c r="DE431" s="47"/>
      <c r="DF431" s="47"/>
      <c r="DG431" s="47"/>
      <c r="DH431" s="47"/>
    </row>
    <row r="432">
      <c r="A432" s="64"/>
      <c r="B432" s="47"/>
      <c r="C432" s="47"/>
      <c r="D432" s="47"/>
      <c r="E432" s="47"/>
      <c r="F432" s="47"/>
      <c r="G432" s="46"/>
      <c r="H432" s="42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R432" s="47"/>
      <c r="CS432" s="47"/>
      <c r="CT432" s="47"/>
      <c r="CU432" s="47"/>
      <c r="CV432" s="47"/>
      <c r="CW432" s="47"/>
      <c r="CX432" s="47"/>
      <c r="CY432" s="47"/>
      <c r="CZ432" s="47"/>
      <c r="DA432" s="47"/>
      <c r="DB432" s="47"/>
      <c r="DC432" s="47"/>
      <c r="DD432" s="47"/>
      <c r="DE432" s="47"/>
      <c r="DF432" s="47"/>
      <c r="DG432" s="47"/>
      <c r="DH432" s="47"/>
    </row>
    <row r="433">
      <c r="A433" s="64"/>
      <c r="B433" s="47"/>
      <c r="C433" s="47"/>
      <c r="D433" s="47"/>
      <c r="E433" s="47"/>
      <c r="F433" s="47"/>
      <c r="G433" s="46"/>
      <c r="H433" s="42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R433" s="47"/>
      <c r="CS433" s="47"/>
      <c r="CT433" s="47"/>
      <c r="CU433" s="47"/>
      <c r="CV433" s="47"/>
      <c r="CW433" s="47"/>
      <c r="CX433" s="47"/>
      <c r="CY433" s="47"/>
      <c r="CZ433" s="47"/>
      <c r="DA433" s="47"/>
      <c r="DB433" s="47"/>
      <c r="DC433" s="47"/>
      <c r="DD433" s="47"/>
      <c r="DE433" s="47"/>
      <c r="DF433" s="47"/>
      <c r="DG433" s="47"/>
      <c r="DH433" s="47"/>
    </row>
    <row r="434">
      <c r="A434" s="64"/>
      <c r="B434" s="47"/>
      <c r="C434" s="47"/>
      <c r="D434" s="47"/>
      <c r="E434" s="47"/>
      <c r="F434" s="47"/>
      <c r="G434" s="46"/>
      <c r="H434" s="42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R434" s="47"/>
      <c r="CS434" s="47"/>
      <c r="CT434" s="47"/>
      <c r="CU434" s="47"/>
      <c r="CV434" s="47"/>
      <c r="CW434" s="47"/>
      <c r="CX434" s="47"/>
      <c r="CY434" s="47"/>
      <c r="CZ434" s="47"/>
      <c r="DA434" s="47"/>
      <c r="DB434" s="47"/>
      <c r="DC434" s="47"/>
      <c r="DD434" s="47"/>
      <c r="DE434" s="47"/>
      <c r="DF434" s="47"/>
      <c r="DG434" s="47"/>
      <c r="DH434" s="47"/>
    </row>
    <row r="435">
      <c r="A435" s="64"/>
      <c r="B435" s="47"/>
      <c r="C435" s="47"/>
      <c r="D435" s="47"/>
      <c r="E435" s="47"/>
      <c r="F435" s="47"/>
      <c r="G435" s="46"/>
      <c r="H435" s="42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R435" s="47"/>
      <c r="CS435" s="47"/>
      <c r="CT435" s="47"/>
      <c r="CU435" s="47"/>
      <c r="CV435" s="47"/>
      <c r="CW435" s="47"/>
      <c r="CX435" s="47"/>
      <c r="CY435" s="47"/>
      <c r="CZ435" s="47"/>
      <c r="DA435" s="47"/>
      <c r="DB435" s="47"/>
      <c r="DC435" s="47"/>
      <c r="DD435" s="47"/>
      <c r="DE435" s="47"/>
      <c r="DF435" s="47"/>
      <c r="DG435" s="47"/>
      <c r="DH435" s="47"/>
    </row>
    <row r="436">
      <c r="A436" s="64"/>
      <c r="B436" s="47"/>
      <c r="C436" s="47"/>
      <c r="D436" s="47"/>
      <c r="E436" s="47"/>
      <c r="F436" s="47"/>
      <c r="G436" s="46"/>
      <c r="H436" s="42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R436" s="47"/>
      <c r="CS436" s="47"/>
      <c r="CT436" s="47"/>
      <c r="CU436" s="47"/>
      <c r="CV436" s="47"/>
      <c r="CW436" s="47"/>
      <c r="CX436" s="47"/>
      <c r="CY436" s="47"/>
      <c r="CZ436" s="47"/>
      <c r="DA436" s="47"/>
      <c r="DB436" s="47"/>
      <c r="DC436" s="47"/>
      <c r="DD436" s="47"/>
      <c r="DE436" s="47"/>
      <c r="DF436" s="47"/>
      <c r="DG436" s="47"/>
      <c r="DH436" s="47"/>
    </row>
    <row r="437">
      <c r="A437" s="64"/>
      <c r="B437" s="47"/>
      <c r="C437" s="47"/>
      <c r="D437" s="47"/>
      <c r="E437" s="47"/>
      <c r="F437" s="47"/>
      <c r="G437" s="46"/>
      <c r="H437" s="42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R437" s="47"/>
      <c r="CS437" s="47"/>
      <c r="CT437" s="47"/>
      <c r="CU437" s="47"/>
      <c r="CV437" s="47"/>
      <c r="CW437" s="47"/>
      <c r="CX437" s="47"/>
      <c r="CY437" s="47"/>
      <c r="CZ437" s="47"/>
      <c r="DA437" s="47"/>
      <c r="DB437" s="47"/>
      <c r="DC437" s="47"/>
      <c r="DD437" s="47"/>
      <c r="DE437" s="47"/>
      <c r="DF437" s="47"/>
      <c r="DG437" s="47"/>
      <c r="DH437" s="47"/>
    </row>
    <row r="438">
      <c r="A438" s="64"/>
      <c r="B438" s="47"/>
      <c r="C438" s="47"/>
      <c r="D438" s="47"/>
      <c r="E438" s="47"/>
      <c r="F438" s="47"/>
      <c r="G438" s="46"/>
      <c r="H438" s="42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R438" s="47"/>
      <c r="CS438" s="47"/>
      <c r="CT438" s="47"/>
      <c r="CU438" s="47"/>
      <c r="CV438" s="47"/>
      <c r="CW438" s="47"/>
      <c r="CX438" s="47"/>
      <c r="CY438" s="47"/>
      <c r="CZ438" s="47"/>
      <c r="DA438" s="47"/>
      <c r="DB438" s="47"/>
      <c r="DC438" s="47"/>
      <c r="DD438" s="47"/>
      <c r="DE438" s="47"/>
      <c r="DF438" s="47"/>
      <c r="DG438" s="47"/>
      <c r="DH438" s="47"/>
    </row>
    <row r="439">
      <c r="A439" s="64"/>
      <c r="B439" s="47"/>
      <c r="C439" s="47"/>
      <c r="D439" s="47"/>
      <c r="E439" s="47"/>
      <c r="F439" s="47"/>
      <c r="G439" s="46"/>
      <c r="H439" s="42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R439" s="47"/>
      <c r="CS439" s="47"/>
      <c r="CT439" s="47"/>
      <c r="CU439" s="47"/>
      <c r="CV439" s="47"/>
      <c r="CW439" s="47"/>
      <c r="CX439" s="47"/>
      <c r="CY439" s="47"/>
      <c r="CZ439" s="47"/>
      <c r="DA439" s="47"/>
      <c r="DB439" s="47"/>
      <c r="DC439" s="47"/>
      <c r="DD439" s="47"/>
      <c r="DE439" s="47"/>
      <c r="DF439" s="47"/>
      <c r="DG439" s="47"/>
      <c r="DH439" s="47"/>
    </row>
    <row r="440">
      <c r="A440" s="64"/>
      <c r="B440" s="47"/>
      <c r="C440" s="47"/>
      <c r="D440" s="47"/>
      <c r="E440" s="47"/>
      <c r="F440" s="47"/>
      <c r="G440" s="46"/>
      <c r="H440" s="42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R440" s="47"/>
      <c r="CS440" s="47"/>
      <c r="CT440" s="47"/>
      <c r="CU440" s="47"/>
      <c r="CV440" s="47"/>
      <c r="CW440" s="47"/>
      <c r="CX440" s="47"/>
      <c r="CY440" s="47"/>
      <c r="CZ440" s="47"/>
      <c r="DA440" s="47"/>
      <c r="DB440" s="47"/>
      <c r="DC440" s="47"/>
      <c r="DD440" s="47"/>
      <c r="DE440" s="47"/>
      <c r="DF440" s="47"/>
      <c r="DG440" s="47"/>
      <c r="DH440" s="47"/>
    </row>
    <row r="441">
      <c r="A441" s="64"/>
      <c r="B441" s="47"/>
      <c r="C441" s="47"/>
      <c r="D441" s="47"/>
      <c r="E441" s="47"/>
      <c r="F441" s="47"/>
      <c r="G441" s="46"/>
      <c r="H441" s="42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R441" s="47"/>
      <c r="CS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</row>
    <row r="442">
      <c r="A442" s="64"/>
      <c r="B442" s="47"/>
      <c r="C442" s="47"/>
      <c r="D442" s="47"/>
      <c r="E442" s="47"/>
      <c r="F442" s="47"/>
      <c r="G442" s="46"/>
      <c r="H442" s="42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R442" s="47"/>
      <c r="CS442" s="47"/>
      <c r="CT442" s="47"/>
      <c r="CU442" s="47"/>
      <c r="CV442" s="47"/>
      <c r="CW442" s="47"/>
      <c r="CX442" s="47"/>
      <c r="CY442" s="47"/>
      <c r="CZ442" s="47"/>
      <c r="DA442" s="47"/>
      <c r="DB442" s="47"/>
      <c r="DC442" s="47"/>
      <c r="DD442" s="47"/>
      <c r="DE442" s="47"/>
      <c r="DF442" s="47"/>
      <c r="DG442" s="47"/>
      <c r="DH442" s="47"/>
    </row>
    <row r="443">
      <c r="A443" s="64"/>
      <c r="B443" s="47"/>
      <c r="C443" s="47"/>
      <c r="D443" s="47"/>
      <c r="E443" s="47"/>
      <c r="F443" s="47"/>
      <c r="G443" s="46"/>
      <c r="H443" s="42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R443" s="47"/>
      <c r="CS443" s="47"/>
      <c r="CT443" s="47"/>
      <c r="CU443" s="47"/>
      <c r="CV443" s="47"/>
      <c r="CW443" s="47"/>
      <c r="CX443" s="47"/>
      <c r="CY443" s="47"/>
      <c r="CZ443" s="47"/>
      <c r="DA443" s="47"/>
      <c r="DB443" s="47"/>
      <c r="DC443" s="47"/>
      <c r="DD443" s="47"/>
      <c r="DE443" s="47"/>
      <c r="DF443" s="47"/>
      <c r="DG443" s="47"/>
      <c r="DH443" s="47"/>
    </row>
    <row r="444">
      <c r="A444" s="64"/>
      <c r="B444" s="47"/>
      <c r="C444" s="47"/>
      <c r="D444" s="47"/>
      <c r="E444" s="47"/>
      <c r="F444" s="47"/>
      <c r="G444" s="46"/>
      <c r="H444" s="42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R444" s="47"/>
      <c r="CS444" s="47"/>
      <c r="CT444" s="47"/>
      <c r="CU444" s="47"/>
      <c r="CV444" s="47"/>
      <c r="CW444" s="47"/>
      <c r="CX444" s="47"/>
      <c r="CY444" s="47"/>
      <c r="CZ444" s="47"/>
      <c r="DA444" s="47"/>
      <c r="DB444" s="47"/>
      <c r="DC444" s="47"/>
      <c r="DD444" s="47"/>
      <c r="DE444" s="47"/>
      <c r="DF444" s="47"/>
      <c r="DG444" s="47"/>
      <c r="DH444" s="47"/>
    </row>
    <row r="445">
      <c r="A445" s="64"/>
      <c r="B445" s="47"/>
      <c r="C445" s="47"/>
      <c r="D445" s="47"/>
      <c r="E445" s="47"/>
      <c r="F445" s="47"/>
      <c r="G445" s="46"/>
      <c r="H445" s="42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R445" s="47"/>
      <c r="CS445" s="47"/>
      <c r="CT445" s="47"/>
      <c r="CU445" s="47"/>
      <c r="CV445" s="47"/>
      <c r="CW445" s="47"/>
      <c r="CX445" s="47"/>
      <c r="CY445" s="47"/>
      <c r="CZ445" s="47"/>
      <c r="DA445" s="47"/>
      <c r="DB445" s="47"/>
      <c r="DC445" s="47"/>
      <c r="DD445" s="47"/>
      <c r="DE445" s="47"/>
      <c r="DF445" s="47"/>
      <c r="DG445" s="47"/>
      <c r="DH445" s="47"/>
    </row>
    <row r="446">
      <c r="A446" s="64"/>
      <c r="B446" s="47"/>
      <c r="C446" s="47"/>
      <c r="D446" s="47"/>
      <c r="E446" s="47"/>
      <c r="F446" s="47"/>
      <c r="G446" s="46"/>
      <c r="H446" s="42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R446" s="47"/>
      <c r="CS446" s="47"/>
      <c r="CT446" s="47"/>
      <c r="CU446" s="47"/>
      <c r="CV446" s="47"/>
      <c r="CW446" s="47"/>
      <c r="CX446" s="47"/>
      <c r="CY446" s="47"/>
      <c r="CZ446" s="47"/>
      <c r="DA446" s="47"/>
      <c r="DB446" s="47"/>
      <c r="DC446" s="47"/>
      <c r="DD446" s="47"/>
      <c r="DE446" s="47"/>
      <c r="DF446" s="47"/>
      <c r="DG446" s="47"/>
      <c r="DH446" s="47"/>
    </row>
    <row r="447">
      <c r="A447" s="64"/>
      <c r="B447" s="47"/>
      <c r="C447" s="47"/>
      <c r="D447" s="47"/>
      <c r="E447" s="47"/>
      <c r="F447" s="47"/>
      <c r="G447" s="46"/>
      <c r="H447" s="42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R447" s="47"/>
      <c r="CS447" s="47"/>
      <c r="CT447" s="47"/>
      <c r="CU447" s="47"/>
      <c r="CV447" s="47"/>
      <c r="CW447" s="47"/>
      <c r="CX447" s="47"/>
      <c r="CY447" s="47"/>
      <c r="CZ447" s="47"/>
      <c r="DA447" s="47"/>
      <c r="DB447" s="47"/>
      <c r="DC447" s="47"/>
      <c r="DD447" s="47"/>
      <c r="DE447" s="47"/>
      <c r="DF447" s="47"/>
      <c r="DG447" s="47"/>
      <c r="DH447" s="47"/>
    </row>
    <row r="448">
      <c r="A448" s="64"/>
      <c r="B448" s="47"/>
      <c r="C448" s="47"/>
      <c r="D448" s="47"/>
      <c r="E448" s="47"/>
      <c r="F448" s="47"/>
      <c r="G448" s="46"/>
      <c r="H448" s="42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R448" s="47"/>
      <c r="CS448" s="47"/>
      <c r="CT448" s="47"/>
      <c r="CU448" s="47"/>
      <c r="CV448" s="47"/>
      <c r="CW448" s="47"/>
      <c r="CX448" s="47"/>
      <c r="CY448" s="47"/>
      <c r="CZ448" s="47"/>
      <c r="DA448" s="47"/>
      <c r="DB448" s="47"/>
      <c r="DC448" s="47"/>
      <c r="DD448" s="47"/>
      <c r="DE448" s="47"/>
      <c r="DF448" s="47"/>
      <c r="DG448" s="47"/>
      <c r="DH448" s="47"/>
    </row>
    <row r="449">
      <c r="A449" s="64"/>
      <c r="B449" s="47"/>
      <c r="C449" s="47"/>
      <c r="D449" s="47"/>
      <c r="E449" s="47"/>
      <c r="F449" s="47"/>
      <c r="G449" s="46"/>
      <c r="H449" s="42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R449" s="47"/>
      <c r="CS449" s="47"/>
      <c r="CT449" s="47"/>
      <c r="CU449" s="47"/>
      <c r="CV449" s="47"/>
      <c r="CW449" s="47"/>
      <c r="CX449" s="47"/>
      <c r="CY449" s="47"/>
      <c r="CZ449" s="47"/>
      <c r="DA449" s="47"/>
      <c r="DB449" s="47"/>
      <c r="DC449" s="47"/>
      <c r="DD449" s="47"/>
      <c r="DE449" s="47"/>
      <c r="DF449" s="47"/>
      <c r="DG449" s="47"/>
      <c r="DH449" s="47"/>
    </row>
    <row r="450">
      <c r="A450" s="64"/>
      <c r="B450" s="47"/>
      <c r="C450" s="47"/>
      <c r="D450" s="47"/>
      <c r="E450" s="47"/>
      <c r="F450" s="47"/>
      <c r="G450" s="46"/>
      <c r="H450" s="42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R450" s="47"/>
      <c r="CS450" s="47"/>
      <c r="CT450" s="47"/>
      <c r="CU450" s="47"/>
      <c r="CV450" s="47"/>
      <c r="CW450" s="47"/>
      <c r="CX450" s="47"/>
      <c r="CY450" s="47"/>
      <c r="CZ450" s="47"/>
      <c r="DA450" s="47"/>
      <c r="DB450" s="47"/>
      <c r="DC450" s="47"/>
      <c r="DD450" s="47"/>
      <c r="DE450" s="47"/>
      <c r="DF450" s="47"/>
      <c r="DG450" s="47"/>
      <c r="DH450" s="47"/>
    </row>
    <row r="451">
      <c r="A451" s="64"/>
      <c r="B451" s="47"/>
      <c r="C451" s="47"/>
      <c r="D451" s="47"/>
      <c r="E451" s="47"/>
      <c r="F451" s="47"/>
      <c r="G451" s="46"/>
      <c r="H451" s="42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R451" s="47"/>
      <c r="CS451" s="47"/>
      <c r="CT451" s="47"/>
      <c r="CU451" s="47"/>
      <c r="CV451" s="47"/>
      <c r="CW451" s="47"/>
      <c r="CX451" s="47"/>
      <c r="CY451" s="47"/>
      <c r="CZ451" s="47"/>
      <c r="DA451" s="47"/>
      <c r="DB451" s="47"/>
      <c r="DC451" s="47"/>
      <c r="DD451" s="47"/>
      <c r="DE451" s="47"/>
      <c r="DF451" s="47"/>
      <c r="DG451" s="47"/>
      <c r="DH451" s="47"/>
    </row>
    <row r="452">
      <c r="A452" s="64"/>
      <c r="B452" s="47"/>
      <c r="C452" s="47"/>
      <c r="D452" s="47"/>
      <c r="E452" s="47"/>
      <c r="F452" s="47"/>
      <c r="G452" s="46"/>
      <c r="H452" s="42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R452" s="47"/>
      <c r="CS452" s="47"/>
      <c r="CT452" s="47"/>
      <c r="CU452" s="47"/>
      <c r="CV452" s="47"/>
      <c r="CW452" s="47"/>
      <c r="CX452" s="47"/>
      <c r="CY452" s="47"/>
      <c r="CZ452" s="47"/>
      <c r="DA452" s="47"/>
      <c r="DB452" s="47"/>
      <c r="DC452" s="47"/>
      <c r="DD452" s="47"/>
      <c r="DE452" s="47"/>
      <c r="DF452" s="47"/>
      <c r="DG452" s="47"/>
      <c r="DH452" s="47"/>
    </row>
    <row r="453">
      <c r="A453" s="64"/>
      <c r="B453" s="47"/>
      <c r="C453" s="47"/>
      <c r="D453" s="47"/>
      <c r="E453" s="47"/>
      <c r="F453" s="47"/>
      <c r="G453" s="46"/>
      <c r="H453" s="42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R453" s="47"/>
      <c r="CS453" s="47"/>
      <c r="CT453" s="47"/>
      <c r="CU453" s="47"/>
      <c r="CV453" s="47"/>
      <c r="CW453" s="47"/>
      <c r="CX453" s="47"/>
      <c r="CY453" s="47"/>
      <c r="CZ453" s="47"/>
      <c r="DA453" s="47"/>
      <c r="DB453" s="47"/>
      <c r="DC453" s="47"/>
      <c r="DD453" s="47"/>
      <c r="DE453" s="47"/>
      <c r="DF453" s="47"/>
      <c r="DG453" s="47"/>
      <c r="DH453" s="47"/>
    </row>
    <row r="454">
      <c r="A454" s="64"/>
      <c r="B454" s="47"/>
      <c r="C454" s="47"/>
      <c r="D454" s="47"/>
      <c r="E454" s="47"/>
      <c r="F454" s="47"/>
      <c r="G454" s="46"/>
      <c r="H454" s="42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R454" s="47"/>
      <c r="CS454" s="47"/>
      <c r="CT454" s="47"/>
      <c r="CU454" s="47"/>
      <c r="CV454" s="47"/>
      <c r="CW454" s="47"/>
      <c r="CX454" s="47"/>
      <c r="CY454" s="47"/>
      <c r="CZ454" s="47"/>
      <c r="DA454" s="47"/>
      <c r="DB454" s="47"/>
      <c r="DC454" s="47"/>
      <c r="DD454" s="47"/>
      <c r="DE454" s="47"/>
      <c r="DF454" s="47"/>
      <c r="DG454" s="47"/>
      <c r="DH454" s="47"/>
    </row>
    <row r="455">
      <c r="A455" s="64"/>
      <c r="B455" s="47"/>
      <c r="C455" s="47"/>
      <c r="D455" s="47"/>
      <c r="E455" s="47"/>
      <c r="F455" s="47"/>
      <c r="G455" s="46"/>
      <c r="H455" s="42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R455" s="47"/>
      <c r="CS455" s="47"/>
      <c r="CT455" s="47"/>
      <c r="CU455" s="47"/>
      <c r="CV455" s="47"/>
      <c r="CW455" s="47"/>
      <c r="CX455" s="47"/>
      <c r="CY455" s="47"/>
      <c r="CZ455" s="47"/>
      <c r="DA455" s="47"/>
      <c r="DB455" s="47"/>
      <c r="DC455" s="47"/>
      <c r="DD455" s="47"/>
      <c r="DE455" s="47"/>
      <c r="DF455" s="47"/>
      <c r="DG455" s="47"/>
      <c r="DH455" s="47"/>
    </row>
    <row r="456">
      <c r="A456" s="64"/>
      <c r="B456" s="47"/>
      <c r="C456" s="47"/>
      <c r="D456" s="47"/>
      <c r="E456" s="47"/>
      <c r="F456" s="47"/>
      <c r="G456" s="46"/>
      <c r="H456" s="42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R456" s="47"/>
      <c r="CS456" s="47"/>
      <c r="CT456" s="47"/>
      <c r="CU456" s="47"/>
      <c r="CV456" s="47"/>
      <c r="CW456" s="47"/>
      <c r="CX456" s="47"/>
      <c r="CY456" s="47"/>
      <c r="CZ456" s="47"/>
      <c r="DA456" s="47"/>
      <c r="DB456" s="47"/>
      <c r="DC456" s="47"/>
      <c r="DD456" s="47"/>
      <c r="DE456" s="47"/>
      <c r="DF456" s="47"/>
      <c r="DG456" s="47"/>
      <c r="DH456" s="47"/>
    </row>
    <row r="457">
      <c r="A457" s="64"/>
      <c r="B457" s="47"/>
      <c r="C457" s="47"/>
      <c r="D457" s="47"/>
      <c r="E457" s="47"/>
      <c r="F457" s="47"/>
      <c r="G457" s="46"/>
      <c r="H457" s="42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R457" s="47"/>
      <c r="CS457" s="47"/>
      <c r="CT457" s="47"/>
      <c r="CU457" s="47"/>
      <c r="CV457" s="47"/>
      <c r="CW457" s="47"/>
      <c r="CX457" s="47"/>
      <c r="CY457" s="47"/>
      <c r="CZ457" s="47"/>
      <c r="DA457" s="47"/>
      <c r="DB457" s="47"/>
      <c r="DC457" s="47"/>
      <c r="DD457" s="47"/>
      <c r="DE457" s="47"/>
      <c r="DF457" s="47"/>
      <c r="DG457" s="47"/>
      <c r="DH457" s="47"/>
    </row>
    <row r="458">
      <c r="A458" s="64"/>
      <c r="B458" s="47"/>
      <c r="C458" s="47"/>
      <c r="D458" s="47"/>
      <c r="E458" s="47"/>
      <c r="F458" s="47"/>
      <c r="G458" s="46"/>
      <c r="H458" s="42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R458" s="47"/>
      <c r="CS458" s="47"/>
      <c r="CT458" s="47"/>
      <c r="CU458" s="47"/>
      <c r="CV458" s="47"/>
      <c r="CW458" s="47"/>
      <c r="CX458" s="47"/>
      <c r="CY458" s="47"/>
      <c r="CZ458" s="47"/>
      <c r="DA458" s="47"/>
      <c r="DB458" s="47"/>
      <c r="DC458" s="47"/>
      <c r="DD458" s="47"/>
      <c r="DE458" s="47"/>
      <c r="DF458" s="47"/>
      <c r="DG458" s="47"/>
      <c r="DH458" s="47"/>
    </row>
    <row r="459">
      <c r="A459" s="64"/>
      <c r="B459" s="47"/>
      <c r="C459" s="47"/>
      <c r="D459" s="47"/>
      <c r="E459" s="47"/>
      <c r="F459" s="47"/>
      <c r="G459" s="46"/>
      <c r="H459" s="42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R459" s="47"/>
      <c r="CS459" s="47"/>
      <c r="CT459" s="47"/>
      <c r="CU459" s="47"/>
      <c r="CV459" s="47"/>
      <c r="CW459" s="47"/>
      <c r="CX459" s="47"/>
      <c r="CY459" s="47"/>
      <c r="CZ459" s="47"/>
      <c r="DA459" s="47"/>
      <c r="DB459" s="47"/>
      <c r="DC459" s="47"/>
      <c r="DD459" s="47"/>
      <c r="DE459" s="47"/>
      <c r="DF459" s="47"/>
      <c r="DG459" s="47"/>
      <c r="DH459" s="47"/>
    </row>
    <row r="460">
      <c r="A460" s="64"/>
      <c r="B460" s="47"/>
      <c r="C460" s="47"/>
      <c r="D460" s="47"/>
      <c r="E460" s="47"/>
      <c r="F460" s="47"/>
      <c r="G460" s="46"/>
      <c r="H460" s="42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R460" s="47"/>
      <c r="CS460" s="47"/>
      <c r="CT460" s="47"/>
      <c r="CU460" s="47"/>
      <c r="CV460" s="47"/>
      <c r="CW460" s="47"/>
      <c r="CX460" s="47"/>
      <c r="CY460" s="47"/>
      <c r="CZ460" s="47"/>
      <c r="DA460" s="47"/>
      <c r="DB460" s="47"/>
      <c r="DC460" s="47"/>
      <c r="DD460" s="47"/>
      <c r="DE460" s="47"/>
      <c r="DF460" s="47"/>
      <c r="DG460" s="47"/>
      <c r="DH460" s="47"/>
    </row>
    <row r="461">
      <c r="A461" s="64"/>
      <c r="B461" s="47"/>
      <c r="C461" s="47"/>
      <c r="D461" s="47"/>
      <c r="E461" s="47"/>
      <c r="F461" s="47"/>
      <c r="G461" s="46"/>
      <c r="H461" s="42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R461" s="47"/>
      <c r="CS461" s="47"/>
      <c r="CT461" s="47"/>
      <c r="CU461" s="47"/>
      <c r="CV461" s="47"/>
      <c r="CW461" s="47"/>
      <c r="CX461" s="47"/>
      <c r="CY461" s="47"/>
      <c r="CZ461" s="47"/>
      <c r="DA461" s="47"/>
      <c r="DB461" s="47"/>
      <c r="DC461" s="47"/>
      <c r="DD461" s="47"/>
      <c r="DE461" s="47"/>
      <c r="DF461" s="47"/>
      <c r="DG461" s="47"/>
      <c r="DH461" s="47"/>
    </row>
    <row r="462">
      <c r="A462" s="64"/>
      <c r="B462" s="47"/>
      <c r="C462" s="47"/>
      <c r="D462" s="47"/>
      <c r="E462" s="47"/>
      <c r="F462" s="47"/>
      <c r="G462" s="46"/>
      <c r="H462" s="42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R462" s="47"/>
      <c r="CS462" s="47"/>
      <c r="CT462" s="47"/>
      <c r="CU462" s="47"/>
      <c r="CV462" s="47"/>
      <c r="CW462" s="47"/>
      <c r="CX462" s="47"/>
      <c r="CY462" s="47"/>
      <c r="CZ462" s="47"/>
      <c r="DA462" s="47"/>
      <c r="DB462" s="47"/>
      <c r="DC462" s="47"/>
      <c r="DD462" s="47"/>
      <c r="DE462" s="47"/>
      <c r="DF462" s="47"/>
      <c r="DG462" s="47"/>
      <c r="DH462" s="47"/>
    </row>
    <row r="463">
      <c r="A463" s="64"/>
      <c r="B463" s="47"/>
      <c r="C463" s="47"/>
      <c r="D463" s="47"/>
      <c r="E463" s="47"/>
      <c r="F463" s="47"/>
      <c r="G463" s="46"/>
      <c r="H463" s="42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R463" s="47"/>
      <c r="CS463" s="47"/>
      <c r="CT463" s="47"/>
      <c r="CU463" s="47"/>
      <c r="CV463" s="47"/>
      <c r="CW463" s="47"/>
      <c r="CX463" s="47"/>
      <c r="CY463" s="47"/>
      <c r="CZ463" s="47"/>
      <c r="DA463" s="47"/>
      <c r="DB463" s="47"/>
      <c r="DC463" s="47"/>
      <c r="DD463" s="47"/>
      <c r="DE463" s="47"/>
      <c r="DF463" s="47"/>
      <c r="DG463" s="47"/>
      <c r="DH463" s="47"/>
    </row>
    <row r="464">
      <c r="A464" s="64"/>
      <c r="B464" s="47"/>
      <c r="C464" s="47"/>
      <c r="D464" s="47"/>
      <c r="E464" s="47"/>
      <c r="F464" s="47"/>
      <c r="G464" s="46"/>
      <c r="H464" s="42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R464" s="47"/>
      <c r="CS464" s="47"/>
      <c r="CT464" s="47"/>
      <c r="CU464" s="47"/>
      <c r="CV464" s="47"/>
      <c r="CW464" s="47"/>
      <c r="CX464" s="47"/>
      <c r="CY464" s="47"/>
      <c r="CZ464" s="47"/>
      <c r="DA464" s="47"/>
      <c r="DB464" s="47"/>
      <c r="DC464" s="47"/>
      <c r="DD464" s="47"/>
      <c r="DE464" s="47"/>
      <c r="DF464" s="47"/>
      <c r="DG464" s="47"/>
      <c r="DH464" s="47"/>
    </row>
    <row r="465">
      <c r="A465" s="64"/>
      <c r="B465" s="47"/>
      <c r="C465" s="47"/>
      <c r="D465" s="47"/>
      <c r="E465" s="47"/>
      <c r="F465" s="47"/>
      <c r="G465" s="46"/>
      <c r="H465" s="42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R465" s="47"/>
      <c r="CS465" s="47"/>
      <c r="CT465" s="47"/>
      <c r="CU465" s="47"/>
      <c r="CV465" s="47"/>
      <c r="CW465" s="47"/>
      <c r="CX465" s="47"/>
      <c r="CY465" s="47"/>
      <c r="CZ465" s="47"/>
      <c r="DA465" s="47"/>
      <c r="DB465" s="47"/>
      <c r="DC465" s="47"/>
      <c r="DD465" s="47"/>
      <c r="DE465" s="47"/>
      <c r="DF465" s="47"/>
      <c r="DG465" s="47"/>
      <c r="DH465" s="47"/>
    </row>
    <row r="466">
      <c r="A466" s="64"/>
      <c r="B466" s="47"/>
      <c r="C466" s="47"/>
      <c r="D466" s="47"/>
      <c r="E466" s="47"/>
      <c r="F466" s="47"/>
      <c r="G466" s="46"/>
      <c r="H466" s="42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R466" s="47"/>
      <c r="CS466" s="47"/>
      <c r="CT466" s="47"/>
      <c r="CU466" s="47"/>
      <c r="CV466" s="47"/>
      <c r="CW466" s="47"/>
      <c r="CX466" s="47"/>
      <c r="CY466" s="47"/>
      <c r="CZ466" s="47"/>
      <c r="DA466" s="47"/>
      <c r="DB466" s="47"/>
      <c r="DC466" s="47"/>
      <c r="DD466" s="47"/>
      <c r="DE466" s="47"/>
      <c r="DF466" s="47"/>
      <c r="DG466" s="47"/>
      <c r="DH466" s="47"/>
    </row>
    <row r="467">
      <c r="A467" s="64"/>
      <c r="B467" s="47"/>
      <c r="C467" s="47"/>
      <c r="D467" s="47"/>
      <c r="E467" s="47"/>
      <c r="F467" s="47"/>
      <c r="G467" s="46"/>
      <c r="H467" s="42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R467" s="47"/>
      <c r="CS467" s="47"/>
      <c r="CT467" s="47"/>
      <c r="CU467" s="47"/>
      <c r="CV467" s="47"/>
      <c r="CW467" s="47"/>
      <c r="CX467" s="47"/>
      <c r="CY467" s="47"/>
      <c r="CZ467" s="47"/>
      <c r="DA467" s="47"/>
      <c r="DB467" s="47"/>
      <c r="DC467" s="47"/>
      <c r="DD467" s="47"/>
      <c r="DE467" s="47"/>
      <c r="DF467" s="47"/>
      <c r="DG467" s="47"/>
      <c r="DH467" s="47"/>
    </row>
    <row r="468">
      <c r="A468" s="64"/>
      <c r="B468" s="47"/>
      <c r="C468" s="47"/>
      <c r="D468" s="47"/>
      <c r="E468" s="47"/>
      <c r="F468" s="47"/>
      <c r="G468" s="46"/>
      <c r="H468" s="42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R468" s="47"/>
      <c r="CS468" s="47"/>
      <c r="CT468" s="47"/>
      <c r="CU468" s="47"/>
      <c r="CV468" s="47"/>
      <c r="CW468" s="47"/>
      <c r="CX468" s="47"/>
      <c r="CY468" s="47"/>
      <c r="CZ468" s="47"/>
      <c r="DA468" s="47"/>
      <c r="DB468" s="47"/>
      <c r="DC468" s="47"/>
      <c r="DD468" s="47"/>
      <c r="DE468" s="47"/>
      <c r="DF468" s="47"/>
      <c r="DG468" s="47"/>
      <c r="DH468" s="47"/>
    </row>
    <row r="469">
      <c r="A469" s="64"/>
      <c r="B469" s="47"/>
      <c r="C469" s="47"/>
      <c r="D469" s="47"/>
      <c r="E469" s="47"/>
      <c r="F469" s="47"/>
      <c r="G469" s="46"/>
      <c r="H469" s="42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R469" s="47"/>
      <c r="CS469" s="47"/>
      <c r="CT469" s="47"/>
      <c r="CU469" s="47"/>
      <c r="CV469" s="47"/>
      <c r="CW469" s="47"/>
      <c r="CX469" s="47"/>
      <c r="CY469" s="47"/>
      <c r="CZ469" s="47"/>
      <c r="DA469" s="47"/>
      <c r="DB469" s="47"/>
      <c r="DC469" s="47"/>
      <c r="DD469" s="47"/>
      <c r="DE469" s="47"/>
      <c r="DF469" s="47"/>
      <c r="DG469" s="47"/>
      <c r="DH469" s="47"/>
    </row>
    <row r="470">
      <c r="A470" s="64"/>
      <c r="B470" s="47"/>
      <c r="C470" s="47"/>
      <c r="D470" s="47"/>
      <c r="E470" s="47"/>
      <c r="F470" s="47"/>
      <c r="G470" s="46"/>
      <c r="H470" s="42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R470" s="47"/>
      <c r="CS470" s="47"/>
      <c r="CT470" s="47"/>
      <c r="CU470" s="47"/>
      <c r="CV470" s="47"/>
      <c r="CW470" s="47"/>
      <c r="CX470" s="47"/>
      <c r="CY470" s="47"/>
      <c r="CZ470" s="47"/>
      <c r="DA470" s="47"/>
      <c r="DB470" s="47"/>
      <c r="DC470" s="47"/>
      <c r="DD470" s="47"/>
      <c r="DE470" s="47"/>
      <c r="DF470" s="47"/>
      <c r="DG470" s="47"/>
      <c r="DH470" s="47"/>
    </row>
    <row r="471">
      <c r="A471" s="64"/>
      <c r="B471" s="47"/>
      <c r="C471" s="47"/>
      <c r="D471" s="47"/>
      <c r="E471" s="47"/>
      <c r="F471" s="47"/>
      <c r="G471" s="46"/>
      <c r="H471" s="42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R471" s="47"/>
      <c r="CS471" s="47"/>
      <c r="CT471" s="47"/>
      <c r="CU471" s="47"/>
      <c r="CV471" s="47"/>
      <c r="CW471" s="47"/>
      <c r="CX471" s="47"/>
      <c r="CY471" s="47"/>
      <c r="CZ471" s="47"/>
      <c r="DA471" s="47"/>
      <c r="DB471" s="47"/>
      <c r="DC471" s="47"/>
      <c r="DD471" s="47"/>
      <c r="DE471" s="47"/>
      <c r="DF471" s="47"/>
      <c r="DG471" s="47"/>
      <c r="DH471" s="47"/>
    </row>
    <row r="472">
      <c r="A472" s="64"/>
      <c r="B472" s="47"/>
      <c r="C472" s="47"/>
      <c r="D472" s="47"/>
      <c r="E472" s="47"/>
      <c r="F472" s="47"/>
      <c r="G472" s="46"/>
      <c r="H472" s="42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R472" s="47"/>
      <c r="CS472" s="47"/>
      <c r="CT472" s="47"/>
      <c r="CU472" s="47"/>
      <c r="CV472" s="47"/>
      <c r="CW472" s="47"/>
      <c r="CX472" s="47"/>
      <c r="CY472" s="47"/>
      <c r="CZ472" s="47"/>
      <c r="DA472" s="47"/>
      <c r="DB472" s="47"/>
      <c r="DC472" s="47"/>
      <c r="DD472" s="47"/>
      <c r="DE472" s="47"/>
      <c r="DF472" s="47"/>
      <c r="DG472" s="47"/>
      <c r="DH472" s="47"/>
    </row>
    <row r="473">
      <c r="A473" s="64"/>
      <c r="B473" s="47"/>
      <c r="C473" s="47"/>
      <c r="D473" s="47"/>
      <c r="E473" s="47"/>
      <c r="F473" s="47"/>
      <c r="G473" s="46"/>
      <c r="H473" s="42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R473" s="47"/>
      <c r="CS473" s="47"/>
      <c r="CT473" s="47"/>
      <c r="CU473" s="47"/>
      <c r="CV473" s="47"/>
      <c r="CW473" s="47"/>
      <c r="CX473" s="47"/>
      <c r="CY473" s="47"/>
      <c r="CZ473" s="47"/>
      <c r="DA473" s="47"/>
      <c r="DB473" s="47"/>
      <c r="DC473" s="47"/>
      <c r="DD473" s="47"/>
      <c r="DE473" s="47"/>
      <c r="DF473" s="47"/>
      <c r="DG473" s="47"/>
      <c r="DH473" s="47"/>
    </row>
    <row r="474">
      <c r="A474" s="64"/>
      <c r="B474" s="47"/>
      <c r="C474" s="47"/>
      <c r="D474" s="47"/>
      <c r="E474" s="47"/>
      <c r="F474" s="47"/>
      <c r="G474" s="46"/>
      <c r="H474" s="42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R474" s="47"/>
      <c r="CS474" s="47"/>
      <c r="CT474" s="47"/>
      <c r="CU474" s="47"/>
      <c r="CV474" s="47"/>
      <c r="CW474" s="47"/>
      <c r="CX474" s="47"/>
      <c r="CY474" s="47"/>
      <c r="CZ474" s="47"/>
      <c r="DA474" s="47"/>
      <c r="DB474" s="47"/>
      <c r="DC474" s="47"/>
      <c r="DD474" s="47"/>
      <c r="DE474" s="47"/>
      <c r="DF474" s="47"/>
      <c r="DG474" s="47"/>
      <c r="DH474" s="47"/>
    </row>
    <row r="475">
      <c r="A475" s="64"/>
      <c r="B475" s="47"/>
      <c r="C475" s="47"/>
      <c r="D475" s="47"/>
      <c r="E475" s="47"/>
      <c r="F475" s="47"/>
      <c r="G475" s="46"/>
      <c r="H475" s="42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R475" s="47"/>
      <c r="CS475" s="47"/>
      <c r="CT475" s="47"/>
      <c r="CU475" s="47"/>
      <c r="CV475" s="47"/>
      <c r="CW475" s="47"/>
      <c r="CX475" s="47"/>
      <c r="CY475" s="47"/>
      <c r="CZ475" s="47"/>
      <c r="DA475" s="47"/>
      <c r="DB475" s="47"/>
      <c r="DC475" s="47"/>
      <c r="DD475" s="47"/>
      <c r="DE475" s="47"/>
      <c r="DF475" s="47"/>
      <c r="DG475" s="47"/>
      <c r="DH475" s="47"/>
    </row>
    <row r="476">
      <c r="A476" s="64"/>
      <c r="B476" s="47"/>
      <c r="C476" s="47"/>
      <c r="D476" s="47"/>
      <c r="E476" s="47"/>
      <c r="F476" s="47"/>
      <c r="G476" s="46"/>
      <c r="H476" s="42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R476" s="47"/>
      <c r="CS476" s="47"/>
      <c r="CT476" s="47"/>
      <c r="CU476" s="47"/>
      <c r="CV476" s="47"/>
      <c r="CW476" s="47"/>
      <c r="CX476" s="47"/>
      <c r="CY476" s="47"/>
      <c r="CZ476" s="47"/>
      <c r="DA476" s="47"/>
      <c r="DB476" s="47"/>
      <c r="DC476" s="47"/>
      <c r="DD476" s="47"/>
      <c r="DE476" s="47"/>
      <c r="DF476" s="47"/>
      <c r="DG476" s="47"/>
      <c r="DH476" s="47"/>
    </row>
    <row r="477">
      <c r="A477" s="64"/>
      <c r="B477" s="47"/>
      <c r="C477" s="47"/>
      <c r="D477" s="47"/>
      <c r="E477" s="47"/>
      <c r="F477" s="47"/>
      <c r="G477" s="46"/>
      <c r="H477" s="42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R477" s="47"/>
      <c r="CS477" s="47"/>
      <c r="CT477" s="47"/>
      <c r="CU477" s="47"/>
      <c r="CV477" s="47"/>
      <c r="CW477" s="47"/>
      <c r="CX477" s="47"/>
      <c r="CY477" s="47"/>
      <c r="CZ477" s="47"/>
      <c r="DA477" s="47"/>
      <c r="DB477" s="47"/>
      <c r="DC477" s="47"/>
      <c r="DD477" s="47"/>
      <c r="DE477" s="47"/>
      <c r="DF477" s="47"/>
      <c r="DG477" s="47"/>
      <c r="DH477" s="47"/>
    </row>
    <row r="478">
      <c r="A478" s="64"/>
      <c r="B478" s="47"/>
      <c r="C478" s="47"/>
      <c r="D478" s="47"/>
      <c r="E478" s="47"/>
      <c r="F478" s="47"/>
      <c r="G478" s="46"/>
      <c r="H478" s="42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R478" s="47"/>
      <c r="CS478" s="47"/>
      <c r="CT478" s="47"/>
      <c r="CU478" s="47"/>
      <c r="CV478" s="47"/>
      <c r="CW478" s="47"/>
      <c r="CX478" s="47"/>
      <c r="CY478" s="47"/>
      <c r="CZ478" s="47"/>
      <c r="DA478" s="47"/>
      <c r="DB478" s="47"/>
      <c r="DC478" s="47"/>
      <c r="DD478" s="47"/>
      <c r="DE478" s="47"/>
      <c r="DF478" s="47"/>
      <c r="DG478" s="47"/>
      <c r="DH478" s="47"/>
    </row>
    <row r="479">
      <c r="A479" s="64"/>
      <c r="B479" s="47"/>
      <c r="C479" s="47"/>
      <c r="D479" s="47"/>
      <c r="E479" s="47"/>
      <c r="F479" s="47"/>
      <c r="G479" s="46"/>
      <c r="H479" s="42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R479" s="47"/>
      <c r="CS479" s="47"/>
      <c r="CT479" s="47"/>
      <c r="CU479" s="47"/>
      <c r="CV479" s="47"/>
      <c r="CW479" s="47"/>
      <c r="CX479" s="47"/>
      <c r="CY479" s="47"/>
      <c r="CZ479" s="47"/>
      <c r="DA479" s="47"/>
      <c r="DB479" s="47"/>
      <c r="DC479" s="47"/>
      <c r="DD479" s="47"/>
      <c r="DE479" s="47"/>
      <c r="DF479" s="47"/>
      <c r="DG479" s="47"/>
      <c r="DH479" s="47"/>
    </row>
    <row r="480">
      <c r="A480" s="64"/>
      <c r="B480" s="47"/>
      <c r="C480" s="47"/>
      <c r="D480" s="47"/>
      <c r="E480" s="47"/>
      <c r="F480" s="47"/>
      <c r="G480" s="46"/>
      <c r="H480" s="42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R480" s="47"/>
      <c r="CS480" s="47"/>
      <c r="CT480" s="47"/>
      <c r="CU480" s="47"/>
      <c r="CV480" s="47"/>
      <c r="CW480" s="47"/>
      <c r="CX480" s="47"/>
      <c r="CY480" s="47"/>
      <c r="CZ480" s="47"/>
      <c r="DA480" s="47"/>
      <c r="DB480" s="47"/>
      <c r="DC480" s="47"/>
      <c r="DD480" s="47"/>
      <c r="DE480" s="47"/>
      <c r="DF480" s="47"/>
      <c r="DG480" s="47"/>
      <c r="DH480" s="47"/>
    </row>
    <row r="481">
      <c r="A481" s="64"/>
      <c r="B481" s="47"/>
      <c r="C481" s="47"/>
      <c r="D481" s="47"/>
      <c r="E481" s="47"/>
      <c r="F481" s="47"/>
      <c r="G481" s="46"/>
      <c r="H481" s="42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R481" s="47"/>
      <c r="CS481" s="47"/>
      <c r="CT481" s="47"/>
      <c r="CU481" s="47"/>
      <c r="CV481" s="47"/>
      <c r="CW481" s="47"/>
      <c r="CX481" s="47"/>
      <c r="CY481" s="47"/>
      <c r="CZ481" s="47"/>
      <c r="DA481" s="47"/>
      <c r="DB481" s="47"/>
      <c r="DC481" s="47"/>
      <c r="DD481" s="47"/>
      <c r="DE481" s="47"/>
      <c r="DF481" s="47"/>
      <c r="DG481" s="47"/>
      <c r="DH481" s="47"/>
    </row>
    <row r="482">
      <c r="A482" s="64"/>
      <c r="B482" s="47"/>
      <c r="C482" s="47"/>
      <c r="D482" s="47"/>
      <c r="E482" s="47"/>
      <c r="F482" s="47"/>
      <c r="G482" s="46"/>
      <c r="H482" s="42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R482" s="47"/>
      <c r="CS482" s="47"/>
      <c r="CT482" s="47"/>
      <c r="CU482" s="47"/>
      <c r="CV482" s="47"/>
      <c r="CW482" s="47"/>
      <c r="CX482" s="47"/>
      <c r="CY482" s="47"/>
      <c r="CZ482" s="47"/>
      <c r="DA482" s="47"/>
      <c r="DB482" s="47"/>
      <c r="DC482" s="47"/>
      <c r="DD482" s="47"/>
      <c r="DE482" s="47"/>
      <c r="DF482" s="47"/>
      <c r="DG482" s="47"/>
      <c r="DH482" s="47"/>
    </row>
    <row r="483">
      <c r="A483" s="64"/>
      <c r="B483" s="47"/>
      <c r="C483" s="47"/>
      <c r="D483" s="47"/>
      <c r="E483" s="47"/>
      <c r="F483" s="47"/>
      <c r="G483" s="46"/>
      <c r="H483" s="42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R483" s="47"/>
      <c r="CS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</row>
    <row r="484">
      <c r="A484" s="64"/>
      <c r="B484" s="47"/>
      <c r="C484" s="47"/>
      <c r="D484" s="47"/>
      <c r="E484" s="47"/>
      <c r="F484" s="47"/>
      <c r="G484" s="46"/>
      <c r="H484" s="42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R484" s="47"/>
      <c r="CS484" s="47"/>
      <c r="CT484" s="47"/>
      <c r="CU484" s="47"/>
      <c r="CV484" s="47"/>
      <c r="CW484" s="47"/>
      <c r="CX484" s="47"/>
      <c r="CY484" s="47"/>
      <c r="CZ484" s="47"/>
      <c r="DA484" s="47"/>
      <c r="DB484" s="47"/>
      <c r="DC484" s="47"/>
      <c r="DD484" s="47"/>
      <c r="DE484" s="47"/>
      <c r="DF484" s="47"/>
      <c r="DG484" s="47"/>
      <c r="DH484" s="47"/>
    </row>
    <row r="485">
      <c r="A485" s="64"/>
      <c r="B485" s="47"/>
      <c r="C485" s="47"/>
      <c r="D485" s="47"/>
      <c r="E485" s="47"/>
      <c r="F485" s="47"/>
      <c r="G485" s="46"/>
      <c r="H485" s="42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R485" s="47"/>
      <c r="CS485" s="47"/>
      <c r="CT485" s="47"/>
      <c r="CU485" s="47"/>
      <c r="CV485" s="47"/>
      <c r="CW485" s="47"/>
      <c r="CX485" s="47"/>
      <c r="CY485" s="47"/>
      <c r="CZ485" s="47"/>
      <c r="DA485" s="47"/>
      <c r="DB485" s="47"/>
      <c r="DC485" s="47"/>
      <c r="DD485" s="47"/>
      <c r="DE485" s="47"/>
      <c r="DF485" s="47"/>
      <c r="DG485" s="47"/>
      <c r="DH485" s="47"/>
    </row>
    <row r="486">
      <c r="A486" s="64"/>
      <c r="B486" s="47"/>
      <c r="C486" s="47"/>
      <c r="D486" s="47"/>
      <c r="E486" s="47"/>
      <c r="F486" s="47"/>
      <c r="G486" s="46"/>
      <c r="H486" s="42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R486" s="47"/>
      <c r="CS486" s="47"/>
      <c r="CT486" s="47"/>
      <c r="CU486" s="47"/>
      <c r="CV486" s="47"/>
      <c r="CW486" s="47"/>
      <c r="CX486" s="47"/>
      <c r="CY486" s="47"/>
      <c r="CZ486" s="47"/>
      <c r="DA486" s="47"/>
      <c r="DB486" s="47"/>
      <c r="DC486" s="47"/>
      <c r="DD486" s="47"/>
      <c r="DE486" s="47"/>
      <c r="DF486" s="47"/>
      <c r="DG486" s="47"/>
      <c r="DH486" s="47"/>
    </row>
    <row r="487">
      <c r="A487" s="64"/>
      <c r="B487" s="47"/>
      <c r="C487" s="47"/>
      <c r="D487" s="47"/>
      <c r="E487" s="47"/>
      <c r="F487" s="47"/>
      <c r="G487" s="46"/>
      <c r="H487" s="42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R487" s="47"/>
      <c r="CS487" s="47"/>
      <c r="CT487" s="47"/>
      <c r="CU487" s="47"/>
      <c r="CV487" s="47"/>
      <c r="CW487" s="47"/>
      <c r="CX487" s="47"/>
      <c r="CY487" s="47"/>
      <c r="CZ487" s="47"/>
      <c r="DA487" s="47"/>
      <c r="DB487" s="47"/>
      <c r="DC487" s="47"/>
      <c r="DD487" s="47"/>
      <c r="DE487" s="47"/>
      <c r="DF487" s="47"/>
      <c r="DG487" s="47"/>
      <c r="DH487" s="47"/>
    </row>
    <row r="488">
      <c r="A488" s="64"/>
      <c r="B488" s="47"/>
      <c r="C488" s="47"/>
      <c r="D488" s="47"/>
      <c r="E488" s="47"/>
      <c r="F488" s="47"/>
      <c r="G488" s="46"/>
      <c r="H488" s="42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R488" s="47"/>
      <c r="CS488" s="47"/>
      <c r="CT488" s="47"/>
      <c r="CU488" s="47"/>
      <c r="CV488" s="47"/>
      <c r="CW488" s="47"/>
      <c r="CX488" s="47"/>
      <c r="CY488" s="47"/>
      <c r="CZ488" s="47"/>
      <c r="DA488" s="47"/>
      <c r="DB488" s="47"/>
      <c r="DC488" s="47"/>
      <c r="DD488" s="47"/>
      <c r="DE488" s="47"/>
      <c r="DF488" s="47"/>
      <c r="DG488" s="47"/>
      <c r="DH488" s="47"/>
    </row>
    <row r="489">
      <c r="A489" s="64"/>
      <c r="B489" s="47"/>
      <c r="C489" s="47"/>
      <c r="D489" s="47"/>
      <c r="E489" s="47"/>
      <c r="F489" s="47"/>
      <c r="G489" s="46"/>
      <c r="H489" s="42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R489" s="47"/>
      <c r="CS489" s="47"/>
      <c r="CT489" s="47"/>
      <c r="CU489" s="47"/>
      <c r="CV489" s="47"/>
      <c r="CW489" s="47"/>
      <c r="CX489" s="47"/>
      <c r="CY489" s="47"/>
      <c r="CZ489" s="47"/>
      <c r="DA489" s="47"/>
      <c r="DB489" s="47"/>
      <c r="DC489" s="47"/>
      <c r="DD489" s="47"/>
      <c r="DE489" s="47"/>
      <c r="DF489" s="47"/>
      <c r="DG489" s="47"/>
      <c r="DH489" s="47"/>
    </row>
    <row r="490">
      <c r="A490" s="64"/>
      <c r="B490" s="47"/>
      <c r="C490" s="47"/>
      <c r="D490" s="47"/>
      <c r="E490" s="47"/>
      <c r="F490" s="47"/>
      <c r="G490" s="46"/>
      <c r="H490" s="42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R490" s="47"/>
      <c r="CS490" s="47"/>
      <c r="CT490" s="47"/>
      <c r="CU490" s="47"/>
      <c r="CV490" s="47"/>
      <c r="CW490" s="47"/>
      <c r="CX490" s="47"/>
      <c r="CY490" s="47"/>
      <c r="CZ490" s="47"/>
      <c r="DA490" s="47"/>
      <c r="DB490" s="47"/>
      <c r="DC490" s="47"/>
      <c r="DD490" s="47"/>
      <c r="DE490" s="47"/>
      <c r="DF490" s="47"/>
      <c r="DG490" s="47"/>
      <c r="DH490" s="47"/>
    </row>
    <row r="491">
      <c r="A491" s="64"/>
      <c r="B491" s="47"/>
      <c r="C491" s="47"/>
      <c r="D491" s="47"/>
      <c r="E491" s="47"/>
      <c r="F491" s="47"/>
      <c r="G491" s="46"/>
      <c r="H491" s="42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R491" s="47"/>
      <c r="CS491" s="47"/>
      <c r="CT491" s="47"/>
      <c r="CU491" s="47"/>
      <c r="CV491" s="47"/>
      <c r="CW491" s="47"/>
      <c r="CX491" s="47"/>
      <c r="CY491" s="47"/>
      <c r="CZ491" s="47"/>
      <c r="DA491" s="47"/>
      <c r="DB491" s="47"/>
      <c r="DC491" s="47"/>
      <c r="DD491" s="47"/>
      <c r="DE491" s="47"/>
      <c r="DF491" s="47"/>
      <c r="DG491" s="47"/>
      <c r="DH491" s="47"/>
    </row>
    <row r="492">
      <c r="A492" s="64"/>
      <c r="B492" s="47"/>
      <c r="C492" s="47"/>
      <c r="D492" s="47"/>
      <c r="E492" s="47"/>
      <c r="F492" s="47"/>
      <c r="G492" s="46"/>
      <c r="H492" s="42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R492" s="47"/>
      <c r="CS492" s="47"/>
      <c r="CT492" s="47"/>
      <c r="CU492" s="47"/>
      <c r="CV492" s="47"/>
      <c r="CW492" s="47"/>
      <c r="CX492" s="47"/>
      <c r="CY492" s="47"/>
      <c r="CZ492" s="47"/>
      <c r="DA492" s="47"/>
      <c r="DB492" s="47"/>
      <c r="DC492" s="47"/>
      <c r="DD492" s="47"/>
      <c r="DE492" s="47"/>
      <c r="DF492" s="47"/>
      <c r="DG492" s="47"/>
      <c r="DH492" s="47"/>
    </row>
    <row r="493">
      <c r="A493" s="64"/>
      <c r="B493" s="47"/>
      <c r="C493" s="47"/>
      <c r="D493" s="47"/>
      <c r="E493" s="47"/>
      <c r="F493" s="47"/>
      <c r="G493" s="46"/>
      <c r="H493" s="42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R493" s="47"/>
      <c r="CS493" s="47"/>
      <c r="CT493" s="47"/>
      <c r="CU493" s="47"/>
      <c r="CV493" s="47"/>
      <c r="CW493" s="47"/>
      <c r="CX493" s="47"/>
      <c r="CY493" s="47"/>
      <c r="CZ493" s="47"/>
      <c r="DA493" s="47"/>
      <c r="DB493" s="47"/>
      <c r="DC493" s="47"/>
      <c r="DD493" s="47"/>
      <c r="DE493" s="47"/>
      <c r="DF493" s="47"/>
      <c r="DG493" s="47"/>
      <c r="DH493" s="47"/>
    </row>
    <row r="494">
      <c r="A494" s="64"/>
      <c r="B494" s="47"/>
      <c r="C494" s="47"/>
      <c r="D494" s="47"/>
      <c r="E494" s="47"/>
      <c r="F494" s="47"/>
      <c r="G494" s="46"/>
      <c r="H494" s="42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R494" s="47"/>
      <c r="CS494" s="47"/>
      <c r="CT494" s="47"/>
      <c r="CU494" s="47"/>
      <c r="CV494" s="47"/>
      <c r="CW494" s="47"/>
      <c r="CX494" s="47"/>
      <c r="CY494" s="47"/>
      <c r="CZ494" s="47"/>
      <c r="DA494" s="47"/>
      <c r="DB494" s="47"/>
      <c r="DC494" s="47"/>
      <c r="DD494" s="47"/>
      <c r="DE494" s="47"/>
      <c r="DF494" s="47"/>
      <c r="DG494" s="47"/>
      <c r="DH494" s="47"/>
    </row>
    <row r="495">
      <c r="A495" s="64"/>
      <c r="B495" s="47"/>
      <c r="C495" s="47"/>
      <c r="D495" s="47"/>
      <c r="E495" s="47"/>
      <c r="F495" s="47"/>
      <c r="G495" s="46"/>
      <c r="H495" s="42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R495" s="47"/>
      <c r="CS495" s="47"/>
      <c r="CT495" s="47"/>
      <c r="CU495" s="47"/>
      <c r="CV495" s="47"/>
      <c r="CW495" s="47"/>
      <c r="CX495" s="47"/>
      <c r="CY495" s="47"/>
      <c r="CZ495" s="47"/>
      <c r="DA495" s="47"/>
      <c r="DB495" s="47"/>
      <c r="DC495" s="47"/>
      <c r="DD495" s="47"/>
      <c r="DE495" s="47"/>
      <c r="DF495" s="47"/>
      <c r="DG495" s="47"/>
      <c r="DH495" s="47"/>
    </row>
    <row r="496">
      <c r="A496" s="64"/>
      <c r="B496" s="47"/>
      <c r="C496" s="47"/>
      <c r="D496" s="47"/>
      <c r="E496" s="47"/>
      <c r="F496" s="47"/>
      <c r="G496" s="46"/>
      <c r="H496" s="42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R496" s="47"/>
      <c r="CS496" s="47"/>
      <c r="CT496" s="47"/>
      <c r="CU496" s="47"/>
      <c r="CV496" s="47"/>
      <c r="CW496" s="47"/>
      <c r="CX496" s="47"/>
      <c r="CY496" s="47"/>
      <c r="CZ496" s="47"/>
      <c r="DA496" s="47"/>
      <c r="DB496" s="47"/>
      <c r="DC496" s="47"/>
      <c r="DD496" s="47"/>
      <c r="DE496" s="47"/>
      <c r="DF496" s="47"/>
      <c r="DG496" s="47"/>
      <c r="DH496" s="47"/>
    </row>
    <row r="497">
      <c r="A497" s="64"/>
      <c r="B497" s="47"/>
      <c r="C497" s="47"/>
      <c r="D497" s="47"/>
      <c r="E497" s="47"/>
      <c r="F497" s="47"/>
      <c r="G497" s="46"/>
      <c r="H497" s="42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R497" s="47"/>
      <c r="CS497" s="47"/>
      <c r="CT497" s="47"/>
      <c r="CU497" s="47"/>
      <c r="CV497" s="47"/>
      <c r="CW497" s="47"/>
      <c r="CX497" s="47"/>
      <c r="CY497" s="47"/>
      <c r="CZ497" s="47"/>
      <c r="DA497" s="47"/>
      <c r="DB497" s="47"/>
      <c r="DC497" s="47"/>
      <c r="DD497" s="47"/>
      <c r="DE497" s="47"/>
      <c r="DF497" s="47"/>
      <c r="DG497" s="47"/>
      <c r="DH497" s="47"/>
    </row>
    <row r="498">
      <c r="A498" s="64"/>
      <c r="B498" s="47"/>
      <c r="C498" s="47"/>
      <c r="D498" s="47"/>
      <c r="E498" s="47"/>
      <c r="F498" s="47"/>
      <c r="G498" s="46"/>
      <c r="H498" s="42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R498" s="47"/>
      <c r="CS498" s="47"/>
      <c r="CT498" s="47"/>
      <c r="CU498" s="47"/>
      <c r="CV498" s="47"/>
      <c r="CW498" s="47"/>
      <c r="CX498" s="47"/>
      <c r="CY498" s="47"/>
      <c r="CZ498" s="47"/>
      <c r="DA498" s="47"/>
      <c r="DB498" s="47"/>
      <c r="DC498" s="47"/>
      <c r="DD498" s="47"/>
      <c r="DE498" s="47"/>
      <c r="DF498" s="47"/>
      <c r="DG498" s="47"/>
      <c r="DH498" s="47"/>
    </row>
    <row r="499">
      <c r="A499" s="64"/>
      <c r="B499" s="47"/>
      <c r="C499" s="47"/>
      <c r="D499" s="47"/>
      <c r="E499" s="47"/>
      <c r="F499" s="47"/>
      <c r="G499" s="46"/>
      <c r="H499" s="42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R499" s="47"/>
      <c r="CS499" s="47"/>
      <c r="CT499" s="47"/>
      <c r="CU499" s="47"/>
      <c r="CV499" s="47"/>
      <c r="CW499" s="47"/>
      <c r="CX499" s="47"/>
      <c r="CY499" s="47"/>
      <c r="CZ499" s="47"/>
      <c r="DA499" s="47"/>
      <c r="DB499" s="47"/>
      <c r="DC499" s="47"/>
      <c r="DD499" s="47"/>
      <c r="DE499" s="47"/>
      <c r="DF499" s="47"/>
      <c r="DG499" s="47"/>
      <c r="DH499" s="47"/>
    </row>
    <row r="500">
      <c r="A500" s="64"/>
      <c r="B500" s="47"/>
      <c r="C500" s="47"/>
      <c r="D500" s="47"/>
      <c r="E500" s="47"/>
      <c r="F500" s="47"/>
      <c r="G500" s="46"/>
      <c r="H500" s="42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R500" s="47"/>
      <c r="CS500" s="47"/>
      <c r="CT500" s="47"/>
      <c r="CU500" s="47"/>
      <c r="CV500" s="47"/>
      <c r="CW500" s="47"/>
      <c r="CX500" s="47"/>
      <c r="CY500" s="47"/>
      <c r="CZ500" s="47"/>
      <c r="DA500" s="47"/>
      <c r="DB500" s="47"/>
      <c r="DC500" s="47"/>
      <c r="DD500" s="47"/>
      <c r="DE500" s="47"/>
      <c r="DF500" s="47"/>
      <c r="DG500" s="47"/>
      <c r="DH500" s="47"/>
    </row>
    <row r="501">
      <c r="A501" s="64"/>
      <c r="B501" s="47"/>
      <c r="C501" s="47"/>
      <c r="D501" s="47"/>
      <c r="E501" s="47"/>
      <c r="F501" s="47"/>
      <c r="G501" s="46"/>
      <c r="H501" s="42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R501" s="47"/>
      <c r="CS501" s="47"/>
      <c r="CT501" s="47"/>
      <c r="CU501" s="47"/>
      <c r="CV501" s="47"/>
      <c r="CW501" s="47"/>
      <c r="CX501" s="47"/>
      <c r="CY501" s="47"/>
      <c r="CZ501" s="47"/>
      <c r="DA501" s="47"/>
      <c r="DB501" s="47"/>
      <c r="DC501" s="47"/>
      <c r="DD501" s="47"/>
      <c r="DE501" s="47"/>
      <c r="DF501" s="47"/>
      <c r="DG501" s="47"/>
      <c r="DH501" s="47"/>
    </row>
    <row r="502">
      <c r="A502" s="64"/>
      <c r="B502" s="47"/>
      <c r="C502" s="47"/>
      <c r="D502" s="47"/>
      <c r="E502" s="47"/>
      <c r="F502" s="47"/>
      <c r="G502" s="46"/>
      <c r="H502" s="42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R502" s="47"/>
      <c r="CS502" s="47"/>
      <c r="CT502" s="47"/>
      <c r="CU502" s="47"/>
      <c r="CV502" s="47"/>
      <c r="CW502" s="47"/>
      <c r="CX502" s="47"/>
      <c r="CY502" s="47"/>
      <c r="CZ502" s="47"/>
      <c r="DA502" s="47"/>
      <c r="DB502" s="47"/>
      <c r="DC502" s="47"/>
      <c r="DD502" s="47"/>
      <c r="DE502" s="47"/>
      <c r="DF502" s="47"/>
      <c r="DG502" s="47"/>
      <c r="DH502" s="47"/>
    </row>
    <row r="503">
      <c r="A503" s="64"/>
      <c r="B503" s="47"/>
      <c r="C503" s="47"/>
      <c r="D503" s="47"/>
      <c r="E503" s="47"/>
      <c r="F503" s="47"/>
      <c r="G503" s="46"/>
      <c r="H503" s="42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R503" s="47"/>
      <c r="CS503" s="47"/>
      <c r="CT503" s="47"/>
      <c r="CU503" s="47"/>
      <c r="CV503" s="47"/>
      <c r="CW503" s="47"/>
      <c r="CX503" s="47"/>
      <c r="CY503" s="47"/>
      <c r="CZ503" s="47"/>
      <c r="DA503" s="47"/>
      <c r="DB503" s="47"/>
      <c r="DC503" s="47"/>
      <c r="DD503" s="47"/>
      <c r="DE503" s="47"/>
      <c r="DF503" s="47"/>
      <c r="DG503" s="47"/>
      <c r="DH503" s="47"/>
    </row>
    <row r="504">
      <c r="A504" s="64"/>
      <c r="B504" s="47"/>
      <c r="C504" s="47"/>
      <c r="D504" s="47"/>
      <c r="E504" s="47"/>
      <c r="F504" s="47"/>
      <c r="G504" s="46"/>
      <c r="H504" s="42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R504" s="47"/>
      <c r="CS504" s="47"/>
      <c r="CT504" s="47"/>
      <c r="CU504" s="47"/>
      <c r="CV504" s="47"/>
      <c r="CW504" s="47"/>
      <c r="CX504" s="47"/>
      <c r="CY504" s="47"/>
      <c r="CZ504" s="47"/>
      <c r="DA504" s="47"/>
      <c r="DB504" s="47"/>
      <c r="DC504" s="47"/>
      <c r="DD504" s="47"/>
      <c r="DE504" s="47"/>
      <c r="DF504" s="47"/>
      <c r="DG504" s="47"/>
      <c r="DH504" s="47"/>
    </row>
    <row r="505">
      <c r="A505" s="64"/>
      <c r="B505" s="47"/>
      <c r="C505" s="47"/>
      <c r="D505" s="47"/>
      <c r="E505" s="47"/>
      <c r="F505" s="47"/>
      <c r="G505" s="46"/>
      <c r="H505" s="42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R505" s="47"/>
      <c r="CS505" s="47"/>
      <c r="CT505" s="47"/>
      <c r="CU505" s="47"/>
      <c r="CV505" s="47"/>
      <c r="CW505" s="47"/>
      <c r="CX505" s="47"/>
      <c r="CY505" s="47"/>
      <c r="CZ505" s="47"/>
      <c r="DA505" s="47"/>
      <c r="DB505" s="47"/>
      <c r="DC505" s="47"/>
      <c r="DD505" s="47"/>
      <c r="DE505" s="47"/>
      <c r="DF505" s="47"/>
      <c r="DG505" s="47"/>
      <c r="DH505" s="47"/>
    </row>
    <row r="506">
      <c r="A506" s="64"/>
      <c r="B506" s="47"/>
      <c r="C506" s="47"/>
      <c r="D506" s="47"/>
      <c r="E506" s="47"/>
      <c r="F506" s="47"/>
      <c r="G506" s="46"/>
      <c r="H506" s="42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R506" s="47"/>
      <c r="CS506" s="47"/>
      <c r="CT506" s="47"/>
      <c r="CU506" s="47"/>
      <c r="CV506" s="47"/>
      <c r="CW506" s="47"/>
      <c r="CX506" s="47"/>
      <c r="CY506" s="47"/>
      <c r="CZ506" s="47"/>
      <c r="DA506" s="47"/>
      <c r="DB506" s="47"/>
      <c r="DC506" s="47"/>
      <c r="DD506" s="47"/>
      <c r="DE506" s="47"/>
      <c r="DF506" s="47"/>
      <c r="DG506" s="47"/>
      <c r="DH506" s="47"/>
    </row>
    <row r="507">
      <c r="A507" s="64"/>
      <c r="B507" s="47"/>
      <c r="C507" s="47"/>
      <c r="D507" s="47"/>
      <c r="E507" s="47"/>
      <c r="F507" s="47"/>
      <c r="G507" s="46"/>
      <c r="H507" s="42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R507" s="47"/>
      <c r="CS507" s="47"/>
      <c r="CT507" s="47"/>
      <c r="CU507" s="47"/>
      <c r="CV507" s="47"/>
      <c r="CW507" s="47"/>
      <c r="CX507" s="47"/>
      <c r="CY507" s="47"/>
      <c r="CZ507" s="47"/>
      <c r="DA507" s="47"/>
      <c r="DB507" s="47"/>
      <c r="DC507" s="47"/>
      <c r="DD507" s="47"/>
      <c r="DE507" s="47"/>
      <c r="DF507" s="47"/>
      <c r="DG507" s="47"/>
      <c r="DH507" s="47"/>
    </row>
    <row r="508">
      <c r="A508" s="64"/>
      <c r="B508" s="47"/>
      <c r="C508" s="47"/>
      <c r="D508" s="47"/>
      <c r="E508" s="47"/>
      <c r="F508" s="47"/>
      <c r="G508" s="46"/>
      <c r="H508" s="42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R508" s="47"/>
      <c r="CS508" s="47"/>
      <c r="CT508" s="47"/>
      <c r="CU508" s="47"/>
      <c r="CV508" s="47"/>
      <c r="CW508" s="47"/>
      <c r="CX508" s="47"/>
      <c r="CY508" s="47"/>
      <c r="CZ508" s="47"/>
      <c r="DA508" s="47"/>
      <c r="DB508" s="47"/>
      <c r="DC508" s="47"/>
      <c r="DD508" s="47"/>
      <c r="DE508" s="47"/>
      <c r="DF508" s="47"/>
      <c r="DG508" s="47"/>
      <c r="DH508" s="47"/>
    </row>
    <row r="509">
      <c r="A509" s="64"/>
      <c r="B509" s="47"/>
      <c r="C509" s="47"/>
      <c r="D509" s="47"/>
      <c r="E509" s="47"/>
      <c r="F509" s="47"/>
      <c r="G509" s="46"/>
      <c r="H509" s="42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R509" s="47"/>
      <c r="CS509" s="47"/>
      <c r="CT509" s="47"/>
      <c r="CU509" s="47"/>
      <c r="CV509" s="47"/>
      <c r="CW509" s="47"/>
      <c r="CX509" s="47"/>
      <c r="CY509" s="47"/>
      <c r="CZ509" s="47"/>
      <c r="DA509" s="47"/>
      <c r="DB509" s="47"/>
      <c r="DC509" s="47"/>
      <c r="DD509" s="47"/>
      <c r="DE509" s="47"/>
      <c r="DF509" s="47"/>
      <c r="DG509" s="47"/>
      <c r="DH509" s="47"/>
    </row>
    <row r="510">
      <c r="A510" s="64"/>
      <c r="B510" s="47"/>
      <c r="C510" s="47"/>
      <c r="D510" s="47"/>
      <c r="E510" s="47"/>
      <c r="F510" s="47"/>
      <c r="G510" s="46"/>
      <c r="H510" s="42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R510" s="47"/>
      <c r="CS510" s="47"/>
      <c r="CT510" s="47"/>
      <c r="CU510" s="47"/>
      <c r="CV510" s="47"/>
      <c r="CW510" s="47"/>
      <c r="CX510" s="47"/>
      <c r="CY510" s="47"/>
      <c r="CZ510" s="47"/>
      <c r="DA510" s="47"/>
      <c r="DB510" s="47"/>
      <c r="DC510" s="47"/>
      <c r="DD510" s="47"/>
      <c r="DE510" s="47"/>
      <c r="DF510" s="47"/>
      <c r="DG510" s="47"/>
      <c r="DH510" s="47"/>
    </row>
    <row r="511">
      <c r="A511" s="64"/>
      <c r="B511" s="47"/>
      <c r="C511" s="47"/>
      <c r="D511" s="47"/>
      <c r="E511" s="47"/>
      <c r="F511" s="47"/>
      <c r="G511" s="46"/>
      <c r="H511" s="42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R511" s="47"/>
      <c r="CS511" s="47"/>
      <c r="CT511" s="47"/>
      <c r="CU511" s="47"/>
      <c r="CV511" s="47"/>
      <c r="CW511" s="47"/>
      <c r="CX511" s="47"/>
      <c r="CY511" s="47"/>
      <c r="CZ511" s="47"/>
      <c r="DA511" s="47"/>
      <c r="DB511" s="47"/>
      <c r="DC511" s="47"/>
      <c r="DD511" s="47"/>
      <c r="DE511" s="47"/>
      <c r="DF511" s="47"/>
      <c r="DG511" s="47"/>
      <c r="DH511" s="47"/>
    </row>
    <row r="512">
      <c r="A512" s="64"/>
      <c r="B512" s="47"/>
      <c r="C512" s="47"/>
      <c r="D512" s="47"/>
      <c r="E512" s="47"/>
      <c r="F512" s="47"/>
      <c r="G512" s="46"/>
      <c r="H512" s="42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R512" s="47"/>
      <c r="CS512" s="47"/>
      <c r="CT512" s="47"/>
      <c r="CU512" s="47"/>
      <c r="CV512" s="47"/>
      <c r="CW512" s="47"/>
      <c r="CX512" s="47"/>
      <c r="CY512" s="47"/>
      <c r="CZ512" s="47"/>
      <c r="DA512" s="47"/>
      <c r="DB512" s="47"/>
      <c r="DC512" s="47"/>
      <c r="DD512" s="47"/>
      <c r="DE512" s="47"/>
      <c r="DF512" s="47"/>
      <c r="DG512" s="47"/>
      <c r="DH512" s="47"/>
    </row>
    <row r="513">
      <c r="A513" s="64"/>
      <c r="B513" s="47"/>
      <c r="C513" s="47"/>
      <c r="D513" s="47"/>
      <c r="E513" s="47"/>
      <c r="F513" s="47"/>
      <c r="G513" s="46"/>
      <c r="H513" s="42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R513" s="47"/>
      <c r="CS513" s="47"/>
      <c r="CT513" s="47"/>
      <c r="CU513" s="47"/>
      <c r="CV513" s="47"/>
      <c r="CW513" s="47"/>
      <c r="CX513" s="47"/>
      <c r="CY513" s="47"/>
      <c r="CZ513" s="47"/>
      <c r="DA513" s="47"/>
      <c r="DB513" s="47"/>
      <c r="DC513" s="47"/>
      <c r="DD513" s="47"/>
      <c r="DE513" s="47"/>
      <c r="DF513" s="47"/>
      <c r="DG513" s="47"/>
      <c r="DH513" s="47"/>
    </row>
    <row r="514">
      <c r="A514" s="64"/>
      <c r="B514" s="47"/>
      <c r="C514" s="47"/>
      <c r="D514" s="47"/>
      <c r="E514" s="47"/>
      <c r="F514" s="47"/>
      <c r="G514" s="46"/>
      <c r="H514" s="42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R514" s="47"/>
      <c r="CS514" s="47"/>
      <c r="CT514" s="47"/>
      <c r="CU514" s="47"/>
      <c r="CV514" s="47"/>
      <c r="CW514" s="47"/>
      <c r="CX514" s="47"/>
      <c r="CY514" s="47"/>
      <c r="CZ514" s="47"/>
      <c r="DA514" s="47"/>
      <c r="DB514" s="47"/>
      <c r="DC514" s="47"/>
      <c r="DD514" s="47"/>
      <c r="DE514" s="47"/>
      <c r="DF514" s="47"/>
      <c r="DG514" s="47"/>
      <c r="DH514" s="47"/>
    </row>
    <row r="515">
      <c r="A515" s="64"/>
      <c r="B515" s="47"/>
      <c r="C515" s="47"/>
      <c r="D515" s="47"/>
      <c r="E515" s="47"/>
      <c r="F515" s="47"/>
      <c r="G515" s="46"/>
      <c r="H515" s="42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R515" s="47"/>
      <c r="CS515" s="47"/>
      <c r="CT515" s="47"/>
      <c r="CU515" s="47"/>
      <c r="CV515" s="47"/>
      <c r="CW515" s="47"/>
      <c r="CX515" s="47"/>
      <c r="CY515" s="47"/>
      <c r="CZ515" s="47"/>
      <c r="DA515" s="47"/>
      <c r="DB515" s="47"/>
      <c r="DC515" s="47"/>
      <c r="DD515" s="47"/>
      <c r="DE515" s="47"/>
      <c r="DF515" s="47"/>
      <c r="DG515" s="47"/>
      <c r="DH515" s="47"/>
    </row>
    <row r="516">
      <c r="A516" s="64"/>
      <c r="B516" s="47"/>
      <c r="C516" s="47"/>
      <c r="D516" s="47"/>
      <c r="E516" s="47"/>
      <c r="F516" s="47"/>
      <c r="G516" s="46"/>
      <c r="H516" s="42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R516" s="47"/>
      <c r="CS516" s="47"/>
      <c r="CT516" s="47"/>
      <c r="CU516" s="47"/>
      <c r="CV516" s="47"/>
      <c r="CW516" s="47"/>
      <c r="CX516" s="47"/>
      <c r="CY516" s="47"/>
      <c r="CZ516" s="47"/>
      <c r="DA516" s="47"/>
      <c r="DB516" s="47"/>
      <c r="DC516" s="47"/>
      <c r="DD516" s="47"/>
      <c r="DE516" s="47"/>
      <c r="DF516" s="47"/>
      <c r="DG516" s="47"/>
      <c r="DH516" s="47"/>
    </row>
    <row r="517">
      <c r="A517" s="64"/>
      <c r="B517" s="47"/>
      <c r="C517" s="47"/>
      <c r="D517" s="47"/>
      <c r="E517" s="47"/>
      <c r="F517" s="47"/>
      <c r="G517" s="46"/>
      <c r="H517" s="42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R517" s="47"/>
      <c r="CS517" s="47"/>
      <c r="CT517" s="47"/>
      <c r="CU517" s="47"/>
      <c r="CV517" s="47"/>
      <c r="CW517" s="47"/>
      <c r="CX517" s="47"/>
      <c r="CY517" s="47"/>
      <c r="CZ517" s="47"/>
      <c r="DA517" s="47"/>
      <c r="DB517" s="47"/>
      <c r="DC517" s="47"/>
      <c r="DD517" s="47"/>
      <c r="DE517" s="47"/>
      <c r="DF517" s="47"/>
      <c r="DG517" s="47"/>
      <c r="DH517" s="47"/>
    </row>
    <row r="518">
      <c r="A518" s="64"/>
      <c r="B518" s="47"/>
      <c r="C518" s="47"/>
      <c r="D518" s="47"/>
      <c r="E518" s="47"/>
      <c r="F518" s="47"/>
      <c r="G518" s="46"/>
      <c r="H518" s="42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R518" s="47"/>
      <c r="CS518" s="47"/>
      <c r="CT518" s="47"/>
      <c r="CU518" s="47"/>
      <c r="CV518" s="47"/>
      <c r="CW518" s="47"/>
      <c r="CX518" s="47"/>
      <c r="CY518" s="47"/>
      <c r="CZ518" s="47"/>
      <c r="DA518" s="47"/>
      <c r="DB518" s="47"/>
      <c r="DC518" s="47"/>
      <c r="DD518" s="47"/>
      <c r="DE518" s="47"/>
      <c r="DF518" s="47"/>
      <c r="DG518" s="47"/>
      <c r="DH518" s="47"/>
    </row>
    <row r="519">
      <c r="A519" s="64"/>
      <c r="B519" s="47"/>
      <c r="C519" s="47"/>
      <c r="D519" s="47"/>
      <c r="E519" s="47"/>
      <c r="F519" s="47"/>
      <c r="G519" s="46"/>
      <c r="H519" s="42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R519" s="47"/>
      <c r="CS519" s="47"/>
      <c r="CT519" s="47"/>
      <c r="CU519" s="47"/>
      <c r="CV519" s="47"/>
      <c r="CW519" s="47"/>
      <c r="CX519" s="47"/>
      <c r="CY519" s="47"/>
      <c r="CZ519" s="47"/>
      <c r="DA519" s="47"/>
      <c r="DB519" s="47"/>
      <c r="DC519" s="47"/>
      <c r="DD519" s="47"/>
      <c r="DE519" s="47"/>
      <c r="DF519" s="47"/>
      <c r="DG519" s="47"/>
      <c r="DH519" s="47"/>
    </row>
    <row r="520">
      <c r="A520" s="64"/>
      <c r="B520" s="47"/>
      <c r="C520" s="47"/>
      <c r="D520" s="47"/>
      <c r="E520" s="47"/>
      <c r="F520" s="47"/>
      <c r="G520" s="46"/>
      <c r="H520" s="42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R520" s="47"/>
      <c r="CS520" s="47"/>
      <c r="CT520" s="47"/>
      <c r="CU520" s="47"/>
      <c r="CV520" s="47"/>
      <c r="CW520" s="47"/>
      <c r="CX520" s="47"/>
      <c r="CY520" s="47"/>
      <c r="CZ520" s="47"/>
      <c r="DA520" s="47"/>
      <c r="DB520" s="47"/>
      <c r="DC520" s="47"/>
      <c r="DD520" s="47"/>
      <c r="DE520" s="47"/>
      <c r="DF520" s="47"/>
      <c r="DG520" s="47"/>
      <c r="DH520" s="47"/>
    </row>
    <row r="521">
      <c r="A521" s="64"/>
      <c r="B521" s="47"/>
      <c r="C521" s="47"/>
      <c r="D521" s="47"/>
      <c r="E521" s="47"/>
      <c r="F521" s="47"/>
      <c r="G521" s="46"/>
      <c r="H521" s="42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R521" s="47"/>
      <c r="CS521" s="47"/>
      <c r="CT521" s="47"/>
      <c r="CU521" s="47"/>
      <c r="CV521" s="47"/>
      <c r="CW521" s="47"/>
      <c r="CX521" s="47"/>
      <c r="CY521" s="47"/>
      <c r="CZ521" s="47"/>
      <c r="DA521" s="47"/>
      <c r="DB521" s="47"/>
      <c r="DC521" s="47"/>
      <c r="DD521" s="47"/>
      <c r="DE521" s="47"/>
      <c r="DF521" s="47"/>
      <c r="DG521" s="47"/>
      <c r="DH521" s="47"/>
    </row>
    <row r="522">
      <c r="A522" s="64"/>
      <c r="B522" s="47"/>
      <c r="C522" s="47"/>
      <c r="D522" s="47"/>
      <c r="E522" s="47"/>
      <c r="F522" s="47"/>
      <c r="G522" s="46"/>
      <c r="H522" s="42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R522" s="47"/>
      <c r="CS522" s="47"/>
      <c r="CT522" s="47"/>
      <c r="CU522" s="47"/>
      <c r="CV522" s="47"/>
      <c r="CW522" s="47"/>
      <c r="CX522" s="47"/>
      <c r="CY522" s="47"/>
      <c r="CZ522" s="47"/>
      <c r="DA522" s="47"/>
      <c r="DB522" s="47"/>
      <c r="DC522" s="47"/>
      <c r="DD522" s="47"/>
      <c r="DE522" s="47"/>
      <c r="DF522" s="47"/>
      <c r="DG522" s="47"/>
      <c r="DH522" s="47"/>
    </row>
    <row r="523">
      <c r="A523" s="64"/>
      <c r="B523" s="47"/>
      <c r="C523" s="47"/>
      <c r="D523" s="47"/>
      <c r="E523" s="47"/>
      <c r="F523" s="47"/>
      <c r="G523" s="46"/>
      <c r="H523" s="42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R523" s="47"/>
      <c r="CS523" s="47"/>
      <c r="CT523" s="47"/>
      <c r="CU523" s="47"/>
      <c r="CV523" s="47"/>
      <c r="CW523" s="47"/>
      <c r="CX523" s="47"/>
      <c r="CY523" s="47"/>
      <c r="CZ523" s="47"/>
      <c r="DA523" s="47"/>
      <c r="DB523" s="47"/>
      <c r="DC523" s="47"/>
      <c r="DD523" s="47"/>
      <c r="DE523" s="47"/>
      <c r="DF523" s="47"/>
      <c r="DG523" s="47"/>
      <c r="DH523" s="47"/>
    </row>
    <row r="524">
      <c r="A524" s="64"/>
      <c r="B524" s="47"/>
      <c r="C524" s="47"/>
      <c r="D524" s="47"/>
      <c r="E524" s="47"/>
      <c r="F524" s="47"/>
      <c r="G524" s="46"/>
      <c r="H524" s="42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R524" s="47"/>
      <c r="CS524" s="47"/>
      <c r="CT524" s="47"/>
      <c r="CU524" s="47"/>
      <c r="CV524" s="47"/>
      <c r="CW524" s="47"/>
      <c r="CX524" s="47"/>
      <c r="CY524" s="47"/>
      <c r="CZ524" s="47"/>
      <c r="DA524" s="47"/>
      <c r="DB524" s="47"/>
      <c r="DC524" s="47"/>
      <c r="DD524" s="47"/>
      <c r="DE524" s="47"/>
      <c r="DF524" s="47"/>
      <c r="DG524" s="47"/>
      <c r="DH524" s="47"/>
    </row>
    <row r="525">
      <c r="A525" s="64"/>
      <c r="B525" s="47"/>
      <c r="C525" s="47"/>
      <c r="D525" s="47"/>
      <c r="E525" s="47"/>
      <c r="F525" s="47"/>
      <c r="G525" s="46"/>
      <c r="H525" s="42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R525" s="47"/>
      <c r="CS525" s="47"/>
      <c r="CT525" s="47"/>
      <c r="CU525" s="47"/>
      <c r="CV525" s="47"/>
      <c r="CW525" s="47"/>
      <c r="CX525" s="47"/>
      <c r="CY525" s="47"/>
      <c r="CZ525" s="47"/>
      <c r="DA525" s="47"/>
      <c r="DB525" s="47"/>
      <c r="DC525" s="47"/>
      <c r="DD525" s="47"/>
      <c r="DE525" s="47"/>
      <c r="DF525" s="47"/>
      <c r="DG525" s="47"/>
      <c r="DH525" s="47"/>
    </row>
    <row r="526">
      <c r="A526" s="64"/>
      <c r="B526" s="47"/>
      <c r="C526" s="47"/>
      <c r="D526" s="47"/>
      <c r="E526" s="47"/>
      <c r="F526" s="47"/>
      <c r="G526" s="46"/>
      <c r="H526" s="42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R526" s="47"/>
      <c r="CS526" s="47"/>
      <c r="CT526" s="47"/>
      <c r="CU526" s="47"/>
      <c r="CV526" s="47"/>
      <c r="CW526" s="47"/>
      <c r="CX526" s="47"/>
      <c r="CY526" s="47"/>
      <c r="CZ526" s="47"/>
      <c r="DA526" s="47"/>
      <c r="DB526" s="47"/>
      <c r="DC526" s="47"/>
      <c r="DD526" s="47"/>
      <c r="DE526" s="47"/>
      <c r="DF526" s="47"/>
      <c r="DG526" s="47"/>
      <c r="DH526" s="47"/>
    </row>
    <row r="527">
      <c r="A527" s="64"/>
      <c r="B527" s="47"/>
      <c r="C527" s="47"/>
      <c r="D527" s="47"/>
      <c r="E527" s="47"/>
      <c r="F527" s="47"/>
      <c r="G527" s="46"/>
      <c r="H527" s="42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R527" s="47"/>
      <c r="CS527" s="47"/>
      <c r="CT527" s="47"/>
      <c r="CU527" s="47"/>
      <c r="CV527" s="47"/>
      <c r="CW527" s="47"/>
      <c r="CX527" s="47"/>
      <c r="CY527" s="47"/>
      <c r="CZ527" s="47"/>
      <c r="DA527" s="47"/>
      <c r="DB527" s="47"/>
      <c r="DC527" s="47"/>
      <c r="DD527" s="47"/>
      <c r="DE527" s="47"/>
      <c r="DF527" s="47"/>
      <c r="DG527" s="47"/>
      <c r="DH527" s="47"/>
    </row>
    <row r="528">
      <c r="A528" s="64"/>
      <c r="B528" s="47"/>
      <c r="C528" s="47"/>
      <c r="D528" s="47"/>
      <c r="E528" s="47"/>
      <c r="F528" s="47"/>
      <c r="G528" s="46"/>
      <c r="H528" s="42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R528" s="47"/>
      <c r="CS528" s="47"/>
      <c r="CT528" s="47"/>
      <c r="CU528" s="47"/>
      <c r="CV528" s="47"/>
      <c r="CW528" s="47"/>
      <c r="CX528" s="47"/>
      <c r="CY528" s="47"/>
      <c r="CZ528" s="47"/>
      <c r="DA528" s="47"/>
      <c r="DB528" s="47"/>
      <c r="DC528" s="47"/>
      <c r="DD528" s="47"/>
      <c r="DE528" s="47"/>
      <c r="DF528" s="47"/>
      <c r="DG528" s="47"/>
      <c r="DH528" s="47"/>
    </row>
    <row r="529">
      <c r="A529" s="64"/>
      <c r="B529" s="47"/>
      <c r="C529" s="47"/>
      <c r="D529" s="47"/>
      <c r="E529" s="47"/>
      <c r="F529" s="47"/>
      <c r="G529" s="46"/>
      <c r="H529" s="42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R529" s="47"/>
      <c r="CS529" s="47"/>
      <c r="CT529" s="47"/>
      <c r="CU529" s="47"/>
      <c r="CV529" s="47"/>
      <c r="CW529" s="47"/>
      <c r="CX529" s="47"/>
      <c r="CY529" s="47"/>
      <c r="CZ529" s="47"/>
      <c r="DA529" s="47"/>
      <c r="DB529" s="47"/>
      <c r="DC529" s="47"/>
      <c r="DD529" s="47"/>
      <c r="DE529" s="47"/>
      <c r="DF529" s="47"/>
      <c r="DG529" s="47"/>
      <c r="DH529" s="47"/>
    </row>
    <row r="530">
      <c r="A530" s="64"/>
      <c r="B530" s="47"/>
      <c r="C530" s="47"/>
      <c r="D530" s="47"/>
      <c r="E530" s="47"/>
      <c r="F530" s="47"/>
      <c r="G530" s="46"/>
      <c r="H530" s="42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R530" s="47"/>
      <c r="CS530" s="47"/>
      <c r="CT530" s="47"/>
      <c r="CU530" s="47"/>
      <c r="CV530" s="47"/>
      <c r="CW530" s="47"/>
      <c r="CX530" s="47"/>
      <c r="CY530" s="47"/>
      <c r="CZ530" s="47"/>
      <c r="DA530" s="47"/>
      <c r="DB530" s="47"/>
      <c r="DC530" s="47"/>
      <c r="DD530" s="47"/>
      <c r="DE530" s="47"/>
      <c r="DF530" s="47"/>
      <c r="DG530" s="47"/>
      <c r="DH530" s="47"/>
    </row>
    <row r="531">
      <c r="A531" s="64"/>
      <c r="B531" s="47"/>
      <c r="C531" s="47"/>
      <c r="D531" s="47"/>
      <c r="E531" s="47"/>
      <c r="F531" s="47"/>
      <c r="G531" s="46"/>
      <c r="H531" s="42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R531" s="47"/>
      <c r="CS531" s="47"/>
      <c r="CT531" s="47"/>
      <c r="CU531" s="47"/>
      <c r="CV531" s="47"/>
      <c r="CW531" s="47"/>
      <c r="CX531" s="47"/>
      <c r="CY531" s="47"/>
      <c r="CZ531" s="47"/>
      <c r="DA531" s="47"/>
      <c r="DB531" s="47"/>
      <c r="DC531" s="47"/>
      <c r="DD531" s="47"/>
      <c r="DE531" s="47"/>
      <c r="DF531" s="47"/>
      <c r="DG531" s="47"/>
      <c r="DH531" s="47"/>
    </row>
    <row r="532">
      <c r="A532" s="64"/>
      <c r="B532" s="47"/>
      <c r="C532" s="47"/>
      <c r="D532" s="47"/>
      <c r="E532" s="47"/>
      <c r="F532" s="47"/>
      <c r="G532" s="46"/>
      <c r="H532" s="42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R532" s="47"/>
      <c r="CS532" s="47"/>
      <c r="CT532" s="47"/>
      <c r="CU532" s="47"/>
      <c r="CV532" s="47"/>
      <c r="CW532" s="47"/>
      <c r="CX532" s="47"/>
      <c r="CY532" s="47"/>
      <c r="CZ532" s="47"/>
      <c r="DA532" s="47"/>
      <c r="DB532" s="47"/>
      <c r="DC532" s="47"/>
      <c r="DD532" s="47"/>
      <c r="DE532" s="47"/>
      <c r="DF532" s="47"/>
      <c r="DG532" s="47"/>
      <c r="DH532" s="47"/>
    </row>
    <row r="533">
      <c r="A533" s="64"/>
      <c r="B533" s="47"/>
      <c r="C533" s="47"/>
      <c r="D533" s="47"/>
      <c r="E533" s="47"/>
      <c r="F533" s="47"/>
      <c r="G533" s="46"/>
      <c r="H533" s="42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R533" s="47"/>
      <c r="CS533" s="47"/>
      <c r="CT533" s="47"/>
      <c r="CU533" s="47"/>
      <c r="CV533" s="47"/>
      <c r="CW533" s="47"/>
      <c r="CX533" s="47"/>
      <c r="CY533" s="47"/>
      <c r="CZ533" s="47"/>
      <c r="DA533" s="47"/>
      <c r="DB533" s="47"/>
      <c r="DC533" s="47"/>
      <c r="DD533" s="47"/>
      <c r="DE533" s="47"/>
      <c r="DF533" s="47"/>
      <c r="DG533" s="47"/>
      <c r="DH533" s="47"/>
    </row>
    <row r="534">
      <c r="A534" s="64"/>
      <c r="B534" s="47"/>
      <c r="C534" s="47"/>
      <c r="D534" s="47"/>
      <c r="E534" s="47"/>
      <c r="F534" s="47"/>
      <c r="G534" s="46"/>
      <c r="H534" s="42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R534" s="47"/>
      <c r="CS534" s="47"/>
      <c r="CT534" s="47"/>
      <c r="CU534" s="47"/>
      <c r="CV534" s="47"/>
      <c r="CW534" s="47"/>
      <c r="CX534" s="47"/>
      <c r="CY534" s="47"/>
      <c r="CZ534" s="47"/>
      <c r="DA534" s="47"/>
      <c r="DB534" s="47"/>
      <c r="DC534" s="47"/>
      <c r="DD534" s="47"/>
      <c r="DE534" s="47"/>
      <c r="DF534" s="47"/>
      <c r="DG534" s="47"/>
      <c r="DH534" s="47"/>
    </row>
    <row r="535">
      <c r="A535" s="64"/>
      <c r="B535" s="47"/>
      <c r="C535" s="47"/>
      <c r="D535" s="47"/>
      <c r="E535" s="47"/>
      <c r="F535" s="47"/>
      <c r="G535" s="46"/>
      <c r="H535" s="42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R535" s="47"/>
      <c r="CS535" s="47"/>
      <c r="CT535" s="47"/>
      <c r="CU535" s="47"/>
      <c r="CV535" s="47"/>
      <c r="CW535" s="47"/>
      <c r="CX535" s="47"/>
      <c r="CY535" s="47"/>
      <c r="CZ535" s="47"/>
      <c r="DA535" s="47"/>
      <c r="DB535" s="47"/>
      <c r="DC535" s="47"/>
      <c r="DD535" s="47"/>
      <c r="DE535" s="47"/>
      <c r="DF535" s="47"/>
      <c r="DG535" s="47"/>
      <c r="DH535" s="47"/>
    </row>
    <row r="536">
      <c r="A536" s="64"/>
      <c r="B536" s="47"/>
      <c r="C536" s="47"/>
      <c r="D536" s="47"/>
      <c r="E536" s="47"/>
      <c r="F536" s="47"/>
      <c r="G536" s="46"/>
      <c r="H536" s="42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R536" s="47"/>
      <c r="CS536" s="47"/>
      <c r="CT536" s="47"/>
      <c r="CU536" s="47"/>
      <c r="CV536" s="47"/>
      <c r="CW536" s="47"/>
      <c r="CX536" s="47"/>
      <c r="CY536" s="47"/>
      <c r="CZ536" s="47"/>
      <c r="DA536" s="47"/>
      <c r="DB536" s="47"/>
      <c r="DC536" s="47"/>
      <c r="DD536" s="47"/>
      <c r="DE536" s="47"/>
      <c r="DF536" s="47"/>
      <c r="DG536" s="47"/>
      <c r="DH536" s="47"/>
    </row>
    <row r="537">
      <c r="A537" s="64"/>
      <c r="B537" s="47"/>
      <c r="C537" s="47"/>
      <c r="D537" s="47"/>
      <c r="E537" s="47"/>
      <c r="F537" s="47"/>
      <c r="G537" s="46"/>
      <c r="H537" s="42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R537" s="47"/>
      <c r="CS537" s="47"/>
      <c r="CT537" s="47"/>
      <c r="CU537" s="47"/>
      <c r="CV537" s="47"/>
      <c r="CW537" s="47"/>
      <c r="CX537" s="47"/>
      <c r="CY537" s="47"/>
      <c r="CZ537" s="47"/>
      <c r="DA537" s="47"/>
      <c r="DB537" s="47"/>
      <c r="DC537" s="47"/>
      <c r="DD537" s="47"/>
      <c r="DE537" s="47"/>
      <c r="DF537" s="47"/>
      <c r="DG537" s="47"/>
      <c r="DH537" s="47"/>
    </row>
    <row r="538">
      <c r="A538" s="64"/>
      <c r="B538" s="47"/>
      <c r="C538" s="47"/>
      <c r="D538" s="47"/>
      <c r="E538" s="47"/>
      <c r="F538" s="47"/>
      <c r="G538" s="46"/>
      <c r="H538" s="42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R538" s="47"/>
      <c r="CS538" s="47"/>
      <c r="CT538" s="47"/>
      <c r="CU538" s="47"/>
      <c r="CV538" s="47"/>
      <c r="CW538" s="47"/>
      <c r="CX538" s="47"/>
      <c r="CY538" s="47"/>
      <c r="CZ538" s="47"/>
      <c r="DA538" s="47"/>
      <c r="DB538" s="47"/>
      <c r="DC538" s="47"/>
      <c r="DD538" s="47"/>
      <c r="DE538" s="47"/>
      <c r="DF538" s="47"/>
      <c r="DG538" s="47"/>
      <c r="DH538" s="47"/>
    </row>
    <row r="539">
      <c r="A539" s="64"/>
      <c r="B539" s="47"/>
      <c r="C539" s="47"/>
      <c r="D539" s="47"/>
      <c r="E539" s="47"/>
      <c r="F539" s="47"/>
      <c r="G539" s="46"/>
      <c r="H539" s="42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R539" s="47"/>
      <c r="CS539" s="47"/>
      <c r="CT539" s="47"/>
      <c r="CU539" s="47"/>
      <c r="CV539" s="47"/>
      <c r="CW539" s="47"/>
      <c r="CX539" s="47"/>
      <c r="CY539" s="47"/>
      <c r="CZ539" s="47"/>
      <c r="DA539" s="47"/>
      <c r="DB539" s="47"/>
      <c r="DC539" s="47"/>
      <c r="DD539" s="47"/>
      <c r="DE539" s="47"/>
      <c r="DF539" s="47"/>
      <c r="DG539" s="47"/>
      <c r="DH539" s="47"/>
    </row>
    <row r="540">
      <c r="A540" s="64"/>
      <c r="B540" s="47"/>
      <c r="C540" s="47"/>
      <c r="D540" s="47"/>
      <c r="E540" s="47"/>
      <c r="F540" s="47"/>
      <c r="G540" s="46"/>
      <c r="H540" s="42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R540" s="47"/>
      <c r="CS540" s="47"/>
      <c r="CT540" s="47"/>
      <c r="CU540" s="47"/>
      <c r="CV540" s="47"/>
      <c r="CW540" s="47"/>
      <c r="CX540" s="47"/>
      <c r="CY540" s="47"/>
      <c r="CZ540" s="47"/>
      <c r="DA540" s="47"/>
      <c r="DB540" s="47"/>
      <c r="DC540" s="47"/>
      <c r="DD540" s="47"/>
      <c r="DE540" s="47"/>
      <c r="DF540" s="47"/>
      <c r="DG540" s="47"/>
      <c r="DH540" s="47"/>
    </row>
    <row r="541">
      <c r="A541" s="64"/>
      <c r="B541" s="47"/>
      <c r="C541" s="47"/>
      <c r="D541" s="47"/>
      <c r="E541" s="47"/>
      <c r="F541" s="47"/>
      <c r="G541" s="46"/>
      <c r="H541" s="42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R541" s="47"/>
      <c r="CS541" s="47"/>
      <c r="CT541" s="47"/>
      <c r="CU541" s="47"/>
      <c r="CV541" s="47"/>
      <c r="CW541" s="47"/>
      <c r="CX541" s="47"/>
      <c r="CY541" s="47"/>
      <c r="CZ541" s="47"/>
      <c r="DA541" s="47"/>
      <c r="DB541" s="47"/>
      <c r="DC541" s="47"/>
      <c r="DD541" s="47"/>
      <c r="DE541" s="47"/>
      <c r="DF541" s="47"/>
      <c r="DG541" s="47"/>
      <c r="DH541" s="47"/>
    </row>
    <row r="542">
      <c r="A542" s="64"/>
      <c r="B542" s="47"/>
      <c r="C542" s="47"/>
      <c r="D542" s="47"/>
      <c r="E542" s="47"/>
      <c r="F542" s="47"/>
      <c r="G542" s="46"/>
      <c r="H542" s="42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R542" s="47"/>
      <c r="CS542" s="47"/>
      <c r="CT542" s="47"/>
      <c r="CU542" s="47"/>
      <c r="CV542" s="47"/>
      <c r="CW542" s="47"/>
      <c r="CX542" s="47"/>
      <c r="CY542" s="47"/>
      <c r="CZ542" s="47"/>
      <c r="DA542" s="47"/>
      <c r="DB542" s="47"/>
      <c r="DC542" s="47"/>
      <c r="DD542" s="47"/>
      <c r="DE542" s="47"/>
      <c r="DF542" s="47"/>
      <c r="DG542" s="47"/>
      <c r="DH542" s="47"/>
    </row>
    <row r="543">
      <c r="A543" s="64"/>
      <c r="B543" s="47"/>
      <c r="C543" s="47"/>
      <c r="D543" s="47"/>
      <c r="E543" s="47"/>
      <c r="F543" s="47"/>
      <c r="G543" s="46"/>
      <c r="H543" s="42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R543" s="47"/>
      <c r="CS543" s="47"/>
      <c r="CT543" s="47"/>
      <c r="CU543" s="47"/>
      <c r="CV543" s="47"/>
      <c r="CW543" s="47"/>
      <c r="CX543" s="47"/>
      <c r="CY543" s="47"/>
      <c r="CZ543" s="47"/>
      <c r="DA543" s="47"/>
      <c r="DB543" s="47"/>
      <c r="DC543" s="47"/>
      <c r="DD543" s="47"/>
      <c r="DE543" s="47"/>
      <c r="DF543" s="47"/>
      <c r="DG543" s="47"/>
      <c r="DH543" s="47"/>
    </row>
    <row r="544">
      <c r="A544" s="64"/>
      <c r="B544" s="47"/>
      <c r="C544" s="47"/>
      <c r="D544" s="47"/>
      <c r="E544" s="47"/>
      <c r="F544" s="47"/>
      <c r="G544" s="46"/>
      <c r="H544" s="42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R544" s="47"/>
      <c r="CS544" s="47"/>
      <c r="CT544" s="47"/>
      <c r="CU544" s="47"/>
      <c r="CV544" s="47"/>
      <c r="CW544" s="47"/>
      <c r="CX544" s="47"/>
      <c r="CY544" s="47"/>
      <c r="CZ544" s="47"/>
      <c r="DA544" s="47"/>
      <c r="DB544" s="47"/>
      <c r="DC544" s="47"/>
      <c r="DD544" s="47"/>
      <c r="DE544" s="47"/>
      <c r="DF544" s="47"/>
      <c r="DG544" s="47"/>
      <c r="DH544" s="47"/>
    </row>
    <row r="545">
      <c r="A545" s="64"/>
      <c r="B545" s="47"/>
      <c r="C545" s="47"/>
      <c r="D545" s="47"/>
      <c r="E545" s="47"/>
      <c r="F545" s="47"/>
      <c r="G545" s="46"/>
      <c r="H545" s="42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R545" s="47"/>
      <c r="CS545" s="47"/>
      <c r="CT545" s="47"/>
      <c r="CU545" s="47"/>
      <c r="CV545" s="47"/>
      <c r="CW545" s="47"/>
      <c r="CX545" s="47"/>
      <c r="CY545" s="47"/>
      <c r="CZ545" s="47"/>
      <c r="DA545" s="47"/>
      <c r="DB545" s="47"/>
      <c r="DC545" s="47"/>
      <c r="DD545" s="47"/>
      <c r="DE545" s="47"/>
      <c r="DF545" s="47"/>
      <c r="DG545" s="47"/>
      <c r="DH545" s="47"/>
    </row>
    <row r="546">
      <c r="A546" s="64"/>
      <c r="B546" s="47"/>
      <c r="C546" s="47"/>
      <c r="D546" s="47"/>
      <c r="E546" s="47"/>
      <c r="F546" s="47"/>
      <c r="G546" s="46"/>
      <c r="H546" s="42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R546" s="47"/>
      <c r="CS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</row>
    <row r="547">
      <c r="A547" s="64"/>
      <c r="B547" s="47"/>
      <c r="C547" s="47"/>
      <c r="D547" s="47"/>
      <c r="E547" s="47"/>
      <c r="F547" s="47"/>
      <c r="G547" s="46"/>
      <c r="H547" s="42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R547" s="47"/>
      <c r="CS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</row>
    <row r="548">
      <c r="A548" s="64"/>
      <c r="B548" s="47"/>
      <c r="C548" s="47"/>
      <c r="D548" s="47"/>
      <c r="E548" s="47"/>
      <c r="F548" s="47"/>
      <c r="G548" s="46"/>
      <c r="H548" s="42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R548" s="47"/>
      <c r="CS548" s="47"/>
      <c r="CT548" s="47"/>
      <c r="CU548" s="47"/>
      <c r="CV548" s="47"/>
      <c r="CW548" s="47"/>
      <c r="CX548" s="47"/>
      <c r="CY548" s="47"/>
      <c r="CZ548" s="47"/>
      <c r="DA548" s="47"/>
      <c r="DB548" s="47"/>
      <c r="DC548" s="47"/>
      <c r="DD548" s="47"/>
      <c r="DE548" s="47"/>
      <c r="DF548" s="47"/>
      <c r="DG548" s="47"/>
      <c r="DH548" s="47"/>
    </row>
    <row r="549">
      <c r="A549" s="64"/>
      <c r="B549" s="47"/>
      <c r="C549" s="47"/>
      <c r="D549" s="47"/>
      <c r="E549" s="47"/>
      <c r="F549" s="47"/>
      <c r="G549" s="46"/>
      <c r="H549" s="42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R549" s="47"/>
      <c r="CS549" s="47"/>
      <c r="CT549" s="47"/>
      <c r="CU549" s="47"/>
      <c r="CV549" s="47"/>
      <c r="CW549" s="47"/>
      <c r="CX549" s="47"/>
      <c r="CY549" s="47"/>
      <c r="CZ549" s="47"/>
      <c r="DA549" s="47"/>
      <c r="DB549" s="47"/>
      <c r="DC549" s="47"/>
      <c r="DD549" s="47"/>
      <c r="DE549" s="47"/>
      <c r="DF549" s="47"/>
      <c r="DG549" s="47"/>
      <c r="DH549" s="47"/>
    </row>
    <row r="550">
      <c r="A550" s="64"/>
      <c r="B550" s="47"/>
      <c r="C550" s="47"/>
      <c r="D550" s="47"/>
      <c r="E550" s="47"/>
      <c r="F550" s="47"/>
      <c r="G550" s="46"/>
      <c r="H550" s="42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R550" s="47"/>
      <c r="CS550" s="47"/>
      <c r="CT550" s="47"/>
      <c r="CU550" s="47"/>
      <c r="CV550" s="47"/>
      <c r="CW550" s="47"/>
      <c r="CX550" s="47"/>
      <c r="CY550" s="47"/>
      <c r="CZ550" s="47"/>
      <c r="DA550" s="47"/>
      <c r="DB550" s="47"/>
      <c r="DC550" s="47"/>
      <c r="DD550" s="47"/>
      <c r="DE550" s="47"/>
      <c r="DF550" s="47"/>
      <c r="DG550" s="47"/>
      <c r="DH550" s="47"/>
    </row>
    <row r="551">
      <c r="A551" s="64"/>
      <c r="B551" s="47"/>
      <c r="C551" s="47"/>
      <c r="D551" s="47"/>
      <c r="E551" s="47"/>
      <c r="F551" s="47"/>
      <c r="G551" s="46"/>
      <c r="H551" s="42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R551" s="47"/>
      <c r="CS551" s="47"/>
      <c r="CT551" s="47"/>
      <c r="CU551" s="47"/>
      <c r="CV551" s="47"/>
      <c r="CW551" s="47"/>
      <c r="CX551" s="47"/>
      <c r="CY551" s="47"/>
      <c r="CZ551" s="47"/>
      <c r="DA551" s="47"/>
      <c r="DB551" s="47"/>
      <c r="DC551" s="47"/>
      <c r="DD551" s="47"/>
      <c r="DE551" s="47"/>
      <c r="DF551" s="47"/>
      <c r="DG551" s="47"/>
      <c r="DH551" s="47"/>
    </row>
    <row r="552">
      <c r="A552" s="64"/>
      <c r="B552" s="47"/>
      <c r="C552" s="47"/>
      <c r="D552" s="47"/>
      <c r="E552" s="47"/>
      <c r="F552" s="47"/>
      <c r="G552" s="46"/>
      <c r="H552" s="42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R552" s="47"/>
      <c r="CS552" s="47"/>
      <c r="CT552" s="47"/>
      <c r="CU552" s="47"/>
      <c r="CV552" s="47"/>
      <c r="CW552" s="47"/>
      <c r="CX552" s="47"/>
      <c r="CY552" s="47"/>
      <c r="CZ552" s="47"/>
      <c r="DA552" s="47"/>
      <c r="DB552" s="47"/>
      <c r="DC552" s="47"/>
      <c r="DD552" s="47"/>
      <c r="DE552" s="47"/>
      <c r="DF552" s="47"/>
      <c r="DG552" s="47"/>
      <c r="DH552" s="47"/>
    </row>
    <row r="553">
      <c r="A553" s="64"/>
      <c r="B553" s="47"/>
      <c r="C553" s="47"/>
      <c r="D553" s="47"/>
      <c r="E553" s="47"/>
      <c r="F553" s="47"/>
      <c r="G553" s="46"/>
      <c r="H553" s="42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R553" s="47"/>
      <c r="CS553" s="47"/>
      <c r="CT553" s="47"/>
      <c r="CU553" s="47"/>
      <c r="CV553" s="47"/>
      <c r="CW553" s="47"/>
      <c r="CX553" s="47"/>
      <c r="CY553" s="47"/>
      <c r="CZ553" s="47"/>
      <c r="DA553" s="47"/>
      <c r="DB553" s="47"/>
      <c r="DC553" s="47"/>
      <c r="DD553" s="47"/>
      <c r="DE553" s="47"/>
      <c r="DF553" s="47"/>
      <c r="DG553" s="47"/>
      <c r="DH553" s="47"/>
    </row>
    <row r="554">
      <c r="A554" s="64"/>
      <c r="B554" s="47"/>
      <c r="C554" s="47"/>
      <c r="D554" s="47"/>
      <c r="E554" s="47"/>
      <c r="F554" s="47"/>
      <c r="G554" s="46"/>
      <c r="H554" s="42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R554" s="47"/>
      <c r="CS554" s="47"/>
      <c r="CT554" s="47"/>
      <c r="CU554" s="47"/>
      <c r="CV554" s="47"/>
      <c r="CW554" s="47"/>
      <c r="CX554" s="47"/>
      <c r="CY554" s="47"/>
      <c r="CZ554" s="47"/>
      <c r="DA554" s="47"/>
      <c r="DB554" s="47"/>
      <c r="DC554" s="47"/>
      <c r="DD554" s="47"/>
      <c r="DE554" s="47"/>
      <c r="DF554" s="47"/>
      <c r="DG554" s="47"/>
      <c r="DH554" s="47"/>
    </row>
    <row r="555">
      <c r="A555" s="64"/>
      <c r="B555" s="47"/>
      <c r="C555" s="47"/>
      <c r="D555" s="47"/>
      <c r="E555" s="47"/>
      <c r="F555" s="47"/>
      <c r="G555" s="46"/>
      <c r="H555" s="42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R555" s="47"/>
      <c r="CS555" s="47"/>
      <c r="CT555" s="47"/>
      <c r="CU555" s="47"/>
      <c r="CV555" s="47"/>
      <c r="CW555" s="47"/>
      <c r="CX555" s="47"/>
      <c r="CY555" s="47"/>
      <c r="CZ555" s="47"/>
      <c r="DA555" s="47"/>
      <c r="DB555" s="47"/>
      <c r="DC555" s="47"/>
      <c r="DD555" s="47"/>
      <c r="DE555" s="47"/>
      <c r="DF555" s="47"/>
      <c r="DG555" s="47"/>
      <c r="DH555" s="47"/>
    </row>
    <row r="556">
      <c r="A556" s="64"/>
      <c r="B556" s="47"/>
      <c r="C556" s="47"/>
      <c r="D556" s="47"/>
      <c r="E556" s="47"/>
      <c r="F556" s="47"/>
      <c r="G556" s="46"/>
      <c r="H556" s="42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R556" s="47"/>
      <c r="CS556" s="47"/>
      <c r="CT556" s="47"/>
      <c r="CU556" s="47"/>
      <c r="CV556" s="47"/>
      <c r="CW556" s="47"/>
      <c r="CX556" s="47"/>
      <c r="CY556" s="47"/>
      <c r="CZ556" s="47"/>
      <c r="DA556" s="47"/>
      <c r="DB556" s="47"/>
      <c r="DC556" s="47"/>
      <c r="DD556" s="47"/>
      <c r="DE556" s="47"/>
      <c r="DF556" s="47"/>
      <c r="DG556" s="47"/>
      <c r="DH556" s="47"/>
    </row>
    <row r="557">
      <c r="A557" s="64"/>
      <c r="B557" s="47"/>
      <c r="C557" s="47"/>
      <c r="D557" s="47"/>
      <c r="E557" s="47"/>
      <c r="F557" s="47"/>
      <c r="G557" s="46"/>
      <c r="H557" s="42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R557" s="47"/>
      <c r="CS557" s="47"/>
      <c r="CT557" s="47"/>
      <c r="CU557" s="47"/>
      <c r="CV557" s="47"/>
      <c r="CW557" s="47"/>
      <c r="CX557" s="47"/>
      <c r="CY557" s="47"/>
      <c r="CZ557" s="47"/>
      <c r="DA557" s="47"/>
      <c r="DB557" s="47"/>
      <c r="DC557" s="47"/>
      <c r="DD557" s="47"/>
      <c r="DE557" s="47"/>
      <c r="DF557" s="47"/>
      <c r="DG557" s="47"/>
      <c r="DH557" s="47"/>
    </row>
    <row r="558">
      <c r="A558" s="64"/>
      <c r="B558" s="47"/>
      <c r="C558" s="47"/>
      <c r="D558" s="47"/>
      <c r="E558" s="47"/>
      <c r="F558" s="47"/>
      <c r="G558" s="46"/>
      <c r="H558" s="42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R558" s="47"/>
      <c r="CS558" s="47"/>
      <c r="CT558" s="47"/>
      <c r="CU558" s="47"/>
      <c r="CV558" s="47"/>
      <c r="CW558" s="47"/>
      <c r="CX558" s="47"/>
      <c r="CY558" s="47"/>
      <c r="CZ558" s="47"/>
      <c r="DA558" s="47"/>
      <c r="DB558" s="47"/>
      <c r="DC558" s="47"/>
      <c r="DD558" s="47"/>
      <c r="DE558" s="47"/>
      <c r="DF558" s="47"/>
      <c r="DG558" s="47"/>
      <c r="DH558" s="47"/>
    </row>
    <row r="559">
      <c r="A559" s="64"/>
      <c r="B559" s="47"/>
      <c r="C559" s="47"/>
      <c r="D559" s="47"/>
      <c r="E559" s="47"/>
      <c r="F559" s="47"/>
      <c r="G559" s="46"/>
      <c r="H559" s="42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R559" s="47"/>
      <c r="CS559" s="47"/>
      <c r="CT559" s="47"/>
      <c r="CU559" s="47"/>
      <c r="CV559" s="47"/>
      <c r="CW559" s="47"/>
      <c r="CX559" s="47"/>
      <c r="CY559" s="47"/>
      <c r="CZ559" s="47"/>
      <c r="DA559" s="47"/>
      <c r="DB559" s="47"/>
      <c r="DC559" s="47"/>
      <c r="DD559" s="47"/>
      <c r="DE559" s="47"/>
      <c r="DF559" s="47"/>
      <c r="DG559" s="47"/>
      <c r="DH559" s="47"/>
    </row>
    <row r="560">
      <c r="A560" s="64"/>
      <c r="B560" s="47"/>
      <c r="C560" s="47"/>
      <c r="D560" s="47"/>
      <c r="E560" s="47"/>
      <c r="F560" s="47"/>
      <c r="G560" s="46"/>
      <c r="H560" s="42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R560" s="47"/>
      <c r="CS560" s="47"/>
      <c r="CT560" s="47"/>
      <c r="CU560" s="47"/>
      <c r="CV560" s="47"/>
      <c r="CW560" s="47"/>
      <c r="CX560" s="47"/>
      <c r="CY560" s="47"/>
      <c r="CZ560" s="47"/>
      <c r="DA560" s="47"/>
      <c r="DB560" s="47"/>
      <c r="DC560" s="47"/>
      <c r="DD560" s="47"/>
      <c r="DE560" s="47"/>
      <c r="DF560" s="47"/>
      <c r="DG560" s="47"/>
      <c r="DH560" s="47"/>
    </row>
    <row r="561">
      <c r="A561" s="64"/>
      <c r="B561" s="47"/>
      <c r="C561" s="47"/>
      <c r="D561" s="47"/>
      <c r="E561" s="47"/>
      <c r="F561" s="47"/>
      <c r="G561" s="46"/>
      <c r="H561" s="42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R561" s="47"/>
      <c r="CS561" s="47"/>
      <c r="CT561" s="47"/>
      <c r="CU561" s="47"/>
      <c r="CV561" s="47"/>
      <c r="CW561" s="47"/>
      <c r="CX561" s="47"/>
      <c r="CY561" s="47"/>
      <c r="CZ561" s="47"/>
      <c r="DA561" s="47"/>
      <c r="DB561" s="47"/>
      <c r="DC561" s="47"/>
      <c r="DD561" s="47"/>
      <c r="DE561" s="47"/>
      <c r="DF561" s="47"/>
      <c r="DG561" s="47"/>
      <c r="DH561" s="47"/>
    </row>
    <row r="562">
      <c r="A562" s="64"/>
      <c r="B562" s="47"/>
      <c r="C562" s="47"/>
      <c r="D562" s="47"/>
      <c r="E562" s="47"/>
      <c r="F562" s="47"/>
      <c r="G562" s="46"/>
      <c r="H562" s="42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R562" s="47"/>
      <c r="CS562" s="47"/>
      <c r="CT562" s="47"/>
      <c r="CU562" s="47"/>
      <c r="CV562" s="47"/>
      <c r="CW562" s="47"/>
      <c r="CX562" s="47"/>
      <c r="CY562" s="47"/>
      <c r="CZ562" s="47"/>
      <c r="DA562" s="47"/>
      <c r="DB562" s="47"/>
      <c r="DC562" s="47"/>
      <c r="DD562" s="47"/>
      <c r="DE562" s="47"/>
      <c r="DF562" s="47"/>
      <c r="DG562" s="47"/>
      <c r="DH562" s="47"/>
    </row>
    <row r="563">
      <c r="A563" s="64"/>
      <c r="B563" s="47"/>
      <c r="C563" s="47"/>
      <c r="D563" s="47"/>
      <c r="E563" s="47"/>
      <c r="F563" s="47"/>
      <c r="G563" s="46"/>
      <c r="H563" s="42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R563" s="47"/>
      <c r="CS563" s="47"/>
      <c r="CT563" s="47"/>
      <c r="CU563" s="47"/>
      <c r="CV563" s="47"/>
      <c r="CW563" s="47"/>
      <c r="CX563" s="47"/>
      <c r="CY563" s="47"/>
      <c r="CZ563" s="47"/>
      <c r="DA563" s="47"/>
      <c r="DB563" s="47"/>
      <c r="DC563" s="47"/>
      <c r="DD563" s="47"/>
      <c r="DE563" s="47"/>
      <c r="DF563" s="47"/>
      <c r="DG563" s="47"/>
      <c r="DH563" s="47"/>
    </row>
    <row r="564">
      <c r="A564" s="64"/>
      <c r="B564" s="47"/>
      <c r="C564" s="47"/>
      <c r="D564" s="47"/>
      <c r="E564" s="47"/>
      <c r="F564" s="47"/>
      <c r="G564" s="46"/>
      <c r="H564" s="42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R564" s="47"/>
      <c r="CS564" s="47"/>
      <c r="CT564" s="47"/>
      <c r="CU564" s="47"/>
      <c r="CV564" s="47"/>
      <c r="CW564" s="47"/>
      <c r="CX564" s="47"/>
      <c r="CY564" s="47"/>
      <c r="CZ564" s="47"/>
      <c r="DA564" s="47"/>
      <c r="DB564" s="47"/>
      <c r="DC564" s="47"/>
      <c r="DD564" s="47"/>
      <c r="DE564" s="47"/>
      <c r="DF564" s="47"/>
      <c r="DG564" s="47"/>
      <c r="DH564" s="47"/>
    </row>
    <row r="565">
      <c r="A565" s="64"/>
      <c r="B565" s="47"/>
      <c r="C565" s="47"/>
      <c r="D565" s="47"/>
      <c r="E565" s="47"/>
      <c r="F565" s="47"/>
      <c r="G565" s="46"/>
      <c r="H565" s="42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R565" s="47"/>
      <c r="CS565" s="47"/>
      <c r="CT565" s="47"/>
      <c r="CU565" s="47"/>
      <c r="CV565" s="47"/>
      <c r="CW565" s="47"/>
      <c r="CX565" s="47"/>
      <c r="CY565" s="47"/>
      <c r="CZ565" s="47"/>
      <c r="DA565" s="47"/>
      <c r="DB565" s="47"/>
      <c r="DC565" s="47"/>
      <c r="DD565" s="47"/>
      <c r="DE565" s="47"/>
      <c r="DF565" s="47"/>
      <c r="DG565" s="47"/>
      <c r="DH565" s="47"/>
    </row>
    <row r="566">
      <c r="A566" s="64"/>
      <c r="B566" s="47"/>
      <c r="C566" s="47"/>
      <c r="D566" s="47"/>
      <c r="E566" s="47"/>
      <c r="F566" s="47"/>
      <c r="G566" s="46"/>
      <c r="H566" s="42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R566" s="47"/>
      <c r="CS566" s="47"/>
      <c r="CT566" s="47"/>
      <c r="CU566" s="47"/>
      <c r="CV566" s="47"/>
      <c r="CW566" s="47"/>
      <c r="CX566" s="47"/>
      <c r="CY566" s="47"/>
      <c r="CZ566" s="47"/>
      <c r="DA566" s="47"/>
      <c r="DB566" s="47"/>
      <c r="DC566" s="47"/>
      <c r="DD566" s="47"/>
      <c r="DE566" s="47"/>
      <c r="DF566" s="47"/>
      <c r="DG566" s="47"/>
      <c r="DH566" s="47"/>
    </row>
    <row r="567">
      <c r="A567" s="64"/>
      <c r="B567" s="47"/>
      <c r="C567" s="47"/>
      <c r="D567" s="47"/>
      <c r="E567" s="47"/>
      <c r="F567" s="47"/>
      <c r="G567" s="46"/>
      <c r="H567" s="42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R567" s="47"/>
      <c r="CS567" s="47"/>
      <c r="CT567" s="47"/>
      <c r="CU567" s="47"/>
      <c r="CV567" s="47"/>
      <c r="CW567" s="47"/>
      <c r="CX567" s="47"/>
      <c r="CY567" s="47"/>
      <c r="CZ567" s="47"/>
      <c r="DA567" s="47"/>
      <c r="DB567" s="47"/>
      <c r="DC567" s="47"/>
      <c r="DD567" s="47"/>
      <c r="DE567" s="47"/>
      <c r="DF567" s="47"/>
      <c r="DG567" s="47"/>
      <c r="DH567" s="47"/>
    </row>
    <row r="568">
      <c r="A568" s="64"/>
      <c r="B568" s="47"/>
      <c r="C568" s="47"/>
      <c r="D568" s="47"/>
      <c r="E568" s="47"/>
      <c r="F568" s="47"/>
      <c r="G568" s="46"/>
      <c r="H568" s="42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R568" s="47"/>
      <c r="CS568" s="47"/>
      <c r="CT568" s="47"/>
      <c r="CU568" s="47"/>
      <c r="CV568" s="47"/>
      <c r="CW568" s="47"/>
      <c r="CX568" s="47"/>
      <c r="CY568" s="47"/>
      <c r="CZ568" s="47"/>
      <c r="DA568" s="47"/>
      <c r="DB568" s="47"/>
      <c r="DC568" s="47"/>
      <c r="DD568" s="47"/>
      <c r="DE568" s="47"/>
      <c r="DF568" s="47"/>
      <c r="DG568" s="47"/>
      <c r="DH568" s="47"/>
    </row>
    <row r="569">
      <c r="A569" s="64"/>
      <c r="B569" s="47"/>
      <c r="C569" s="47"/>
      <c r="D569" s="47"/>
      <c r="E569" s="47"/>
      <c r="F569" s="47"/>
      <c r="G569" s="46"/>
      <c r="H569" s="42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R569" s="47"/>
      <c r="CS569" s="47"/>
      <c r="CT569" s="47"/>
      <c r="CU569" s="47"/>
      <c r="CV569" s="47"/>
      <c r="CW569" s="47"/>
      <c r="CX569" s="47"/>
      <c r="CY569" s="47"/>
      <c r="CZ569" s="47"/>
      <c r="DA569" s="47"/>
      <c r="DB569" s="47"/>
      <c r="DC569" s="47"/>
      <c r="DD569" s="47"/>
      <c r="DE569" s="47"/>
      <c r="DF569" s="47"/>
      <c r="DG569" s="47"/>
      <c r="DH569" s="47"/>
    </row>
    <row r="570">
      <c r="A570" s="64"/>
      <c r="B570" s="47"/>
      <c r="C570" s="47"/>
      <c r="D570" s="47"/>
      <c r="E570" s="47"/>
      <c r="F570" s="47"/>
      <c r="G570" s="46"/>
      <c r="H570" s="42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R570" s="47"/>
      <c r="CS570" s="47"/>
      <c r="CT570" s="47"/>
      <c r="CU570" s="47"/>
      <c r="CV570" s="47"/>
      <c r="CW570" s="47"/>
      <c r="CX570" s="47"/>
      <c r="CY570" s="47"/>
      <c r="CZ570" s="47"/>
      <c r="DA570" s="47"/>
      <c r="DB570" s="47"/>
      <c r="DC570" s="47"/>
      <c r="DD570" s="47"/>
      <c r="DE570" s="47"/>
      <c r="DF570" s="47"/>
      <c r="DG570" s="47"/>
      <c r="DH570" s="47"/>
    </row>
    <row r="571">
      <c r="A571" s="64"/>
      <c r="B571" s="47"/>
      <c r="C571" s="47"/>
      <c r="D571" s="47"/>
      <c r="E571" s="47"/>
      <c r="F571" s="47"/>
      <c r="G571" s="46"/>
      <c r="H571" s="42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R571" s="47"/>
      <c r="CS571" s="47"/>
      <c r="CT571" s="47"/>
      <c r="CU571" s="47"/>
      <c r="CV571" s="47"/>
      <c r="CW571" s="47"/>
      <c r="CX571" s="47"/>
      <c r="CY571" s="47"/>
      <c r="CZ571" s="47"/>
      <c r="DA571" s="47"/>
      <c r="DB571" s="47"/>
      <c r="DC571" s="47"/>
      <c r="DD571" s="47"/>
      <c r="DE571" s="47"/>
      <c r="DF571" s="47"/>
      <c r="DG571" s="47"/>
      <c r="DH571" s="47"/>
    </row>
    <row r="572">
      <c r="A572" s="64"/>
      <c r="B572" s="47"/>
      <c r="C572" s="47"/>
      <c r="D572" s="47"/>
      <c r="E572" s="47"/>
      <c r="F572" s="47"/>
      <c r="G572" s="46"/>
      <c r="H572" s="42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R572" s="47"/>
      <c r="CS572" s="47"/>
      <c r="CT572" s="47"/>
      <c r="CU572" s="47"/>
      <c r="CV572" s="47"/>
      <c r="CW572" s="47"/>
      <c r="CX572" s="47"/>
      <c r="CY572" s="47"/>
      <c r="CZ572" s="47"/>
      <c r="DA572" s="47"/>
      <c r="DB572" s="47"/>
      <c r="DC572" s="47"/>
      <c r="DD572" s="47"/>
      <c r="DE572" s="47"/>
      <c r="DF572" s="47"/>
      <c r="DG572" s="47"/>
      <c r="DH572" s="47"/>
    </row>
    <row r="573">
      <c r="A573" s="64"/>
      <c r="B573" s="47"/>
      <c r="C573" s="47"/>
      <c r="D573" s="47"/>
      <c r="E573" s="47"/>
      <c r="F573" s="47"/>
      <c r="G573" s="46"/>
      <c r="H573" s="42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R573" s="47"/>
      <c r="CS573" s="47"/>
      <c r="CT573" s="47"/>
      <c r="CU573" s="47"/>
      <c r="CV573" s="47"/>
      <c r="CW573" s="47"/>
      <c r="CX573" s="47"/>
      <c r="CY573" s="47"/>
      <c r="CZ573" s="47"/>
      <c r="DA573" s="47"/>
      <c r="DB573" s="47"/>
      <c r="DC573" s="47"/>
      <c r="DD573" s="47"/>
      <c r="DE573" s="47"/>
      <c r="DF573" s="47"/>
      <c r="DG573" s="47"/>
      <c r="DH573" s="47"/>
    </row>
    <row r="574">
      <c r="A574" s="64"/>
      <c r="B574" s="47"/>
      <c r="C574" s="47"/>
      <c r="D574" s="47"/>
      <c r="E574" s="47"/>
      <c r="F574" s="47"/>
      <c r="G574" s="46"/>
      <c r="H574" s="42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R574" s="47"/>
      <c r="CS574" s="47"/>
      <c r="CT574" s="47"/>
      <c r="CU574" s="47"/>
      <c r="CV574" s="47"/>
      <c r="CW574" s="47"/>
      <c r="CX574" s="47"/>
      <c r="CY574" s="47"/>
      <c r="CZ574" s="47"/>
      <c r="DA574" s="47"/>
      <c r="DB574" s="47"/>
      <c r="DC574" s="47"/>
      <c r="DD574" s="47"/>
      <c r="DE574" s="47"/>
      <c r="DF574" s="47"/>
      <c r="DG574" s="47"/>
      <c r="DH574" s="47"/>
    </row>
    <row r="575">
      <c r="A575" s="64"/>
      <c r="B575" s="47"/>
      <c r="C575" s="47"/>
      <c r="D575" s="47"/>
      <c r="E575" s="47"/>
      <c r="F575" s="47"/>
      <c r="G575" s="46"/>
      <c r="H575" s="42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R575" s="47"/>
      <c r="CS575" s="47"/>
      <c r="CT575" s="47"/>
      <c r="CU575" s="47"/>
      <c r="CV575" s="47"/>
      <c r="CW575" s="47"/>
      <c r="CX575" s="47"/>
      <c r="CY575" s="47"/>
      <c r="CZ575" s="47"/>
      <c r="DA575" s="47"/>
      <c r="DB575" s="47"/>
      <c r="DC575" s="47"/>
      <c r="DD575" s="47"/>
      <c r="DE575" s="47"/>
      <c r="DF575" s="47"/>
      <c r="DG575" s="47"/>
      <c r="DH575" s="47"/>
    </row>
    <row r="576">
      <c r="A576" s="64"/>
      <c r="B576" s="47"/>
      <c r="C576" s="47"/>
      <c r="D576" s="47"/>
      <c r="E576" s="47"/>
      <c r="F576" s="47"/>
      <c r="G576" s="46"/>
      <c r="H576" s="42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R576" s="47"/>
      <c r="CS576" s="47"/>
      <c r="CT576" s="47"/>
      <c r="CU576" s="47"/>
      <c r="CV576" s="47"/>
      <c r="CW576" s="47"/>
      <c r="CX576" s="47"/>
      <c r="CY576" s="47"/>
      <c r="CZ576" s="47"/>
      <c r="DA576" s="47"/>
      <c r="DB576" s="47"/>
      <c r="DC576" s="47"/>
      <c r="DD576" s="47"/>
      <c r="DE576" s="47"/>
      <c r="DF576" s="47"/>
      <c r="DG576" s="47"/>
      <c r="DH576" s="47"/>
    </row>
    <row r="577">
      <c r="A577" s="64"/>
      <c r="B577" s="47"/>
      <c r="C577" s="47"/>
      <c r="D577" s="47"/>
      <c r="E577" s="47"/>
      <c r="F577" s="47"/>
      <c r="G577" s="46"/>
      <c r="H577" s="42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  <c r="CO577" s="47"/>
      <c r="CP577" s="47"/>
      <c r="CQ577" s="47"/>
      <c r="CR577" s="47"/>
      <c r="CS577" s="47"/>
      <c r="CT577" s="47"/>
      <c r="CU577" s="47"/>
      <c r="CV577" s="47"/>
      <c r="CW577" s="47"/>
      <c r="CX577" s="47"/>
      <c r="CY577" s="47"/>
      <c r="CZ577" s="47"/>
      <c r="DA577" s="47"/>
      <c r="DB577" s="47"/>
      <c r="DC577" s="47"/>
      <c r="DD577" s="47"/>
      <c r="DE577" s="47"/>
      <c r="DF577" s="47"/>
      <c r="DG577" s="47"/>
      <c r="DH577" s="47"/>
    </row>
    <row r="578">
      <c r="A578" s="64"/>
      <c r="B578" s="47"/>
      <c r="C578" s="47"/>
      <c r="D578" s="47"/>
      <c r="E578" s="47"/>
      <c r="F578" s="47"/>
      <c r="G578" s="46"/>
      <c r="H578" s="42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R578" s="47"/>
      <c r="CS578" s="47"/>
      <c r="CT578" s="47"/>
      <c r="CU578" s="47"/>
      <c r="CV578" s="47"/>
      <c r="CW578" s="47"/>
      <c r="CX578" s="47"/>
      <c r="CY578" s="47"/>
      <c r="CZ578" s="47"/>
      <c r="DA578" s="47"/>
      <c r="DB578" s="47"/>
      <c r="DC578" s="47"/>
      <c r="DD578" s="47"/>
      <c r="DE578" s="47"/>
      <c r="DF578" s="47"/>
      <c r="DG578" s="47"/>
      <c r="DH578" s="47"/>
    </row>
    <row r="579">
      <c r="A579" s="64"/>
      <c r="B579" s="47"/>
      <c r="C579" s="47"/>
      <c r="D579" s="47"/>
      <c r="E579" s="47"/>
      <c r="F579" s="47"/>
      <c r="G579" s="46"/>
      <c r="H579" s="42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R579" s="47"/>
      <c r="CS579" s="47"/>
      <c r="CT579" s="47"/>
      <c r="CU579" s="47"/>
      <c r="CV579" s="47"/>
      <c r="CW579" s="47"/>
      <c r="CX579" s="47"/>
      <c r="CY579" s="47"/>
      <c r="CZ579" s="47"/>
      <c r="DA579" s="47"/>
      <c r="DB579" s="47"/>
      <c r="DC579" s="47"/>
      <c r="DD579" s="47"/>
      <c r="DE579" s="47"/>
      <c r="DF579" s="47"/>
      <c r="DG579" s="47"/>
      <c r="DH579" s="47"/>
    </row>
    <row r="580">
      <c r="A580" s="64"/>
      <c r="B580" s="47"/>
      <c r="C580" s="47"/>
      <c r="D580" s="47"/>
      <c r="E580" s="47"/>
      <c r="F580" s="47"/>
      <c r="G580" s="46"/>
      <c r="H580" s="42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R580" s="47"/>
      <c r="CS580" s="47"/>
      <c r="CT580" s="47"/>
      <c r="CU580" s="47"/>
      <c r="CV580" s="47"/>
      <c r="CW580" s="47"/>
      <c r="CX580" s="47"/>
      <c r="CY580" s="47"/>
      <c r="CZ580" s="47"/>
      <c r="DA580" s="47"/>
      <c r="DB580" s="47"/>
      <c r="DC580" s="47"/>
      <c r="DD580" s="47"/>
      <c r="DE580" s="47"/>
      <c r="DF580" s="47"/>
      <c r="DG580" s="47"/>
      <c r="DH580" s="47"/>
    </row>
    <row r="581">
      <c r="A581" s="64"/>
      <c r="B581" s="47"/>
      <c r="C581" s="47"/>
      <c r="D581" s="47"/>
      <c r="E581" s="47"/>
      <c r="F581" s="47"/>
      <c r="G581" s="46"/>
      <c r="H581" s="42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R581" s="47"/>
      <c r="CS581" s="47"/>
      <c r="CT581" s="47"/>
      <c r="CU581" s="47"/>
      <c r="CV581" s="47"/>
      <c r="CW581" s="47"/>
      <c r="CX581" s="47"/>
      <c r="CY581" s="47"/>
      <c r="CZ581" s="47"/>
      <c r="DA581" s="47"/>
      <c r="DB581" s="47"/>
      <c r="DC581" s="47"/>
      <c r="DD581" s="47"/>
      <c r="DE581" s="47"/>
      <c r="DF581" s="47"/>
      <c r="DG581" s="47"/>
      <c r="DH581" s="47"/>
    </row>
    <row r="582">
      <c r="A582" s="64"/>
      <c r="B582" s="47"/>
      <c r="C582" s="47"/>
      <c r="D582" s="47"/>
      <c r="E582" s="47"/>
      <c r="F582" s="47"/>
      <c r="G582" s="46"/>
      <c r="H582" s="42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R582" s="47"/>
      <c r="CS582" s="47"/>
      <c r="CT582" s="47"/>
      <c r="CU582" s="47"/>
      <c r="CV582" s="47"/>
      <c r="CW582" s="47"/>
      <c r="CX582" s="47"/>
      <c r="CY582" s="47"/>
      <c r="CZ582" s="47"/>
      <c r="DA582" s="47"/>
      <c r="DB582" s="47"/>
      <c r="DC582" s="47"/>
      <c r="DD582" s="47"/>
      <c r="DE582" s="47"/>
      <c r="DF582" s="47"/>
      <c r="DG582" s="47"/>
      <c r="DH582" s="47"/>
    </row>
    <row r="583">
      <c r="A583" s="64"/>
      <c r="B583" s="47"/>
      <c r="C583" s="47"/>
      <c r="D583" s="47"/>
      <c r="E583" s="47"/>
      <c r="F583" s="47"/>
      <c r="G583" s="46"/>
      <c r="H583" s="42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R583" s="47"/>
      <c r="CS583" s="47"/>
      <c r="CT583" s="47"/>
      <c r="CU583" s="47"/>
      <c r="CV583" s="47"/>
      <c r="CW583" s="47"/>
      <c r="CX583" s="47"/>
      <c r="CY583" s="47"/>
      <c r="CZ583" s="47"/>
      <c r="DA583" s="47"/>
      <c r="DB583" s="47"/>
      <c r="DC583" s="47"/>
      <c r="DD583" s="47"/>
      <c r="DE583" s="47"/>
      <c r="DF583" s="47"/>
      <c r="DG583" s="47"/>
      <c r="DH583" s="47"/>
    </row>
    <row r="584">
      <c r="A584" s="64"/>
      <c r="B584" s="47"/>
      <c r="C584" s="47"/>
      <c r="D584" s="47"/>
      <c r="E584" s="47"/>
      <c r="F584" s="47"/>
      <c r="G584" s="46"/>
      <c r="H584" s="42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R584" s="47"/>
      <c r="CS584" s="47"/>
      <c r="CT584" s="47"/>
      <c r="CU584" s="47"/>
      <c r="CV584" s="47"/>
      <c r="CW584" s="47"/>
      <c r="CX584" s="47"/>
      <c r="CY584" s="47"/>
      <c r="CZ584" s="47"/>
      <c r="DA584" s="47"/>
      <c r="DB584" s="47"/>
      <c r="DC584" s="47"/>
      <c r="DD584" s="47"/>
      <c r="DE584" s="47"/>
      <c r="DF584" s="47"/>
      <c r="DG584" s="47"/>
      <c r="DH584" s="47"/>
    </row>
    <row r="585">
      <c r="A585" s="64"/>
      <c r="B585" s="47"/>
      <c r="C585" s="47"/>
      <c r="D585" s="47"/>
      <c r="E585" s="47"/>
      <c r="F585" s="47"/>
      <c r="G585" s="46"/>
      <c r="H585" s="42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R585" s="47"/>
      <c r="CS585" s="47"/>
      <c r="CT585" s="47"/>
      <c r="CU585" s="47"/>
      <c r="CV585" s="47"/>
      <c r="CW585" s="47"/>
      <c r="CX585" s="47"/>
      <c r="CY585" s="47"/>
      <c r="CZ585" s="47"/>
      <c r="DA585" s="47"/>
      <c r="DB585" s="47"/>
      <c r="DC585" s="47"/>
      <c r="DD585" s="47"/>
      <c r="DE585" s="47"/>
      <c r="DF585" s="47"/>
      <c r="DG585" s="47"/>
      <c r="DH585" s="47"/>
    </row>
    <row r="586">
      <c r="A586" s="64"/>
      <c r="B586" s="47"/>
      <c r="C586" s="47"/>
      <c r="D586" s="47"/>
      <c r="E586" s="47"/>
      <c r="F586" s="47"/>
      <c r="G586" s="46"/>
      <c r="H586" s="42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R586" s="47"/>
      <c r="CS586" s="47"/>
      <c r="CT586" s="47"/>
      <c r="CU586" s="47"/>
      <c r="CV586" s="47"/>
      <c r="CW586" s="47"/>
      <c r="CX586" s="47"/>
      <c r="CY586" s="47"/>
      <c r="CZ586" s="47"/>
      <c r="DA586" s="47"/>
      <c r="DB586" s="47"/>
      <c r="DC586" s="47"/>
      <c r="DD586" s="47"/>
      <c r="DE586" s="47"/>
      <c r="DF586" s="47"/>
      <c r="DG586" s="47"/>
      <c r="DH586" s="47"/>
    </row>
    <row r="587">
      <c r="A587" s="64"/>
      <c r="B587" s="47"/>
      <c r="C587" s="47"/>
      <c r="D587" s="47"/>
      <c r="E587" s="47"/>
      <c r="F587" s="47"/>
      <c r="G587" s="46"/>
      <c r="H587" s="42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R587" s="47"/>
      <c r="CS587" s="47"/>
      <c r="CT587" s="47"/>
      <c r="CU587" s="47"/>
      <c r="CV587" s="47"/>
      <c r="CW587" s="47"/>
      <c r="CX587" s="47"/>
      <c r="CY587" s="47"/>
      <c r="CZ587" s="47"/>
      <c r="DA587" s="47"/>
      <c r="DB587" s="47"/>
      <c r="DC587" s="47"/>
      <c r="DD587" s="47"/>
      <c r="DE587" s="47"/>
      <c r="DF587" s="47"/>
      <c r="DG587" s="47"/>
      <c r="DH587" s="47"/>
    </row>
    <row r="588">
      <c r="A588" s="64"/>
      <c r="B588" s="47"/>
      <c r="C588" s="47"/>
      <c r="D588" s="47"/>
      <c r="E588" s="47"/>
      <c r="F588" s="47"/>
      <c r="G588" s="46"/>
      <c r="H588" s="42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R588" s="47"/>
      <c r="CS588" s="47"/>
      <c r="CT588" s="47"/>
      <c r="CU588" s="47"/>
      <c r="CV588" s="47"/>
      <c r="CW588" s="47"/>
      <c r="CX588" s="47"/>
      <c r="CY588" s="47"/>
      <c r="CZ588" s="47"/>
      <c r="DA588" s="47"/>
      <c r="DB588" s="47"/>
      <c r="DC588" s="47"/>
      <c r="DD588" s="47"/>
      <c r="DE588" s="47"/>
      <c r="DF588" s="47"/>
      <c r="DG588" s="47"/>
      <c r="DH588" s="47"/>
    </row>
    <row r="589">
      <c r="A589" s="64"/>
      <c r="B589" s="47"/>
      <c r="C589" s="47"/>
      <c r="D589" s="47"/>
      <c r="E589" s="47"/>
      <c r="F589" s="47"/>
      <c r="G589" s="46"/>
      <c r="H589" s="42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R589" s="47"/>
      <c r="CS589" s="47"/>
      <c r="CT589" s="47"/>
      <c r="CU589" s="47"/>
      <c r="CV589" s="47"/>
      <c r="CW589" s="47"/>
      <c r="CX589" s="47"/>
      <c r="CY589" s="47"/>
      <c r="CZ589" s="47"/>
      <c r="DA589" s="47"/>
      <c r="DB589" s="47"/>
      <c r="DC589" s="47"/>
      <c r="DD589" s="47"/>
      <c r="DE589" s="47"/>
      <c r="DF589" s="47"/>
      <c r="DG589" s="47"/>
      <c r="DH589" s="47"/>
    </row>
    <row r="590">
      <c r="A590" s="64"/>
      <c r="B590" s="47"/>
      <c r="C590" s="47"/>
      <c r="D590" s="47"/>
      <c r="E590" s="47"/>
      <c r="F590" s="47"/>
      <c r="G590" s="46"/>
      <c r="H590" s="42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R590" s="47"/>
      <c r="CS590" s="47"/>
      <c r="CT590" s="47"/>
      <c r="CU590" s="47"/>
      <c r="CV590" s="47"/>
      <c r="CW590" s="47"/>
      <c r="CX590" s="47"/>
      <c r="CY590" s="47"/>
      <c r="CZ590" s="47"/>
      <c r="DA590" s="47"/>
      <c r="DB590" s="47"/>
      <c r="DC590" s="47"/>
      <c r="DD590" s="47"/>
      <c r="DE590" s="47"/>
      <c r="DF590" s="47"/>
      <c r="DG590" s="47"/>
      <c r="DH590" s="47"/>
    </row>
    <row r="591">
      <c r="A591" s="64"/>
      <c r="B591" s="47"/>
      <c r="C591" s="47"/>
      <c r="D591" s="47"/>
      <c r="E591" s="47"/>
      <c r="F591" s="47"/>
      <c r="G591" s="46"/>
      <c r="H591" s="42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R591" s="47"/>
      <c r="CS591" s="47"/>
      <c r="CT591" s="47"/>
      <c r="CU591" s="47"/>
      <c r="CV591" s="47"/>
      <c r="CW591" s="47"/>
      <c r="CX591" s="47"/>
      <c r="CY591" s="47"/>
      <c r="CZ591" s="47"/>
      <c r="DA591" s="47"/>
      <c r="DB591" s="47"/>
      <c r="DC591" s="47"/>
      <c r="DD591" s="47"/>
      <c r="DE591" s="47"/>
      <c r="DF591" s="47"/>
      <c r="DG591" s="47"/>
      <c r="DH591" s="47"/>
    </row>
    <row r="592">
      <c r="A592" s="64"/>
      <c r="B592" s="47"/>
      <c r="C592" s="47"/>
      <c r="D592" s="47"/>
      <c r="E592" s="47"/>
      <c r="F592" s="47"/>
      <c r="G592" s="46"/>
      <c r="H592" s="42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R592" s="47"/>
      <c r="CS592" s="47"/>
      <c r="CT592" s="47"/>
      <c r="CU592" s="47"/>
      <c r="CV592" s="47"/>
      <c r="CW592" s="47"/>
      <c r="CX592" s="47"/>
      <c r="CY592" s="47"/>
      <c r="CZ592" s="47"/>
      <c r="DA592" s="47"/>
      <c r="DB592" s="47"/>
      <c r="DC592" s="47"/>
      <c r="DD592" s="47"/>
      <c r="DE592" s="47"/>
      <c r="DF592" s="47"/>
      <c r="DG592" s="47"/>
      <c r="DH592" s="47"/>
    </row>
    <row r="593">
      <c r="A593" s="64"/>
      <c r="B593" s="47"/>
      <c r="C593" s="47"/>
      <c r="D593" s="47"/>
      <c r="E593" s="47"/>
      <c r="F593" s="47"/>
      <c r="G593" s="46"/>
      <c r="H593" s="42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R593" s="47"/>
      <c r="CS593" s="47"/>
      <c r="CT593" s="47"/>
      <c r="CU593" s="47"/>
      <c r="CV593" s="47"/>
      <c r="CW593" s="47"/>
      <c r="CX593" s="47"/>
      <c r="CY593" s="47"/>
      <c r="CZ593" s="47"/>
      <c r="DA593" s="47"/>
      <c r="DB593" s="47"/>
      <c r="DC593" s="47"/>
      <c r="DD593" s="47"/>
      <c r="DE593" s="47"/>
      <c r="DF593" s="47"/>
      <c r="DG593" s="47"/>
      <c r="DH593" s="47"/>
    </row>
    <row r="594">
      <c r="A594" s="64"/>
      <c r="B594" s="47"/>
      <c r="C594" s="47"/>
      <c r="D594" s="47"/>
      <c r="E594" s="47"/>
      <c r="F594" s="47"/>
      <c r="G594" s="46"/>
      <c r="H594" s="42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R594" s="47"/>
      <c r="CS594" s="47"/>
      <c r="CT594" s="47"/>
      <c r="CU594" s="47"/>
      <c r="CV594" s="47"/>
      <c r="CW594" s="47"/>
      <c r="CX594" s="47"/>
      <c r="CY594" s="47"/>
      <c r="CZ594" s="47"/>
      <c r="DA594" s="47"/>
      <c r="DB594" s="47"/>
      <c r="DC594" s="47"/>
      <c r="DD594" s="47"/>
      <c r="DE594" s="47"/>
      <c r="DF594" s="47"/>
      <c r="DG594" s="47"/>
      <c r="DH594" s="47"/>
    </row>
    <row r="595">
      <c r="A595" s="64"/>
      <c r="B595" s="47"/>
      <c r="C595" s="47"/>
      <c r="D595" s="47"/>
      <c r="E595" s="47"/>
      <c r="F595" s="47"/>
      <c r="G595" s="46"/>
      <c r="H595" s="42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R595" s="47"/>
      <c r="CS595" s="47"/>
      <c r="CT595" s="47"/>
      <c r="CU595" s="47"/>
      <c r="CV595" s="47"/>
      <c r="CW595" s="47"/>
      <c r="CX595" s="47"/>
      <c r="CY595" s="47"/>
      <c r="CZ595" s="47"/>
      <c r="DA595" s="47"/>
      <c r="DB595" s="47"/>
      <c r="DC595" s="47"/>
      <c r="DD595" s="47"/>
      <c r="DE595" s="47"/>
      <c r="DF595" s="47"/>
      <c r="DG595" s="47"/>
      <c r="DH595" s="47"/>
    </row>
    <row r="596">
      <c r="A596" s="64"/>
      <c r="B596" s="47"/>
      <c r="C596" s="47"/>
      <c r="D596" s="47"/>
      <c r="E596" s="47"/>
      <c r="F596" s="47"/>
      <c r="G596" s="46"/>
      <c r="H596" s="42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R596" s="47"/>
      <c r="CS596" s="47"/>
      <c r="CT596" s="47"/>
      <c r="CU596" s="47"/>
      <c r="CV596" s="47"/>
      <c r="CW596" s="47"/>
      <c r="CX596" s="47"/>
      <c r="CY596" s="47"/>
      <c r="CZ596" s="47"/>
      <c r="DA596" s="47"/>
      <c r="DB596" s="47"/>
      <c r="DC596" s="47"/>
      <c r="DD596" s="47"/>
      <c r="DE596" s="47"/>
      <c r="DF596" s="47"/>
      <c r="DG596" s="47"/>
      <c r="DH596" s="47"/>
    </row>
    <row r="597">
      <c r="A597" s="64"/>
      <c r="B597" s="47"/>
      <c r="C597" s="47"/>
      <c r="D597" s="47"/>
      <c r="E597" s="47"/>
      <c r="F597" s="47"/>
      <c r="G597" s="46"/>
      <c r="H597" s="42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R597" s="47"/>
      <c r="CS597" s="47"/>
      <c r="CT597" s="47"/>
      <c r="CU597" s="47"/>
      <c r="CV597" s="47"/>
      <c r="CW597" s="47"/>
      <c r="CX597" s="47"/>
      <c r="CY597" s="47"/>
      <c r="CZ597" s="47"/>
      <c r="DA597" s="47"/>
      <c r="DB597" s="47"/>
      <c r="DC597" s="47"/>
      <c r="DD597" s="47"/>
      <c r="DE597" s="47"/>
      <c r="DF597" s="47"/>
      <c r="DG597" s="47"/>
      <c r="DH597" s="47"/>
    </row>
    <row r="598">
      <c r="A598" s="64"/>
      <c r="B598" s="47"/>
      <c r="C598" s="47"/>
      <c r="D598" s="47"/>
      <c r="E598" s="47"/>
      <c r="F598" s="47"/>
      <c r="G598" s="46"/>
      <c r="H598" s="42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R598" s="47"/>
      <c r="CS598" s="47"/>
      <c r="CT598" s="47"/>
      <c r="CU598" s="47"/>
      <c r="CV598" s="47"/>
      <c r="CW598" s="47"/>
      <c r="CX598" s="47"/>
      <c r="CY598" s="47"/>
      <c r="CZ598" s="47"/>
      <c r="DA598" s="47"/>
      <c r="DB598" s="47"/>
      <c r="DC598" s="47"/>
      <c r="DD598" s="47"/>
      <c r="DE598" s="47"/>
      <c r="DF598" s="47"/>
      <c r="DG598" s="47"/>
      <c r="DH598" s="47"/>
    </row>
    <row r="599">
      <c r="A599" s="64"/>
      <c r="B599" s="47"/>
      <c r="C599" s="47"/>
      <c r="D599" s="47"/>
      <c r="E599" s="47"/>
      <c r="F599" s="47"/>
      <c r="G599" s="46"/>
      <c r="H599" s="42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R599" s="47"/>
      <c r="CS599" s="47"/>
      <c r="CT599" s="47"/>
      <c r="CU599" s="47"/>
      <c r="CV599" s="47"/>
      <c r="CW599" s="47"/>
      <c r="CX599" s="47"/>
      <c r="CY599" s="47"/>
      <c r="CZ599" s="47"/>
      <c r="DA599" s="47"/>
      <c r="DB599" s="47"/>
      <c r="DC599" s="47"/>
      <c r="DD599" s="47"/>
      <c r="DE599" s="47"/>
      <c r="DF599" s="47"/>
      <c r="DG599" s="47"/>
      <c r="DH599" s="47"/>
    </row>
    <row r="600">
      <c r="A600" s="64"/>
      <c r="B600" s="47"/>
      <c r="C600" s="47"/>
      <c r="D600" s="47"/>
      <c r="E600" s="47"/>
      <c r="F600" s="47"/>
      <c r="G600" s="46"/>
      <c r="H600" s="42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R600" s="47"/>
      <c r="CS600" s="47"/>
      <c r="CT600" s="47"/>
      <c r="CU600" s="47"/>
      <c r="CV600" s="47"/>
      <c r="CW600" s="47"/>
      <c r="CX600" s="47"/>
      <c r="CY600" s="47"/>
      <c r="CZ600" s="47"/>
      <c r="DA600" s="47"/>
      <c r="DB600" s="47"/>
      <c r="DC600" s="47"/>
      <c r="DD600" s="47"/>
      <c r="DE600" s="47"/>
      <c r="DF600" s="47"/>
      <c r="DG600" s="47"/>
      <c r="DH600" s="47"/>
    </row>
    <row r="601">
      <c r="A601" s="64"/>
      <c r="B601" s="47"/>
      <c r="C601" s="47"/>
      <c r="D601" s="47"/>
      <c r="E601" s="47"/>
      <c r="F601" s="47"/>
      <c r="G601" s="46"/>
      <c r="H601" s="42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R601" s="47"/>
      <c r="CS601" s="47"/>
      <c r="CT601" s="47"/>
      <c r="CU601" s="47"/>
      <c r="CV601" s="47"/>
      <c r="CW601" s="47"/>
      <c r="CX601" s="47"/>
      <c r="CY601" s="47"/>
      <c r="CZ601" s="47"/>
      <c r="DA601" s="47"/>
      <c r="DB601" s="47"/>
      <c r="DC601" s="47"/>
      <c r="DD601" s="47"/>
      <c r="DE601" s="47"/>
      <c r="DF601" s="47"/>
      <c r="DG601" s="47"/>
      <c r="DH601" s="47"/>
    </row>
    <row r="602">
      <c r="A602" s="64"/>
      <c r="B602" s="47"/>
      <c r="C602" s="47"/>
      <c r="D602" s="47"/>
      <c r="E602" s="47"/>
      <c r="F602" s="47"/>
      <c r="G602" s="46"/>
      <c r="H602" s="42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R602" s="47"/>
      <c r="CS602" s="47"/>
      <c r="CT602" s="47"/>
      <c r="CU602" s="47"/>
      <c r="CV602" s="47"/>
      <c r="CW602" s="47"/>
      <c r="CX602" s="47"/>
      <c r="CY602" s="47"/>
      <c r="CZ602" s="47"/>
      <c r="DA602" s="47"/>
      <c r="DB602" s="47"/>
      <c r="DC602" s="47"/>
      <c r="DD602" s="47"/>
      <c r="DE602" s="47"/>
      <c r="DF602" s="47"/>
      <c r="DG602" s="47"/>
      <c r="DH602" s="47"/>
    </row>
    <row r="603">
      <c r="A603" s="64"/>
      <c r="B603" s="47"/>
      <c r="C603" s="47"/>
      <c r="D603" s="47"/>
      <c r="E603" s="47"/>
      <c r="F603" s="47"/>
      <c r="G603" s="46"/>
      <c r="H603" s="42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R603" s="47"/>
      <c r="CS603" s="47"/>
      <c r="CT603" s="47"/>
      <c r="CU603" s="47"/>
      <c r="CV603" s="47"/>
      <c r="CW603" s="47"/>
      <c r="CX603" s="47"/>
      <c r="CY603" s="47"/>
      <c r="CZ603" s="47"/>
      <c r="DA603" s="47"/>
      <c r="DB603" s="47"/>
      <c r="DC603" s="47"/>
      <c r="DD603" s="47"/>
      <c r="DE603" s="47"/>
      <c r="DF603" s="47"/>
      <c r="DG603" s="47"/>
      <c r="DH603" s="47"/>
    </row>
    <row r="604">
      <c r="A604" s="64"/>
      <c r="B604" s="47"/>
      <c r="C604" s="47"/>
      <c r="D604" s="47"/>
      <c r="E604" s="47"/>
      <c r="F604" s="47"/>
      <c r="G604" s="46"/>
      <c r="H604" s="42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R604" s="47"/>
      <c r="CS604" s="47"/>
      <c r="CT604" s="47"/>
      <c r="CU604" s="47"/>
      <c r="CV604" s="47"/>
      <c r="CW604" s="47"/>
      <c r="CX604" s="47"/>
      <c r="CY604" s="47"/>
      <c r="CZ604" s="47"/>
      <c r="DA604" s="47"/>
      <c r="DB604" s="47"/>
      <c r="DC604" s="47"/>
      <c r="DD604" s="47"/>
      <c r="DE604" s="47"/>
      <c r="DF604" s="47"/>
      <c r="DG604" s="47"/>
      <c r="DH604" s="47"/>
    </row>
    <row r="605">
      <c r="A605" s="64"/>
      <c r="B605" s="47"/>
      <c r="C605" s="47"/>
      <c r="D605" s="47"/>
      <c r="E605" s="47"/>
      <c r="F605" s="47"/>
      <c r="G605" s="46"/>
      <c r="H605" s="42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R605" s="47"/>
      <c r="CS605" s="47"/>
      <c r="CT605" s="47"/>
      <c r="CU605" s="47"/>
      <c r="CV605" s="47"/>
      <c r="CW605" s="47"/>
      <c r="CX605" s="47"/>
      <c r="CY605" s="47"/>
      <c r="CZ605" s="47"/>
      <c r="DA605" s="47"/>
      <c r="DB605" s="47"/>
      <c r="DC605" s="47"/>
      <c r="DD605" s="47"/>
      <c r="DE605" s="47"/>
      <c r="DF605" s="47"/>
      <c r="DG605" s="47"/>
      <c r="DH605" s="47"/>
    </row>
    <row r="606">
      <c r="A606" s="64"/>
      <c r="B606" s="47"/>
      <c r="C606" s="47"/>
      <c r="D606" s="47"/>
      <c r="E606" s="47"/>
      <c r="F606" s="47"/>
      <c r="G606" s="46"/>
      <c r="H606" s="42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R606" s="47"/>
      <c r="CS606" s="47"/>
      <c r="CT606" s="47"/>
      <c r="CU606" s="47"/>
      <c r="CV606" s="47"/>
      <c r="CW606" s="47"/>
      <c r="CX606" s="47"/>
      <c r="CY606" s="47"/>
      <c r="CZ606" s="47"/>
      <c r="DA606" s="47"/>
      <c r="DB606" s="47"/>
      <c r="DC606" s="47"/>
      <c r="DD606" s="47"/>
      <c r="DE606" s="47"/>
      <c r="DF606" s="47"/>
      <c r="DG606" s="47"/>
      <c r="DH606" s="47"/>
    </row>
    <row r="607">
      <c r="A607" s="64"/>
      <c r="B607" s="47"/>
      <c r="C607" s="47"/>
      <c r="D607" s="47"/>
      <c r="E607" s="47"/>
      <c r="F607" s="47"/>
      <c r="G607" s="46"/>
      <c r="H607" s="42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R607" s="47"/>
      <c r="CS607" s="47"/>
      <c r="CT607" s="47"/>
      <c r="CU607" s="47"/>
      <c r="CV607" s="47"/>
      <c r="CW607" s="47"/>
      <c r="CX607" s="47"/>
      <c r="CY607" s="47"/>
      <c r="CZ607" s="47"/>
      <c r="DA607" s="47"/>
      <c r="DB607" s="47"/>
      <c r="DC607" s="47"/>
      <c r="DD607" s="47"/>
      <c r="DE607" s="47"/>
      <c r="DF607" s="47"/>
      <c r="DG607" s="47"/>
      <c r="DH607" s="47"/>
    </row>
    <row r="608">
      <c r="A608" s="64"/>
      <c r="B608" s="47"/>
      <c r="C608" s="47"/>
      <c r="D608" s="47"/>
      <c r="E608" s="47"/>
      <c r="F608" s="47"/>
      <c r="G608" s="46"/>
      <c r="H608" s="42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R608" s="47"/>
      <c r="CS608" s="47"/>
      <c r="CT608" s="47"/>
      <c r="CU608" s="47"/>
      <c r="CV608" s="47"/>
      <c r="CW608" s="47"/>
      <c r="CX608" s="47"/>
      <c r="CY608" s="47"/>
      <c r="CZ608" s="47"/>
      <c r="DA608" s="47"/>
      <c r="DB608" s="47"/>
      <c r="DC608" s="47"/>
      <c r="DD608" s="47"/>
      <c r="DE608" s="47"/>
      <c r="DF608" s="47"/>
      <c r="DG608" s="47"/>
      <c r="DH608" s="47"/>
    </row>
    <row r="609">
      <c r="A609" s="64"/>
      <c r="B609" s="47"/>
      <c r="C609" s="47"/>
      <c r="D609" s="47"/>
      <c r="E609" s="47"/>
      <c r="F609" s="47"/>
      <c r="G609" s="46"/>
      <c r="H609" s="42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R609" s="47"/>
      <c r="CS609" s="47"/>
      <c r="CT609" s="47"/>
      <c r="CU609" s="47"/>
      <c r="CV609" s="47"/>
      <c r="CW609" s="47"/>
      <c r="CX609" s="47"/>
      <c r="CY609" s="47"/>
      <c r="CZ609" s="47"/>
      <c r="DA609" s="47"/>
      <c r="DB609" s="47"/>
      <c r="DC609" s="47"/>
      <c r="DD609" s="47"/>
      <c r="DE609" s="47"/>
      <c r="DF609" s="47"/>
      <c r="DG609" s="47"/>
      <c r="DH609" s="47"/>
    </row>
    <row r="610">
      <c r="A610" s="64"/>
      <c r="B610" s="47"/>
      <c r="C610" s="47"/>
      <c r="D610" s="47"/>
      <c r="E610" s="47"/>
      <c r="F610" s="47"/>
      <c r="G610" s="46"/>
      <c r="H610" s="42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R610" s="47"/>
      <c r="CS610" s="47"/>
      <c r="CT610" s="47"/>
      <c r="CU610" s="47"/>
      <c r="CV610" s="47"/>
      <c r="CW610" s="47"/>
      <c r="CX610" s="47"/>
      <c r="CY610" s="47"/>
      <c r="CZ610" s="47"/>
      <c r="DA610" s="47"/>
      <c r="DB610" s="47"/>
      <c r="DC610" s="47"/>
      <c r="DD610" s="47"/>
      <c r="DE610" s="47"/>
      <c r="DF610" s="47"/>
      <c r="DG610" s="47"/>
      <c r="DH610" s="47"/>
    </row>
    <row r="611">
      <c r="A611" s="64"/>
      <c r="B611" s="47"/>
      <c r="C611" s="47"/>
      <c r="D611" s="47"/>
      <c r="E611" s="47"/>
      <c r="F611" s="47"/>
      <c r="G611" s="46"/>
      <c r="H611" s="42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R611" s="47"/>
      <c r="CS611" s="47"/>
      <c r="CT611" s="47"/>
      <c r="CU611" s="47"/>
      <c r="CV611" s="47"/>
      <c r="CW611" s="47"/>
      <c r="CX611" s="47"/>
      <c r="CY611" s="47"/>
      <c r="CZ611" s="47"/>
      <c r="DA611" s="47"/>
      <c r="DB611" s="47"/>
      <c r="DC611" s="47"/>
      <c r="DD611" s="47"/>
      <c r="DE611" s="47"/>
      <c r="DF611" s="47"/>
      <c r="DG611" s="47"/>
      <c r="DH611" s="47"/>
    </row>
    <row r="612">
      <c r="A612" s="64"/>
      <c r="B612" s="47"/>
      <c r="C612" s="47"/>
      <c r="D612" s="47"/>
      <c r="E612" s="47"/>
      <c r="F612" s="47"/>
      <c r="G612" s="46"/>
      <c r="H612" s="42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R612" s="47"/>
      <c r="CS612" s="47"/>
      <c r="CT612" s="47"/>
      <c r="CU612" s="47"/>
      <c r="CV612" s="47"/>
      <c r="CW612" s="47"/>
      <c r="CX612" s="47"/>
      <c r="CY612" s="47"/>
      <c r="CZ612" s="47"/>
      <c r="DA612" s="47"/>
      <c r="DB612" s="47"/>
      <c r="DC612" s="47"/>
      <c r="DD612" s="47"/>
      <c r="DE612" s="47"/>
      <c r="DF612" s="47"/>
      <c r="DG612" s="47"/>
      <c r="DH612" s="47"/>
    </row>
    <row r="613">
      <c r="A613" s="64"/>
      <c r="B613" s="47"/>
      <c r="C613" s="47"/>
      <c r="D613" s="47"/>
      <c r="E613" s="47"/>
      <c r="F613" s="47"/>
      <c r="G613" s="46"/>
      <c r="H613" s="42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R613" s="47"/>
      <c r="CS613" s="47"/>
      <c r="CT613" s="47"/>
      <c r="CU613" s="47"/>
      <c r="CV613" s="47"/>
      <c r="CW613" s="47"/>
      <c r="CX613" s="47"/>
      <c r="CY613" s="47"/>
      <c r="CZ613" s="47"/>
      <c r="DA613" s="47"/>
      <c r="DB613" s="47"/>
      <c r="DC613" s="47"/>
      <c r="DD613" s="47"/>
      <c r="DE613" s="47"/>
      <c r="DF613" s="47"/>
      <c r="DG613" s="47"/>
      <c r="DH613" s="47"/>
    </row>
    <row r="614">
      <c r="A614" s="64"/>
      <c r="B614" s="47"/>
      <c r="C614" s="47"/>
      <c r="D614" s="47"/>
      <c r="E614" s="47"/>
      <c r="F614" s="47"/>
      <c r="G614" s="46"/>
      <c r="H614" s="42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R614" s="47"/>
      <c r="CS614" s="47"/>
      <c r="CT614" s="47"/>
      <c r="CU614" s="47"/>
      <c r="CV614" s="47"/>
      <c r="CW614" s="47"/>
      <c r="CX614" s="47"/>
      <c r="CY614" s="47"/>
      <c r="CZ614" s="47"/>
      <c r="DA614" s="47"/>
      <c r="DB614" s="47"/>
      <c r="DC614" s="47"/>
      <c r="DD614" s="47"/>
      <c r="DE614" s="47"/>
      <c r="DF614" s="47"/>
      <c r="DG614" s="47"/>
      <c r="DH614" s="47"/>
    </row>
    <row r="615">
      <c r="A615" s="64"/>
      <c r="B615" s="47"/>
      <c r="C615" s="47"/>
      <c r="D615" s="47"/>
      <c r="E615" s="47"/>
      <c r="F615" s="47"/>
      <c r="G615" s="46"/>
      <c r="H615" s="42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R615" s="47"/>
      <c r="CS615" s="47"/>
      <c r="CT615" s="47"/>
      <c r="CU615" s="47"/>
      <c r="CV615" s="47"/>
      <c r="CW615" s="47"/>
      <c r="CX615" s="47"/>
      <c r="CY615" s="47"/>
      <c r="CZ615" s="47"/>
      <c r="DA615" s="47"/>
      <c r="DB615" s="47"/>
      <c r="DC615" s="47"/>
      <c r="DD615" s="47"/>
      <c r="DE615" s="47"/>
      <c r="DF615" s="47"/>
      <c r="DG615" s="47"/>
      <c r="DH615" s="47"/>
    </row>
    <row r="616">
      <c r="A616" s="64"/>
      <c r="B616" s="47"/>
      <c r="C616" s="47"/>
      <c r="D616" s="47"/>
      <c r="E616" s="47"/>
      <c r="F616" s="47"/>
      <c r="G616" s="46"/>
      <c r="H616" s="42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R616" s="47"/>
      <c r="CS616" s="47"/>
      <c r="CT616" s="47"/>
      <c r="CU616" s="47"/>
      <c r="CV616" s="47"/>
      <c r="CW616" s="47"/>
      <c r="CX616" s="47"/>
      <c r="CY616" s="47"/>
      <c r="CZ616" s="47"/>
      <c r="DA616" s="47"/>
      <c r="DB616" s="47"/>
      <c r="DC616" s="47"/>
      <c r="DD616" s="47"/>
      <c r="DE616" s="47"/>
      <c r="DF616" s="47"/>
      <c r="DG616" s="47"/>
      <c r="DH616" s="47"/>
    </row>
    <row r="617">
      <c r="A617" s="64"/>
      <c r="B617" s="47"/>
      <c r="C617" s="47"/>
      <c r="D617" s="47"/>
      <c r="E617" s="47"/>
      <c r="F617" s="47"/>
      <c r="G617" s="46"/>
      <c r="H617" s="42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R617" s="47"/>
      <c r="CS617" s="47"/>
      <c r="CT617" s="47"/>
      <c r="CU617" s="47"/>
      <c r="CV617" s="47"/>
      <c r="CW617" s="47"/>
      <c r="CX617" s="47"/>
      <c r="CY617" s="47"/>
      <c r="CZ617" s="47"/>
      <c r="DA617" s="47"/>
      <c r="DB617" s="47"/>
      <c r="DC617" s="47"/>
      <c r="DD617" s="47"/>
      <c r="DE617" s="47"/>
      <c r="DF617" s="47"/>
      <c r="DG617" s="47"/>
      <c r="DH617" s="47"/>
    </row>
    <row r="618">
      <c r="A618" s="64"/>
      <c r="B618" s="47"/>
      <c r="C618" s="47"/>
      <c r="D618" s="47"/>
      <c r="E618" s="47"/>
      <c r="F618" s="47"/>
      <c r="G618" s="46"/>
      <c r="H618" s="42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R618" s="47"/>
      <c r="CS618" s="47"/>
      <c r="CT618" s="47"/>
      <c r="CU618" s="47"/>
      <c r="CV618" s="47"/>
      <c r="CW618" s="47"/>
      <c r="CX618" s="47"/>
      <c r="CY618" s="47"/>
      <c r="CZ618" s="47"/>
      <c r="DA618" s="47"/>
      <c r="DB618" s="47"/>
      <c r="DC618" s="47"/>
      <c r="DD618" s="47"/>
      <c r="DE618" s="47"/>
      <c r="DF618" s="47"/>
      <c r="DG618" s="47"/>
      <c r="DH618" s="47"/>
    </row>
    <row r="619">
      <c r="A619" s="64"/>
      <c r="B619" s="47"/>
      <c r="C619" s="47"/>
      <c r="D619" s="47"/>
      <c r="E619" s="47"/>
      <c r="F619" s="47"/>
      <c r="G619" s="46"/>
      <c r="H619" s="42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R619" s="47"/>
      <c r="CS619" s="47"/>
      <c r="CT619" s="47"/>
      <c r="CU619" s="47"/>
      <c r="CV619" s="47"/>
      <c r="CW619" s="47"/>
      <c r="CX619" s="47"/>
      <c r="CY619" s="47"/>
      <c r="CZ619" s="47"/>
      <c r="DA619" s="47"/>
      <c r="DB619" s="47"/>
      <c r="DC619" s="47"/>
      <c r="DD619" s="47"/>
      <c r="DE619" s="47"/>
      <c r="DF619" s="47"/>
      <c r="DG619" s="47"/>
      <c r="DH619" s="47"/>
    </row>
    <row r="620">
      <c r="A620" s="64"/>
      <c r="B620" s="47"/>
      <c r="C620" s="47"/>
      <c r="D620" s="47"/>
      <c r="E620" s="47"/>
      <c r="F620" s="47"/>
      <c r="G620" s="46"/>
      <c r="H620" s="42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R620" s="47"/>
      <c r="CS620" s="47"/>
      <c r="CT620" s="47"/>
      <c r="CU620" s="47"/>
      <c r="CV620" s="47"/>
      <c r="CW620" s="47"/>
      <c r="CX620" s="47"/>
      <c r="CY620" s="47"/>
      <c r="CZ620" s="47"/>
      <c r="DA620" s="47"/>
      <c r="DB620" s="47"/>
      <c r="DC620" s="47"/>
      <c r="DD620" s="47"/>
      <c r="DE620" s="47"/>
      <c r="DF620" s="47"/>
      <c r="DG620" s="47"/>
      <c r="DH620" s="47"/>
    </row>
    <row r="621">
      <c r="A621" s="64"/>
      <c r="B621" s="47"/>
      <c r="C621" s="47"/>
      <c r="D621" s="47"/>
      <c r="E621" s="47"/>
      <c r="F621" s="47"/>
      <c r="G621" s="46"/>
      <c r="H621" s="42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R621" s="47"/>
      <c r="CS621" s="47"/>
      <c r="CT621" s="47"/>
      <c r="CU621" s="47"/>
      <c r="CV621" s="47"/>
      <c r="CW621" s="47"/>
      <c r="CX621" s="47"/>
      <c r="CY621" s="47"/>
      <c r="CZ621" s="47"/>
      <c r="DA621" s="47"/>
      <c r="DB621" s="47"/>
      <c r="DC621" s="47"/>
      <c r="DD621" s="47"/>
      <c r="DE621" s="47"/>
      <c r="DF621" s="47"/>
      <c r="DG621" s="47"/>
      <c r="DH621" s="47"/>
    </row>
    <row r="622">
      <c r="A622" s="64"/>
      <c r="B622" s="47"/>
      <c r="C622" s="47"/>
      <c r="D622" s="47"/>
      <c r="E622" s="47"/>
      <c r="F622" s="47"/>
      <c r="G622" s="46"/>
      <c r="H622" s="42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R622" s="47"/>
      <c r="CS622" s="47"/>
      <c r="CT622" s="47"/>
      <c r="CU622" s="47"/>
      <c r="CV622" s="47"/>
      <c r="CW622" s="47"/>
      <c r="CX622" s="47"/>
      <c r="CY622" s="47"/>
      <c r="CZ622" s="47"/>
      <c r="DA622" s="47"/>
      <c r="DB622" s="47"/>
      <c r="DC622" s="47"/>
      <c r="DD622" s="47"/>
      <c r="DE622" s="47"/>
      <c r="DF622" s="47"/>
      <c r="DG622" s="47"/>
      <c r="DH622" s="47"/>
    </row>
    <row r="623">
      <c r="A623" s="64"/>
      <c r="B623" s="47"/>
      <c r="C623" s="47"/>
      <c r="D623" s="47"/>
      <c r="E623" s="47"/>
      <c r="F623" s="47"/>
      <c r="G623" s="46"/>
      <c r="H623" s="42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R623" s="47"/>
      <c r="CS623" s="47"/>
      <c r="CT623" s="47"/>
      <c r="CU623" s="47"/>
      <c r="CV623" s="47"/>
      <c r="CW623" s="47"/>
      <c r="CX623" s="47"/>
      <c r="CY623" s="47"/>
      <c r="CZ623" s="47"/>
      <c r="DA623" s="47"/>
      <c r="DB623" s="47"/>
      <c r="DC623" s="47"/>
      <c r="DD623" s="47"/>
      <c r="DE623" s="47"/>
      <c r="DF623" s="47"/>
      <c r="DG623" s="47"/>
      <c r="DH623" s="47"/>
    </row>
    <row r="624">
      <c r="A624" s="64"/>
      <c r="B624" s="47"/>
      <c r="C624" s="47"/>
      <c r="D624" s="47"/>
      <c r="E624" s="47"/>
      <c r="F624" s="47"/>
      <c r="G624" s="46"/>
      <c r="H624" s="42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R624" s="47"/>
      <c r="CS624" s="47"/>
      <c r="CT624" s="47"/>
      <c r="CU624" s="47"/>
      <c r="CV624" s="47"/>
      <c r="CW624" s="47"/>
      <c r="CX624" s="47"/>
      <c r="CY624" s="47"/>
      <c r="CZ624" s="47"/>
      <c r="DA624" s="47"/>
      <c r="DB624" s="47"/>
      <c r="DC624" s="47"/>
      <c r="DD624" s="47"/>
      <c r="DE624" s="47"/>
      <c r="DF624" s="47"/>
      <c r="DG624" s="47"/>
      <c r="DH624" s="47"/>
    </row>
    <row r="625">
      <c r="A625" s="64"/>
      <c r="B625" s="47"/>
      <c r="C625" s="47"/>
      <c r="D625" s="47"/>
      <c r="E625" s="47"/>
      <c r="F625" s="47"/>
      <c r="G625" s="46"/>
      <c r="H625" s="42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R625" s="47"/>
      <c r="CS625" s="47"/>
      <c r="CT625" s="47"/>
      <c r="CU625" s="47"/>
      <c r="CV625" s="47"/>
      <c r="CW625" s="47"/>
      <c r="CX625" s="47"/>
      <c r="CY625" s="47"/>
      <c r="CZ625" s="47"/>
      <c r="DA625" s="47"/>
      <c r="DB625" s="47"/>
      <c r="DC625" s="47"/>
      <c r="DD625" s="47"/>
      <c r="DE625" s="47"/>
      <c r="DF625" s="47"/>
      <c r="DG625" s="47"/>
      <c r="DH625" s="47"/>
    </row>
    <row r="626">
      <c r="A626" s="64"/>
      <c r="B626" s="47"/>
      <c r="C626" s="47"/>
      <c r="D626" s="47"/>
      <c r="E626" s="47"/>
      <c r="F626" s="47"/>
      <c r="G626" s="46"/>
      <c r="H626" s="42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R626" s="47"/>
      <c r="CS626" s="47"/>
      <c r="CT626" s="47"/>
      <c r="CU626" s="47"/>
      <c r="CV626" s="47"/>
      <c r="CW626" s="47"/>
      <c r="CX626" s="47"/>
      <c r="CY626" s="47"/>
      <c r="CZ626" s="47"/>
      <c r="DA626" s="47"/>
      <c r="DB626" s="47"/>
      <c r="DC626" s="47"/>
      <c r="DD626" s="47"/>
      <c r="DE626" s="47"/>
      <c r="DF626" s="47"/>
      <c r="DG626" s="47"/>
      <c r="DH626" s="47"/>
    </row>
    <row r="627">
      <c r="A627" s="64"/>
      <c r="B627" s="47"/>
      <c r="C627" s="47"/>
      <c r="D627" s="47"/>
      <c r="E627" s="47"/>
      <c r="F627" s="47"/>
      <c r="G627" s="46"/>
      <c r="H627" s="42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R627" s="47"/>
      <c r="CS627" s="47"/>
      <c r="CT627" s="47"/>
      <c r="CU627" s="47"/>
      <c r="CV627" s="47"/>
      <c r="CW627" s="47"/>
      <c r="CX627" s="47"/>
      <c r="CY627" s="47"/>
      <c r="CZ627" s="47"/>
      <c r="DA627" s="47"/>
      <c r="DB627" s="47"/>
      <c r="DC627" s="47"/>
      <c r="DD627" s="47"/>
      <c r="DE627" s="47"/>
      <c r="DF627" s="47"/>
      <c r="DG627" s="47"/>
      <c r="DH627" s="47"/>
    </row>
    <row r="628">
      <c r="A628" s="64"/>
      <c r="B628" s="47"/>
      <c r="C628" s="47"/>
      <c r="D628" s="47"/>
      <c r="E628" s="47"/>
      <c r="F628" s="47"/>
      <c r="G628" s="46"/>
      <c r="H628" s="42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R628" s="47"/>
      <c r="CS628" s="47"/>
      <c r="CT628" s="47"/>
      <c r="CU628" s="47"/>
      <c r="CV628" s="47"/>
      <c r="CW628" s="47"/>
      <c r="CX628" s="47"/>
      <c r="CY628" s="47"/>
      <c r="CZ628" s="47"/>
      <c r="DA628" s="47"/>
      <c r="DB628" s="47"/>
      <c r="DC628" s="47"/>
      <c r="DD628" s="47"/>
      <c r="DE628" s="47"/>
      <c r="DF628" s="47"/>
      <c r="DG628" s="47"/>
      <c r="DH628" s="47"/>
    </row>
    <row r="629">
      <c r="A629" s="64"/>
      <c r="B629" s="47"/>
      <c r="C629" s="47"/>
      <c r="D629" s="47"/>
      <c r="E629" s="47"/>
      <c r="F629" s="47"/>
      <c r="G629" s="46"/>
      <c r="H629" s="42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R629" s="47"/>
      <c r="CS629" s="47"/>
      <c r="CT629" s="47"/>
      <c r="CU629" s="47"/>
      <c r="CV629" s="47"/>
      <c r="CW629" s="47"/>
      <c r="CX629" s="47"/>
      <c r="CY629" s="47"/>
      <c r="CZ629" s="47"/>
      <c r="DA629" s="47"/>
      <c r="DB629" s="47"/>
      <c r="DC629" s="47"/>
      <c r="DD629" s="47"/>
      <c r="DE629" s="47"/>
      <c r="DF629" s="47"/>
      <c r="DG629" s="47"/>
      <c r="DH629" s="47"/>
    </row>
    <row r="630">
      <c r="A630" s="64"/>
      <c r="B630" s="47"/>
      <c r="C630" s="47"/>
      <c r="D630" s="47"/>
      <c r="E630" s="47"/>
      <c r="F630" s="47"/>
      <c r="G630" s="46"/>
      <c r="H630" s="42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R630" s="47"/>
      <c r="CS630" s="47"/>
      <c r="CT630" s="47"/>
      <c r="CU630" s="47"/>
      <c r="CV630" s="47"/>
      <c r="CW630" s="47"/>
      <c r="CX630" s="47"/>
      <c r="CY630" s="47"/>
      <c r="CZ630" s="47"/>
      <c r="DA630" s="47"/>
      <c r="DB630" s="47"/>
      <c r="DC630" s="47"/>
      <c r="DD630" s="47"/>
      <c r="DE630" s="47"/>
      <c r="DF630" s="47"/>
      <c r="DG630" s="47"/>
      <c r="DH630" s="47"/>
    </row>
    <row r="631">
      <c r="A631" s="64"/>
      <c r="B631" s="47"/>
      <c r="C631" s="47"/>
      <c r="D631" s="47"/>
      <c r="E631" s="47"/>
      <c r="F631" s="47"/>
      <c r="G631" s="46"/>
      <c r="H631" s="42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R631" s="47"/>
      <c r="CS631" s="47"/>
      <c r="CT631" s="47"/>
      <c r="CU631" s="47"/>
      <c r="CV631" s="47"/>
      <c r="CW631" s="47"/>
      <c r="CX631" s="47"/>
      <c r="CY631" s="47"/>
      <c r="CZ631" s="47"/>
      <c r="DA631" s="47"/>
      <c r="DB631" s="47"/>
      <c r="DC631" s="47"/>
      <c r="DD631" s="47"/>
      <c r="DE631" s="47"/>
      <c r="DF631" s="47"/>
      <c r="DG631" s="47"/>
      <c r="DH631" s="47"/>
    </row>
    <row r="632">
      <c r="A632" s="64"/>
      <c r="B632" s="47"/>
      <c r="C632" s="47"/>
      <c r="D632" s="47"/>
      <c r="E632" s="47"/>
      <c r="F632" s="47"/>
      <c r="G632" s="46"/>
      <c r="H632" s="42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R632" s="47"/>
      <c r="CS632" s="47"/>
      <c r="CT632" s="47"/>
      <c r="CU632" s="47"/>
      <c r="CV632" s="47"/>
      <c r="CW632" s="47"/>
      <c r="CX632" s="47"/>
      <c r="CY632" s="47"/>
      <c r="CZ632" s="47"/>
      <c r="DA632" s="47"/>
      <c r="DB632" s="47"/>
      <c r="DC632" s="47"/>
      <c r="DD632" s="47"/>
      <c r="DE632" s="47"/>
      <c r="DF632" s="47"/>
      <c r="DG632" s="47"/>
      <c r="DH632" s="47"/>
    </row>
    <row r="633">
      <c r="A633" s="64"/>
      <c r="B633" s="47"/>
      <c r="C633" s="47"/>
      <c r="D633" s="47"/>
      <c r="E633" s="47"/>
      <c r="F633" s="47"/>
      <c r="G633" s="46"/>
      <c r="H633" s="42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R633" s="47"/>
      <c r="CS633" s="47"/>
      <c r="CT633" s="47"/>
      <c r="CU633" s="47"/>
      <c r="CV633" s="47"/>
      <c r="CW633" s="47"/>
      <c r="CX633" s="47"/>
      <c r="CY633" s="47"/>
      <c r="CZ633" s="47"/>
      <c r="DA633" s="47"/>
      <c r="DB633" s="47"/>
      <c r="DC633" s="47"/>
      <c r="DD633" s="47"/>
      <c r="DE633" s="47"/>
      <c r="DF633" s="47"/>
      <c r="DG633" s="47"/>
      <c r="DH633" s="47"/>
    </row>
    <row r="634">
      <c r="A634" s="64"/>
      <c r="B634" s="47"/>
      <c r="C634" s="47"/>
      <c r="D634" s="47"/>
      <c r="E634" s="47"/>
      <c r="F634" s="47"/>
      <c r="G634" s="46"/>
      <c r="H634" s="42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R634" s="47"/>
      <c r="CS634" s="47"/>
      <c r="CT634" s="47"/>
      <c r="CU634" s="47"/>
      <c r="CV634" s="47"/>
      <c r="CW634" s="47"/>
      <c r="CX634" s="47"/>
      <c r="CY634" s="47"/>
      <c r="CZ634" s="47"/>
      <c r="DA634" s="47"/>
      <c r="DB634" s="47"/>
      <c r="DC634" s="47"/>
      <c r="DD634" s="47"/>
      <c r="DE634" s="47"/>
      <c r="DF634" s="47"/>
      <c r="DG634" s="47"/>
      <c r="DH634" s="47"/>
    </row>
    <row r="635">
      <c r="A635" s="64"/>
      <c r="B635" s="47"/>
      <c r="C635" s="47"/>
      <c r="D635" s="47"/>
      <c r="E635" s="47"/>
      <c r="F635" s="47"/>
      <c r="G635" s="46"/>
      <c r="H635" s="42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R635" s="47"/>
      <c r="CS635" s="47"/>
      <c r="CT635" s="47"/>
      <c r="CU635" s="47"/>
      <c r="CV635" s="47"/>
      <c r="CW635" s="47"/>
      <c r="CX635" s="47"/>
      <c r="CY635" s="47"/>
      <c r="CZ635" s="47"/>
      <c r="DA635" s="47"/>
      <c r="DB635" s="47"/>
      <c r="DC635" s="47"/>
      <c r="DD635" s="47"/>
      <c r="DE635" s="47"/>
      <c r="DF635" s="47"/>
      <c r="DG635" s="47"/>
      <c r="DH635" s="47"/>
    </row>
    <row r="636">
      <c r="A636" s="64"/>
      <c r="B636" s="47"/>
      <c r="C636" s="47"/>
      <c r="D636" s="47"/>
      <c r="E636" s="47"/>
      <c r="F636" s="47"/>
      <c r="G636" s="46"/>
      <c r="H636" s="42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R636" s="47"/>
      <c r="CS636" s="47"/>
      <c r="CT636" s="47"/>
      <c r="CU636" s="47"/>
      <c r="CV636" s="47"/>
      <c r="CW636" s="47"/>
      <c r="CX636" s="47"/>
      <c r="CY636" s="47"/>
      <c r="CZ636" s="47"/>
      <c r="DA636" s="47"/>
      <c r="DB636" s="47"/>
      <c r="DC636" s="47"/>
      <c r="DD636" s="47"/>
      <c r="DE636" s="47"/>
      <c r="DF636" s="47"/>
      <c r="DG636" s="47"/>
      <c r="DH636" s="47"/>
    </row>
    <row r="637">
      <c r="A637" s="64"/>
      <c r="B637" s="47"/>
      <c r="C637" s="47"/>
      <c r="D637" s="47"/>
      <c r="E637" s="47"/>
      <c r="F637" s="47"/>
      <c r="G637" s="46"/>
      <c r="H637" s="42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R637" s="47"/>
      <c r="CS637" s="47"/>
      <c r="CT637" s="47"/>
      <c r="CU637" s="47"/>
      <c r="CV637" s="47"/>
      <c r="CW637" s="47"/>
      <c r="CX637" s="47"/>
      <c r="CY637" s="47"/>
      <c r="CZ637" s="47"/>
      <c r="DA637" s="47"/>
      <c r="DB637" s="47"/>
      <c r="DC637" s="47"/>
      <c r="DD637" s="47"/>
      <c r="DE637" s="47"/>
      <c r="DF637" s="47"/>
      <c r="DG637" s="47"/>
      <c r="DH637" s="47"/>
    </row>
    <row r="638">
      <c r="A638" s="64"/>
      <c r="B638" s="47"/>
      <c r="C638" s="47"/>
      <c r="D638" s="47"/>
      <c r="E638" s="47"/>
      <c r="F638" s="47"/>
      <c r="G638" s="46"/>
      <c r="H638" s="42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R638" s="47"/>
      <c r="CS638" s="47"/>
      <c r="CT638" s="47"/>
      <c r="CU638" s="47"/>
      <c r="CV638" s="47"/>
      <c r="CW638" s="47"/>
      <c r="CX638" s="47"/>
      <c r="CY638" s="47"/>
      <c r="CZ638" s="47"/>
      <c r="DA638" s="47"/>
      <c r="DB638" s="47"/>
      <c r="DC638" s="47"/>
      <c r="DD638" s="47"/>
      <c r="DE638" s="47"/>
      <c r="DF638" s="47"/>
      <c r="DG638" s="47"/>
      <c r="DH638" s="47"/>
    </row>
    <row r="639">
      <c r="A639" s="64"/>
      <c r="B639" s="47"/>
      <c r="C639" s="47"/>
      <c r="D639" s="47"/>
      <c r="E639" s="47"/>
      <c r="F639" s="47"/>
      <c r="G639" s="46"/>
      <c r="H639" s="42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R639" s="47"/>
      <c r="CS639" s="47"/>
      <c r="CT639" s="47"/>
      <c r="CU639" s="47"/>
      <c r="CV639" s="47"/>
      <c r="CW639" s="47"/>
      <c r="CX639" s="47"/>
      <c r="CY639" s="47"/>
      <c r="CZ639" s="47"/>
      <c r="DA639" s="47"/>
      <c r="DB639" s="47"/>
      <c r="DC639" s="47"/>
      <c r="DD639" s="47"/>
      <c r="DE639" s="47"/>
      <c r="DF639" s="47"/>
      <c r="DG639" s="47"/>
      <c r="DH639" s="47"/>
    </row>
    <row r="640">
      <c r="A640" s="64"/>
      <c r="B640" s="47"/>
      <c r="C640" s="47"/>
      <c r="D640" s="47"/>
      <c r="E640" s="47"/>
      <c r="F640" s="47"/>
      <c r="G640" s="46"/>
      <c r="H640" s="42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R640" s="47"/>
      <c r="CS640" s="47"/>
      <c r="CT640" s="47"/>
      <c r="CU640" s="47"/>
      <c r="CV640" s="47"/>
      <c r="CW640" s="47"/>
      <c r="CX640" s="47"/>
      <c r="CY640" s="47"/>
      <c r="CZ640" s="47"/>
      <c r="DA640" s="47"/>
      <c r="DB640" s="47"/>
      <c r="DC640" s="47"/>
      <c r="DD640" s="47"/>
      <c r="DE640" s="47"/>
      <c r="DF640" s="47"/>
      <c r="DG640" s="47"/>
      <c r="DH640" s="47"/>
    </row>
    <row r="641">
      <c r="A641" s="64"/>
      <c r="B641" s="47"/>
      <c r="C641" s="47"/>
      <c r="D641" s="47"/>
      <c r="E641" s="47"/>
      <c r="F641" s="47"/>
      <c r="G641" s="46"/>
      <c r="H641" s="42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R641" s="47"/>
      <c r="CS641" s="47"/>
      <c r="CT641" s="47"/>
      <c r="CU641" s="47"/>
      <c r="CV641" s="47"/>
      <c r="CW641" s="47"/>
      <c r="CX641" s="47"/>
      <c r="CY641" s="47"/>
      <c r="CZ641" s="47"/>
      <c r="DA641" s="47"/>
      <c r="DB641" s="47"/>
      <c r="DC641" s="47"/>
      <c r="DD641" s="47"/>
      <c r="DE641" s="47"/>
      <c r="DF641" s="47"/>
      <c r="DG641" s="47"/>
      <c r="DH641" s="47"/>
    </row>
    <row r="642">
      <c r="A642" s="64"/>
      <c r="B642" s="47"/>
      <c r="C642" s="47"/>
      <c r="D642" s="47"/>
      <c r="E642" s="47"/>
      <c r="F642" s="47"/>
      <c r="G642" s="46"/>
      <c r="H642" s="42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R642" s="47"/>
      <c r="CS642" s="47"/>
      <c r="CT642" s="47"/>
      <c r="CU642" s="47"/>
      <c r="CV642" s="47"/>
      <c r="CW642" s="47"/>
      <c r="CX642" s="47"/>
      <c r="CY642" s="47"/>
      <c r="CZ642" s="47"/>
      <c r="DA642" s="47"/>
      <c r="DB642" s="47"/>
      <c r="DC642" s="47"/>
      <c r="DD642" s="47"/>
      <c r="DE642" s="47"/>
      <c r="DF642" s="47"/>
      <c r="DG642" s="47"/>
      <c r="DH642" s="47"/>
    </row>
    <row r="643">
      <c r="A643" s="64"/>
      <c r="B643" s="47"/>
      <c r="C643" s="47"/>
      <c r="D643" s="47"/>
      <c r="E643" s="47"/>
      <c r="F643" s="47"/>
      <c r="G643" s="46"/>
      <c r="H643" s="42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R643" s="47"/>
      <c r="CS643" s="47"/>
      <c r="CT643" s="47"/>
      <c r="CU643" s="47"/>
      <c r="CV643" s="47"/>
      <c r="CW643" s="47"/>
      <c r="CX643" s="47"/>
      <c r="CY643" s="47"/>
      <c r="CZ643" s="47"/>
      <c r="DA643" s="47"/>
      <c r="DB643" s="47"/>
      <c r="DC643" s="47"/>
      <c r="DD643" s="47"/>
      <c r="DE643" s="47"/>
      <c r="DF643" s="47"/>
      <c r="DG643" s="47"/>
      <c r="DH643" s="47"/>
    </row>
    <row r="644">
      <c r="A644" s="64"/>
      <c r="B644" s="47"/>
      <c r="C644" s="47"/>
      <c r="D644" s="47"/>
      <c r="E644" s="47"/>
      <c r="F644" s="47"/>
      <c r="G644" s="46"/>
      <c r="H644" s="42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R644" s="47"/>
      <c r="CS644" s="47"/>
      <c r="CT644" s="47"/>
      <c r="CU644" s="47"/>
      <c r="CV644" s="47"/>
      <c r="CW644" s="47"/>
      <c r="CX644" s="47"/>
      <c r="CY644" s="47"/>
      <c r="CZ644" s="47"/>
      <c r="DA644" s="47"/>
      <c r="DB644" s="47"/>
      <c r="DC644" s="47"/>
      <c r="DD644" s="47"/>
      <c r="DE644" s="47"/>
      <c r="DF644" s="47"/>
      <c r="DG644" s="47"/>
      <c r="DH644" s="47"/>
    </row>
    <row r="645">
      <c r="A645" s="64"/>
      <c r="B645" s="47"/>
      <c r="C645" s="47"/>
      <c r="D645" s="47"/>
      <c r="E645" s="47"/>
      <c r="F645" s="47"/>
      <c r="G645" s="46"/>
      <c r="H645" s="42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R645" s="47"/>
      <c r="CS645" s="47"/>
      <c r="CT645" s="47"/>
      <c r="CU645" s="47"/>
      <c r="CV645" s="47"/>
      <c r="CW645" s="47"/>
      <c r="CX645" s="47"/>
      <c r="CY645" s="47"/>
      <c r="CZ645" s="47"/>
      <c r="DA645" s="47"/>
      <c r="DB645" s="47"/>
      <c r="DC645" s="47"/>
      <c r="DD645" s="47"/>
      <c r="DE645" s="47"/>
      <c r="DF645" s="47"/>
      <c r="DG645" s="47"/>
      <c r="DH645" s="47"/>
    </row>
    <row r="646">
      <c r="A646" s="64"/>
      <c r="B646" s="47"/>
      <c r="C646" s="47"/>
      <c r="D646" s="47"/>
      <c r="E646" s="47"/>
      <c r="F646" s="47"/>
      <c r="G646" s="46"/>
      <c r="H646" s="42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R646" s="47"/>
      <c r="CS646" s="47"/>
      <c r="CT646" s="47"/>
      <c r="CU646" s="47"/>
      <c r="CV646" s="47"/>
      <c r="CW646" s="47"/>
      <c r="CX646" s="47"/>
      <c r="CY646" s="47"/>
      <c r="CZ646" s="47"/>
      <c r="DA646" s="47"/>
      <c r="DB646" s="47"/>
      <c r="DC646" s="47"/>
      <c r="DD646" s="47"/>
      <c r="DE646" s="47"/>
      <c r="DF646" s="47"/>
      <c r="DG646" s="47"/>
      <c r="DH646" s="47"/>
    </row>
    <row r="647">
      <c r="A647" s="64"/>
      <c r="B647" s="47"/>
      <c r="C647" s="47"/>
      <c r="D647" s="47"/>
      <c r="E647" s="47"/>
      <c r="F647" s="47"/>
      <c r="G647" s="46"/>
      <c r="H647" s="42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R647" s="47"/>
      <c r="CS647" s="47"/>
      <c r="CT647" s="47"/>
      <c r="CU647" s="47"/>
      <c r="CV647" s="47"/>
      <c r="CW647" s="47"/>
      <c r="CX647" s="47"/>
      <c r="CY647" s="47"/>
      <c r="CZ647" s="47"/>
      <c r="DA647" s="47"/>
      <c r="DB647" s="47"/>
      <c r="DC647" s="47"/>
      <c r="DD647" s="47"/>
      <c r="DE647" s="47"/>
      <c r="DF647" s="47"/>
      <c r="DG647" s="47"/>
      <c r="DH647" s="47"/>
    </row>
    <row r="648">
      <c r="A648" s="64"/>
      <c r="B648" s="47"/>
      <c r="C648" s="47"/>
      <c r="D648" s="47"/>
      <c r="E648" s="47"/>
      <c r="F648" s="47"/>
      <c r="G648" s="46"/>
      <c r="H648" s="42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R648" s="47"/>
      <c r="CS648" s="47"/>
      <c r="CT648" s="47"/>
      <c r="CU648" s="47"/>
      <c r="CV648" s="47"/>
      <c r="CW648" s="47"/>
      <c r="CX648" s="47"/>
      <c r="CY648" s="47"/>
      <c r="CZ648" s="47"/>
      <c r="DA648" s="47"/>
      <c r="DB648" s="47"/>
      <c r="DC648" s="47"/>
      <c r="DD648" s="47"/>
      <c r="DE648" s="47"/>
      <c r="DF648" s="47"/>
      <c r="DG648" s="47"/>
      <c r="DH648" s="47"/>
    </row>
    <row r="649">
      <c r="A649" s="64"/>
      <c r="B649" s="47"/>
      <c r="C649" s="47"/>
      <c r="D649" s="47"/>
      <c r="E649" s="47"/>
      <c r="F649" s="47"/>
      <c r="G649" s="46"/>
      <c r="H649" s="42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R649" s="47"/>
      <c r="CS649" s="47"/>
      <c r="CT649" s="47"/>
      <c r="CU649" s="47"/>
      <c r="CV649" s="47"/>
      <c r="CW649" s="47"/>
      <c r="CX649" s="47"/>
      <c r="CY649" s="47"/>
      <c r="CZ649" s="47"/>
      <c r="DA649" s="47"/>
      <c r="DB649" s="47"/>
      <c r="DC649" s="47"/>
      <c r="DD649" s="47"/>
      <c r="DE649" s="47"/>
      <c r="DF649" s="47"/>
      <c r="DG649" s="47"/>
      <c r="DH649" s="47"/>
    </row>
    <row r="650">
      <c r="A650" s="64"/>
      <c r="B650" s="47"/>
      <c r="C650" s="47"/>
      <c r="D650" s="47"/>
      <c r="E650" s="47"/>
      <c r="F650" s="47"/>
      <c r="G650" s="46"/>
      <c r="H650" s="42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R650" s="47"/>
      <c r="CS650" s="47"/>
      <c r="CT650" s="47"/>
      <c r="CU650" s="47"/>
      <c r="CV650" s="47"/>
      <c r="CW650" s="47"/>
      <c r="CX650" s="47"/>
      <c r="CY650" s="47"/>
      <c r="CZ650" s="47"/>
      <c r="DA650" s="47"/>
      <c r="DB650" s="47"/>
      <c r="DC650" s="47"/>
      <c r="DD650" s="47"/>
      <c r="DE650" s="47"/>
      <c r="DF650" s="47"/>
      <c r="DG650" s="47"/>
      <c r="DH650" s="47"/>
    </row>
    <row r="651">
      <c r="A651" s="64"/>
      <c r="B651" s="47"/>
      <c r="C651" s="47"/>
      <c r="D651" s="47"/>
      <c r="E651" s="47"/>
      <c r="F651" s="47"/>
      <c r="G651" s="46"/>
      <c r="H651" s="42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R651" s="47"/>
      <c r="CS651" s="47"/>
      <c r="CT651" s="47"/>
      <c r="CU651" s="47"/>
      <c r="CV651" s="47"/>
      <c r="CW651" s="47"/>
      <c r="CX651" s="47"/>
      <c r="CY651" s="47"/>
      <c r="CZ651" s="47"/>
      <c r="DA651" s="47"/>
      <c r="DB651" s="47"/>
      <c r="DC651" s="47"/>
      <c r="DD651" s="47"/>
      <c r="DE651" s="47"/>
      <c r="DF651" s="47"/>
      <c r="DG651" s="47"/>
      <c r="DH651" s="47"/>
    </row>
    <row r="652">
      <c r="A652" s="64"/>
      <c r="B652" s="47"/>
      <c r="C652" s="47"/>
      <c r="D652" s="47"/>
      <c r="E652" s="47"/>
      <c r="F652" s="47"/>
      <c r="G652" s="46"/>
      <c r="H652" s="42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R652" s="47"/>
      <c r="CS652" s="47"/>
      <c r="CT652" s="47"/>
      <c r="CU652" s="47"/>
      <c r="CV652" s="47"/>
      <c r="CW652" s="47"/>
      <c r="CX652" s="47"/>
      <c r="CY652" s="47"/>
      <c r="CZ652" s="47"/>
      <c r="DA652" s="47"/>
      <c r="DB652" s="47"/>
      <c r="DC652" s="47"/>
      <c r="DD652" s="47"/>
      <c r="DE652" s="47"/>
      <c r="DF652" s="47"/>
      <c r="DG652" s="47"/>
      <c r="DH652" s="47"/>
    </row>
    <row r="653">
      <c r="A653" s="64"/>
      <c r="B653" s="47"/>
      <c r="C653" s="47"/>
      <c r="D653" s="47"/>
      <c r="E653" s="47"/>
      <c r="F653" s="47"/>
      <c r="G653" s="46"/>
      <c r="H653" s="42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R653" s="47"/>
      <c r="CS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</row>
    <row r="654">
      <c r="A654" s="64"/>
      <c r="B654" s="47"/>
      <c r="C654" s="47"/>
      <c r="D654" s="47"/>
      <c r="E654" s="47"/>
      <c r="F654" s="47"/>
      <c r="G654" s="46"/>
      <c r="H654" s="42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R654" s="47"/>
      <c r="CS654" s="47"/>
      <c r="CT654" s="47"/>
      <c r="CU654" s="47"/>
      <c r="CV654" s="47"/>
      <c r="CW654" s="47"/>
      <c r="CX654" s="47"/>
      <c r="CY654" s="47"/>
      <c r="CZ654" s="47"/>
      <c r="DA654" s="47"/>
      <c r="DB654" s="47"/>
      <c r="DC654" s="47"/>
      <c r="DD654" s="47"/>
      <c r="DE654" s="47"/>
      <c r="DF654" s="47"/>
      <c r="DG654" s="47"/>
      <c r="DH654" s="47"/>
    </row>
    <row r="655">
      <c r="A655" s="64"/>
      <c r="B655" s="47"/>
      <c r="C655" s="47"/>
      <c r="D655" s="47"/>
      <c r="E655" s="47"/>
      <c r="F655" s="47"/>
      <c r="G655" s="46"/>
      <c r="H655" s="42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R655" s="47"/>
      <c r="CS655" s="47"/>
      <c r="CT655" s="47"/>
      <c r="CU655" s="47"/>
      <c r="CV655" s="47"/>
      <c r="CW655" s="47"/>
      <c r="CX655" s="47"/>
      <c r="CY655" s="47"/>
      <c r="CZ655" s="47"/>
      <c r="DA655" s="47"/>
      <c r="DB655" s="47"/>
      <c r="DC655" s="47"/>
      <c r="DD655" s="47"/>
      <c r="DE655" s="47"/>
      <c r="DF655" s="47"/>
      <c r="DG655" s="47"/>
      <c r="DH655" s="47"/>
    </row>
    <row r="656">
      <c r="A656" s="64"/>
      <c r="B656" s="47"/>
      <c r="C656" s="47"/>
      <c r="D656" s="47"/>
      <c r="E656" s="47"/>
      <c r="F656" s="47"/>
      <c r="G656" s="46"/>
      <c r="H656" s="42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R656" s="47"/>
      <c r="CS656" s="47"/>
      <c r="CT656" s="47"/>
      <c r="CU656" s="47"/>
      <c r="CV656" s="47"/>
      <c r="CW656" s="47"/>
      <c r="CX656" s="47"/>
      <c r="CY656" s="47"/>
      <c r="CZ656" s="47"/>
      <c r="DA656" s="47"/>
      <c r="DB656" s="47"/>
      <c r="DC656" s="47"/>
      <c r="DD656" s="47"/>
      <c r="DE656" s="47"/>
      <c r="DF656" s="47"/>
      <c r="DG656" s="47"/>
      <c r="DH656" s="47"/>
    </row>
    <row r="657">
      <c r="A657" s="64"/>
      <c r="B657" s="47"/>
      <c r="C657" s="47"/>
      <c r="D657" s="47"/>
      <c r="E657" s="47"/>
      <c r="F657" s="47"/>
      <c r="G657" s="46"/>
      <c r="H657" s="42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R657" s="47"/>
      <c r="CS657" s="47"/>
      <c r="CT657" s="47"/>
      <c r="CU657" s="47"/>
      <c r="CV657" s="47"/>
      <c r="CW657" s="47"/>
      <c r="CX657" s="47"/>
      <c r="CY657" s="47"/>
      <c r="CZ657" s="47"/>
      <c r="DA657" s="47"/>
      <c r="DB657" s="47"/>
      <c r="DC657" s="47"/>
      <c r="DD657" s="47"/>
      <c r="DE657" s="47"/>
      <c r="DF657" s="47"/>
      <c r="DG657" s="47"/>
      <c r="DH657" s="47"/>
    </row>
    <row r="658">
      <c r="A658" s="64"/>
      <c r="B658" s="47"/>
      <c r="C658" s="47"/>
      <c r="D658" s="47"/>
      <c r="E658" s="47"/>
      <c r="F658" s="47"/>
      <c r="G658" s="46"/>
      <c r="H658" s="42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R658" s="47"/>
      <c r="CS658" s="47"/>
      <c r="CT658" s="47"/>
      <c r="CU658" s="47"/>
      <c r="CV658" s="47"/>
      <c r="CW658" s="47"/>
      <c r="CX658" s="47"/>
      <c r="CY658" s="47"/>
      <c r="CZ658" s="47"/>
      <c r="DA658" s="47"/>
      <c r="DB658" s="47"/>
      <c r="DC658" s="47"/>
      <c r="DD658" s="47"/>
      <c r="DE658" s="47"/>
      <c r="DF658" s="47"/>
      <c r="DG658" s="47"/>
      <c r="DH658" s="47"/>
    </row>
    <row r="659">
      <c r="A659" s="64"/>
      <c r="B659" s="47"/>
      <c r="C659" s="47"/>
      <c r="D659" s="47"/>
      <c r="E659" s="47"/>
      <c r="F659" s="47"/>
      <c r="G659" s="46"/>
      <c r="H659" s="42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R659" s="47"/>
      <c r="CS659" s="47"/>
      <c r="CT659" s="47"/>
      <c r="CU659" s="47"/>
      <c r="CV659" s="47"/>
      <c r="CW659" s="47"/>
      <c r="CX659" s="47"/>
      <c r="CY659" s="47"/>
      <c r="CZ659" s="47"/>
      <c r="DA659" s="47"/>
      <c r="DB659" s="47"/>
      <c r="DC659" s="47"/>
      <c r="DD659" s="47"/>
      <c r="DE659" s="47"/>
      <c r="DF659" s="47"/>
      <c r="DG659" s="47"/>
      <c r="DH659" s="47"/>
    </row>
    <row r="660">
      <c r="A660" s="64"/>
      <c r="B660" s="47"/>
      <c r="C660" s="47"/>
      <c r="D660" s="47"/>
      <c r="E660" s="47"/>
      <c r="F660" s="47"/>
      <c r="G660" s="46"/>
      <c r="H660" s="42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R660" s="47"/>
      <c r="CS660" s="47"/>
      <c r="CT660" s="47"/>
      <c r="CU660" s="47"/>
      <c r="CV660" s="47"/>
      <c r="CW660" s="47"/>
      <c r="CX660" s="47"/>
      <c r="CY660" s="47"/>
      <c r="CZ660" s="47"/>
      <c r="DA660" s="47"/>
      <c r="DB660" s="47"/>
      <c r="DC660" s="47"/>
      <c r="DD660" s="47"/>
      <c r="DE660" s="47"/>
      <c r="DF660" s="47"/>
      <c r="DG660" s="47"/>
      <c r="DH660" s="47"/>
    </row>
    <row r="661">
      <c r="A661" s="64"/>
      <c r="B661" s="47"/>
      <c r="C661" s="47"/>
      <c r="D661" s="47"/>
      <c r="E661" s="47"/>
      <c r="F661" s="47"/>
      <c r="G661" s="46"/>
      <c r="H661" s="42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R661" s="47"/>
      <c r="CS661" s="47"/>
      <c r="CT661" s="47"/>
      <c r="CU661" s="47"/>
      <c r="CV661" s="47"/>
      <c r="CW661" s="47"/>
      <c r="CX661" s="47"/>
      <c r="CY661" s="47"/>
      <c r="CZ661" s="47"/>
      <c r="DA661" s="47"/>
      <c r="DB661" s="47"/>
      <c r="DC661" s="47"/>
      <c r="DD661" s="47"/>
      <c r="DE661" s="47"/>
      <c r="DF661" s="47"/>
      <c r="DG661" s="47"/>
      <c r="DH661" s="47"/>
    </row>
    <row r="662">
      <c r="A662" s="64"/>
      <c r="B662" s="47"/>
      <c r="C662" s="47"/>
      <c r="D662" s="47"/>
      <c r="E662" s="47"/>
      <c r="F662" s="47"/>
      <c r="G662" s="46"/>
      <c r="H662" s="42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R662" s="47"/>
      <c r="CS662" s="47"/>
      <c r="CT662" s="47"/>
      <c r="CU662" s="47"/>
      <c r="CV662" s="47"/>
      <c r="CW662" s="47"/>
      <c r="CX662" s="47"/>
      <c r="CY662" s="47"/>
      <c r="CZ662" s="47"/>
      <c r="DA662" s="47"/>
      <c r="DB662" s="47"/>
      <c r="DC662" s="47"/>
      <c r="DD662" s="47"/>
      <c r="DE662" s="47"/>
      <c r="DF662" s="47"/>
      <c r="DG662" s="47"/>
      <c r="DH662" s="47"/>
    </row>
    <row r="663">
      <c r="A663" s="64"/>
      <c r="B663" s="47"/>
      <c r="C663" s="47"/>
      <c r="D663" s="47"/>
      <c r="E663" s="47"/>
      <c r="F663" s="47"/>
      <c r="G663" s="46"/>
      <c r="H663" s="42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R663" s="47"/>
      <c r="CS663" s="47"/>
      <c r="CT663" s="47"/>
      <c r="CU663" s="47"/>
      <c r="CV663" s="47"/>
      <c r="CW663" s="47"/>
      <c r="CX663" s="47"/>
      <c r="CY663" s="47"/>
      <c r="CZ663" s="47"/>
      <c r="DA663" s="47"/>
      <c r="DB663" s="47"/>
      <c r="DC663" s="47"/>
      <c r="DD663" s="47"/>
      <c r="DE663" s="47"/>
      <c r="DF663" s="47"/>
      <c r="DG663" s="47"/>
      <c r="DH663" s="47"/>
    </row>
    <row r="664">
      <c r="A664" s="64"/>
      <c r="B664" s="47"/>
      <c r="C664" s="47"/>
      <c r="D664" s="47"/>
      <c r="E664" s="47"/>
      <c r="F664" s="47"/>
      <c r="G664" s="46"/>
      <c r="H664" s="42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R664" s="47"/>
      <c r="CS664" s="47"/>
      <c r="CT664" s="47"/>
      <c r="CU664" s="47"/>
      <c r="CV664" s="47"/>
      <c r="CW664" s="47"/>
      <c r="CX664" s="47"/>
      <c r="CY664" s="47"/>
      <c r="CZ664" s="47"/>
      <c r="DA664" s="47"/>
      <c r="DB664" s="47"/>
      <c r="DC664" s="47"/>
      <c r="DD664" s="47"/>
      <c r="DE664" s="47"/>
      <c r="DF664" s="47"/>
      <c r="DG664" s="47"/>
      <c r="DH664" s="47"/>
    </row>
    <row r="665">
      <c r="A665" s="64"/>
      <c r="B665" s="47"/>
      <c r="C665" s="47"/>
      <c r="D665" s="47"/>
      <c r="E665" s="47"/>
      <c r="F665" s="47"/>
      <c r="G665" s="46"/>
      <c r="H665" s="42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R665" s="47"/>
      <c r="CS665" s="47"/>
      <c r="CT665" s="47"/>
      <c r="CU665" s="47"/>
      <c r="CV665" s="47"/>
      <c r="CW665" s="47"/>
      <c r="CX665" s="47"/>
      <c r="CY665" s="47"/>
      <c r="CZ665" s="47"/>
      <c r="DA665" s="47"/>
      <c r="DB665" s="47"/>
      <c r="DC665" s="47"/>
      <c r="DD665" s="47"/>
      <c r="DE665" s="47"/>
      <c r="DF665" s="47"/>
      <c r="DG665" s="47"/>
      <c r="DH665" s="47"/>
    </row>
    <row r="666">
      <c r="A666" s="64"/>
      <c r="B666" s="47"/>
      <c r="C666" s="47"/>
      <c r="D666" s="47"/>
      <c r="E666" s="47"/>
      <c r="F666" s="47"/>
      <c r="G666" s="46"/>
      <c r="H666" s="42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R666" s="47"/>
      <c r="CS666" s="47"/>
      <c r="CT666" s="47"/>
      <c r="CU666" s="47"/>
      <c r="CV666" s="47"/>
      <c r="CW666" s="47"/>
      <c r="CX666" s="47"/>
      <c r="CY666" s="47"/>
      <c r="CZ666" s="47"/>
      <c r="DA666" s="47"/>
      <c r="DB666" s="47"/>
      <c r="DC666" s="47"/>
      <c r="DD666" s="47"/>
      <c r="DE666" s="47"/>
      <c r="DF666" s="47"/>
      <c r="DG666" s="47"/>
      <c r="DH666" s="47"/>
    </row>
    <row r="667">
      <c r="A667" s="64"/>
      <c r="B667" s="47"/>
      <c r="C667" s="47"/>
      <c r="D667" s="47"/>
      <c r="E667" s="47"/>
      <c r="F667" s="47"/>
      <c r="G667" s="46"/>
      <c r="H667" s="42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R667" s="47"/>
      <c r="CS667" s="47"/>
      <c r="CT667" s="47"/>
      <c r="CU667" s="47"/>
      <c r="CV667" s="47"/>
      <c r="CW667" s="47"/>
      <c r="CX667" s="47"/>
      <c r="CY667" s="47"/>
      <c r="CZ667" s="47"/>
      <c r="DA667" s="47"/>
      <c r="DB667" s="47"/>
      <c r="DC667" s="47"/>
      <c r="DD667" s="47"/>
      <c r="DE667" s="47"/>
      <c r="DF667" s="47"/>
      <c r="DG667" s="47"/>
      <c r="DH667" s="47"/>
    </row>
    <row r="668">
      <c r="A668" s="64"/>
      <c r="B668" s="47"/>
      <c r="C668" s="47"/>
      <c r="D668" s="47"/>
      <c r="E668" s="47"/>
      <c r="F668" s="47"/>
      <c r="G668" s="46"/>
      <c r="H668" s="42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R668" s="47"/>
      <c r="CS668" s="47"/>
      <c r="CT668" s="47"/>
      <c r="CU668" s="47"/>
      <c r="CV668" s="47"/>
      <c r="CW668" s="47"/>
      <c r="CX668" s="47"/>
      <c r="CY668" s="47"/>
      <c r="CZ668" s="47"/>
      <c r="DA668" s="47"/>
      <c r="DB668" s="47"/>
      <c r="DC668" s="47"/>
      <c r="DD668" s="47"/>
      <c r="DE668" s="47"/>
      <c r="DF668" s="47"/>
      <c r="DG668" s="47"/>
      <c r="DH668" s="47"/>
    </row>
    <row r="669">
      <c r="A669" s="64"/>
      <c r="B669" s="47"/>
      <c r="C669" s="47"/>
      <c r="D669" s="47"/>
      <c r="E669" s="47"/>
      <c r="F669" s="47"/>
      <c r="G669" s="46"/>
      <c r="H669" s="42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R669" s="47"/>
      <c r="CS669" s="47"/>
      <c r="CT669" s="47"/>
      <c r="CU669" s="47"/>
      <c r="CV669" s="47"/>
      <c r="CW669" s="47"/>
      <c r="CX669" s="47"/>
      <c r="CY669" s="47"/>
      <c r="CZ669" s="47"/>
      <c r="DA669" s="47"/>
      <c r="DB669" s="47"/>
      <c r="DC669" s="47"/>
      <c r="DD669" s="47"/>
      <c r="DE669" s="47"/>
      <c r="DF669" s="47"/>
      <c r="DG669" s="47"/>
      <c r="DH669" s="47"/>
    </row>
    <row r="670">
      <c r="A670" s="64"/>
      <c r="B670" s="47"/>
      <c r="C670" s="47"/>
      <c r="D670" s="47"/>
      <c r="E670" s="47"/>
      <c r="F670" s="47"/>
      <c r="G670" s="46"/>
      <c r="H670" s="42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R670" s="47"/>
      <c r="CS670" s="47"/>
      <c r="CT670" s="47"/>
      <c r="CU670" s="47"/>
      <c r="CV670" s="47"/>
      <c r="CW670" s="47"/>
      <c r="CX670" s="47"/>
      <c r="CY670" s="47"/>
      <c r="CZ670" s="47"/>
      <c r="DA670" s="47"/>
      <c r="DB670" s="47"/>
      <c r="DC670" s="47"/>
      <c r="DD670" s="47"/>
      <c r="DE670" s="47"/>
      <c r="DF670" s="47"/>
      <c r="DG670" s="47"/>
      <c r="DH670" s="47"/>
    </row>
    <row r="671">
      <c r="A671" s="64"/>
      <c r="B671" s="47"/>
      <c r="C671" s="47"/>
      <c r="D671" s="47"/>
      <c r="E671" s="47"/>
      <c r="F671" s="47"/>
      <c r="G671" s="46"/>
      <c r="H671" s="42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  <c r="BP671" s="47"/>
      <c r="BQ671" s="47"/>
      <c r="BR671" s="47"/>
      <c r="BS671" s="47"/>
      <c r="BT671" s="47"/>
      <c r="BU671" s="47"/>
      <c r="BV671" s="47"/>
      <c r="BW671" s="47"/>
      <c r="BX671" s="47"/>
      <c r="BY671" s="47"/>
      <c r="BZ671" s="47"/>
      <c r="CA671" s="47"/>
      <c r="CB671" s="47"/>
      <c r="CC671" s="47"/>
      <c r="CD671" s="47"/>
      <c r="CE671" s="47"/>
      <c r="CF671" s="47"/>
      <c r="CG671" s="47"/>
      <c r="CH671" s="47"/>
      <c r="CI671" s="47"/>
      <c r="CJ671" s="47"/>
      <c r="CK671" s="47"/>
      <c r="CL671" s="47"/>
      <c r="CM671" s="47"/>
      <c r="CN671" s="47"/>
      <c r="CO671" s="47"/>
      <c r="CP671" s="47"/>
      <c r="CQ671" s="47"/>
      <c r="CR671" s="47"/>
      <c r="CS671" s="47"/>
      <c r="CT671" s="47"/>
      <c r="CU671" s="47"/>
      <c r="CV671" s="47"/>
      <c r="CW671" s="47"/>
      <c r="CX671" s="47"/>
      <c r="CY671" s="47"/>
      <c r="CZ671" s="47"/>
      <c r="DA671" s="47"/>
      <c r="DB671" s="47"/>
      <c r="DC671" s="47"/>
      <c r="DD671" s="47"/>
      <c r="DE671" s="47"/>
      <c r="DF671" s="47"/>
      <c r="DG671" s="47"/>
      <c r="DH671" s="47"/>
    </row>
    <row r="672">
      <c r="A672" s="64"/>
      <c r="B672" s="47"/>
      <c r="C672" s="47"/>
      <c r="D672" s="47"/>
      <c r="E672" s="47"/>
      <c r="F672" s="47"/>
      <c r="G672" s="46"/>
      <c r="H672" s="42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  <c r="BP672" s="47"/>
      <c r="BQ672" s="47"/>
      <c r="BR672" s="47"/>
      <c r="BS672" s="47"/>
      <c r="BT672" s="47"/>
      <c r="BU672" s="47"/>
      <c r="BV672" s="47"/>
      <c r="BW672" s="47"/>
      <c r="BX672" s="47"/>
      <c r="BY672" s="47"/>
      <c r="BZ672" s="47"/>
      <c r="CA672" s="47"/>
      <c r="CB672" s="47"/>
      <c r="CC672" s="47"/>
      <c r="CD672" s="47"/>
      <c r="CE672" s="47"/>
      <c r="CF672" s="47"/>
      <c r="CG672" s="47"/>
      <c r="CH672" s="47"/>
      <c r="CI672" s="47"/>
      <c r="CJ672" s="47"/>
      <c r="CK672" s="47"/>
      <c r="CL672" s="47"/>
      <c r="CM672" s="47"/>
      <c r="CN672" s="47"/>
      <c r="CO672" s="47"/>
      <c r="CP672" s="47"/>
      <c r="CQ672" s="47"/>
      <c r="CR672" s="47"/>
      <c r="CS672" s="47"/>
      <c r="CT672" s="47"/>
      <c r="CU672" s="47"/>
      <c r="CV672" s="47"/>
      <c r="CW672" s="47"/>
      <c r="CX672" s="47"/>
      <c r="CY672" s="47"/>
      <c r="CZ672" s="47"/>
      <c r="DA672" s="47"/>
      <c r="DB672" s="47"/>
      <c r="DC672" s="47"/>
      <c r="DD672" s="47"/>
      <c r="DE672" s="47"/>
      <c r="DF672" s="47"/>
      <c r="DG672" s="47"/>
      <c r="DH672" s="47"/>
    </row>
    <row r="673">
      <c r="A673" s="64"/>
      <c r="B673" s="47"/>
      <c r="C673" s="47"/>
      <c r="D673" s="47"/>
      <c r="E673" s="47"/>
      <c r="F673" s="47"/>
      <c r="G673" s="46"/>
      <c r="H673" s="42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  <c r="BP673" s="47"/>
      <c r="BQ673" s="47"/>
      <c r="BR673" s="47"/>
      <c r="BS673" s="47"/>
      <c r="BT673" s="47"/>
      <c r="BU673" s="47"/>
      <c r="BV673" s="47"/>
      <c r="BW673" s="47"/>
      <c r="BX673" s="47"/>
      <c r="BY673" s="47"/>
      <c r="BZ673" s="47"/>
      <c r="CA673" s="47"/>
      <c r="CB673" s="47"/>
      <c r="CC673" s="47"/>
      <c r="CD673" s="47"/>
      <c r="CE673" s="47"/>
      <c r="CF673" s="47"/>
      <c r="CG673" s="47"/>
      <c r="CH673" s="47"/>
      <c r="CI673" s="47"/>
      <c r="CJ673" s="47"/>
      <c r="CK673" s="47"/>
      <c r="CL673" s="47"/>
      <c r="CM673" s="47"/>
      <c r="CN673" s="47"/>
      <c r="CO673" s="47"/>
      <c r="CP673" s="47"/>
      <c r="CQ673" s="47"/>
      <c r="CR673" s="47"/>
      <c r="CS673" s="47"/>
      <c r="CT673" s="47"/>
      <c r="CU673" s="47"/>
      <c r="CV673" s="47"/>
      <c r="CW673" s="47"/>
      <c r="CX673" s="47"/>
      <c r="CY673" s="47"/>
      <c r="CZ673" s="47"/>
      <c r="DA673" s="47"/>
      <c r="DB673" s="47"/>
      <c r="DC673" s="47"/>
      <c r="DD673" s="47"/>
      <c r="DE673" s="47"/>
      <c r="DF673" s="47"/>
      <c r="DG673" s="47"/>
      <c r="DH673" s="47"/>
    </row>
    <row r="674">
      <c r="A674" s="64"/>
      <c r="B674" s="47"/>
      <c r="C674" s="47"/>
      <c r="D674" s="47"/>
      <c r="E674" s="47"/>
      <c r="F674" s="47"/>
      <c r="G674" s="46"/>
      <c r="H674" s="42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R674" s="47"/>
      <c r="CS674" s="47"/>
      <c r="CT674" s="47"/>
      <c r="CU674" s="47"/>
      <c r="CV674" s="47"/>
      <c r="CW674" s="47"/>
      <c r="CX674" s="47"/>
      <c r="CY674" s="47"/>
      <c r="CZ674" s="47"/>
      <c r="DA674" s="47"/>
      <c r="DB674" s="47"/>
      <c r="DC674" s="47"/>
      <c r="DD674" s="47"/>
      <c r="DE674" s="47"/>
      <c r="DF674" s="47"/>
      <c r="DG674" s="47"/>
      <c r="DH674" s="47"/>
    </row>
    <row r="675">
      <c r="A675" s="64"/>
      <c r="B675" s="47"/>
      <c r="C675" s="47"/>
      <c r="D675" s="47"/>
      <c r="E675" s="47"/>
      <c r="F675" s="47"/>
      <c r="G675" s="46"/>
      <c r="H675" s="42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R675" s="47"/>
      <c r="CS675" s="47"/>
      <c r="CT675" s="47"/>
      <c r="CU675" s="47"/>
      <c r="CV675" s="47"/>
      <c r="CW675" s="47"/>
      <c r="CX675" s="47"/>
      <c r="CY675" s="47"/>
      <c r="CZ675" s="47"/>
      <c r="DA675" s="47"/>
      <c r="DB675" s="47"/>
      <c r="DC675" s="47"/>
      <c r="DD675" s="47"/>
      <c r="DE675" s="47"/>
      <c r="DF675" s="47"/>
      <c r="DG675" s="47"/>
      <c r="DH675" s="47"/>
    </row>
    <row r="676">
      <c r="A676" s="64"/>
      <c r="B676" s="47"/>
      <c r="C676" s="47"/>
      <c r="D676" s="47"/>
      <c r="E676" s="47"/>
      <c r="F676" s="47"/>
      <c r="G676" s="46"/>
      <c r="H676" s="42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R676" s="47"/>
      <c r="CS676" s="47"/>
      <c r="CT676" s="47"/>
      <c r="CU676" s="47"/>
      <c r="CV676" s="47"/>
      <c r="CW676" s="47"/>
      <c r="CX676" s="47"/>
      <c r="CY676" s="47"/>
      <c r="CZ676" s="47"/>
      <c r="DA676" s="47"/>
      <c r="DB676" s="47"/>
      <c r="DC676" s="47"/>
      <c r="DD676" s="47"/>
      <c r="DE676" s="47"/>
      <c r="DF676" s="47"/>
      <c r="DG676" s="47"/>
      <c r="DH676" s="47"/>
    </row>
    <row r="677">
      <c r="A677" s="64"/>
      <c r="B677" s="47"/>
      <c r="C677" s="47"/>
      <c r="D677" s="47"/>
      <c r="E677" s="47"/>
      <c r="F677" s="47"/>
      <c r="G677" s="46"/>
      <c r="H677" s="42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  <c r="BP677" s="47"/>
      <c r="BQ677" s="47"/>
      <c r="BR677" s="47"/>
      <c r="BS677" s="47"/>
      <c r="BT677" s="47"/>
      <c r="BU677" s="47"/>
      <c r="BV677" s="47"/>
      <c r="BW677" s="47"/>
      <c r="BX677" s="47"/>
      <c r="BY677" s="47"/>
      <c r="BZ677" s="47"/>
      <c r="CA677" s="47"/>
      <c r="CB677" s="47"/>
      <c r="CC677" s="47"/>
      <c r="CD677" s="47"/>
      <c r="CE677" s="47"/>
      <c r="CF677" s="47"/>
      <c r="CG677" s="47"/>
      <c r="CH677" s="47"/>
      <c r="CI677" s="47"/>
      <c r="CJ677" s="47"/>
      <c r="CK677" s="47"/>
      <c r="CL677" s="47"/>
      <c r="CM677" s="47"/>
      <c r="CN677" s="47"/>
      <c r="CO677" s="47"/>
      <c r="CP677" s="47"/>
      <c r="CQ677" s="47"/>
      <c r="CR677" s="47"/>
      <c r="CS677" s="47"/>
      <c r="CT677" s="47"/>
      <c r="CU677" s="47"/>
      <c r="CV677" s="47"/>
      <c r="CW677" s="47"/>
      <c r="CX677" s="47"/>
      <c r="CY677" s="47"/>
      <c r="CZ677" s="47"/>
      <c r="DA677" s="47"/>
      <c r="DB677" s="47"/>
      <c r="DC677" s="47"/>
      <c r="DD677" s="47"/>
      <c r="DE677" s="47"/>
      <c r="DF677" s="47"/>
      <c r="DG677" s="47"/>
      <c r="DH677" s="47"/>
    </row>
    <row r="678">
      <c r="A678" s="64"/>
      <c r="B678" s="47"/>
      <c r="C678" s="47"/>
      <c r="D678" s="47"/>
      <c r="E678" s="47"/>
      <c r="F678" s="47"/>
      <c r="G678" s="46"/>
      <c r="H678" s="42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  <c r="BP678" s="47"/>
      <c r="BQ678" s="47"/>
      <c r="BR678" s="47"/>
      <c r="BS678" s="47"/>
      <c r="BT678" s="47"/>
      <c r="BU678" s="47"/>
      <c r="BV678" s="47"/>
      <c r="BW678" s="47"/>
      <c r="BX678" s="47"/>
      <c r="BY678" s="47"/>
      <c r="BZ678" s="47"/>
      <c r="CA678" s="47"/>
      <c r="CB678" s="47"/>
      <c r="CC678" s="47"/>
      <c r="CD678" s="47"/>
      <c r="CE678" s="47"/>
      <c r="CF678" s="47"/>
      <c r="CG678" s="47"/>
      <c r="CH678" s="47"/>
      <c r="CI678" s="47"/>
      <c r="CJ678" s="47"/>
      <c r="CK678" s="47"/>
      <c r="CL678" s="47"/>
      <c r="CM678" s="47"/>
      <c r="CN678" s="47"/>
      <c r="CO678" s="47"/>
      <c r="CP678" s="47"/>
      <c r="CQ678" s="47"/>
      <c r="CR678" s="47"/>
      <c r="CS678" s="47"/>
      <c r="CT678" s="47"/>
      <c r="CU678" s="47"/>
      <c r="CV678" s="47"/>
      <c r="CW678" s="47"/>
      <c r="CX678" s="47"/>
      <c r="CY678" s="47"/>
      <c r="CZ678" s="47"/>
      <c r="DA678" s="47"/>
      <c r="DB678" s="47"/>
      <c r="DC678" s="47"/>
      <c r="DD678" s="47"/>
      <c r="DE678" s="47"/>
      <c r="DF678" s="47"/>
      <c r="DG678" s="47"/>
      <c r="DH678" s="47"/>
    </row>
    <row r="679">
      <c r="A679" s="64"/>
      <c r="B679" s="47"/>
      <c r="C679" s="47"/>
      <c r="D679" s="47"/>
      <c r="E679" s="47"/>
      <c r="F679" s="47"/>
      <c r="G679" s="46"/>
      <c r="H679" s="42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  <c r="BP679" s="47"/>
      <c r="BQ679" s="47"/>
      <c r="BR679" s="47"/>
      <c r="BS679" s="47"/>
      <c r="BT679" s="47"/>
      <c r="BU679" s="47"/>
      <c r="BV679" s="47"/>
      <c r="BW679" s="47"/>
      <c r="BX679" s="47"/>
      <c r="BY679" s="47"/>
      <c r="BZ679" s="47"/>
      <c r="CA679" s="47"/>
      <c r="CB679" s="47"/>
      <c r="CC679" s="47"/>
      <c r="CD679" s="47"/>
      <c r="CE679" s="47"/>
      <c r="CF679" s="47"/>
      <c r="CG679" s="47"/>
      <c r="CH679" s="47"/>
      <c r="CI679" s="47"/>
      <c r="CJ679" s="47"/>
      <c r="CK679" s="47"/>
      <c r="CL679" s="47"/>
      <c r="CM679" s="47"/>
      <c r="CN679" s="47"/>
      <c r="CO679" s="47"/>
      <c r="CP679" s="47"/>
      <c r="CQ679" s="47"/>
      <c r="CR679" s="47"/>
      <c r="CS679" s="47"/>
      <c r="CT679" s="47"/>
      <c r="CU679" s="47"/>
      <c r="CV679" s="47"/>
      <c r="CW679" s="47"/>
      <c r="CX679" s="47"/>
      <c r="CY679" s="47"/>
      <c r="CZ679" s="47"/>
      <c r="DA679" s="47"/>
      <c r="DB679" s="47"/>
      <c r="DC679" s="47"/>
      <c r="DD679" s="47"/>
      <c r="DE679" s="47"/>
      <c r="DF679" s="47"/>
      <c r="DG679" s="47"/>
      <c r="DH679" s="47"/>
    </row>
    <row r="680">
      <c r="A680" s="64"/>
      <c r="B680" s="47"/>
      <c r="C680" s="47"/>
      <c r="D680" s="47"/>
      <c r="E680" s="47"/>
      <c r="F680" s="47"/>
      <c r="G680" s="46"/>
      <c r="H680" s="42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  <c r="BL680" s="47"/>
      <c r="BM680" s="47"/>
      <c r="BN680" s="47"/>
      <c r="BO680" s="47"/>
      <c r="BP680" s="47"/>
      <c r="BQ680" s="47"/>
      <c r="BR680" s="47"/>
      <c r="BS680" s="47"/>
      <c r="BT680" s="47"/>
      <c r="BU680" s="47"/>
      <c r="BV680" s="47"/>
      <c r="BW680" s="47"/>
      <c r="BX680" s="47"/>
      <c r="BY680" s="47"/>
      <c r="BZ680" s="47"/>
      <c r="CA680" s="47"/>
      <c r="CB680" s="47"/>
      <c r="CC680" s="47"/>
      <c r="CD680" s="47"/>
      <c r="CE680" s="47"/>
      <c r="CF680" s="47"/>
      <c r="CG680" s="47"/>
      <c r="CH680" s="47"/>
      <c r="CI680" s="47"/>
      <c r="CJ680" s="47"/>
      <c r="CK680" s="47"/>
      <c r="CL680" s="47"/>
      <c r="CM680" s="47"/>
      <c r="CN680" s="47"/>
      <c r="CO680" s="47"/>
      <c r="CP680" s="47"/>
      <c r="CQ680" s="47"/>
      <c r="CR680" s="47"/>
      <c r="CS680" s="47"/>
      <c r="CT680" s="47"/>
      <c r="CU680" s="47"/>
      <c r="CV680" s="47"/>
      <c r="CW680" s="47"/>
      <c r="CX680" s="47"/>
      <c r="CY680" s="47"/>
      <c r="CZ680" s="47"/>
      <c r="DA680" s="47"/>
      <c r="DB680" s="47"/>
      <c r="DC680" s="47"/>
      <c r="DD680" s="47"/>
      <c r="DE680" s="47"/>
      <c r="DF680" s="47"/>
      <c r="DG680" s="47"/>
      <c r="DH680" s="47"/>
    </row>
    <row r="681">
      <c r="A681" s="64"/>
      <c r="B681" s="47"/>
      <c r="C681" s="47"/>
      <c r="D681" s="47"/>
      <c r="E681" s="47"/>
      <c r="F681" s="47"/>
      <c r="G681" s="46"/>
      <c r="H681" s="42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  <c r="BL681" s="47"/>
      <c r="BM681" s="47"/>
      <c r="BN681" s="47"/>
      <c r="BO681" s="47"/>
      <c r="BP681" s="47"/>
      <c r="BQ681" s="47"/>
      <c r="BR681" s="47"/>
      <c r="BS681" s="47"/>
      <c r="BT681" s="47"/>
      <c r="BU681" s="47"/>
      <c r="BV681" s="47"/>
      <c r="BW681" s="47"/>
      <c r="BX681" s="47"/>
      <c r="BY681" s="47"/>
      <c r="BZ681" s="47"/>
      <c r="CA681" s="47"/>
      <c r="CB681" s="47"/>
      <c r="CC681" s="47"/>
      <c r="CD681" s="47"/>
      <c r="CE681" s="47"/>
      <c r="CF681" s="47"/>
      <c r="CG681" s="47"/>
      <c r="CH681" s="47"/>
      <c r="CI681" s="47"/>
      <c r="CJ681" s="47"/>
      <c r="CK681" s="47"/>
      <c r="CL681" s="47"/>
      <c r="CM681" s="47"/>
      <c r="CN681" s="47"/>
      <c r="CO681" s="47"/>
      <c r="CP681" s="47"/>
      <c r="CQ681" s="47"/>
      <c r="CR681" s="47"/>
      <c r="CS681" s="47"/>
      <c r="CT681" s="47"/>
      <c r="CU681" s="47"/>
      <c r="CV681" s="47"/>
      <c r="CW681" s="47"/>
      <c r="CX681" s="47"/>
      <c r="CY681" s="47"/>
      <c r="CZ681" s="47"/>
      <c r="DA681" s="47"/>
      <c r="DB681" s="47"/>
      <c r="DC681" s="47"/>
      <c r="DD681" s="47"/>
      <c r="DE681" s="47"/>
      <c r="DF681" s="47"/>
      <c r="DG681" s="47"/>
      <c r="DH681" s="47"/>
    </row>
    <row r="682">
      <c r="A682" s="64"/>
      <c r="B682" s="47"/>
      <c r="C682" s="47"/>
      <c r="D682" s="47"/>
      <c r="E682" s="47"/>
      <c r="F682" s="47"/>
      <c r="G682" s="46"/>
      <c r="H682" s="42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  <c r="BL682" s="47"/>
      <c r="BM682" s="47"/>
      <c r="BN682" s="47"/>
      <c r="BO682" s="47"/>
      <c r="BP682" s="47"/>
      <c r="BQ682" s="47"/>
      <c r="BR682" s="47"/>
      <c r="BS682" s="47"/>
      <c r="BT682" s="47"/>
      <c r="BU682" s="47"/>
      <c r="BV682" s="47"/>
      <c r="BW682" s="47"/>
      <c r="BX682" s="47"/>
      <c r="BY682" s="47"/>
      <c r="BZ682" s="47"/>
      <c r="CA682" s="47"/>
      <c r="CB682" s="47"/>
      <c r="CC682" s="47"/>
      <c r="CD682" s="47"/>
      <c r="CE682" s="47"/>
      <c r="CF682" s="47"/>
      <c r="CG682" s="47"/>
      <c r="CH682" s="47"/>
      <c r="CI682" s="47"/>
      <c r="CJ682" s="47"/>
      <c r="CK682" s="47"/>
      <c r="CL682" s="47"/>
      <c r="CM682" s="47"/>
      <c r="CN682" s="47"/>
      <c r="CO682" s="47"/>
      <c r="CP682" s="47"/>
      <c r="CQ682" s="47"/>
      <c r="CR682" s="47"/>
      <c r="CS682" s="47"/>
      <c r="CT682" s="47"/>
      <c r="CU682" s="47"/>
      <c r="CV682" s="47"/>
      <c r="CW682" s="47"/>
      <c r="CX682" s="47"/>
      <c r="CY682" s="47"/>
      <c r="CZ682" s="47"/>
      <c r="DA682" s="47"/>
      <c r="DB682" s="47"/>
      <c r="DC682" s="47"/>
      <c r="DD682" s="47"/>
      <c r="DE682" s="47"/>
      <c r="DF682" s="47"/>
      <c r="DG682" s="47"/>
      <c r="DH682" s="47"/>
    </row>
    <row r="683">
      <c r="A683" s="64"/>
      <c r="B683" s="47"/>
      <c r="C683" s="47"/>
      <c r="D683" s="47"/>
      <c r="E683" s="47"/>
      <c r="F683" s="47"/>
      <c r="G683" s="46"/>
      <c r="H683" s="42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  <c r="BL683" s="47"/>
      <c r="BM683" s="47"/>
      <c r="BN683" s="47"/>
      <c r="BO683" s="47"/>
      <c r="BP683" s="47"/>
      <c r="BQ683" s="47"/>
      <c r="BR683" s="47"/>
      <c r="BS683" s="47"/>
      <c r="BT683" s="47"/>
      <c r="BU683" s="47"/>
      <c r="BV683" s="47"/>
      <c r="BW683" s="47"/>
      <c r="BX683" s="47"/>
      <c r="BY683" s="47"/>
      <c r="BZ683" s="47"/>
      <c r="CA683" s="47"/>
      <c r="CB683" s="47"/>
      <c r="CC683" s="47"/>
      <c r="CD683" s="47"/>
      <c r="CE683" s="47"/>
      <c r="CF683" s="47"/>
      <c r="CG683" s="47"/>
      <c r="CH683" s="47"/>
      <c r="CI683" s="47"/>
      <c r="CJ683" s="47"/>
      <c r="CK683" s="47"/>
      <c r="CL683" s="47"/>
      <c r="CM683" s="47"/>
      <c r="CN683" s="47"/>
      <c r="CO683" s="47"/>
      <c r="CP683" s="47"/>
      <c r="CQ683" s="47"/>
      <c r="CR683" s="47"/>
      <c r="CS683" s="47"/>
      <c r="CT683" s="47"/>
      <c r="CU683" s="47"/>
      <c r="CV683" s="47"/>
      <c r="CW683" s="47"/>
      <c r="CX683" s="47"/>
      <c r="CY683" s="47"/>
      <c r="CZ683" s="47"/>
      <c r="DA683" s="47"/>
      <c r="DB683" s="47"/>
      <c r="DC683" s="47"/>
      <c r="DD683" s="47"/>
      <c r="DE683" s="47"/>
      <c r="DF683" s="47"/>
      <c r="DG683" s="47"/>
      <c r="DH683" s="47"/>
    </row>
    <row r="684">
      <c r="A684" s="64"/>
      <c r="B684" s="47"/>
      <c r="C684" s="47"/>
      <c r="D684" s="47"/>
      <c r="E684" s="47"/>
      <c r="F684" s="47"/>
      <c r="G684" s="46"/>
      <c r="H684" s="42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  <c r="BL684" s="47"/>
      <c r="BM684" s="47"/>
      <c r="BN684" s="47"/>
      <c r="BO684" s="47"/>
      <c r="BP684" s="47"/>
      <c r="BQ684" s="47"/>
      <c r="BR684" s="47"/>
      <c r="BS684" s="47"/>
      <c r="BT684" s="47"/>
      <c r="BU684" s="47"/>
      <c r="BV684" s="47"/>
      <c r="BW684" s="47"/>
      <c r="BX684" s="47"/>
      <c r="BY684" s="47"/>
      <c r="BZ684" s="47"/>
      <c r="CA684" s="47"/>
      <c r="CB684" s="47"/>
      <c r="CC684" s="47"/>
      <c r="CD684" s="47"/>
      <c r="CE684" s="47"/>
      <c r="CF684" s="47"/>
      <c r="CG684" s="47"/>
      <c r="CH684" s="47"/>
      <c r="CI684" s="47"/>
      <c r="CJ684" s="47"/>
      <c r="CK684" s="47"/>
      <c r="CL684" s="47"/>
      <c r="CM684" s="47"/>
      <c r="CN684" s="47"/>
      <c r="CO684" s="47"/>
      <c r="CP684" s="47"/>
      <c r="CQ684" s="47"/>
      <c r="CR684" s="47"/>
      <c r="CS684" s="47"/>
      <c r="CT684" s="47"/>
      <c r="CU684" s="47"/>
      <c r="CV684" s="47"/>
      <c r="CW684" s="47"/>
      <c r="CX684" s="47"/>
      <c r="CY684" s="47"/>
      <c r="CZ684" s="47"/>
      <c r="DA684" s="47"/>
      <c r="DB684" s="47"/>
      <c r="DC684" s="47"/>
      <c r="DD684" s="47"/>
      <c r="DE684" s="47"/>
      <c r="DF684" s="47"/>
      <c r="DG684" s="47"/>
      <c r="DH684" s="47"/>
    </row>
    <row r="685">
      <c r="A685" s="64"/>
      <c r="B685" s="47"/>
      <c r="C685" s="47"/>
      <c r="D685" s="47"/>
      <c r="E685" s="47"/>
      <c r="F685" s="47"/>
      <c r="G685" s="46"/>
      <c r="H685" s="42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  <c r="BL685" s="47"/>
      <c r="BM685" s="47"/>
      <c r="BN685" s="47"/>
      <c r="BO685" s="47"/>
      <c r="BP685" s="47"/>
      <c r="BQ685" s="47"/>
      <c r="BR685" s="47"/>
      <c r="BS685" s="47"/>
      <c r="BT685" s="47"/>
      <c r="BU685" s="47"/>
      <c r="BV685" s="47"/>
      <c r="BW685" s="47"/>
      <c r="BX685" s="47"/>
      <c r="BY685" s="47"/>
      <c r="BZ685" s="47"/>
      <c r="CA685" s="47"/>
      <c r="CB685" s="47"/>
      <c r="CC685" s="47"/>
      <c r="CD685" s="47"/>
      <c r="CE685" s="47"/>
      <c r="CF685" s="47"/>
      <c r="CG685" s="47"/>
      <c r="CH685" s="47"/>
      <c r="CI685" s="47"/>
      <c r="CJ685" s="47"/>
      <c r="CK685" s="47"/>
      <c r="CL685" s="47"/>
      <c r="CM685" s="47"/>
      <c r="CN685" s="47"/>
      <c r="CO685" s="47"/>
      <c r="CP685" s="47"/>
      <c r="CQ685" s="47"/>
      <c r="CR685" s="47"/>
      <c r="CS685" s="47"/>
      <c r="CT685" s="47"/>
      <c r="CU685" s="47"/>
      <c r="CV685" s="47"/>
      <c r="CW685" s="47"/>
      <c r="CX685" s="47"/>
      <c r="CY685" s="47"/>
      <c r="CZ685" s="47"/>
      <c r="DA685" s="47"/>
      <c r="DB685" s="47"/>
      <c r="DC685" s="47"/>
      <c r="DD685" s="47"/>
      <c r="DE685" s="47"/>
      <c r="DF685" s="47"/>
      <c r="DG685" s="47"/>
      <c r="DH685" s="47"/>
    </row>
    <row r="686">
      <c r="A686" s="64"/>
      <c r="B686" s="47"/>
      <c r="C686" s="47"/>
      <c r="D686" s="47"/>
      <c r="E686" s="47"/>
      <c r="F686" s="47"/>
      <c r="G686" s="46"/>
      <c r="H686" s="42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  <c r="BL686" s="47"/>
      <c r="BM686" s="47"/>
      <c r="BN686" s="47"/>
      <c r="BO686" s="47"/>
      <c r="BP686" s="47"/>
      <c r="BQ686" s="47"/>
      <c r="BR686" s="47"/>
      <c r="BS686" s="47"/>
      <c r="BT686" s="47"/>
      <c r="BU686" s="47"/>
      <c r="BV686" s="47"/>
      <c r="BW686" s="47"/>
      <c r="BX686" s="47"/>
      <c r="BY686" s="47"/>
      <c r="BZ686" s="47"/>
      <c r="CA686" s="47"/>
      <c r="CB686" s="47"/>
      <c r="CC686" s="47"/>
      <c r="CD686" s="47"/>
      <c r="CE686" s="47"/>
      <c r="CF686" s="47"/>
      <c r="CG686" s="47"/>
      <c r="CH686" s="47"/>
      <c r="CI686" s="47"/>
      <c r="CJ686" s="47"/>
      <c r="CK686" s="47"/>
      <c r="CL686" s="47"/>
      <c r="CM686" s="47"/>
      <c r="CN686" s="47"/>
      <c r="CO686" s="47"/>
      <c r="CP686" s="47"/>
      <c r="CQ686" s="47"/>
      <c r="CR686" s="47"/>
      <c r="CS686" s="47"/>
      <c r="CT686" s="47"/>
      <c r="CU686" s="47"/>
      <c r="CV686" s="47"/>
      <c r="CW686" s="47"/>
      <c r="CX686" s="47"/>
      <c r="CY686" s="47"/>
      <c r="CZ686" s="47"/>
      <c r="DA686" s="47"/>
      <c r="DB686" s="47"/>
      <c r="DC686" s="47"/>
      <c r="DD686" s="47"/>
      <c r="DE686" s="47"/>
      <c r="DF686" s="47"/>
      <c r="DG686" s="47"/>
      <c r="DH686" s="47"/>
    </row>
    <row r="687">
      <c r="A687" s="64"/>
      <c r="B687" s="47"/>
      <c r="C687" s="47"/>
      <c r="D687" s="47"/>
      <c r="E687" s="47"/>
      <c r="F687" s="47"/>
      <c r="G687" s="46"/>
      <c r="H687" s="42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  <c r="BL687" s="47"/>
      <c r="BM687" s="47"/>
      <c r="BN687" s="47"/>
      <c r="BO687" s="47"/>
      <c r="BP687" s="47"/>
      <c r="BQ687" s="47"/>
      <c r="BR687" s="47"/>
      <c r="BS687" s="47"/>
      <c r="BT687" s="47"/>
      <c r="BU687" s="47"/>
      <c r="BV687" s="47"/>
      <c r="BW687" s="47"/>
      <c r="BX687" s="47"/>
      <c r="BY687" s="47"/>
      <c r="BZ687" s="47"/>
      <c r="CA687" s="47"/>
      <c r="CB687" s="47"/>
      <c r="CC687" s="47"/>
      <c r="CD687" s="47"/>
      <c r="CE687" s="47"/>
      <c r="CF687" s="47"/>
      <c r="CG687" s="47"/>
      <c r="CH687" s="47"/>
      <c r="CI687" s="47"/>
      <c r="CJ687" s="47"/>
      <c r="CK687" s="47"/>
      <c r="CL687" s="47"/>
      <c r="CM687" s="47"/>
      <c r="CN687" s="47"/>
      <c r="CO687" s="47"/>
      <c r="CP687" s="47"/>
      <c r="CQ687" s="47"/>
      <c r="CR687" s="47"/>
      <c r="CS687" s="47"/>
      <c r="CT687" s="47"/>
      <c r="CU687" s="47"/>
      <c r="CV687" s="47"/>
      <c r="CW687" s="47"/>
      <c r="CX687" s="47"/>
      <c r="CY687" s="47"/>
      <c r="CZ687" s="47"/>
      <c r="DA687" s="47"/>
      <c r="DB687" s="47"/>
      <c r="DC687" s="47"/>
      <c r="DD687" s="47"/>
      <c r="DE687" s="47"/>
      <c r="DF687" s="47"/>
      <c r="DG687" s="47"/>
      <c r="DH687" s="47"/>
    </row>
    <row r="688">
      <c r="A688" s="64"/>
      <c r="B688" s="47"/>
      <c r="C688" s="47"/>
      <c r="D688" s="47"/>
      <c r="E688" s="47"/>
      <c r="F688" s="47"/>
      <c r="G688" s="46"/>
      <c r="H688" s="42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  <c r="BL688" s="47"/>
      <c r="BM688" s="47"/>
      <c r="BN688" s="47"/>
      <c r="BO688" s="47"/>
      <c r="BP688" s="47"/>
      <c r="BQ688" s="47"/>
      <c r="BR688" s="47"/>
      <c r="BS688" s="47"/>
      <c r="BT688" s="47"/>
      <c r="BU688" s="47"/>
      <c r="BV688" s="47"/>
      <c r="BW688" s="47"/>
      <c r="BX688" s="47"/>
      <c r="BY688" s="47"/>
      <c r="BZ688" s="47"/>
      <c r="CA688" s="47"/>
      <c r="CB688" s="47"/>
      <c r="CC688" s="47"/>
      <c r="CD688" s="47"/>
      <c r="CE688" s="47"/>
      <c r="CF688" s="47"/>
      <c r="CG688" s="47"/>
      <c r="CH688" s="47"/>
      <c r="CI688" s="47"/>
      <c r="CJ688" s="47"/>
      <c r="CK688" s="47"/>
      <c r="CL688" s="47"/>
      <c r="CM688" s="47"/>
      <c r="CN688" s="47"/>
      <c r="CO688" s="47"/>
      <c r="CP688" s="47"/>
      <c r="CQ688" s="47"/>
      <c r="CR688" s="47"/>
      <c r="CS688" s="47"/>
      <c r="CT688" s="47"/>
      <c r="CU688" s="47"/>
      <c r="CV688" s="47"/>
      <c r="CW688" s="47"/>
      <c r="CX688" s="47"/>
      <c r="CY688" s="47"/>
      <c r="CZ688" s="47"/>
      <c r="DA688" s="47"/>
      <c r="DB688" s="47"/>
      <c r="DC688" s="47"/>
      <c r="DD688" s="47"/>
      <c r="DE688" s="47"/>
      <c r="DF688" s="47"/>
      <c r="DG688" s="47"/>
      <c r="DH688" s="47"/>
    </row>
    <row r="689">
      <c r="A689" s="64"/>
      <c r="B689" s="47"/>
      <c r="C689" s="47"/>
      <c r="D689" s="47"/>
      <c r="E689" s="47"/>
      <c r="F689" s="47"/>
      <c r="G689" s="46"/>
      <c r="H689" s="42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  <c r="BL689" s="47"/>
      <c r="BM689" s="47"/>
      <c r="BN689" s="47"/>
      <c r="BO689" s="47"/>
      <c r="BP689" s="47"/>
      <c r="BQ689" s="47"/>
      <c r="BR689" s="47"/>
      <c r="BS689" s="47"/>
      <c r="BT689" s="47"/>
      <c r="BU689" s="47"/>
      <c r="BV689" s="47"/>
      <c r="BW689" s="47"/>
      <c r="BX689" s="47"/>
      <c r="BY689" s="47"/>
      <c r="BZ689" s="47"/>
      <c r="CA689" s="47"/>
      <c r="CB689" s="47"/>
      <c r="CC689" s="47"/>
      <c r="CD689" s="47"/>
      <c r="CE689" s="47"/>
      <c r="CF689" s="47"/>
      <c r="CG689" s="47"/>
      <c r="CH689" s="47"/>
      <c r="CI689" s="47"/>
      <c r="CJ689" s="47"/>
      <c r="CK689" s="47"/>
      <c r="CL689" s="47"/>
      <c r="CM689" s="47"/>
      <c r="CN689" s="47"/>
      <c r="CO689" s="47"/>
      <c r="CP689" s="47"/>
      <c r="CQ689" s="47"/>
      <c r="CR689" s="47"/>
      <c r="CS689" s="47"/>
      <c r="CT689" s="47"/>
      <c r="CU689" s="47"/>
      <c r="CV689" s="47"/>
      <c r="CW689" s="47"/>
      <c r="CX689" s="47"/>
      <c r="CY689" s="47"/>
      <c r="CZ689" s="47"/>
      <c r="DA689" s="47"/>
      <c r="DB689" s="47"/>
      <c r="DC689" s="47"/>
      <c r="DD689" s="47"/>
      <c r="DE689" s="47"/>
      <c r="DF689" s="47"/>
      <c r="DG689" s="47"/>
      <c r="DH689" s="47"/>
    </row>
    <row r="690">
      <c r="A690" s="64"/>
      <c r="B690" s="47"/>
      <c r="C690" s="47"/>
      <c r="D690" s="47"/>
      <c r="E690" s="47"/>
      <c r="F690" s="47"/>
      <c r="G690" s="46"/>
      <c r="H690" s="42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  <c r="BL690" s="47"/>
      <c r="BM690" s="47"/>
      <c r="BN690" s="47"/>
      <c r="BO690" s="47"/>
      <c r="BP690" s="47"/>
      <c r="BQ690" s="47"/>
      <c r="BR690" s="47"/>
      <c r="BS690" s="47"/>
      <c r="BT690" s="47"/>
      <c r="BU690" s="47"/>
      <c r="BV690" s="47"/>
      <c r="BW690" s="47"/>
      <c r="BX690" s="47"/>
      <c r="BY690" s="47"/>
      <c r="BZ690" s="47"/>
      <c r="CA690" s="47"/>
      <c r="CB690" s="47"/>
      <c r="CC690" s="47"/>
      <c r="CD690" s="47"/>
      <c r="CE690" s="47"/>
      <c r="CF690" s="47"/>
      <c r="CG690" s="47"/>
      <c r="CH690" s="47"/>
      <c r="CI690" s="47"/>
      <c r="CJ690" s="47"/>
      <c r="CK690" s="47"/>
      <c r="CL690" s="47"/>
      <c r="CM690" s="47"/>
      <c r="CN690" s="47"/>
      <c r="CO690" s="47"/>
      <c r="CP690" s="47"/>
      <c r="CQ690" s="47"/>
      <c r="CR690" s="47"/>
      <c r="CS690" s="47"/>
      <c r="CT690" s="47"/>
      <c r="CU690" s="47"/>
      <c r="CV690" s="47"/>
      <c r="CW690" s="47"/>
      <c r="CX690" s="47"/>
      <c r="CY690" s="47"/>
      <c r="CZ690" s="47"/>
      <c r="DA690" s="47"/>
      <c r="DB690" s="47"/>
      <c r="DC690" s="47"/>
      <c r="DD690" s="47"/>
      <c r="DE690" s="47"/>
      <c r="DF690" s="47"/>
      <c r="DG690" s="47"/>
      <c r="DH690" s="47"/>
    </row>
    <row r="691">
      <c r="A691" s="64"/>
      <c r="B691" s="47"/>
      <c r="C691" s="47"/>
      <c r="D691" s="47"/>
      <c r="E691" s="47"/>
      <c r="F691" s="47"/>
      <c r="G691" s="46"/>
      <c r="H691" s="42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  <c r="BL691" s="47"/>
      <c r="BM691" s="47"/>
      <c r="BN691" s="47"/>
      <c r="BO691" s="47"/>
      <c r="BP691" s="47"/>
      <c r="BQ691" s="47"/>
      <c r="BR691" s="47"/>
      <c r="BS691" s="47"/>
      <c r="BT691" s="47"/>
      <c r="BU691" s="47"/>
      <c r="BV691" s="47"/>
      <c r="BW691" s="47"/>
      <c r="BX691" s="47"/>
      <c r="BY691" s="47"/>
      <c r="BZ691" s="47"/>
      <c r="CA691" s="47"/>
      <c r="CB691" s="47"/>
      <c r="CC691" s="47"/>
      <c r="CD691" s="47"/>
      <c r="CE691" s="47"/>
      <c r="CF691" s="47"/>
      <c r="CG691" s="47"/>
      <c r="CH691" s="47"/>
      <c r="CI691" s="47"/>
      <c r="CJ691" s="47"/>
      <c r="CK691" s="47"/>
      <c r="CL691" s="47"/>
      <c r="CM691" s="47"/>
      <c r="CN691" s="47"/>
      <c r="CO691" s="47"/>
      <c r="CP691" s="47"/>
      <c r="CQ691" s="47"/>
      <c r="CR691" s="47"/>
      <c r="CS691" s="47"/>
      <c r="CT691" s="47"/>
      <c r="CU691" s="47"/>
      <c r="CV691" s="47"/>
      <c r="CW691" s="47"/>
      <c r="CX691" s="47"/>
      <c r="CY691" s="47"/>
      <c r="CZ691" s="47"/>
      <c r="DA691" s="47"/>
      <c r="DB691" s="47"/>
      <c r="DC691" s="47"/>
      <c r="DD691" s="47"/>
      <c r="DE691" s="47"/>
      <c r="DF691" s="47"/>
      <c r="DG691" s="47"/>
      <c r="DH691" s="47"/>
    </row>
    <row r="692">
      <c r="A692" s="64"/>
      <c r="B692" s="47"/>
      <c r="C692" s="47"/>
      <c r="D692" s="47"/>
      <c r="E692" s="47"/>
      <c r="F692" s="47"/>
      <c r="G692" s="46"/>
      <c r="H692" s="42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  <c r="BL692" s="47"/>
      <c r="BM692" s="47"/>
      <c r="BN692" s="47"/>
      <c r="BO692" s="47"/>
      <c r="BP692" s="47"/>
      <c r="BQ692" s="47"/>
      <c r="BR692" s="47"/>
      <c r="BS692" s="47"/>
      <c r="BT692" s="47"/>
      <c r="BU692" s="47"/>
      <c r="BV692" s="47"/>
      <c r="BW692" s="47"/>
      <c r="BX692" s="47"/>
      <c r="BY692" s="47"/>
      <c r="BZ692" s="47"/>
      <c r="CA692" s="47"/>
      <c r="CB692" s="47"/>
      <c r="CC692" s="47"/>
      <c r="CD692" s="47"/>
      <c r="CE692" s="47"/>
      <c r="CF692" s="47"/>
      <c r="CG692" s="47"/>
      <c r="CH692" s="47"/>
      <c r="CI692" s="47"/>
      <c r="CJ692" s="47"/>
      <c r="CK692" s="47"/>
      <c r="CL692" s="47"/>
      <c r="CM692" s="47"/>
      <c r="CN692" s="47"/>
      <c r="CO692" s="47"/>
      <c r="CP692" s="47"/>
      <c r="CQ692" s="47"/>
      <c r="CR692" s="47"/>
      <c r="CS692" s="47"/>
      <c r="CT692" s="47"/>
      <c r="CU692" s="47"/>
      <c r="CV692" s="47"/>
      <c r="CW692" s="47"/>
      <c r="CX692" s="47"/>
      <c r="CY692" s="47"/>
      <c r="CZ692" s="47"/>
      <c r="DA692" s="47"/>
      <c r="DB692" s="47"/>
      <c r="DC692" s="47"/>
      <c r="DD692" s="47"/>
      <c r="DE692" s="47"/>
      <c r="DF692" s="47"/>
      <c r="DG692" s="47"/>
      <c r="DH692" s="47"/>
    </row>
    <row r="693">
      <c r="A693" s="64"/>
      <c r="B693" s="47"/>
      <c r="C693" s="47"/>
      <c r="D693" s="47"/>
      <c r="E693" s="47"/>
      <c r="F693" s="47"/>
      <c r="G693" s="46"/>
      <c r="H693" s="42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  <c r="BL693" s="47"/>
      <c r="BM693" s="47"/>
      <c r="BN693" s="47"/>
      <c r="BO693" s="47"/>
      <c r="BP693" s="47"/>
      <c r="BQ693" s="47"/>
      <c r="BR693" s="47"/>
      <c r="BS693" s="47"/>
      <c r="BT693" s="47"/>
      <c r="BU693" s="47"/>
      <c r="BV693" s="47"/>
      <c r="BW693" s="47"/>
      <c r="BX693" s="47"/>
      <c r="BY693" s="47"/>
      <c r="BZ693" s="47"/>
      <c r="CA693" s="47"/>
      <c r="CB693" s="47"/>
      <c r="CC693" s="47"/>
      <c r="CD693" s="47"/>
      <c r="CE693" s="47"/>
      <c r="CF693" s="47"/>
      <c r="CG693" s="47"/>
      <c r="CH693" s="47"/>
      <c r="CI693" s="47"/>
      <c r="CJ693" s="47"/>
      <c r="CK693" s="47"/>
      <c r="CL693" s="47"/>
      <c r="CM693" s="47"/>
      <c r="CN693" s="47"/>
      <c r="CO693" s="47"/>
      <c r="CP693" s="47"/>
      <c r="CQ693" s="47"/>
      <c r="CR693" s="47"/>
      <c r="CS693" s="47"/>
      <c r="CT693" s="47"/>
      <c r="CU693" s="47"/>
      <c r="CV693" s="47"/>
      <c r="CW693" s="47"/>
      <c r="CX693" s="47"/>
      <c r="CY693" s="47"/>
      <c r="CZ693" s="47"/>
      <c r="DA693" s="47"/>
      <c r="DB693" s="47"/>
      <c r="DC693" s="47"/>
      <c r="DD693" s="47"/>
      <c r="DE693" s="47"/>
      <c r="DF693" s="47"/>
      <c r="DG693" s="47"/>
      <c r="DH693" s="47"/>
    </row>
    <row r="694">
      <c r="A694" s="64"/>
      <c r="B694" s="47"/>
      <c r="C694" s="47"/>
      <c r="D694" s="47"/>
      <c r="E694" s="47"/>
      <c r="F694" s="47"/>
      <c r="G694" s="46"/>
      <c r="H694" s="42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  <c r="BL694" s="47"/>
      <c r="BM694" s="47"/>
      <c r="BN694" s="47"/>
      <c r="BO694" s="47"/>
      <c r="BP694" s="47"/>
      <c r="BQ694" s="47"/>
      <c r="BR694" s="47"/>
      <c r="BS694" s="47"/>
      <c r="BT694" s="47"/>
      <c r="BU694" s="47"/>
      <c r="BV694" s="47"/>
      <c r="BW694" s="47"/>
      <c r="BX694" s="47"/>
      <c r="BY694" s="47"/>
      <c r="BZ694" s="47"/>
      <c r="CA694" s="47"/>
      <c r="CB694" s="47"/>
      <c r="CC694" s="47"/>
      <c r="CD694" s="47"/>
      <c r="CE694" s="47"/>
      <c r="CF694" s="47"/>
      <c r="CG694" s="47"/>
      <c r="CH694" s="47"/>
      <c r="CI694" s="47"/>
      <c r="CJ694" s="47"/>
      <c r="CK694" s="47"/>
      <c r="CL694" s="47"/>
      <c r="CM694" s="47"/>
      <c r="CN694" s="47"/>
      <c r="CO694" s="47"/>
      <c r="CP694" s="47"/>
      <c r="CQ694" s="47"/>
      <c r="CR694" s="47"/>
      <c r="CS694" s="47"/>
      <c r="CT694" s="47"/>
      <c r="CU694" s="47"/>
      <c r="CV694" s="47"/>
      <c r="CW694" s="47"/>
      <c r="CX694" s="47"/>
      <c r="CY694" s="47"/>
      <c r="CZ694" s="47"/>
      <c r="DA694" s="47"/>
      <c r="DB694" s="47"/>
      <c r="DC694" s="47"/>
      <c r="DD694" s="47"/>
      <c r="DE694" s="47"/>
      <c r="DF694" s="47"/>
      <c r="DG694" s="47"/>
      <c r="DH694" s="47"/>
    </row>
    <row r="695">
      <c r="A695" s="64"/>
      <c r="B695" s="47"/>
      <c r="C695" s="47"/>
      <c r="D695" s="47"/>
      <c r="E695" s="47"/>
      <c r="F695" s="47"/>
      <c r="G695" s="46"/>
      <c r="H695" s="42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  <c r="BP695" s="47"/>
      <c r="BQ695" s="47"/>
      <c r="BR695" s="47"/>
      <c r="BS695" s="47"/>
      <c r="BT695" s="47"/>
      <c r="BU695" s="47"/>
      <c r="BV695" s="47"/>
      <c r="BW695" s="47"/>
      <c r="BX695" s="47"/>
      <c r="BY695" s="47"/>
      <c r="BZ695" s="47"/>
      <c r="CA695" s="47"/>
      <c r="CB695" s="47"/>
      <c r="CC695" s="47"/>
      <c r="CD695" s="47"/>
      <c r="CE695" s="47"/>
      <c r="CF695" s="47"/>
      <c r="CG695" s="47"/>
      <c r="CH695" s="47"/>
      <c r="CI695" s="47"/>
      <c r="CJ695" s="47"/>
      <c r="CK695" s="47"/>
      <c r="CL695" s="47"/>
      <c r="CM695" s="47"/>
      <c r="CN695" s="47"/>
      <c r="CO695" s="47"/>
      <c r="CP695" s="47"/>
      <c r="CQ695" s="47"/>
      <c r="CR695" s="47"/>
      <c r="CS695" s="47"/>
      <c r="CT695" s="47"/>
      <c r="CU695" s="47"/>
      <c r="CV695" s="47"/>
      <c r="CW695" s="47"/>
      <c r="CX695" s="47"/>
      <c r="CY695" s="47"/>
      <c r="CZ695" s="47"/>
      <c r="DA695" s="47"/>
      <c r="DB695" s="47"/>
      <c r="DC695" s="47"/>
      <c r="DD695" s="47"/>
      <c r="DE695" s="47"/>
      <c r="DF695" s="47"/>
      <c r="DG695" s="47"/>
      <c r="DH695" s="47"/>
    </row>
    <row r="696">
      <c r="A696" s="64"/>
      <c r="B696" s="47"/>
      <c r="C696" s="47"/>
      <c r="D696" s="47"/>
      <c r="E696" s="47"/>
      <c r="F696" s="47"/>
      <c r="G696" s="46"/>
      <c r="H696" s="42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  <c r="BL696" s="47"/>
      <c r="BM696" s="47"/>
      <c r="BN696" s="47"/>
      <c r="BO696" s="47"/>
      <c r="BP696" s="47"/>
      <c r="BQ696" s="47"/>
      <c r="BR696" s="47"/>
      <c r="BS696" s="47"/>
      <c r="BT696" s="47"/>
      <c r="BU696" s="47"/>
      <c r="BV696" s="47"/>
      <c r="BW696" s="47"/>
      <c r="BX696" s="47"/>
      <c r="BY696" s="47"/>
      <c r="BZ696" s="47"/>
      <c r="CA696" s="47"/>
      <c r="CB696" s="47"/>
      <c r="CC696" s="47"/>
      <c r="CD696" s="47"/>
      <c r="CE696" s="47"/>
      <c r="CF696" s="47"/>
      <c r="CG696" s="47"/>
      <c r="CH696" s="47"/>
      <c r="CI696" s="47"/>
      <c r="CJ696" s="47"/>
      <c r="CK696" s="47"/>
      <c r="CL696" s="47"/>
      <c r="CM696" s="47"/>
      <c r="CN696" s="47"/>
      <c r="CO696" s="47"/>
      <c r="CP696" s="47"/>
      <c r="CQ696" s="47"/>
      <c r="CR696" s="47"/>
      <c r="CS696" s="47"/>
      <c r="CT696" s="47"/>
      <c r="CU696" s="47"/>
      <c r="CV696" s="47"/>
      <c r="CW696" s="47"/>
      <c r="CX696" s="47"/>
      <c r="CY696" s="47"/>
      <c r="CZ696" s="47"/>
      <c r="DA696" s="47"/>
      <c r="DB696" s="47"/>
      <c r="DC696" s="47"/>
      <c r="DD696" s="47"/>
      <c r="DE696" s="47"/>
      <c r="DF696" s="47"/>
      <c r="DG696" s="47"/>
      <c r="DH696" s="47"/>
    </row>
    <row r="697">
      <c r="A697" s="64"/>
      <c r="B697" s="47"/>
      <c r="C697" s="47"/>
      <c r="D697" s="47"/>
      <c r="E697" s="47"/>
      <c r="F697" s="47"/>
      <c r="G697" s="46"/>
      <c r="H697" s="42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  <c r="BL697" s="47"/>
      <c r="BM697" s="47"/>
      <c r="BN697" s="47"/>
      <c r="BO697" s="47"/>
      <c r="BP697" s="47"/>
      <c r="BQ697" s="47"/>
      <c r="BR697" s="47"/>
      <c r="BS697" s="47"/>
      <c r="BT697" s="47"/>
      <c r="BU697" s="47"/>
      <c r="BV697" s="47"/>
      <c r="BW697" s="47"/>
      <c r="BX697" s="47"/>
      <c r="BY697" s="47"/>
      <c r="BZ697" s="47"/>
      <c r="CA697" s="47"/>
      <c r="CB697" s="47"/>
      <c r="CC697" s="47"/>
      <c r="CD697" s="47"/>
      <c r="CE697" s="47"/>
      <c r="CF697" s="47"/>
      <c r="CG697" s="47"/>
      <c r="CH697" s="47"/>
      <c r="CI697" s="47"/>
      <c r="CJ697" s="47"/>
      <c r="CK697" s="47"/>
      <c r="CL697" s="47"/>
      <c r="CM697" s="47"/>
      <c r="CN697" s="47"/>
      <c r="CO697" s="47"/>
      <c r="CP697" s="47"/>
      <c r="CQ697" s="47"/>
      <c r="CR697" s="47"/>
      <c r="CS697" s="47"/>
      <c r="CT697" s="47"/>
      <c r="CU697" s="47"/>
      <c r="CV697" s="47"/>
      <c r="CW697" s="47"/>
      <c r="CX697" s="47"/>
      <c r="CY697" s="47"/>
      <c r="CZ697" s="47"/>
      <c r="DA697" s="47"/>
      <c r="DB697" s="47"/>
      <c r="DC697" s="47"/>
      <c r="DD697" s="47"/>
      <c r="DE697" s="47"/>
      <c r="DF697" s="47"/>
      <c r="DG697" s="47"/>
      <c r="DH697" s="47"/>
    </row>
    <row r="698">
      <c r="A698" s="64"/>
      <c r="B698" s="47"/>
      <c r="C698" s="47"/>
      <c r="D698" s="47"/>
      <c r="E698" s="47"/>
      <c r="F698" s="47"/>
      <c r="G698" s="46"/>
      <c r="H698" s="42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  <c r="BL698" s="47"/>
      <c r="BM698" s="47"/>
      <c r="BN698" s="47"/>
      <c r="BO698" s="47"/>
      <c r="BP698" s="47"/>
      <c r="BQ698" s="47"/>
      <c r="BR698" s="47"/>
      <c r="BS698" s="47"/>
      <c r="BT698" s="47"/>
      <c r="BU698" s="47"/>
      <c r="BV698" s="47"/>
      <c r="BW698" s="47"/>
      <c r="BX698" s="47"/>
      <c r="BY698" s="47"/>
      <c r="BZ698" s="47"/>
      <c r="CA698" s="47"/>
      <c r="CB698" s="47"/>
      <c r="CC698" s="47"/>
      <c r="CD698" s="47"/>
      <c r="CE698" s="47"/>
      <c r="CF698" s="47"/>
      <c r="CG698" s="47"/>
      <c r="CH698" s="47"/>
      <c r="CI698" s="47"/>
      <c r="CJ698" s="47"/>
      <c r="CK698" s="47"/>
      <c r="CL698" s="47"/>
      <c r="CM698" s="47"/>
      <c r="CN698" s="47"/>
      <c r="CO698" s="47"/>
      <c r="CP698" s="47"/>
      <c r="CQ698" s="47"/>
      <c r="CR698" s="47"/>
      <c r="CS698" s="47"/>
      <c r="CT698" s="47"/>
      <c r="CU698" s="47"/>
      <c r="CV698" s="47"/>
      <c r="CW698" s="47"/>
      <c r="CX698" s="47"/>
      <c r="CY698" s="47"/>
      <c r="CZ698" s="47"/>
      <c r="DA698" s="47"/>
      <c r="DB698" s="47"/>
      <c r="DC698" s="47"/>
      <c r="DD698" s="47"/>
      <c r="DE698" s="47"/>
      <c r="DF698" s="47"/>
      <c r="DG698" s="47"/>
      <c r="DH698" s="47"/>
    </row>
    <row r="699">
      <c r="A699" s="64"/>
      <c r="B699" s="47"/>
      <c r="C699" s="47"/>
      <c r="D699" s="47"/>
      <c r="E699" s="47"/>
      <c r="F699" s="47"/>
      <c r="G699" s="46"/>
      <c r="H699" s="42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  <c r="BL699" s="47"/>
      <c r="BM699" s="47"/>
      <c r="BN699" s="47"/>
      <c r="BO699" s="47"/>
      <c r="BP699" s="47"/>
      <c r="BQ699" s="47"/>
      <c r="BR699" s="47"/>
      <c r="BS699" s="47"/>
      <c r="BT699" s="47"/>
      <c r="BU699" s="47"/>
      <c r="BV699" s="47"/>
      <c r="BW699" s="47"/>
      <c r="BX699" s="47"/>
      <c r="BY699" s="47"/>
      <c r="BZ699" s="47"/>
      <c r="CA699" s="47"/>
      <c r="CB699" s="47"/>
      <c r="CC699" s="47"/>
      <c r="CD699" s="47"/>
      <c r="CE699" s="47"/>
      <c r="CF699" s="47"/>
      <c r="CG699" s="47"/>
      <c r="CH699" s="47"/>
      <c r="CI699" s="47"/>
      <c r="CJ699" s="47"/>
      <c r="CK699" s="47"/>
      <c r="CL699" s="47"/>
      <c r="CM699" s="47"/>
      <c r="CN699" s="47"/>
      <c r="CO699" s="47"/>
      <c r="CP699" s="47"/>
      <c r="CQ699" s="47"/>
      <c r="CR699" s="47"/>
      <c r="CS699" s="47"/>
      <c r="CT699" s="47"/>
      <c r="CU699" s="47"/>
      <c r="CV699" s="47"/>
      <c r="CW699" s="47"/>
      <c r="CX699" s="47"/>
      <c r="CY699" s="47"/>
      <c r="CZ699" s="47"/>
      <c r="DA699" s="47"/>
      <c r="DB699" s="47"/>
      <c r="DC699" s="47"/>
      <c r="DD699" s="47"/>
      <c r="DE699" s="47"/>
      <c r="DF699" s="47"/>
      <c r="DG699" s="47"/>
      <c r="DH699" s="47"/>
    </row>
    <row r="700">
      <c r="A700" s="64"/>
      <c r="B700" s="47"/>
      <c r="C700" s="47"/>
      <c r="D700" s="47"/>
      <c r="E700" s="47"/>
      <c r="F700" s="47"/>
      <c r="G700" s="46"/>
      <c r="H700" s="42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  <c r="BL700" s="47"/>
      <c r="BM700" s="47"/>
      <c r="BN700" s="47"/>
      <c r="BO700" s="47"/>
      <c r="BP700" s="47"/>
      <c r="BQ700" s="47"/>
      <c r="BR700" s="47"/>
      <c r="BS700" s="47"/>
      <c r="BT700" s="47"/>
      <c r="BU700" s="47"/>
      <c r="BV700" s="47"/>
      <c r="BW700" s="47"/>
      <c r="BX700" s="47"/>
      <c r="BY700" s="47"/>
      <c r="BZ700" s="47"/>
      <c r="CA700" s="47"/>
      <c r="CB700" s="47"/>
      <c r="CC700" s="47"/>
      <c r="CD700" s="47"/>
      <c r="CE700" s="47"/>
      <c r="CF700" s="47"/>
      <c r="CG700" s="47"/>
      <c r="CH700" s="47"/>
      <c r="CI700" s="47"/>
      <c r="CJ700" s="47"/>
      <c r="CK700" s="47"/>
      <c r="CL700" s="47"/>
      <c r="CM700" s="47"/>
      <c r="CN700" s="47"/>
      <c r="CO700" s="47"/>
      <c r="CP700" s="47"/>
      <c r="CQ700" s="47"/>
      <c r="CR700" s="47"/>
      <c r="CS700" s="47"/>
      <c r="CT700" s="47"/>
      <c r="CU700" s="47"/>
      <c r="CV700" s="47"/>
      <c r="CW700" s="47"/>
      <c r="CX700" s="47"/>
      <c r="CY700" s="47"/>
      <c r="CZ700" s="47"/>
      <c r="DA700" s="47"/>
      <c r="DB700" s="47"/>
      <c r="DC700" s="47"/>
      <c r="DD700" s="47"/>
      <c r="DE700" s="47"/>
      <c r="DF700" s="47"/>
      <c r="DG700" s="47"/>
      <c r="DH700" s="47"/>
    </row>
    <row r="701">
      <c r="A701" s="64"/>
      <c r="B701" s="47"/>
      <c r="C701" s="47"/>
      <c r="D701" s="47"/>
      <c r="E701" s="47"/>
      <c r="F701" s="47"/>
      <c r="G701" s="46"/>
      <c r="H701" s="42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  <c r="BL701" s="47"/>
      <c r="BM701" s="47"/>
      <c r="BN701" s="47"/>
      <c r="BO701" s="47"/>
      <c r="BP701" s="47"/>
      <c r="BQ701" s="47"/>
      <c r="BR701" s="47"/>
      <c r="BS701" s="47"/>
      <c r="BT701" s="47"/>
      <c r="BU701" s="47"/>
      <c r="BV701" s="47"/>
      <c r="BW701" s="47"/>
      <c r="BX701" s="47"/>
      <c r="BY701" s="47"/>
      <c r="BZ701" s="47"/>
      <c r="CA701" s="47"/>
      <c r="CB701" s="47"/>
      <c r="CC701" s="47"/>
      <c r="CD701" s="47"/>
      <c r="CE701" s="47"/>
      <c r="CF701" s="47"/>
      <c r="CG701" s="47"/>
      <c r="CH701" s="47"/>
      <c r="CI701" s="47"/>
      <c r="CJ701" s="47"/>
      <c r="CK701" s="47"/>
      <c r="CL701" s="47"/>
      <c r="CM701" s="47"/>
      <c r="CN701" s="47"/>
      <c r="CO701" s="47"/>
      <c r="CP701" s="47"/>
      <c r="CQ701" s="47"/>
      <c r="CR701" s="47"/>
      <c r="CS701" s="47"/>
      <c r="CT701" s="47"/>
      <c r="CU701" s="47"/>
      <c r="CV701" s="47"/>
      <c r="CW701" s="47"/>
      <c r="CX701" s="47"/>
      <c r="CY701" s="47"/>
      <c r="CZ701" s="47"/>
      <c r="DA701" s="47"/>
      <c r="DB701" s="47"/>
      <c r="DC701" s="47"/>
      <c r="DD701" s="47"/>
      <c r="DE701" s="47"/>
      <c r="DF701" s="47"/>
      <c r="DG701" s="47"/>
      <c r="DH701" s="47"/>
    </row>
    <row r="702">
      <c r="A702" s="64"/>
      <c r="B702" s="47"/>
      <c r="C702" s="47"/>
      <c r="D702" s="47"/>
      <c r="E702" s="47"/>
      <c r="F702" s="47"/>
      <c r="G702" s="46"/>
      <c r="H702" s="42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/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47"/>
      <c r="CA702" s="47"/>
      <c r="CB702" s="47"/>
      <c r="CC702" s="47"/>
      <c r="CD702" s="47"/>
      <c r="CE702" s="47"/>
      <c r="CF702" s="47"/>
      <c r="CG702" s="47"/>
      <c r="CH702" s="47"/>
      <c r="CI702" s="47"/>
      <c r="CJ702" s="47"/>
      <c r="CK702" s="47"/>
      <c r="CL702" s="47"/>
      <c r="CM702" s="47"/>
      <c r="CN702" s="47"/>
      <c r="CO702" s="47"/>
      <c r="CP702" s="47"/>
      <c r="CQ702" s="47"/>
      <c r="CR702" s="47"/>
      <c r="CS702" s="47"/>
      <c r="CT702" s="47"/>
      <c r="CU702" s="47"/>
      <c r="CV702" s="47"/>
      <c r="CW702" s="47"/>
      <c r="CX702" s="47"/>
      <c r="CY702" s="47"/>
      <c r="CZ702" s="47"/>
      <c r="DA702" s="47"/>
      <c r="DB702" s="47"/>
      <c r="DC702" s="47"/>
      <c r="DD702" s="47"/>
      <c r="DE702" s="47"/>
      <c r="DF702" s="47"/>
      <c r="DG702" s="47"/>
      <c r="DH702" s="47"/>
    </row>
    <row r="703">
      <c r="A703" s="64"/>
      <c r="B703" s="47"/>
      <c r="C703" s="47"/>
      <c r="D703" s="47"/>
      <c r="E703" s="47"/>
      <c r="F703" s="47"/>
      <c r="G703" s="46"/>
      <c r="H703" s="42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  <c r="BL703" s="47"/>
      <c r="BM703" s="47"/>
      <c r="BN703" s="47"/>
      <c r="BO703" s="47"/>
      <c r="BP703" s="47"/>
      <c r="BQ703" s="47"/>
      <c r="BR703" s="47"/>
      <c r="BS703" s="47"/>
      <c r="BT703" s="47"/>
      <c r="BU703" s="47"/>
      <c r="BV703" s="47"/>
      <c r="BW703" s="47"/>
      <c r="BX703" s="47"/>
      <c r="BY703" s="47"/>
      <c r="BZ703" s="47"/>
      <c r="CA703" s="47"/>
      <c r="CB703" s="47"/>
      <c r="CC703" s="47"/>
      <c r="CD703" s="47"/>
      <c r="CE703" s="47"/>
      <c r="CF703" s="47"/>
      <c r="CG703" s="47"/>
      <c r="CH703" s="47"/>
      <c r="CI703" s="47"/>
      <c r="CJ703" s="47"/>
      <c r="CK703" s="47"/>
      <c r="CL703" s="47"/>
      <c r="CM703" s="47"/>
      <c r="CN703" s="47"/>
      <c r="CO703" s="47"/>
      <c r="CP703" s="47"/>
      <c r="CQ703" s="47"/>
      <c r="CR703" s="47"/>
      <c r="CS703" s="47"/>
      <c r="CT703" s="47"/>
      <c r="CU703" s="47"/>
      <c r="CV703" s="47"/>
      <c r="CW703" s="47"/>
      <c r="CX703" s="47"/>
      <c r="CY703" s="47"/>
      <c r="CZ703" s="47"/>
      <c r="DA703" s="47"/>
      <c r="DB703" s="47"/>
      <c r="DC703" s="47"/>
      <c r="DD703" s="47"/>
      <c r="DE703" s="47"/>
      <c r="DF703" s="47"/>
      <c r="DG703" s="47"/>
      <c r="DH703" s="47"/>
    </row>
    <row r="704">
      <c r="A704" s="64"/>
      <c r="B704" s="47"/>
      <c r="C704" s="47"/>
      <c r="D704" s="47"/>
      <c r="E704" s="47"/>
      <c r="F704" s="47"/>
      <c r="G704" s="46"/>
      <c r="H704" s="42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  <c r="BL704" s="47"/>
      <c r="BM704" s="47"/>
      <c r="BN704" s="47"/>
      <c r="BO704" s="47"/>
      <c r="BP704" s="47"/>
      <c r="BQ704" s="47"/>
      <c r="BR704" s="47"/>
      <c r="BS704" s="47"/>
      <c r="BT704" s="47"/>
      <c r="BU704" s="47"/>
      <c r="BV704" s="47"/>
      <c r="BW704" s="47"/>
      <c r="BX704" s="47"/>
      <c r="BY704" s="47"/>
      <c r="BZ704" s="47"/>
      <c r="CA704" s="47"/>
      <c r="CB704" s="47"/>
      <c r="CC704" s="47"/>
      <c r="CD704" s="47"/>
      <c r="CE704" s="47"/>
      <c r="CF704" s="47"/>
      <c r="CG704" s="47"/>
      <c r="CH704" s="47"/>
      <c r="CI704" s="47"/>
      <c r="CJ704" s="47"/>
      <c r="CK704" s="47"/>
      <c r="CL704" s="47"/>
      <c r="CM704" s="47"/>
      <c r="CN704" s="47"/>
      <c r="CO704" s="47"/>
      <c r="CP704" s="47"/>
      <c r="CQ704" s="47"/>
      <c r="CR704" s="47"/>
      <c r="CS704" s="47"/>
      <c r="CT704" s="47"/>
      <c r="CU704" s="47"/>
      <c r="CV704" s="47"/>
      <c r="CW704" s="47"/>
      <c r="CX704" s="47"/>
      <c r="CY704" s="47"/>
      <c r="CZ704" s="47"/>
      <c r="DA704" s="47"/>
      <c r="DB704" s="47"/>
      <c r="DC704" s="47"/>
      <c r="DD704" s="47"/>
      <c r="DE704" s="47"/>
      <c r="DF704" s="47"/>
      <c r="DG704" s="47"/>
      <c r="DH704" s="47"/>
    </row>
    <row r="705">
      <c r="A705" s="64"/>
      <c r="B705" s="47"/>
      <c r="C705" s="47"/>
      <c r="D705" s="47"/>
      <c r="E705" s="47"/>
      <c r="F705" s="47"/>
      <c r="G705" s="46"/>
      <c r="H705" s="42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  <c r="BL705" s="47"/>
      <c r="BM705" s="47"/>
      <c r="BN705" s="47"/>
      <c r="BO705" s="47"/>
      <c r="BP705" s="47"/>
      <c r="BQ705" s="47"/>
      <c r="BR705" s="47"/>
      <c r="BS705" s="47"/>
      <c r="BT705" s="47"/>
      <c r="BU705" s="47"/>
      <c r="BV705" s="47"/>
      <c r="BW705" s="47"/>
      <c r="BX705" s="47"/>
      <c r="BY705" s="47"/>
      <c r="BZ705" s="47"/>
      <c r="CA705" s="47"/>
      <c r="CB705" s="47"/>
      <c r="CC705" s="47"/>
      <c r="CD705" s="47"/>
      <c r="CE705" s="47"/>
      <c r="CF705" s="47"/>
      <c r="CG705" s="47"/>
      <c r="CH705" s="47"/>
      <c r="CI705" s="47"/>
      <c r="CJ705" s="47"/>
      <c r="CK705" s="47"/>
      <c r="CL705" s="47"/>
      <c r="CM705" s="47"/>
      <c r="CN705" s="47"/>
      <c r="CO705" s="47"/>
      <c r="CP705" s="47"/>
      <c r="CQ705" s="47"/>
      <c r="CR705" s="47"/>
      <c r="CS705" s="47"/>
      <c r="CT705" s="47"/>
      <c r="CU705" s="47"/>
      <c r="CV705" s="47"/>
      <c r="CW705" s="47"/>
      <c r="CX705" s="47"/>
      <c r="CY705" s="47"/>
      <c r="CZ705" s="47"/>
      <c r="DA705" s="47"/>
      <c r="DB705" s="47"/>
      <c r="DC705" s="47"/>
      <c r="DD705" s="47"/>
      <c r="DE705" s="47"/>
      <c r="DF705" s="47"/>
      <c r="DG705" s="47"/>
      <c r="DH705" s="47"/>
    </row>
    <row r="706">
      <c r="A706" s="64"/>
      <c r="B706" s="47"/>
      <c r="C706" s="47"/>
      <c r="D706" s="47"/>
      <c r="E706" s="47"/>
      <c r="F706" s="47"/>
      <c r="G706" s="46"/>
      <c r="H706" s="42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/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47"/>
      <c r="CA706" s="47"/>
      <c r="CB706" s="47"/>
      <c r="CC706" s="47"/>
      <c r="CD706" s="47"/>
      <c r="CE706" s="47"/>
      <c r="CF706" s="47"/>
      <c r="CG706" s="47"/>
      <c r="CH706" s="47"/>
      <c r="CI706" s="47"/>
      <c r="CJ706" s="47"/>
      <c r="CK706" s="47"/>
      <c r="CL706" s="47"/>
      <c r="CM706" s="47"/>
      <c r="CN706" s="47"/>
      <c r="CO706" s="47"/>
      <c r="CP706" s="47"/>
      <c r="CQ706" s="47"/>
      <c r="CR706" s="47"/>
      <c r="CS706" s="47"/>
      <c r="CT706" s="47"/>
      <c r="CU706" s="47"/>
      <c r="CV706" s="47"/>
      <c r="CW706" s="47"/>
      <c r="CX706" s="47"/>
      <c r="CY706" s="47"/>
      <c r="CZ706" s="47"/>
      <c r="DA706" s="47"/>
      <c r="DB706" s="47"/>
      <c r="DC706" s="47"/>
      <c r="DD706" s="47"/>
      <c r="DE706" s="47"/>
      <c r="DF706" s="47"/>
      <c r="DG706" s="47"/>
      <c r="DH706" s="47"/>
    </row>
    <row r="707">
      <c r="A707" s="64"/>
      <c r="B707" s="47"/>
      <c r="C707" s="47"/>
      <c r="D707" s="47"/>
      <c r="E707" s="47"/>
      <c r="F707" s="47"/>
      <c r="G707" s="46"/>
      <c r="H707" s="42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  <c r="BL707" s="47"/>
      <c r="BM707" s="47"/>
      <c r="BN707" s="47"/>
      <c r="BO707" s="47"/>
      <c r="BP707" s="47"/>
      <c r="BQ707" s="47"/>
      <c r="BR707" s="47"/>
      <c r="BS707" s="47"/>
      <c r="BT707" s="47"/>
      <c r="BU707" s="47"/>
      <c r="BV707" s="47"/>
      <c r="BW707" s="47"/>
      <c r="BX707" s="47"/>
      <c r="BY707" s="47"/>
      <c r="BZ707" s="47"/>
      <c r="CA707" s="47"/>
      <c r="CB707" s="47"/>
      <c r="CC707" s="47"/>
      <c r="CD707" s="47"/>
      <c r="CE707" s="47"/>
      <c r="CF707" s="47"/>
      <c r="CG707" s="47"/>
      <c r="CH707" s="47"/>
      <c r="CI707" s="47"/>
      <c r="CJ707" s="47"/>
      <c r="CK707" s="47"/>
      <c r="CL707" s="47"/>
      <c r="CM707" s="47"/>
      <c r="CN707" s="47"/>
      <c r="CO707" s="47"/>
      <c r="CP707" s="47"/>
      <c r="CQ707" s="47"/>
      <c r="CR707" s="47"/>
      <c r="CS707" s="47"/>
      <c r="CT707" s="47"/>
      <c r="CU707" s="47"/>
      <c r="CV707" s="47"/>
      <c r="CW707" s="47"/>
      <c r="CX707" s="47"/>
      <c r="CY707" s="47"/>
      <c r="CZ707" s="47"/>
      <c r="DA707" s="47"/>
      <c r="DB707" s="47"/>
      <c r="DC707" s="47"/>
      <c r="DD707" s="47"/>
      <c r="DE707" s="47"/>
      <c r="DF707" s="47"/>
      <c r="DG707" s="47"/>
      <c r="DH707" s="47"/>
    </row>
    <row r="708">
      <c r="A708" s="64"/>
      <c r="B708" s="47"/>
      <c r="C708" s="47"/>
      <c r="D708" s="47"/>
      <c r="E708" s="47"/>
      <c r="F708" s="47"/>
      <c r="G708" s="46"/>
      <c r="H708" s="42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  <c r="BL708" s="47"/>
      <c r="BM708" s="47"/>
      <c r="BN708" s="47"/>
      <c r="BO708" s="47"/>
      <c r="BP708" s="47"/>
      <c r="BQ708" s="47"/>
      <c r="BR708" s="47"/>
      <c r="BS708" s="47"/>
      <c r="BT708" s="47"/>
      <c r="BU708" s="47"/>
      <c r="BV708" s="47"/>
      <c r="BW708" s="47"/>
      <c r="BX708" s="47"/>
      <c r="BY708" s="47"/>
      <c r="BZ708" s="47"/>
      <c r="CA708" s="47"/>
      <c r="CB708" s="47"/>
      <c r="CC708" s="47"/>
      <c r="CD708" s="47"/>
      <c r="CE708" s="47"/>
      <c r="CF708" s="47"/>
      <c r="CG708" s="47"/>
      <c r="CH708" s="47"/>
      <c r="CI708" s="47"/>
      <c r="CJ708" s="47"/>
      <c r="CK708" s="47"/>
      <c r="CL708" s="47"/>
      <c r="CM708" s="47"/>
      <c r="CN708" s="47"/>
      <c r="CO708" s="47"/>
      <c r="CP708" s="47"/>
      <c r="CQ708" s="47"/>
      <c r="CR708" s="47"/>
      <c r="CS708" s="47"/>
      <c r="CT708" s="47"/>
      <c r="CU708" s="47"/>
      <c r="CV708" s="47"/>
      <c r="CW708" s="47"/>
      <c r="CX708" s="47"/>
      <c r="CY708" s="47"/>
      <c r="CZ708" s="47"/>
      <c r="DA708" s="47"/>
      <c r="DB708" s="47"/>
      <c r="DC708" s="47"/>
      <c r="DD708" s="47"/>
      <c r="DE708" s="47"/>
      <c r="DF708" s="47"/>
      <c r="DG708" s="47"/>
      <c r="DH708" s="47"/>
    </row>
    <row r="709">
      <c r="A709" s="64"/>
      <c r="B709" s="47"/>
      <c r="C709" s="47"/>
      <c r="D709" s="47"/>
      <c r="E709" s="47"/>
      <c r="F709" s="47"/>
      <c r="G709" s="46"/>
      <c r="H709" s="42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  <c r="BL709" s="47"/>
      <c r="BM709" s="47"/>
      <c r="BN709" s="47"/>
      <c r="BO709" s="47"/>
      <c r="BP709" s="47"/>
      <c r="BQ709" s="47"/>
      <c r="BR709" s="47"/>
      <c r="BS709" s="47"/>
      <c r="BT709" s="47"/>
      <c r="BU709" s="47"/>
      <c r="BV709" s="47"/>
      <c r="BW709" s="47"/>
      <c r="BX709" s="47"/>
      <c r="BY709" s="47"/>
      <c r="BZ709" s="47"/>
      <c r="CA709" s="47"/>
      <c r="CB709" s="47"/>
      <c r="CC709" s="47"/>
      <c r="CD709" s="47"/>
      <c r="CE709" s="47"/>
      <c r="CF709" s="47"/>
      <c r="CG709" s="47"/>
      <c r="CH709" s="47"/>
      <c r="CI709" s="47"/>
      <c r="CJ709" s="47"/>
      <c r="CK709" s="47"/>
      <c r="CL709" s="47"/>
      <c r="CM709" s="47"/>
      <c r="CN709" s="47"/>
      <c r="CO709" s="47"/>
      <c r="CP709" s="47"/>
      <c r="CQ709" s="47"/>
      <c r="CR709" s="47"/>
      <c r="CS709" s="47"/>
      <c r="CT709" s="47"/>
      <c r="CU709" s="47"/>
      <c r="CV709" s="47"/>
      <c r="CW709" s="47"/>
      <c r="CX709" s="47"/>
      <c r="CY709" s="47"/>
      <c r="CZ709" s="47"/>
      <c r="DA709" s="47"/>
      <c r="DB709" s="47"/>
      <c r="DC709" s="47"/>
      <c r="DD709" s="47"/>
      <c r="DE709" s="47"/>
      <c r="DF709" s="47"/>
      <c r="DG709" s="47"/>
      <c r="DH709" s="47"/>
    </row>
    <row r="710">
      <c r="A710" s="64"/>
      <c r="B710" s="47"/>
      <c r="C710" s="47"/>
      <c r="D710" s="47"/>
      <c r="E710" s="47"/>
      <c r="F710" s="47"/>
      <c r="G710" s="46"/>
      <c r="H710" s="42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  <c r="BP710" s="47"/>
      <c r="BQ710" s="47"/>
      <c r="BR710" s="47"/>
      <c r="BS710" s="47"/>
      <c r="BT710" s="47"/>
      <c r="BU710" s="47"/>
      <c r="BV710" s="47"/>
      <c r="BW710" s="47"/>
      <c r="BX710" s="47"/>
      <c r="BY710" s="47"/>
      <c r="BZ710" s="47"/>
      <c r="CA710" s="47"/>
      <c r="CB710" s="47"/>
      <c r="CC710" s="47"/>
      <c r="CD710" s="47"/>
      <c r="CE710" s="47"/>
      <c r="CF710" s="47"/>
      <c r="CG710" s="47"/>
      <c r="CH710" s="47"/>
      <c r="CI710" s="47"/>
      <c r="CJ710" s="47"/>
      <c r="CK710" s="47"/>
      <c r="CL710" s="47"/>
      <c r="CM710" s="47"/>
      <c r="CN710" s="47"/>
      <c r="CO710" s="47"/>
      <c r="CP710" s="47"/>
      <c r="CQ710" s="47"/>
      <c r="CR710" s="47"/>
      <c r="CS710" s="47"/>
      <c r="CT710" s="47"/>
      <c r="CU710" s="47"/>
      <c r="CV710" s="47"/>
      <c r="CW710" s="47"/>
      <c r="CX710" s="47"/>
      <c r="CY710" s="47"/>
      <c r="CZ710" s="47"/>
      <c r="DA710" s="47"/>
      <c r="DB710" s="47"/>
      <c r="DC710" s="47"/>
      <c r="DD710" s="47"/>
      <c r="DE710" s="47"/>
      <c r="DF710" s="47"/>
      <c r="DG710" s="47"/>
      <c r="DH710" s="47"/>
    </row>
    <row r="711">
      <c r="A711" s="64"/>
      <c r="B711" s="47"/>
      <c r="C711" s="47"/>
      <c r="D711" s="47"/>
      <c r="E711" s="47"/>
      <c r="F711" s="47"/>
      <c r="G711" s="46"/>
      <c r="H711" s="42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  <c r="BP711" s="47"/>
      <c r="BQ711" s="47"/>
      <c r="BR711" s="47"/>
      <c r="BS711" s="47"/>
      <c r="BT711" s="47"/>
      <c r="BU711" s="47"/>
      <c r="BV711" s="47"/>
      <c r="BW711" s="47"/>
      <c r="BX711" s="47"/>
      <c r="BY711" s="47"/>
      <c r="BZ711" s="47"/>
      <c r="CA711" s="47"/>
      <c r="CB711" s="47"/>
      <c r="CC711" s="47"/>
      <c r="CD711" s="47"/>
      <c r="CE711" s="47"/>
      <c r="CF711" s="47"/>
      <c r="CG711" s="47"/>
      <c r="CH711" s="47"/>
      <c r="CI711" s="47"/>
      <c r="CJ711" s="47"/>
      <c r="CK711" s="47"/>
      <c r="CL711" s="47"/>
      <c r="CM711" s="47"/>
      <c r="CN711" s="47"/>
      <c r="CO711" s="47"/>
      <c r="CP711" s="47"/>
      <c r="CQ711" s="47"/>
      <c r="CR711" s="47"/>
      <c r="CS711" s="47"/>
      <c r="CT711" s="47"/>
      <c r="CU711" s="47"/>
      <c r="CV711" s="47"/>
      <c r="CW711" s="47"/>
      <c r="CX711" s="47"/>
      <c r="CY711" s="47"/>
      <c r="CZ711" s="47"/>
      <c r="DA711" s="47"/>
      <c r="DB711" s="47"/>
      <c r="DC711" s="47"/>
      <c r="DD711" s="47"/>
      <c r="DE711" s="47"/>
      <c r="DF711" s="47"/>
      <c r="DG711" s="47"/>
      <c r="DH711" s="47"/>
    </row>
    <row r="712">
      <c r="A712" s="64"/>
      <c r="B712" s="47"/>
      <c r="C712" s="47"/>
      <c r="D712" s="47"/>
      <c r="E712" s="47"/>
      <c r="F712" s="47"/>
      <c r="G712" s="46"/>
      <c r="H712" s="42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  <c r="BP712" s="47"/>
      <c r="BQ712" s="47"/>
      <c r="BR712" s="47"/>
      <c r="BS712" s="47"/>
      <c r="BT712" s="47"/>
      <c r="BU712" s="47"/>
      <c r="BV712" s="47"/>
      <c r="BW712" s="47"/>
      <c r="BX712" s="47"/>
      <c r="BY712" s="47"/>
      <c r="BZ712" s="47"/>
      <c r="CA712" s="47"/>
      <c r="CB712" s="47"/>
      <c r="CC712" s="47"/>
      <c r="CD712" s="47"/>
      <c r="CE712" s="47"/>
      <c r="CF712" s="47"/>
      <c r="CG712" s="47"/>
      <c r="CH712" s="47"/>
      <c r="CI712" s="47"/>
      <c r="CJ712" s="47"/>
      <c r="CK712" s="47"/>
      <c r="CL712" s="47"/>
      <c r="CM712" s="47"/>
      <c r="CN712" s="47"/>
      <c r="CO712" s="47"/>
      <c r="CP712" s="47"/>
      <c r="CQ712" s="47"/>
      <c r="CR712" s="47"/>
      <c r="CS712" s="47"/>
      <c r="CT712" s="47"/>
      <c r="CU712" s="47"/>
      <c r="CV712" s="47"/>
      <c r="CW712" s="47"/>
      <c r="CX712" s="47"/>
      <c r="CY712" s="47"/>
      <c r="CZ712" s="47"/>
      <c r="DA712" s="47"/>
      <c r="DB712" s="47"/>
      <c r="DC712" s="47"/>
      <c r="DD712" s="47"/>
      <c r="DE712" s="47"/>
      <c r="DF712" s="47"/>
      <c r="DG712" s="47"/>
      <c r="DH712" s="47"/>
    </row>
    <row r="713">
      <c r="A713" s="64"/>
      <c r="B713" s="47"/>
      <c r="C713" s="47"/>
      <c r="D713" s="47"/>
      <c r="E713" s="47"/>
      <c r="F713" s="47"/>
      <c r="G713" s="46"/>
      <c r="H713" s="42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  <c r="BP713" s="47"/>
      <c r="BQ713" s="47"/>
      <c r="BR713" s="47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/>
      <c r="CI713" s="47"/>
      <c r="CJ713" s="47"/>
      <c r="CK713" s="47"/>
      <c r="CL713" s="47"/>
      <c r="CM713" s="47"/>
      <c r="CN713" s="47"/>
      <c r="CO713" s="47"/>
      <c r="CP713" s="47"/>
      <c r="CQ713" s="47"/>
      <c r="CR713" s="47"/>
      <c r="CS713" s="47"/>
      <c r="CT713" s="47"/>
      <c r="CU713" s="47"/>
      <c r="CV713" s="47"/>
      <c r="CW713" s="47"/>
      <c r="CX713" s="47"/>
      <c r="CY713" s="47"/>
      <c r="CZ713" s="47"/>
      <c r="DA713" s="47"/>
      <c r="DB713" s="47"/>
      <c r="DC713" s="47"/>
      <c r="DD713" s="47"/>
      <c r="DE713" s="47"/>
      <c r="DF713" s="47"/>
      <c r="DG713" s="47"/>
      <c r="DH713" s="47"/>
    </row>
    <row r="714">
      <c r="A714" s="64"/>
      <c r="B714" s="47"/>
      <c r="C714" s="47"/>
      <c r="D714" s="47"/>
      <c r="E714" s="47"/>
      <c r="F714" s="47"/>
      <c r="G714" s="46"/>
      <c r="H714" s="42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  <c r="BP714" s="47"/>
      <c r="BQ714" s="47"/>
      <c r="BR714" s="47"/>
      <c r="BS714" s="47"/>
      <c r="BT714" s="47"/>
      <c r="BU714" s="47"/>
      <c r="BV714" s="47"/>
      <c r="BW714" s="47"/>
      <c r="BX714" s="47"/>
      <c r="BY714" s="47"/>
      <c r="BZ714" s="47"/>
      <c r="CA714" s="47"/>
      <c r="CB714" s="47"/>
      <c r="CC714" s="47"/>
      <c r="CD714" s="47"/>
      <c r="CE714" s="47"/>
      <c r="CF714" s="47"/>
      <c r="CG714" s="47"/>
      <c r="CH714" s="47"/>
      <c r="CI714" s="47"/>
      <c r="CJ714" s="47"/>
      <c r="CK714" s="47"/>
      <c r="CL714" s="47"/>
      <c r="CM714" s="47"/>
      <c r="CN714" s="47"/>
      <c r="CO714" s="47"/>
      <c r="CP714" s="47"/>
      <c r="CQ714" s="47"/>
      <c r="CR714" s="47"/>
      <c r="CS714" s="47"/>
      <c r="CT714" s="47"/>
      <c r="CU714" s="47"/>
      <c r="CV714" s="47"/>
      <c r="CW714" s="47"/>
      <c r="CX714" s="47"/>
      <c r="CY714" s="47"/>
      <c r="CZ714" s="47"/>
      <c r="DA714" s="47"/>
      <c r="DB714" s="47"/>
      <c r="DC714" s="47"/>
      <c r="DD714" s="47"/>
      <c r="DE714" s="47"/>
      <c r="DF714" s="47"/>
      <c r="DG714" s="47"/>
      <c r="DH714" s="47"/>
    </row>
    <row r="715">
      <c r="A715" s="64"/>
      <c r="B715" s="47"/>
      <c r="C715" s="47"/>
      <c r="D715" s="47"/>
      <c r="E715" s="47"/>
      <c r="F715" s="47"/>
      <c r="G715" s="46"/>
      <c r="H715" s="42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  <c r="BP715" s="47"/>
      <c r="BQ715" s="47"/>
      <c r="BR715" s="47"/>
      <c r="BS715" s="47"/>
      <c r="BT715" s="47"/>
      <c r="BU715" s="47"/>
      <c r="BV715" s="47"/>
      <c r="BW715" s="47"/>
      <c r="BX715" s="47"/>
      <c r="BY715" s="47"/>
      <c r="BZ715" s="47"/>
      <c r="CA715" s="47"/>
      <c r="CB715" s="47"/>
      <c r="CC715" s="47"/>
      <c r="CD715" s="47"/>
      <c r="CE715" s="47"/>
      <c r="CF715" s="47"/>
      <c r="CG715" s="47"/>
      <c r="CH715" s="47"/>
      <c r="CI715" s="47"/>
      <c r="CJ715" s="47"/>
      <c r="CK715" s="47"/>
      <c r="CL715" s="47"/>
      <c r="CM715" s="47"/>
      <c r="CN715" s="47"/>
      <c r="CO715" s="47"/>
      <c r="CP715" s="47"/>
      <c r="CQ715" s="47"/>
      <c r="CR715" s="47"/>
      <c r="CS715" s="47"/>
      <c r="CT715" s="47"/>
      <c r="CU715" s="47"/>
      <c r="CV715" s="47"/>
      <c r="CW715" s="47"/>
      <c r="CX715" s="47"/>
      <c r="CY715" s="47"/>
      <c r="CZ715" s="47"/>
      <c r="DA715" s="47"/>
      <c r="DB715" s="47"/>
      <c r="DC715" s="47"/>
      <c r="DD715" s="47"/>
      <c r="DE715" s="47"/>
      <c r="DF715" s="47"/>
      <c r="DG715" s="47"/>
      <c r="DH715" s="47"/>
    </row>
    <row r="716">
      <c r="A716" s="64"/>
      <c r="B716" s="47"/>
      <c r="C716" s="47"/>
      <c r="D716" s="47"/>
      <c r="E716" s="47"/>
      <c r="F716" s="47"/>
      <c r="G716" s="46"/>
      <c r="H716" s="42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  <c r="BP716" s="47"/>
      <c r="BQ716" s="47"/>
      <c r="BR716" s="47"/>
      <c r="BS716" s="47"/>
      <c r="BT716" s="47"/>
      <c r="BU716" s="47"/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/>
      <c r="CI716" s="47"/>
      <c r="CJ716" s="47"/>
      <c r="CK716" s="47"/>
      <c r="CL716" s="47"/>
      <c r="CM716" s="47"/>
      <c r="CN716" s="47"/>
      <c r="CO716" s="47"/>
      <c r="CP716" s="47"/>
      <c r="CQ716" s="47"/>
      <c r="CR716" s="47"/>
      <c r="CS716" s="47"/>
      <c r="CT716" s="47"/>
      <c r="CU716" s="47"/>
      <c r="CV716" s="47"/>
      <c r="CW716" s="47"/>
      <c r="CX716" s="47"/>
      <c r="CY716" s="47"/>
      <c r="CZ716" s="47"/>
      <c r="DA716" s="47"/>
      <c r="DB716" s="47"/>
      <c r="DC716" s="47"/>
      <c r="DD716" s="47"/>
      <c r="DE716" s="47"/>
      <c r="DF716" s="47"/>
      <c r="DG716" s="47"/>
      <c r="DH716" s="47"/>
    </row>
    <row r="717">
      <c r="A717" s="64"/>
      <c r="B717" s="47"/>
      <c r="C717" s="47"/>
      <c r="D717" s="47"/>
      <c r="E717" s="47"/>
      <c r="F717" s="47"/>
      <c r="G717" s="46"/>
      <c r="H717" s="42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  <c r="BP717" s="47"/>
      <c r="BQ717" s="47"/>
      <c r="BR717" s="47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47"/>
      <c r="CK717" s="47"/>
      <c r="CL717" s="47"/>
      <c r="CM717" s="47"/>
      <c r="CN717" s="47"/>
      <c r="CO717" s="47"/>
      <c r="CP717" s="47"/>
      <c r="CQ717" s="47"/>
      <c r="CR717" s="47"/>
      <c r="CS717" s="47"/>
      <c r="CT717" s="47"/>
      <c r="CU717" s="47"/>
      <c r="CV717" s="47"/>
      <c r="CW717" s="47"/>
      <c r="CX717" s="47"/>
      <c r="CY717" s="47"/>
      <c r="CZ717" s="47"/>
      <c r="DA717" s="47"/>
      <c r="DB717" s="47"/>
      <c r="DC717" s="47"/>
      <c r="DD717" s="47"/>
      <c r="DE717" s="47"/>
      <c r="DF717" s="47"/>
      <c r="DG717" s="47"/>
      <c r="DH717" s="47"/>
    </row>
    <row r="718">
      <c r="A718" s="64"/>
      <c r="B718" s="47"/>
      <c r="C718" s="47"/>
      <c r="D718" s="47"/>
      <c r="E718" s="47"/>
      <c r="F718" s="47"/>
      <c r="G718" s="46"/>
      <c r="H718" s="42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  <c r="BL718" s="47"/>
      <c r="BM718" s="47"/>
      <c r="BN718" s="47"/>
      <c r="BO718" s="47"/>
      <c r="BP718" s="47"/>
      <c r="BQ718" s="47"/>
      <c r="BR718" s="47"/>
      <c r="BS718" s="47"/>
      <c r="BT718" s="47"/>
      <c r="BU718" s="47"/>
      <c r="BV718" s="47"/>
      <c r="BW718" s="47"/>
      <c r="BX718" s="47"/>
      <c r="BY718" s="47"/>
      <c r="BZ718" s="47"/>
      <c r="CA718" s="47"/>
      <c r="CB718" s="47"/>
      <c r="CC718" s="47"/>
      <c r="CD718" s="47"/>
      <c r="CE718" s="47"/>
      <c r="CF718" s="47"/>
      <c r="CG718" s="47"/>
      <c r="CH718" s="47"/>
      <c r="CI718" s="47"/>
      <c r="CJ718" s="47"/>
      <c r="CK718" s="47"/>
      <c r="CL718" s="47"/>
      <c r="CM718" s="47"/>
      <c r="CN718" s="47"/>
      <c r="CO718" s="47"/>
      <c r="CP718" s="47"/>
      <c r="CQ718" s="47"/>
      <c r="CR718" s="47"/>
      <c r="CS718" s="47"/>
      <c r="CT718" s="47"/>
      <c r="CU718" s="47"/>
      <c r="CV718" s="47"/>
      <c r="CW718" s="47"/>
      <c r="CX718" s="47"/>
      <c r="CY718" s="47"/>
      <c r="CZ718" s="47"/>
      <c r="DA718" s="47"/>
      <c r="DB718" s="47"/>
      <c r="DC718" s="47"/>
      <c r="DD718" s="47"/>
      <c r="DE718" s="47"/>
      <c r="DF718" s="47"/>
      <c r="DG718" s="47"/>
      <c r="DH718" s="47"/>
    </row>
    <row r="719">
      <c r="A719" s="64"/>
      <c r="B719" s="47"/>
      <c r="C719" s="47"/>
      <c r="D719" s="47"/>
      <c r="E719" s="47"/>
      <c r="F719" s="47"/>
      <c r="G719" s="46"/>
      <c r="H719" s="42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  <c r="BL719" s="47"/>
      <c r="BM719" s="47"/>
      <c r="BN719" s="47"/>
      <c r="BO719" s="47"/>
      <c r="BP719" s="47"/>
      <c r="BQ719" s="47"/>
      <c r="BR719" s="47"/>
      <c r="BS719" s="47"/>
      <c r="BT719" s="47"/>
      <c r="BU719" s="47"/>
      <c r="BV719" s="47"/>
      <c r="BW719" s="47"/>
      <c r="BX719" s="47"/>
      <c r="BY719" s="47"/>
      <c r="BZ719" s="47"/>
      <c r="CA719" s="47"/>
      <c r="CB719" s="47"/>
      <c r="CC719" s="47"/>
      <c r="CD719" s="47"/>
      <c r="CE719" s="47"/>
      <c r="CF719" s="47"/>
      <c r="CG719" s="47"/>
      <c r="CH719" s="47"/>
      <c r="CI719" s="47"/>
      <c r="CJ719" s="47"/>
      <c r="CK719" s="47"/>
      <c r="CL719" s="47"/>
      <c r="CM719" s="47"/>
      <c r="CN719" s="47"/>
      <c r="CO719" s="47"/>
      <c r="CP719" s="47"/>
      <c r="CQ719" s="47"/>
      <c r="CR719" s="47"/>
      <c r="CS719" s="47"/>
      <c r="CT719" s="47"/>
      <c r="CU719" s="47"/>
      <c r="CV719" s="47"/>
      <c r="CW719" s="47"/>
      <c r="CX719" s="47"/>
      <c r="CY719" s="47"/>
      <c r="CZ719" s="47"/>
      <c r="DA719" s="47"/>
      <c r="DB719" s="47"/>
      <c r="DC719" s="47"/>
      <c r="DD719" s="47"/>
      <c r="DE719" s="47"/>
      <c r="DF719" s="47"/>
      <c r="DG719" s="47"/>
      <c r="DH719" s="47"/>
    </row>
    <row r="720">
      <c r="A720" s="64"/>
      <c r="B720" s="47"/>
      <c r="C720" s="47"/>
      <c r="D720" s="47"/>
      <c r="E720" s="47"/>
      <c r="F720" s="47"/>
      <c r="G720" s="46"/>
      <c r="H720" s="42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  <c r="BL720" s="47"/>
      <c r="BM720" s="47"/>
      <c r="BN720" s="47"/>
      <c r="BO720" s="47"/>
      <c r="BP720" s="47"/>
      <c r="BQ720" s="47"/>
      <c r="BR720" s="47"/>
      <c r="BS720" s="47"/>
      <c r="BT720" s="47"/>
      <c r="BU720" s="47"/>
      <c r="BV720" s="47"/>
      <c r="BW720" s="47"/>
      <c r="BX720" s="47"/>
      <c r="BY720" s="47"/>
      <c r="BZ720" s="47"/>
      <c r="CA720" s="47"/>
      <c r="CB720" s="47"/>
      <c r="CC720" s="47"/>
      <c r="CD720" s="47"/>
      <c r="CE720" s="47"/>
      <c r="CF720" s="47"/>
      <c r="CG720" s="47"/>
      <c r="CH720" s="47"/>
      <c r="CI720" s="47"/>
      <c r="CJ720" s="47"/>
      <c r="CK720" s="47"/>
      <c r="CL720" s="47"/>
      <c r="CM720" s="47"/>
      <c r="CN720" s="47"/>
      <c r="CO720" s="47"/>
      <c r="CP720" s="47"/>
      <c r="CQ720" s="47"/>
      <c r="CR720" s="47"/>
      <c r="CS720" s="47"/>
      <c r="CT720" s="47"/>
      <c r="CU720" s="47"/>
      <c r="CV720" s="47"/>
      <c r="CW720" s="47"/>
      <c r="CX720" s="47"/>
      <c r="CY720" s="47"/>
      <c r="CZ720" s="47"/>
      <c r="DA720" s="47"/>
      <c r="DB720" s="47"/>
      <c r="DC720" s="47"/>
      <c r="DD720" s="47"/>
      <c r="DE720" s="47"/>
      <c r="DF720" s="47"/>
      <c r="DG720" s="47"/>
      <c r="DH720" s="47"/>
    </row>
    <row r="721">
      <c r="A721" s="64"/>
      <c r="B721" s="47"/>
      <c r="C721" s="47"/>
      <c r="D721" s="47"/>
      <c r="E721" s="47"/>
      <c r="F721" s="47"/>
      <c r="G721" s="46"/>
      <c r="H721" s="42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  <c r="BL721" s="47"/>
      <c r="BM721" s="47"/>
      <c r="BN721" s="47"/>
      <c r="BO721" s="47"/>
      <c r="BP721" s="47"/>
      <c r="BQ721" s="47"/>
      <c r="BR721" s="47"/>
      <c r="BS721" s="47"/>
      <c r="BT721" s="47"/>
      <c r="BU721" s="47"/>
      <c r="BV721" s="47"/>
      <c r="BW721" s="47"/>
      <c r="BX721" s="47"/>
      <c r="BY721" s="47"/>
      <c r="BZ721" s="47"/>
      <c r="CA721" s="47"/>
      <c r="CB721" s="47"/>
      <c r="CC721" s="47"/>
      <c r="CD721" s="47"/>
      <c r="CE721" s="47"/>
      <c r="CF721" s="47"/>
      <c r="CG721" s="47"/>
      <c r="CH721" s="47"/>
      <c r="CI721" s="47"/>
      <c r="CJ721" s="47"/>
      <c r="CK721" s="47"/>
      <c r="CL721" s="47"/>
      <c r="CM721" s="47"/>
      <c r="CN721" s="47"/>
      <c r="CO721" s="47"/>
      <c r="CP721" s="47"/>
      <c r="CQ721" s="47"/>
      <c r="CR721" s="47"/>
      <c r="CS721" s="47"/>
      <c r="CT721" s="47"/>
      <c r="CU721" s="47"/>
      <c r="CV721" s="47"/>
      <c r="CW721" s="47"/>
      <c r="CX721" s="47"/>
      <c r="CY721" s="47"/>
      <c r="CZ721" s="47"/>
      <c r="DA721" s="47"/>
      <c r="DB721" s="47"/>
      <c r="DC721" s="47"/>
      <c r="DD721" s="47"/>
      <c r="DE721" s="47"/>
      <c r="DF721" s="47"/>
      <c r="DG721" s="47"/>
      <c r="DH721" s="47"/>
    </row>
    <row r="722">
      <c r="A722" s="64"/>
      <c r="B722" s="47"/>
      <c r="C722" s="47"/>
      <c r="D722" s="47"/>
      <c r="E722" s="47"/>
      <c r="F722" s="47"/>
      <c r="G722" s="46"/>
      <c r="H722" s="42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  <c r="BP722" s="47"/>
      <c r="BQ722" s="47"/>
      <c r="BR722" s="47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/>
      <c r="CG722" s="47"/>
      <c r="CH722" s="47"/>
      <c r="CI722" s="47"/>
      <c r="CJ722" s="47"/>
      <c r="CK722" s="47"/>
      <c r="CL722" s="47"/>
      <c r="CM722" s="47"/>
      <c r="CN722" s="47"/>
      <c r="CO722" s="47"/>
      <c r="CP722" s="47"/>
      <c r="CQ722" s="47"/>
      <c r="CR722" s="47"/>
      <c r="CS722" s="47"/>
      <c r="CT722" s="47"/>
      <c r="CU722" s="47"/>
      <c r="CV722" s="47"/>
      <c r="CW722" s="47"/>
      <c r="CX722" s="47"/>
      <c r="CY722" s="47"/>
      <c r="CZ722" s="47"/>
      <c r="DA722" s="47"/>
      <c r="DB722" s="47"/>
      <c r="DC722" s="47"/>
      <c r="DD722" s="47"/>
      <c r="DE722" s="47"/>
      <c r="DF722" s="47"/>
      <c r="DG722" s="47"/>
      <c r="DH722" s="47"/>
    </row>
    <row r="723">
      <c r="A723" s="64"/>
      <c r="B723" s="47"/>
      <c r="C723" s="47"/>
      <c r="D723" s="47"/>
      <c r="E723" s="47"/>
      <c r="F723" s="47"/>
      <c r="G723" s="46"/>
      <c r="H723" s="42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  <c r="BL723" s="47"/>
      <c r="BM723" s="47"/>
      <c r="BN723" s="47"/>
      <c r="BO723" s="47"/>
      <c r="BP723" s="47"/>
      <c r="BQ723" s="47"/>
      <c r="BR723" s="47"/>
      <c r="BS723" s="47"/>
      <c r="BT723" s="47"/>
      <c r="BU723" s="47"/>
      <c r="BV723" s="47"/>
      <c r="BW723" s="47"/>
      <c r="BX723" s="47"/>
      <c r="BY723" s="47"/>
      <c r="BZ723" s="47"/>
      <c r="CA723" s="47"/>
      <c r="CB723" s="47"/>
      <c r="CC723" s="47"/>
      <c r="CD723" s="47"/>
      <c r="CE723" s="47"/>
      <c r="CF723" s="47"/>
      <c r="CG723" s="47"/>
      <c r="CH723" s="47"/>
      <c r="CI723" s="47"/>
      <c r="CJ723" s="47"/>
      <c r="CK723" s="47"/>
      <c r="CL723" s="47"/>
      <c r="CM723" s="47"/>
      <c r="CN723" s="47"/>
      <c r="CO723" s="47"/>
      <c r="CP723" s="47"/>
      <c r="CQ723" s="47"/>
      <c r="CR723" s="47"/>
      <c r="CS723" s="47"/>
      <c r="CT723" s="47"/>
      <c r="CU723" s="47"/>
      <c r="CV723" s="47"/>
      <c r="CW723" s="47"/>
      <c r="CX723" s="47"/>
      <c r="CY723" s="47"/>
      <c r="CZ723" s="47"/>
      <c r="DA723" s="47"/>
      <c r="DB723" s="47"/>
      <c r="DC723" s="47"/>
      <c r="DD723" s="47"/>
      <c r="DE723" s="47"/>
      <c r="DF723" s="47"/>
      <c r="DG723" s="47"/>
      <c r="DH723" s="47"/>
    </row>
    <row r="724">
      <c r="A724" s="64"/>
      <c r="B724" s="47"/>
      <c r="C724" s="47"/>
      <c r="D724" s="47"/>
      <c r="E724" s="47"/>
      <c r="F724" s="47"/>
      <c r="G724" s="46"/>
      <c r="H724" s="42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  <c r="BP724" s="47"/>
      <c r="BQ724" s="47"/>
      <c r="BR724" s="47"/>
      <c r="BS724" s="47"/>
      <c r="BT724" s="47"/>
      <c r="BU724" s="47"/>
      <c r="BV724" s="47"/>
      <c r="BW724" s="47"/>
      <c r="BX724" s="47"/>
      <c r="BY724" s="47"/>
      <c r="BZ724" s="47"/>
      <c r="CA724" s="47"/>
      <c r="CB724" s="47"/>
      <c r="CC724" s="47"/>
      <c r="CD724" s="47"/>
      <c r="CE724" s="47"/>
      <c r="CF724" s="47"/>
      <c r="CG724" s="47"/>
      <c r="CH724" s="47"/>
      <c r="CI724" s="47"/>
      <c r="CJ724" s="47"/>
      <c r="CK724" s="47"/>
      <c r="CL724" s="47"/>
      <c r="CM724" s="47"/>
      <c r="CN724" s="47"/>
      <c r="CO724" s="47"/>
      <c r="CP724" s="47"/>
      <c r="CQ724" s="47"/>
      <c r="CR724" s="47"/>
      <c r="CS724" s="47"/>
      <c r="CT724" s="47"/>
      <c r="CU724" s="47"/>
      <c r="CV724" s="47"/>
      <c r="CW724" s="47"/>
      <c r="CX724" s="47"/>
      <c r="CY724" s="47"/>
      <c r="CZ724" s="47"/>
      <c r="DA724" s="47"/>
      <c r="DB724" s="47"/>
      <c r="DC724" s="47"/>
      <c r="DD724" s="47"/>
      <c r="DE724" s="47"/>
      <c r="DF724" s="47"/>
      <c r="DG724" s="47"/>
      <c r="DH724" s="47"/>
    </row>
    <row r="725">
      <c r="A725" s="64"/>
      <c r="B725" s="47"/>
      <c r="C725" s="47"/>
      <c r="D725" s="47"/>
      <c r="E725" s="47"/>
      <c r="F725" s="47"/>
      <c r="G725" s="46"/>
      <c r="H725" s="42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  <c r="BL725" s="47"/>
      <c r="BM725" s="47"/>
      <c r="BN725" s="47"/>
      <c r="BO725" s="47"/>
      <c r="BP725" s="47"/>
      <c r="BQ725" s="47"/>
      <c r="BR725" s="47"/>
      <c r="BS725" s="47"/>
      <c r="BT725" s="47"/>
      <c r="BU725" s="47"/>
      <c r="BV725" s="47"/>
      <c r="BW725" s="47"/>
      <c r="BX725" s="47"/>
      <c r="BY725" s="47"/>
      <c r="BZ725" s="47"/>
      <c r="CA725" s="47"/>
      <c r="CB725" s="47"/>
      <c r="CC725" s="47"/>
      <c r="CD725" s="47"/>
      <c r="CE725" s="47"/>
      <c r="CF725" s="47"/>
      <c r="CG725" s="47"/>
      <c r="CH725" s="47"/>
      <c r="CI725" s="47"/>
      <c r="CJ725" s="47"/>
      <c r="CK725" s="47"/>
      <c r="CL725" s="47"/>
      <c r="CM725" s="47"/>
      <c r="CN725" s="47"/>
      <c r="CO725" s="47"/>
      <c r="CP725" s="47"/>
      <c r="CQ725" s="47"/>
      <c r="CR725" s="47"/>
      <c r="CS725" s="47"/>
      <c r="CT725" s="47"/>
      <c r="CU725" s="47"/>
      <c r="CV725" s="47"/>
      <c r="CW725" s="47"/>
      <c r="CX725" s="47"/>
      <c r="CY725" s="47"/>
      <c r="CZ725" s="47"/>
      <c r="DA725" s="47"/>
      <c r="DB725" s="47"/>
      <c r="DC725" s="47"/>
      <c r="DD725" s="47"/>
      <c r="DE725" s="47"/>
      <c r="DF725" s="47"/>
      <c r="DG725" s="47"/>
      <c r="DH725" s="47"/>
    </row>
    <row r="726">
      <c r="A726" s="64"/>
      <c r="B726" s="47"/>
      <c r="C726" s="47"/>
      <c r="D726" s="47"/>
      <c r="E726" s="47"/>
      <c r="F726" s="47"/>
      <c r="G726" s="46"/>
      <c r="H726" s="42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  <c r="BL726" s="47"/>
      <c r="BM726" s="47"/>
      <c r="BN726" s="47"/>
      <c r="BO726" s="47"/>
      <c r="BP726" s="47"/>
      <c r="BQ726" s="47"/>
      <c r="BR726" s="47"/>
      <c r="BS726" s="47"/>
      <c r="BT726" s="47"/>
      <c r="BU726" s="47"/>
      <c r="BV726" s="47"/>
      <c r="BW726" s="47"/>
      <c r="BX726" s="47"/>
      <c r="BY726" s="47"/>
      <c r="BZ726" s="47"/>
      <c r="CA726" s="47"/>
      <c r="CB726" s="47"/>
      <c r="CC726" s="47"/>
      <c r="CD726" s="47"/>
      <c r="CE726" s="47"/>
      <c r="CF726" s="47"/>
      <c r="CG726" s="47"/>
      <c r="CH726" s="47"/>
      <c r="CI726" s="47"/>
      <c r="CJ726" s="47"/>
      <c r="CK726" s="47"/>
      <c r="CL726" s="47"/>
      <c r="CM726" s="47"/>
      <c r="CN726" s="47"/>
      <c r="CO726" s="47"/>
      <c r="CP726" s="47"/>
      <c r="CQ726" s="47"/>
      <c r="CR726" s="47"/>
      <c r="CS726" s="47"/>
      <c r="CT726" s="47"/>
      <c r="CU726" s="47"/>
      <c r="CV726" s="47"/>
      <c r="CW726" s="47"/>
      <c r="CX726" s="47"/>
      <c r="CY726" s="47"/>
      <c r="CZ726" s="47"/>
      <c r="DA726" s="47"/>
      <c r="DB726" s="47"/>
      <c r="DC726" s="47"/>
      <c r="DD726" s="47"/>
      <c r="DE726" s="47"/>
      <c r="DF726" s="47"/>
      <c r="DG726" s="47"/>
      <c r="DH726" s="47"/>
    </row>
    <row r="727">
      <c r="A727" s="64"/>
      <c r="B727" s="47"/>
      <c r="C727" s="47"/>
      <c r="D727" s="47"/>
      <c r="E727" s="47"/>
      <c r="F727" s="47"/>
      <c r="G727" s="46"/>
      <c r="H727" s="42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  <c r="BL727" s="47"/>
      <c r="BM727" s="47"/>
      <c r="BN727" s="47"/>
      <c r="BO727" s="47"/>
      <c r="BP727" s="47"/>
      <c r="BQ727" s="47"/>
      <c r="BR727" s="47"/>
      <c r="BS727" s="47"/>
      <c r="BT727" s="47"/>
      <c r="BU727" s="47"/>
      <c r="BV727" s="47"/>
      <c r="BW727" s="47"/>
      <c r="BX727" s="47"/>
      <c r="BY727" s="47"/>
      <c r="BZ727" s="47"/>
      <c r="CA727" s="47"/>
      <c r="CB727" s="47"/>
      <c r="CC727" s="47"/>
      <c r="CD727" s="47"/>
      <c r="CE727" s="47"/>
      <c r="CF727" s="47"/>
      <c r="CG727" s="47"/>
      <c r="CH727" s="47"/>
      <c r="CI727" s="47"/>
      <c r="CJ727" s="47"/>
      <c r="CK727" s="47"/>
      <c r="CL727" s="47"/>
      <c r="CM727" s="47"/>
      <c r="CN727" s="47"/>
      <c r="CO727" s="47"/>
      <c r="CP727" s="47"/>
      <c r="CQ727" s="47"/>
      <c r="CR727" s="47"/>
      <c r="CS727" s="47"/>
      <c r="CT727" s="47"/>
      <c r="CU727" s="47"/>
      <c r="CV727" s="47"/>
      <c r="CW727" s="47"/>
      <c r="CX727" s="47"/>
      <c r="CY727" s="47"/>
      <c r="CZ727" s="47"/>
      <c r="DA727" s="47"/>
      <c r="DB727" s="47"/>
      <c r="DC727" s="47"/>
      <c r="DD727" s="47"/>
      <c r="DE727" s="47"/>
      <c r="DF727" s="47"/>
      <c r="DG727" s="47"/>
      <c r="DH727" s="47"/>
    </row>
    <row r="728">
      <c r="A728" s="64"/>
      <c r="B728" s="47"/>
      <c r="C728" s="47"/>
      <c r="D728" s="47"/>
      <c r="E728" s="47"/>
      <c r="F728" s="47"/>
      <c r="G728" s="46"/>
      <c r="H728" s="42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  <c r="BL728" s="47"/>
      <c r="BM728" s="47"/>
      <c r="BN728" s="47"/>
      <c r="BO728" s="47"/>
      <c r="BP728" s="47"/>
      <c r="BQ728" s="47"/>
      <c r="BR728" s="47"/>
      <c r="BS728" s="47"/>
      <c r="BT728" s="47"/>
      <c r="BU728" s="47"/>
      <c r="BV728" s="47"/>
      <c r="BW728" s="47"/>
      <c r="BX728" s="47"/>
      <c r="BY728" s="47"/>
      <c r="BZ728" s="47"/>
      <c r="CA728" s="47"/>
      <c r="CB728" s="47"/>
      <c r="CC728" s="47"/>
      <c r="CD728" s="47"/>
      <c r="CE728" s="47"/>
      <c r="CF728" s="47"/>
      <c r="CG728" s="47"/>
      <c r="CH728" s="47"/>
      <c r="CI728" s="47"/>
      <c r="CJ728" s="47"/>
      <c r="CK728" s="47"/>
      <c r="CL728" s="47"/>
      <c r="CM728" s="47"/>
      <c r="CN728" s="47"/>
      <c r="CO728" s="47"/>
      <c r="CP728" s="47"/>
      <c r="CQ728" s="47"/>
      <c r="CR728" s="47"/>
      <c r="CS728" s="47"/>
      <c r="CT728" s="47"/>
      <c r="CU728" s="47"/>
      <c r="CV728" s="47"/>
      <c r="CW728" s="47"/>
      <c r="CX728" s="47"/>
      <c r="CY728" s="47"/>
      <c r="CZ728" s="47"/>
      <c r="DA728" s="47"/>
      <c r="DB728" s="47"/>
      <c r="DC728" s="47"/>
      <c r="DD728" s="47"/>
      <c r="DE728" s="47"/>
      <c r="DF728" s="47"/>
      <c r="DG728" s="47"/>
      <c r="DH728" s="47"/>
    </row>
    <row r="729">
      <c r="A729" s="64"/>
      <c r="B729" s="47"/>
      <c r="C729" s="47"/>
      <c r="D729" s="47"/>
      <c r="E729" s="47"/>
      <c r="F729" s="47"/>
      <c r="G729" s="46"/>
      <c r="H729" s="42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  <c r="BL729" s="47"/>
      <c r="BM729" s="47"/>
      <c r="BN729" s="47"/>
      <c r="BO729" s="47"/>
      <c r="BP729" s="47"/>
      <c r="BQ729" s="47"/>
      <c r="BR729" s="47"/>
      <c r="BS729" s="47"/>
      <c r="BT729" s="47"/>
      <c r="BU729" s="47"/>
      <c r="BV729" s="47"/>
      <c r="BW729" s="47"/>
      <c r="BX729" s="47"/>
      <c r="BY729" s="47"/>
      <c r="BZ729" s="47"/>
      <c r="CA729" s="47"/>
      <c r="CB729" s="47"/>
      <c r="CC729" s="47"/>
      <c r="CD729" s="47"/>
      <c r="CE729" s="47"/>
      <c r="CF729" s="47"/>
      <c r="CG729" s="47"/>
      <c r="CH729" s="47"/>
      <c r="CI729" s="47"/>
      <c r="CJ729" s="47"/>
      <c r="CK729" s="47"/>
      <c r="CL729" s="47"/>
      <c r="CM729" s="47"/>
      <c r="CN729" s="47"/>
      <c r="CO729" s="47"/>
      <c r="CP729" s="47"/>
      <c r="CQ729" s="47"/>
      <c r="CR729" s="47"/>
      <c r="CS729" s="47"/>
      <c r="CT729" s="47"/>
      <c r="CU729" s="47"/>
      <c r="CV729" s="47"/>
      <c r="CW729" s="47"/>
      <c r="CX729" s="47"/>
      <c r="CY729" s="47"/>
      <c r="CZ729" s="47"/>
      <c r="DA729" s="47"/>
      <c r="DB729" s="47"/>
      <c r="DC729" s="47"/>
      <c r="DD729" s="47"/>
      <c r="DE729" s="47"/>
      <c r="DF729" s="47"/>
      <c r="DG729" s="47"/>
      <c r="DH729" s="47"/>
    </row>
    <row r="730">
      <c r="A730" s="64"/>
      <c r="B730" s="47"/>
      <c r="C730" s="47"/>
      <c r="D730" s="47"/>
      <c r="E730" s="47"/>
      <c r="F730" s="47"/>
      <c r="G730" s="46"/>
      <c r="H730" s="42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  <c r="BL730" s="47"/>
      <c r="BM730" s="47"/>
      <c r="BN730" s="47"/>
      <c r="BO730" s="47"/>
      <c r="BP730" s="47"/>
      <c r="BQ730" s="47"/>
      <c r="BR730" s="47"/>
      <c r="BS730" s="47"/>
      <c r="BT730" s="47"/>
      <c r="BU730" s="47"/>
      <c r="BV730" s="47"/>
      <c r="BW730" s="47"/>
      <c r="BX730" s="47"/>
      <c r="BY730" s="47"/>
      <c r="BZ730" s="47"/>
      <c r="CA730" s="47"/>
      <c r="CB730" s="47"/>
      <c r="CC730" s="47"/>
      <c r="CD730" s="47"/>
      <c r="CE730" s="47"/>
      <c r="CF730" s="47"/>
      <c r="CG730" s="47"/>
      <c r="CH730" s="47"/>
      <c r="CI730" s="47"/>
      <c r="CJ730" s="47"/>
      <c r="CK730" s="47"/>
      <c r="CL730" s="47"/>
      <c r="CM730" s="47"/>
      <c r="CN730" s="47"/>
      <c r="CO730" s="47"/>
      <c r="CP730" s="47"/>
      <c r="CQ730" s="47"/>
      <c r="CR730" s="47"/>
      <c r="CS730" s="47"/>
      <c r="CT730" s="47"/>
      <c r="CU730" s="47"/>
      <c r="CV730" s="47"/>
      <c r="CW730" s="47"/>
      <c r="CX730" s="47"/>
      <c r="CY730" s="47"/>
      <c r="CZ730" s="47"/>
      <c r="DA730" s="47"/>
      <c r="DB730" s="47"/>
      <c r="DC730" s="47"/>
      <c r="DD730" s="47"/>
      <c r="DE730" s="47"/>
      <c r="DF730" s="47"/>
      <c r="DG730" s="47"/>
      <c r="DH730" s="47"/>
    </row>
    <row r="731">
      <c r="A731" s="64"/>
      <c r="B731" s="47"/>
      <c r="C731" s="47"/>
      <c r="D731" s="47"/>
      <c r="E731" s="47"/>
      <c r="F731" s="47"/>
      <c r="G731" s="46"/>
      <c r="H731" s="42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  <c r="BL731" s="47"/>
      <c r="BM731" s="47"/>
      <c r="BN731" s="47"/>
      <c r="BO731" s="47"/>
      <c r="BP731" s="47"/>
      <c r="BQ731" s="47"/>
      <c r="BR731" s="47"/>
      <c r="BS731" s="47"/>
      <c r="BT731" s="47"/>
      <c r="BU731" s="47"/>
      <c r="BV731" s="47"/>
      <c r="BW731" s="47"/>
      <c r="BX731" s="47"/>
      <c r="BY731" s="47"/>
      <c r="BZ731" s="47"/>
      <c r="CA731" s="47"/>
      <c r="CB731" s="47"/>
      <c r="CC731" s="47"/>
      <c r="CD731" s="47"/>
      <c r="CE731" s="47"/>
      <c r="CF731" s="47"/>
      <c r="CG731" s="47"/>
      <c r="CH731" s="47"/>
      <c r="CI731" s="47"/>
      <c r="CJ731" s="47"/>
      <c r="CK731" s="47"/>
      <c r="CL731" s="47"/>
      <c r="CM731" s="47"/>
      <c r="CN731" s="47"/>
      <c r="CO731" s="47"/>
      <c r="CP731" s="47"/>
      <c r="CQ731" s="47"/>
      <c r="CR731" s="47"/>
      <c r="CS731" s="47"/>
      <c r="CT731" s="47"/>
      <c r="CU731" s="47"/>
      <c r="CV731" s="47"/>
      <c r="CW731" s="47"/>
      <c r="CX731" s="47"/>
      <c r="CY731" s="47"/>
      <c r="CZ731" s="47"/>
      <c r="DA731" s="47"/>
      <c r="DB731" s="47"/>
      <c r="DC731" s="47"/>
      <c r="DD731" s="47"/>
      <c r="DE731" s="47"/>
      <c r="DF731" s="47"/>
      <c r="DG731" s="47"/>
      <c r="DH731" s="47"/>
    </row>
    <row r="732">
      <c r="A732" s="64"/>
      <c r="B732" s="47"/>
      <c r="C732" s="47"/>
      <c r="D732" s="47"/>
      <c r="E732" s="47"/>
      <c r="F732" s="47"/>
      <c r="G732" s="46"/>
      <c r="H732" s="42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  <c r="BL732" s="47"/>
      <c r="BM732" s="47"/>
      <c r="BN732" s="47"/>
      <c r="BO732" s="47"/>
      <c r="BP732" s="47"/>
      <c r="BQ732" s="47"/>
      <c r="BR732" s="47"/>
      <c r="BS732" s="47"/>
      <c r="BT732" s="47"/>
      <c r="BU732" s="47"/>
      <c r="BV732" s="47"/>
      <c r="BW732" s="47"/>
      <c r="BX732" s="47"/>
      <c r="BY732" s="47"/>
      <c r="BZ732" s="47"/>
      <c r="CA732" s="47"/>
      <c r="CB732" s="47"/>
      <c r="CC732" s="47"/>
      <c r="CD732" s="47"/>
      <c r="CE732" s="47"/>
      <c r="CF732" s="47"/>
      <c r="CG732" s="47"/>
      <c r="CH732" s="47"/>
      <c r="CI732" s="47"/>
      <c r="CJ732" s="47"/>
      <c r="CK732" s="47"/>
      <c r="CL732" s="47"/>
      <c r="CM732" s="47"/>
      <c r="CN732" s="47"/>
      <c r="CO732" s="47"/>
      <c r="CP732" s="47"/>
      <c r="CQ732" s="47"/>
      <c r="CR732" s="47"/>
      <c r="CS732" s="47"/>
      <c r="CT732" s="47"/>
      <c r="CU732" s="47"/>
      <c r="CV732" s="47"/>
      <c r="CW732" s="47"/>
      <c r="CX732" s="47"/>
      <c r="CY732" s="47"/>
      <c r="CZ732" s="47"/>
      <c r="DA732" s="47"/>
      <c r="DB732" s="47"/>
      <c r="DC732" s="47"/>
      <c r="DD732" s="47"/>
      <c r="DE732" s="47"/>
      <c r="DF732" s="47"/>
      <c r="DG732" s="47"/>
      <c r="DH732" s="47"/>
    </row>
    <row r="733">
      <c r="A733" s="64"/>
      <c r="B733" s="47"/>
      <c r="C733" s="47"/>
      <c r="D733" s="47"/>
      <c r="E733" s="47"/>
      <c r="F733" s="47"/>
      <c r="G733" s="46"/>
      <c r="H733" s="42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  <c r="BL733" s="47"/>
      <c r="BM733" s="47"/>
      <c r="BN733" s="47"/>
      <c r="BO733" s="47"/>
      <c r="BP733" s="47"/>
      <c r="BQ733" s="47"/>
      <c r="BR733" s="47"/>
      <c r="BS733" s="47"/>
      <c r="BT733" s="47"/>
      <c r="BU733" s="47"/>
      <c r="BV733" s="47"/>
      <c r="BW733" s="47"/>
      <c r="BX733" s="47"/>
      <c r="BY733" s="47"/>
      <c r="BZ733" s="47"/>
      <c r="CA733" s="47"/>
      <c r="CB733" s="47"/>
      <c r="CC733" s="47"/>
      <c r="CD733" s="47"/>
      <c r="CE733" s="47"/>
      <c r="CF733" s="47"/>
      <c r="CG733" s="47"/>
      <c r="CH733" s="47"/>
      <c r="CI733" s="47"/>
      <c r="CJ733" s="47"/>
      <c r="CK733" s="47"/>
      <c r="CL733" s="47"/>
      <c r="CM733" s="47"/>
      <c r="CN733" s="47"/>
      <c r="CO733" s="47"/>
      <c r="CP733" s="47"/>
      <c r="CQ733" s="47"/>
      <c r="CR733" s="47"/>
      <c r="CS733" s="47"/>
      <c r="CT733" s="47"/>
      <c r="CU733" s="47"/>
      <c r="CV733" s="47"/>
      <c r="CW733" s="47"/>
      <c r="CX733" s="47"/>
      <c r="CY733" s="47"/>
      <c r="CZ733" s="47"/>
      <c r="DA733" s="47"/>
      <c r="DB733" s="47"/>
      <c r="DC733" s="47"/>
      <c r="DD733" s="47"/>
      <c r="DE733" s="47"/>
      <c r="DF733" s="47"/>
      <c r="DG733" s="47"/>
      <c r="DH733" s="47"/>
    </row>
    <row r="734">
      <c r="A734" s="64"/>
      <c r="B734" s="47"/>
      <c r="C734" s="47"/>
      <c r="D734" s="47"/>
      <c r="E734" s="47"/>
      <c r="F734" s="47"/>
      <c r="G734" s="46"/>
      <c r="H734" s="42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  <c r="BP734" s="47"/>
      <c r="BQ734" s="47"/>
      <c r="BR734" s="47"/>
      <c r="BS734" s="47"/>
      <c r="BT734" s="47"/>
      <c r="BU734" s="47"/>
      <c r="BV734" s="47"/>
      <c r="BW734" s="47"/>
      <c r="BX734" s="47"/>
      <c r="BY734" s="47"/>
      <c r="BZ734" s="47"/>
      <c r="CA734" s="47"/>
      <c r="CB734" s="47"/>
      <c r="CC734" s="47"/>
      <c r="CD734" s="47"/>
      <c r="CE734" s="47"/>
      <c r="CF734" s="47"/>
      <c r="CG734" s="47"/>
      <c r="CH734" s="47"/>
      <c r="CI734" s="47"/>
      <c r="CJ734" s="47"/>
      <c r="CK734" s="47"/>
      <c r="CL734" s="47"/>
      <c r="CM734" s="47"/>
      <c r="CN734" s="47"/>
      <c r="CO734" s="47"/>
      <c r="CP734" s="47"/>
      <c r="CQ734" s="47"/>
      <c r="CR734" s="47"/>
      <c r="CS734" s="47"/>
      <c r="CT734" s="47"/>
      <c r="CU734" s="47"/>
      <c r="CV734" s="47"/>
      <c r="CW734" s="47"/>
      <c r="CX734" s="47"/>
      <c r="CY734" s="47"/>
      <c r="CZ734" s="47"/>
      <c r="DA734" s="47"/>
      <c r="DB734" s="47"/>
      <c r="DC734" s="47"/>
      <c r="DD734" s="47"/>
      <c r="DE734" s="47"/>
      <c r="DF734" s="47"/>
      <c r="DG734" s="47"/>
      <c r="DH734" s="47"/>
    </row>
    <row r="735">
      <c r="A735" s="64"/>
      <c r="B735" s="47"/>
      <c r="C735" s="47"/>
      <c r="D735" s="47"/>
      <c r="E735" s="47"/>
      <c r="F735" s="47"/>
      <c r="G735" s="46"/>
      <c r="H735" s="42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  <c r="BP735" s="47"/>
      <c r="BQ735" s="47"/>
      <c r="BR735" s="47"/>
      <c r="BS735" s="47"/>
      <c r="BT735" s="47"/>
      <c r="BU735" s="47"/>
      <c r="BV735" s="47"/>
      <c r="BW735" s="47"/>
      <c r="BX735" s="47"/>
      <c r="BY735" s="47"/>
      <c r="BZ735" s="47"/>
      <c r="CA735" s="47"/>
      <c r="CB735" s="47"/>
      <c r="CC735" s="47"/>
      <c r="CD735" s="47"/>
      <c r="CE735" s="47"/>
      <c r="CF735" s="47"/>
      <c r="CG735" s="47"/>
      <c r="CH735" s="47"/>
      <c r="CI735" s="47"/>
      <c r="CJ735" s="47"/>
      <c r="CK735" s="47"/>
      <c r="CL735" s="47"/>
      <c r="CM735" s="47"/>
      <c r="CN735" s="47"/>
      <c r="CO735" s="47"/>
      <c r="CP735" s="47"/>
      <c r="CQ735" s="47"/>
      <c r="CR735" s="47"/>
      <c r="CS735" s="47"/>
      <c r="CT735" s="47"/>
      <c r="CU735" s="47"/>
      <c r="CV735" s="47"/>
      <c r="CW735" s="47"/>
      <c r="CX735" s="47"/>
      <c r="CY735" s="47"/>
      <c r="CZ735" s="47"/>
      <c r="DA735" s="47"/>
      <c r="DB735" s="47"/>
      <c r="DC735" s="47"/>
      <c r="DD735" s="47"/>
      <c r="DE735" s="47"/>
      <c r="DF735" s="47"/>
      <c r="DG735" s="47"/>
      <c r="DH735" s="47"/>
    </row>
    <row r="736">
      <c r="A736" s="64"/>
      <c r="B736" s="47"/>
      <c r="C736" s="47"/>
      <c r="D736" s="47"/>
      <c r="E736" s="47"/>
      <c r="F736" s="47"/>
      <c r="G736" s="46"/>
      <c r="H736" s="42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  <c r="BP736" s="47"/>
      <c r="BQ736" s="47"/>
      <c r="BR736" s="47"/>
      <c r="BS736" s="47"/>
      <c r="BT736" s="47"/>
      <c r="BU736" s="47"/>
      <c r="BV736" s="47"/>
      <c r="BW736" s="47"/>
      <c r="BX736" s="47"/>
      <c r="BY736" s="47"/>
      <c r="BZ736" s="47"/>
      <c r="CA736" s="47"/>
      <c r="CB736" s="47"/>
      <c r="CC736" s="47"/>
      <c r="CD736" s="47"/>
      <c r="CE736" s="47"/>
      <c r="CF736" s="47"/>
      <c r="CG736" s="47"/>
      <c r="CH736" s="47"/>
      <c r="CI736" s="47"/>
      <c r="CJ736" s="47"/>
      <c r="CK736" s="47"/>
      <c r="CL736" s="47"/>
      <c r="CM736" s="47"/>
      <c r="CN736" s="47"/>
      <c r="CO736" s="47"/>
      <c r="CP736" s="47"/>
      <c r="CQ736" s="47"/>
      <c r="CR736" s="47"/>
      <c r="CS736" s="47"/>
      <c r="CT736" s="47"/>
      <c r="CU736" s="47"/>
      <c r="CV736" s="47"/>
      <c r="CW736" s="47"/>
      <c r="CX736" s="47"/>
      <c r="CY736" s="47"/>
      <c r="CZ736" s="47"/>
      <c r="DA736" s="47"/>
      <c r="DB736" s="47"/>
      <c r="DC736" s="47"/>
      <c r="DD736" s="47"/>
      <c r="DE736" s="47"/>
      <c r="DF736" s="47"/>
      <c r="DG736" s="47"/>
      <c r="DH736" s="47"/>
    </row>
    <row r="737">
      <c r="A737" s="64"/>
      <c r="B737" s="47"/>
      <c r="C737" s="47"/>
      <c r="D737" s="47"/>
      <c r="E737" s="47"/>
      <c r="F737" s="47"/>
      <c r="G737" s="46"/>
      <c r="H737" s="42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  <c r="BL737" s="47"/>
      <c r="BM737" s="47"/>
      <c r="BN737" s="47"/>
      <c r="BO737" s="47"/>
      <c r="BP737" s="47"/>
      <c r="BQ737" s="47"/>
      <c r="BR737" s="47"/>
      <c r="BS737" s="47"/>
      <c r="BT737" s="47"/>
      <c r="BU737" s="47"/>
      <c r="BV737" s="47"/>
      <c r="BW737" s="47"/>
      <c r="BX737" s="47"/>
      <c r="BY737" s="47"/>
      <c r="BZ737" s="47"/>
      <c r="CA737" s="47"/>
      <c r="CB737" s="47"/>
      <c r="CC737" s="47"/>
      <c r="CD737" s="47"/>
      <c r="CE737" s="47"/>
      <c r="CF737" s="47"/>
      <c r="CG737" s="47"/>
      <c r="CH737" s="47"/>
      <c r="CI737" s="47"/>
      <c r="CJ737" s="47"/>
      <c r="CK737" s="47"/>
      <c r="CL737" s="47"/>
      <c r="CM737" s="47"/>
      <c r="CN737" s="47"/>
      <c r="CO737" s="47"/>
      <c r="CP737" s="47"/>
      <c r="CQ737" s="47"/>
      <c r="CR737" s="47"/>
      <c r="CS737" s="47"/>
      <c r="CT737" s="47"/>
      <c r="CU737" s="47"/>
      <c r="CV737" s="47"/>
      <c r="CW737" s="47"/>
      <c r="CX737" s="47"/>
      <c r="CY737" s="47"/>
      <c r="CZ737" s="47"/>
      <c r="DA737" s="47"/>
      <c r="DB737" s="47"/>
      <c r="DC737" s="47"/>
      <c r="DD737" s="47"/>
      <c r="DE737" s="47"/>
      <c r="DF737" s="47"/>
      <c r="DG737" s="47"/>
      <c r="DH737" s="47"/>
    </row>
    <row r="738">
      <c r="A738" s="64"/>
      <c r="B738" s="47"/>
      <c r="C738" s="47"/>
      <c r="D738" s="47"/>
      <c r="E738" s="47"/>
      <c r="F738" s="47"/>
      <c r="G738" s="46"/>
      <c r="H738" s="42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  <c r="BL738" s="47"/>
      <c r="BM738" s="47"/>
      <c r="BN738" s="47"/>
      <c r="BO738" s="47"/>
      <c r="BP738" s="47"/>
      <c r="BQ738" s="47"/>
      <c r="BR738" s="47"/>
      <c r="BS738" s="47"/>
      <c r="BT738" s="47"/>
      <c r="BU738" s="47"/>
      <c r="BV738" s="47"/>
      <c r="BW738" s="47"/>
      <c r="BX738" s="47"/>
      <c r="BY738" s="47"/>
      <c r="BZ738" s="47"/>
      <c r="CA738" s="47"/>
      <c r="CB738" s="47"/>
      <c r="CC738" s="47"/>
      <c r="CD738" s="47"/>
      <c r="CE738" s="47"/>
      <c r="CF738" s="47"/>
      <c r="CG738" s="47"/>
      <c r="CH738" s="47"/>
      <c r="CI738" s="47"/>
      <c r="CJ738" s="47"/>
      <c r="CK738" s="47"/>
      <c r="CL738" s="47"/>
      <c r="CM738" s="47"/>
      <c r="CN738" s="47"/>
      <c r="CO738" s="47"/>
      <c r="CP738" s="47"/>
      <c r="CQ738" s="47"/>
      <c r="CR738" s="47"/>
      <c r="CS738" s="47"/>
      <c r="CT738" s="47"/>
      <c r="CU738" s="47"/>
      <c r="CV738" s="47"/>
      <c r="CW738" s="47"/>
      <c r="CX738" s="47"/>
      <c r="CY738" s="47"/>
      <c r="CZ738" s="47"/>
      <c r="DA738" s="47"/>
      <c r="DB738" s="47"/>
      <c r="DC738" s="47"/>
      <c r="DD738" s="47"/>
      <c r="DE738" s="47"/>
      <c r="DF738" s="47"/>
      <c r="DG738" s="47"/>
      <c r="DH738" s="47"/>
    </row>
    <row r="739">
      <c r="A739" s="64"/>
      <c r="B739" s="47"/>
      <c r="C739" s="47"/>
      <c r="D739" s="47"/>
      <c r="E739" s="47"/>
      <c r="F739" s="47"/>
      <c r="G739" s="46"/>
      <c r="H739" s="42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  <c r="BL739" s="47"/>
      <c r="BM739" s="47"/>
      <c r="BN739" s="47"/>
      <c r="BO739" s="47"/>
      <c r="BP739" s="47"/>
      <c r="BQ739" s="47"/>
      <c r="BR739" s="47"/>
      <c r="BS739" s="47"/>
      <c r="BT739" s="47"/>
      <c r="BU739" s="47"/>
      <c r="BV739" s="47"/>
      <c r="BW739" s="47"/>
      <c r="BX739" s="47"/>
      <c r="BY739" s="47"/>
      <c r="BZ739" s="47"/>
      <c r="CA739" s="47"/>
      <c r="CB739" s="47"/>
      <c r="CC739" s="47"/>
      <c r="CD739" s="47"/>
      <c r="CE739" s="47"/>
      <c r="CF739" s="47"/>
      <c r="CG739" s="47"/>
      <c r="CH739" s="47"/>
      <c r="CI739" s="47"/>
      <c r="CJ739" s="47"/>
      <c r="CK739" s="47"/>
      <c r="CL739" s="47"/>
      <c r="CM739" s="47"/>
      <c r="CN739" s="47"/>
      <c r="CO739" s="47"/>
      <c r="CP739" s="47"/>
      <c r="CQ739" s="47"/>
      <c r="CR739" s="47"/>
      <c r="CS739" s="47"/>
      <c r="CT739" s="47"/>
      <c r="CU739" s="47"/>
      <c r="CV739" s="47"/>
      <c r="CW739" s="47"/>
      <c r="CX739" s="47"/>
      <c r="CY739" s="47"/>
      <c r="CZ739" s="47"/>
      <c r="DA739" s="47"/>
      <c r="DB739" s="47"/>
      <c r="DC739" s="47"/>
      <c r="DD739" s="47"/>
      <c r="DE739" s="47"/>
      <c r="DF739" s="47"/>
      <c r="DG739" s="47"/>
      <c r="DH739" s="47"/>
    </row>
    <row r="740">
      <c r="A740" s="64"/>
      <c r="B740" s="47"/>
      <c r="C740" s="47"/>
      <c r="D740" s="47"/>
      <c r="E740" s="47"/>
      <c r="F740" s="47"/>
      <c r="G740" s="46"/>
      <c r="H740" s="42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  <c r="BL740" s="47"/>
      <c r="BM740" s="47"/>
      <c r="BN740" s="47"/>
      <c r="BO740" s="47"/>
      <c r="BP740" s="47"/>
      <c r="BQ740" s="47"/>
      <c r="BR740" s="47"/>
      <c r="BS740" s="47"/>
      <c r="BT740" s="47"/>
      <c r="BU740" s="47"/>
      <c r="BV740" s="47"/>
      <c r="BW740" s="47"/>
      <c r="BX740" s="47"/>
      <c r="BY740" s="47"/>
      <c r="BZ740" s="47"/>
      <c r="CA740" s="47"/>
      <c r="CB740" s="47"/>
      <c r="CC740" s="47"/>
      <c r="CD740" s="47"/>
      <c r="CE740" s="47"/>
      <c r="CF740" s="47"/>
      <c r="CG740" s="47"/>
      <c r="CH740" s="47"/>
      <c r="CI740" s="47"/>
      <c r="CJ740" s="47"/>
      <c r="CK740" s="47"/>
      <c r="CL740" s="47"/>
      <c r="CM740" s="47"/>
      <c r="CN740" s="47"/>
      <c r="CO740" s="47"/>
      <c r="CP740" s="47"/>
      <c r="CQ740" s="47"/>
      <c r="CR740" s="47"/>
      <c r="CS740" s="47"/>
      <c r="CT740" s="47"/>
      <c r="CU740" s="47"/>
      <c r="CV740" s="47"/>
      <c r="CW740" s="47"/>
      <c r="CX740" s="47"/>
      <c r="CY740" s="47"/>
      <c r="CZ740" s="47"/>
      <c r="DA740" s="47"/>
      <c r="DB740" s="47"/>
      <c r="DC740" s="47"/>
      <c r="DD740" s="47"/>
      <c r="DE740" s="47"/>
      <c r="DF740" s="47"/>
      <c r="DG740" s="47"/>
      <c r="DH740" s="47"/>
    </row>
    <row r="741">
      <c r="A741" s="64"/>
      <c r="B741" s="47"/>
      <c r="C741" s="47"/>
      <c r="D741" s="47"/>
      <c r="E741" s="47"/>
      <c r="F741" s="47"/>
      <c r="G741" s="46"/>
      <c r="H741" s="42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  <c r="BL741" s="47"/>
      <c r="BM741" s="47"/>
      <c r="BN741" s="47"/>
      <c r="BO741" s="47"/>
      <c r="BP741" s="47"/>
      <c r="BQ741" s="47"/>
      <c r="BR741" s="47"/>
      <c r="BS741" s="47"/>
      <c r="BT741" s="47"/>
      <c r="BU741" s="47"/>
      <c r="BV741" s="47"/>
      <c r="BW741" s="47"/>
      <c r="BX741" s="47"/>
      <c r="BY741" s="47"/>
      <c r="BZ741" s="47"/>
      <c r="CA741" s="47"/>
      <c r="CB741" s="47"/>
      <c r="CC741" s="47"/>
      <c r="CD741" s="47"/>
      <c r="CE741" s="47"/>
      <c r="CF741" s="47"/>
      <c r="CG741" s="47"/>
      <c r="CH741" s="47"/>
      <c r="CI741" s="47"/>
      <c r="CJ741" s="47"/>
      <c r="CK741" s="47"/>
      <c r="CL741" s="47"/>
      <c r="CM741" s="47"/>
      <c r="CN741" s="47"/>
      <c r="CO741" s="47"/>
      <c r="CP741" s="47"/>
      <c r="CQ741" s="47"/>
      <c r="CR741" s="47"/>
      <c r="CS741" s="47"/>
      <c r="CT741" s="47"/>
      <c r="CU741" s="47"/>
      <c r="CV741" s="47"/>
      <c r="CW741" s="47"/>
      <c r="CX741" s="47"/>
      <c r="CY741" s="47"/>
      <c r="CZ741" s="47"/>
      <c r="DA741" s="47"/>
      <c r="DB741" s="47"/>
      <c r="DC741" s="47"/>
      <c r="DD741" s="47"/>
      <c r="DE741" s="47"/>
      <c r="DF741" s="47"/>
      <c r="DG741" s="47"/>
      <c r="DH741" s="47"/>
    </row>
    <row r="742">
      <c r="A742" s="64"/>
      <c r="B742" s="47"/>
      <c r="C742" s="47"/>
      <c r="D742" s="47"/>
      <c r="E742" s="47"/>
      <c r="F742" s="47"/>
      <c r="G742" s="46"/>
      <c r="H742" s="42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/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47"/>
      <c r="CA742" s="47"/>
      <c r="CB742" s="47"/>
      <c r="CC742" s="47"/>
      <c r="CD742" s="47"/>
      <c r="CE742" s="47"/>
      <c r="CF742" s="47"/>
      <c r="CG742" s="47"/>
      <c r="CH742" s="47"/>
      <c r="CI742" s="47"/>
      <c r="CJ742" s="47"/>
      <c r="CK742" s="47"/>
      <c r="CL742" s="47"/>
      <c r="CM742" s="47"/>
      <c r="CN742" s="47"/>
      <c r="CO742" s="47"/>
      <c r="CP742" s="47"/>
      <c r="CQ742" s="47"/>
      <c r="CR742" s="47"/>
      <c r="CS742" s="47"/>
      <c r="CT742" s="47"/>
      <c r="CU742" s="47"/>
      <c r="CV742" s="47"/>
      <c r="CW742" s="47"/>
      <c r="CX742" s="47"/>
      <c r="CY742" s="47"/>
      <c r="CZ742" s="47"/>
      <c r="DA742" s="47"/>
      <c r="DB742" s="47"/>
      <c r="DC742" s="47"/>
      <c r="DD742" s="47"/>
      <c r="DE742" s="47"/>
      <c r="DF742" s="47"/>
      <c r="DG742" s="47"/>
      <c r="DH742" s="47"/>
    </row>
    <row r="743">
      <c r="A743" s="64"/>
      <c r="B743" s="47"/>
      <c r="C743" s="47"/>
      <c r="D743" s="47"/>
      <c r="E743" s="47"/>
      <c r="F743" s="47"/>
      <c r="G743" s="46"/>
      <c r="H743" s="42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  <c r="BL743" s="47"/>
      <c r="BM743" s="47"/>
      <c r="BN743" s="47"/>
      <c r="BO743" s="47"/>
      <c r="BP743" s="47"/>
      <c r="BQ743" s="47"/>
      <c r="BR743" s="47"/>
      <c r="BS743" s="47"/>
      <c r="BT743" s="47"/>
      <c r="BU743" s="47"/>
      <c r="BV743" s="47"/>
      <c r="BW743" s="47"/>
      <c r="BX743" s="47"/>
      <c r="BY743" s="47"/>
      <c r="BZ743" s="47"/>
      <c r="CA743" s="47"/>
      <c r="CB743" s="47"/>
      <c r="CC743" s="47"/>
      <c r="CD743" s="47"/>
      <c r="CE743" s="47"/>
      <c r="CF743" s="47"/>
      <c r="CG743" s="47"/>
      <c r="CH743" s="47"/>
      <c r="CI743" s="47"/>
      <c r="CJ743" s="47"/>
      <c r="CK743" s="47"/>
      <c r="CL743" s="47"/>
      <c r="CM743" s="47"/>
      <c r="CN743" s="47"/>
      <c r="CO743" s="47"/>
      <c r="CP743" s="47"/>
      <c r="CQ743" s="47"/>
      <c r="CR743" s="47"/>
      <c r="CS743" s="47"/>
      <c r="CT743" s="47"/>
      <c r="CU743" s="47"/>
      <c r="CV743" s="47"/>
      <c r="CW743" s="47"/>
      <c r="CX743" s="47"/>
      <c r="CY743" s="47"/>
      <c r="CZ743" s="47"/>
      <c r="DA743" s="47"/>
      <c r="DB743" s="47"/>
      <c r="DC743" s="47"/>
      <c r="DD743" s="47"/>
      <c r="DE743" s="47"/>
      <c r="DF743" s="47"/>
      <c r="DG743" s="47"/>
      <c r="DH743" s="47"/>
    </row>
    <row r="744">
      <c r="A744" s="64"/>
      <c r="B744" s="47"/>
      <c r="C744" s="47"/>
      <c r="D744" s="47"/>
      <c r="E744" s="47"/>
      <c r="F744" s="47"/>
      <c r="G744" s="46"/>
      <c r="H744" s="42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/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47"/>
      <c r="CA744" s="47"/>
      <c r="CB744" s="47"/>
      <c r="CC744" s="47"/>
      <c r="CD744" s="47"/>
      <c r="CE744" s="47"/>
      <c r="CF744" s="47"/>
      <c r="CG744" s="47"/>
      <c r="CH744" s="47"/>
      <c r="CI744" s="47"/>
      <c r="CJ744" s="47"/>
      <c r="CK744" s="47"/>
      <c r="CL744" s="47"/>
      <c r="CM744" s="47"/>
      <c r="CN744" s="47"/>
      <c r="CO744" s="47"/>
      <c r="CP744" s="47"/>
      <c r="CQ744" s="47"/>
      <c r="CR744" s="47"/>
      <c r="CS744" s="47"/>
      <c r="CT744" s="47"/>
      <c r="CU744" s="47"/>
      <c r="CV744" s="47"/>
      <c r="CW744" s="47"/>
      <c r="CX744" s="47"/>
      <c r="CY744" s="47"/>
      <c r="CZ744" s="47"/>
      <c r="DA744" s="47"/>
      <c r="DB744" s="47"/>
      <c r="DC744" s="47"/>
      <c r="DD744" s="47"/>
      <c r="DE744" s="47"/>
      <c r="DF744" s="47"/>
      <c r="DG744" s="47"/>
      <c r="DH744" s="47"/>
    </row>
    <row r="745">
      <c r="A745" s="64"/>
      <c r="B745" s="47"/>
      <c r="C745" s="47"/>
      <c r="D745" s="47"/>
      <c r="E745" s="47"/>
      <c r="F745" s="47"/>
      <c r="G745" s="46"/>
      <c r="H745" s="42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  <c r="BL745" s="47"/>
      <c r="BM745" s="47"/>
      <c r="BN745" s="47"/>
      <c r="BO745" s="47"/>
      <c r="BP745" s="47"/>
      <c r="BQ745" s="47"/>
      <c r="BR745" s="47"/>
      <c r="BS745" s="47"/>
      <c r="BT745" s="47"/>
      <c r="BU745" s="47"/>
      <c r="BV745" s="47"/>
      <c r="BW745" s="47"/>
      <c r="BX745" s="47"/>
      <c r="BY745" s="47"/>
      <c r="BZ745" s="47"/>
      <c r="CA745" s="47"/>
      <c r="CB745" s="47"/>
      <c r="CC745" s="47"/>
      <c r="CD745" s="47"/>
      <c r="CE745" s="47"/>
      <c r="CF745" s="47"/>
      <c r="CG745" s="47"/>
      <c r="CH745" s="47"/>
      <c r="CI745" s="47"/>
      <c r="CJ745" s="47"/>
      <c r="CK745" s="47"/>
      <c r="CL745" s="47"/>
      <c r="CM745" s="47"/>
      <c r="CN745" s="47"/>
      <c r="CO745" s="47"/>
      <c r="CP745" s="47"/>
      <c r="CQ745" s="47"/>
      <c r="CR745" s="47"/>
      <c r="CS745" s="47"/>
      <c r="CT745" s="47"/>
      <c r="CU745" s="47"/>
      <c r="CV745" s="47"/>
      <c r="CW745" s="47"/>
      <c r="CX745" s="47"/>
      <c r="CY745" s="47"/>
      <c r="CZ745" s="47"/>
      <c r="DA745" s="47"/>
      <c r="DB745" s="47"/>
      <c r="DC745" s="47"/>
      <c r="DD745" s="47"/>
      <c r="DE745" s="47"/>
      <c r="DF745" s="47"/>
      <c r="DG745" s="47"/>
      <c r="DH745" s="47"/>
    </row>
    <row r="746">
      <c r="A746" s="64"/>
      <c r="B746" s="47"/>
      <c r="C746" s="47"/>
      <c r="D746" s="47"/>
      <c r="E746" s="47"/>
      <c r="F746" s="47"/>
      <c r="G746" s="46"/>
      <c r="H746" s="42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S746" s="47"/>
      <c r="CT746" s="47"/>
      <c r="CU746" s="47"/>
      <c r="CV746" s="47"/>
      <c r="CW746" s="47"/>
      <c r="CX746" s="47"/>
      <c r="CY746" s="47"/>
      <c r="CZ746" s="47"/>
      <c r="DA746" s="47"/>
      <c r="DB746" s="47"/>
      <c r="DC746" s="47"/>
      <c r="DD746" s="47"/>
      <c r="DE746" s="47"/>
      <c r="DF746" s="47"/>
      <c r="DG746" s="47"/>
      <c r="DH746" s="47"/>
    </row>
    <row r="747">
      <c r="A747" s="64"/>
      <c r="B747" s="47"/>
      <c r="C747" s="47"/>
      <c r="D747" s="47"/>
      <c r="E747" s="47"/>
      <c r="F747" s="47"/>
      <c r="G747" s="46"/>
      <c r="H747" s="42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S747" s="47"/>
      <c r="CT747" s="47"/>
      <c r="CU747" s="47"/>
      <c r="CV747" s="47"/>
      <c r="CW747" s="47"/>
      <c r="CX747" s="47"/>
      <c r="CY747" s="47"/>
      <c r="CZ747" s="47"/>
      <c r="DA747" s="47"/>
      <c r="DB747" s="47"/>
      <c r="DC747" s="47"/>
      <c r="DD747" s="47"/>
      <c r="DE747" s="47"/>
      <c r="DF747" s="47"/>
      <c r="DG747" s="47"/>
      <c r="DH747" s="47"/>
    </row>
    <row r="748">
      <c r="A748" s="64"/>
      <c r="B748" s="47"/>
      <c r="C748" s="47"/>
      <c r="D748" s="47"/>
      <c r="E748" s="47"/>
      <c r="F748" s="47"/>
      <c r="G748" s="46"/>
      <c r="H748" s="42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S748" s="47"/>
      <c r="CT748" s="47"/>
      <c r="CU748" s="47"/>
      <c r="CV748" s="47"/>
      <c r="CW748" s="47"/>
      <c r="CX748" s="47"/>
      <c r="CY748" s="47"/>
      <c r="CZ748" s="47"/>
      <c r="DA748" s="47"/>
      <c r="DB748" s="47"/>
      <c r="DC748" s="47"/>
      <c r="DD748" s="47"/>
      <c r="DE748" s="47"/>
      <c r="DF748" s="47"/>
      <c r="DG748" s="47"/>
      <c r="DH748" s="47"/>
    </row>
    <row r="749">
      <c r="A749" s="64"/>
      <c r="B749" s="47"/>
      <c r="C749" s="47"/>
      <c r="D749" s="47"/>
      <c r="E749" s="47"/>
      <c r="F749" s="47"/>
      <c r="G749" s="46"/>
      <c r="H749" s="42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S749" s="47"/>
      <c r="CT749" s="47"/>
      <c r="CU749" s="47"/>
      <c r="CV749" s="47"/>
      <c r="CW749" s="47"/>
      <c r="CX749" s="47"/>
      <c r="CY749" s="47"/>
      <c r="CZ749" s="47"/>
      <c r="DA749" s="47"/>
      <c r="DB749" s="47"/>
      <c r="DC749" s="47"/>
      <c r="DD749" s="47"/>
      <c r="DE749" s="47"/>
      <c r="DF749" s="47"/>
      <c r="DG749" s="47"/>
      <c r="DH749" s="47"/>
    </row>
    <row r="750">
      <c r="A750" s="64"/>
      <c r="B750" s="47"/>
      <c r="C750" s="47"/>
      <c r="D750" s="47"/>
      <c r="E750" s="47"/>
      <c r="F750" s="47"/>
      <c r="G750" s="46"/>
      <c r="H750" s="42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  <c r="BL750" s="47"/>
      <c r="BM750" s="47"/>
      <c r="BN750" s="47"/>
      <c r="BO750" s="47"/>
      <c r="BP750" s="47"/>
      <c r="BQ750" s="47"/>
      <c r="BR750" s="47"/>
      <c r="BS750" s="47"/>
      <c r="BT750" s="47"/>
      <c r="BU750" s="47"/>
      <c r="BV750" s="47"/>
      <c r="BW750" s="47"/>
      <c r="BX750" s="47"/>
      <c r="BY750" s="47"/>
      <c r="BZ750" s="47"/>
      <c r="CA750" s="47"/>
      <c r="CB750" s="47"/>
      <c r="CC750" s="47"/>
      <c r="CD750" s="47"/>
      <c r="CE750" s="47"/>
      <c r="CF750" s="47"/>
      <c r="CG750" s="47"/>
      <c r="CH750" s="47"/>
      <c r="CI750" s="47"/>
      <c r="CJ750" s="47"/>
      <c r="CK750" s="47"/>
      <c r="CL750" s="47"/>
      <c r="CM750" s="47"/>
      <c r="CN750" s="47"/>
      <c r="CO750" s="47"/>
      <c r="CP750" s="47"/>
      <c r="CQ750" s="47"/>
      <c r="CR750" s="47"/>
      <c r="CS750" s="47"/>
      <c r="CT750" s="47"/>
      <c r="CU750" s="47"/>
      <c r="CV750" s="47"/>
      <c r="CW750" s="47"/>
      <c r="CX750" s="47"/>
      <c r="CY750" s="47"/>
      <c r="CZ750" s="47"/>
      <c r="DA750" s="47"/>
      <c r="DB750" s="47"/>
      <c r="DC750" s="47"/>
      <c r="DD750" s="47"/>
      <c r="DE750" s="47"/>
      <c r="DF750" s="47"/>
      <c r="DG750" s="47"/>
      <c r="DH750" s="47"/>
    </row>
    <row r="751">
      <c r="A751" s="64"/>
      <c r="B751" s="47"/>
      <c r="C751" s="47"/>
      <c r="D751" s="47"/>
      <c r="E751" s="47"/>
      <c r="F751" s="47"/>
      <c r="G751" s="46"/>
      <c r="H751" s="42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  <c r="BL751" s="47"/>
      <c r="BM751" s="47"/>
      <c r="BN751" s="47"/>
      <c r="BO751" s="47"/>
      <c r="BP751" s="47"/>
      <c r="BQ751" s="47"/>
      <c r="BR751" s="47"/>
      <c r="BS751" s="47"/>
      <c r="BT751" s="47"/>
      <c r="BU751" s="47"/>
      <c r="BV751" s="47"/>
      <c r="BW751" s="47"/>
      <c r="BX751" s="47"/>
      <c r="BY751" s="47"/>
      <c r="BZ751" s="47"/>
      <c r="CA751" s="47"/>
      <c r="CB751" s="47"/>
      <c r="CC751" s="47"/>
      <c r="CD751" s="47"/>
      <c r="CE751" s="47"/>
      <c r="CF751" s="47"/>
      <c r="CG751" s="47"/>
      <c r="CH751" s="47"/>
      <c r="CI751" s="47"/>
      <c r="CJ751" s="47"/>
      <c r="CK751" s="47"/>
      <c r="CL751" s="47"/>
      <c r="CM751" s="47"/>
      <c r="CN751" s="47"/>
      <c r="CO751" s="47"/>
      <c r="CP751" s="47"/>
      <c r="CQ751" s="47"/>
      <c r="CR751" s="47"/>
      <c r="CS751" s="47"/>
      <c r="CT751" s="47"/>
      <c r="CU751" s="47"/>
      <c r="CV751" s="47"/>
      <c r="CW751" s="47"/>
      <c r="CX751" s="47"/>
      <c r="CY751" s="47"/>
      <c r="CZ751" s="47"/>
      <c r="DA751" s="47"/>
      <c r="DB751" s="47"/>
      <c r="DC751" s="47"/>
      <c r="DD751" s="47"/>
      <c r="DE751" s="47"/>
      <c r="DF751" s="47"/>
      <c r="DG751" s="47"/>
      <c r="DH751" s="47"/>
    </row>
    <row r="752">
      <c r="A752" s="64"/>
      <c r="B752" s="47"/>
      <c r="C752" s="47"/>
      <c r="D752" s="47"/>
      <c r="E752" s="47"/>
      <c r="F752" s="47"/>
      <c r="G752" s="46"/>
      <c r="H752" s="42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  <c r="BL752" s="47"/>
      <c r="BM752" s="47"/>
      <c r="BN752" s="47"/>
      <c r="BO752" s="47"/>
      <c r="BP752" s="47"/>
      <c r="BQ752" s="47"/>
      <c r="BR752" s="47"/>
      <c r="BS752" s="47"/>
      <c r="BT752" s="47"/>
      <c r="BU752" s="47"/>
      <c r="BV752" s="47"/>
      <c r="BW752" s="47"/>
      <c r="BX752" s="47"/>
      <c r="BY752" s="47"/>
      <c r="BZ752" s="47"/>
      <c r="CA752" s="47"/>
      <c r="CB752" s="47"/>
      <c r="CC752" s="47"/>
      <c r="CD752" s="47"/>
      <c r="CE752" s="47"/>
      <c r="CF752" s="47"/>
      <c r="CG752" s="47"/>
      <c r="CH752" s="47"/>
      <c r="CI752" s="47"/>
      <c r="CJ752" s="47"/>
      <c r="CK752" s="47"/>
      <c r="CL752" s="47"/>
      <c r="CM752" s="47"/>
      <c r="CN752" s="47"/>
      <c r="CO752" s="47"/>
      <c r="CP752" s="47"/>
      <c r="CQ752" s="47"/>
      <c r="CR752" s="47"/>
      <c r="CS752" s="47"/>
      <c r="CT752" s="47"/>
      <c r="CU752" s="47"/>
      <c r="CV752" s="47"/>
      <c r="CW752" s="47"/>
      <c r="CX752" s="47"/>
      <c r="CY752" s="47"/>
      <c r="CZ752" s="47"/>
      <c r="DA752" s="47"/>
      <c r="DB752" s="47"/>
      <c r="DC752" s="47"/>
      <c r="DD752" s="47"/>
      <c r="DE752" s="47"/>
      <c r="DF752" s="47"/>
      <c r="DG752" s="47"/>
      <c r="DH752" s="47"/>
    </row>
    <row r="753">
      <c r="A753" s="64"/>
      <c r="B753" s="47"/>
      <c r="C753" s="47"/>
      <c r="D753" s="47"/>
      <c r="E753" s="47"/>
      <c r="F753" s="47"/>
      <c r="G753" s="46"/>
      <c r="H753" s="42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  <c r="BL753" s="47"/>
      <c r="BM753" s="47"/>
      <c r="BN753" s="47"/>
      <c r="BO753" s="47"/>
      <c r="BP753" s="47"/>
      <c r="BQ753" s="47"/>
      <c r="BR753" s="47"/>
      <c r="BS753" s="47"/>
      <c r="BT753" s="47"/>
      <c r="BU753" s="47"/>
      <c r="BV753" s="47"/>
      <c r="BW753" s="47"/>
      <c r="BX753" s="47"/>
      <c r="BY753" s="47"/>
      <c r="BZ753" s="47"/>
      <c r="CA753" s="47"/>
      <c r="CB753" s="47"/>
      <c r="CC753" s="47"/>
      <c r="CD753" s="47"/>
      <c r="CE753" s="47"/>
      <c r="CF753" s="47"/>
      <c r="CG753" s="47"/>
      <c r="CH753" s="47"/>
      <c r="CI753" s="47"/>
      <c r="CJ753" s="47"/>
      <c r="CK753" s="47"/>
      <c r="CL753" s="47"/>
      <c r="CM753" s="47"/>
      <c r="CN753" s="47"/>
      <c r="CO753" s="47"/>
      <c r="CP753" s="47"/>
      <c r="CQ753" s="47"/>
      <c r="CR753" s="47"/>
      <c r="CS753" s="47"/>
      <c r="CT753" s="47"/>
      <c r="CU753" s="47"/>
      <c r="CV753" s="47"/>
      <c r="CW753" s="47"/>
      <c r="CX753" s="47"/>
      <c r="CY753" s="47"/>
      <c r="CZ753" s="47"/>
      <c r="DA753" s="47"/>
      <c r="DB753" s="47"/>
      <c r="DC753" s="47"/>
      <c r="DD753" s="47"/>
      <c r="DE753" s="47"/>
      <c r="DF753" s="47"/>
      <c r="DG753" s="47"/>
      <c r="DH753" s="47"/>
    </row>
    <row r="754">
      <c r="A754" s="64"/>
      <c r="B754" s="47"/>
      <c r="C754" s="47"/>
      <c r="D754" s="47"/>
      <c r="E754" s="47"/>
      <c r="F754" s="47"/>
      <c r="G754" s="46"/>
      <c r="H754" s="42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  <c r="BL754" s="47"/>
      <c r="BM754" s="47"/>
      <c r="BN754" s="47"/>
      <c r="BO754" s="47"/>
      <c r="BP754" s="47"/>
      <c r="BQ754" s="47"/>
      <c r="BR754" s="47"/>
      <c r="BS754" s="47"/>
      <c r="BT754" s="47"/>
      <c r="BU754" s="47"/>
      <c r="BV754" s="47"/>
      <c r="BW754" s="47"/>
      <c r="BX754" s="47"/>
      <c r="BY754" s="47"/>
      <c r="BZ754" s="47"/>
      <c r="CA754" s="47"/>
      <c r="CB754" s="47"/>
      <c r="CC754" s="47"/>
      <c r="CD754" s="47"/>
      <c r="CE754" s="47"/>
      <c r="CF754" s="47"/>
      <c r="CG754" s="47"/>
      <c r="CH754" s="47"/>
      <c r="CI754" s="47"/>
      <c r="CJ754" s="47"/>
      <c r="CK754" s="47"/>
      <c r="CL754" s="47"/>
      <c r="CM754" s="47"/>
      <c r="CN754" s="47"/>
      <c r="CO754" s="47"/>
      <c r="CP754" s="47"/>
      <c r="CQ754" s="47"/>
      <c r="CR754" s="47"/>
      <c r="CS754" s="47"/>
      <c r="CT754" s="47"/>
      <c r="CU754" s="47"/>
      <c r="CV754" s="47"/>
      <c r="CW754" s="47"/>
      <c r="CX754" s="47"/>
      <c r="CY754" s="47"/>
      <c r="CZ754" s="47"/>
      <c r="DA754" s="47"/>
      <c r="DB754" s="47"/>
      <c r="DC754" s="47"/>
      <c r="DD754" s="47"/>
      <c r="DE754" s="47"/>
      <c r="DF754" s="47"/>
      <c r="DG754" s="47"/>
      <c r="DH754" s="47"/>
    </row>
    <row r="755">
      <c r="A755" s="64"/>
      <c r="B755" s="47"/>
      <c r="C755" s="47"/>
      <c r="D755" s="47"/>
      <c r="E755" s="47"/>
      <c r="F755" s="47"/>
      <c r="G755" s="46"/>
      <c r="H755" s="42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  <c r="BL755" s="47"/>
      <c r="BM755" s="47"/>
      <c r="BN755" s="47"/>
      <c r="BO755" s="47"/>
      <c r="BP755" s="47"/>
      <c r="BQ755" s="47"/>
      <c r="BR755" s="47"/>
      <c r="BS755" s="47"/>
      <c r="BT755" s="47"/>
      <c r="BU755" s="47"/>
      <c r="BV755" s="47"/>
      <c r="BW755" s="47"/>
      <c r="BX755" s="47"/>
      <c r="BY755" s="47"/>
      <c r="BZ755" s="47"/>
      <c r="CA755" s="47"/>
      <c r="CB755" s="47"/>
      <c r="CC755" s="47"/>
      <c r="CD755" s="47"/>
      <c r="CE755" s="47"/>
      <c r="CF755" s="47"/>
      <c r="CG755" s="47"/>
      <c r="CH755" s="47"/>
      <c r="CI755" s="47"/>
      <c r="CJ755" s="47"/>
      <c r="CK755" s="47"/>
      <c r="CL755" s="47"/>
      <c r="CM755" s="47"/>
      <c r="CN755" s="47"/>
      <c r="CO755" s="47"/>
      <c r="CP755" s="47"/>
      <c r="CQ755" s="47"/>
      <c r="CR755" s="47"/>
      <c r="CS755" s="47"/>
      <c r="CT755" s="47"/>
      <c r="CU755" s="47"/>
      <c r="CV755" s="47"/>
      <c r="CW755" s="47"/>
      <c r="CX755" s="47"/>
      <c r="CY755" s="47"/>
      <c r="CZ755" s="47"/>
      <c r="DA755" s="47"/>
      <c r="DB755" s="47"/>
      <c r="DC755" s="47"/>
      <c r="DD755" s="47"/>
      <c r="DE755" s="47"/>
      <c r="DF755" s="47"/>
      <c r="DG755" s="47"/>
      <c r="DH755" s="47"/>
    </row>
    <row r="756">
      <c r="A756" s="64"/>
      <c r="B756" s="47"/>
      <c r="C756" s="47"/>
      <c r="D756" s="47"/>
      <c r="E756" s="47"/>
      <c r="F756" s="47"/>
      <c r="G756" s="46"/>
      <c r="H756" s="42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  <c r="BL756" s="47"/>
      <c r="BM756" s="47"/>
      <c r="BN756" s="47"/>
      <c r="BO756" s="47"/>
      <c r="BP756" s="47"/>
      <c r="BQ756" s="47"/>
      <c r="BR756" s="47"/>
      <c r="BS756" s="47"/>
      <c r="BT756" s="47"/>
      <c r="BU756" s="47"/>
      <c r="BV756" s="47"/>
      <c r="BW756" s="47"/>
      <c r="BX756" s="47"/>
      <c r="BY756" s="47"/>
      <c r="BZ756" s="47"/>
      <c r="CA756" s="47"/>
      <c r="CB756" s="47"/>
      <c r="CC756" s="47"/>
      <c r="CD756" s="47"/>
      <c r="CE756" s="47"/>
      <c r="CF756" s="47"/>
      <c r="CG756" s="47"/>
      <c r="CH756" s="47"/>
      <c r="CI756" s="47"/>
      <c r="CJ756" s="47"/>
      <c r="CK756" s="47"/>
      <c r="CL756" s="47"/>
      <c r="CM756" s="47"/>
      <c r="CN756" s="47"/>
      <c r="CO756" s="47"/>
      <c r="CP756" s="47"/>
      <c r="CQ756" s="47"/>
      <c r="CR756" s="47"/>
      <c r="CS756" s="47"/>
      <c r="CT756" s="47"/>
      <c r="CU756" s="47"/>
      <c r="CV756" s="47"/>
      <c r="CW756" s="47"/>
      <c r="CX756" s="47"/>
      <c r="CY756" s="47"/>
      <c r="CZ756" s="47"/>
      <c r="DA756" s="47"/>
      <c r="DB756" s="47"/>
      <c r="DC756" s="47"/>
      <c r="DD756" s="47"/>
      <c r="DE756" s="47"/>
      <c r="DF756" s="47"/>
      <c r="DG756" s="47"/>
      <c r="DH756" s="47"/>
    </row>
    <row r="757">
      <c r="A757" s="64"/>
      <c r="B757" s="47"/>
      <c r="C757" s="47"/>
      <c r="D757" s="47"/>
      <c r="E757" s="47"/>
      <c r="F757" s="47"/>
      <c r="G757" s="46"/>
      <c r="H757" s="42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  <c r="BP757" s="47"/>
      <c r="BQ757" s="47"/>
      <c r="BR757" s="47"/>
      <c r="BS757" s="47"/>
      <c r="BT757" s="47"/>
      <c r="BU757" s="47"/>
      <c r="BV757" s="47"/>
      <c r="BW757" s="47"/>
      <c r="BX757" s="47"/>
      <c r="BY757" s="47"/>
      <c r="BZ757" s="47"/>
      <c r="CA757" s="47"/>
      <c r="CB757" s="47"/>
      <c r="CC757" s="47"/>
      <c r="CD757" s="47"/>
      <c r="CE757" s="47"/>
      <c r="CF757" s="47"/>
      <c r="CG757" s="47"/>
      <c r="CH757" s="47"/>
      <c r="CI757" s="47"/>
      <c r="CJ757" s="47"/>
      <c r="CK757" s="47"/>
      <c r="CL757" s="47"/>
      <c r="CM757" s="47"/>
      <c r="CN757" s="47"/>
      <c r="CO757" s="47"/>
      <c r="CP757" s="47"/>
      <c r="CQ757" s="47"/>
      <c r="CR757" s="47"/>
      <c r="CS757" s="47"/>
      <c r="CT757" s="47"/>
      <c r="CU757" s="47"/>
      <c r="CV757" s="47"/>
      <c r="CW757" s="47"/>
      <c r="CX757" s="47"/>
      <c r="CY757" s="47"/>
      <c r="CZ757" s="47"/>
      <c r="DA757" s="47"/>
      <c r="DB757" s="47"/>
      <c r="DC757" s="47"/>
      <c r="DD757" s="47"/>
      <c r="DE757" s="47"/>
      <c r="DF757" s="47"/>
      <c r="DG757" s="47"/>
      <c r="DH757" s="47"/>
    </row>
    <row r="758">
      <c r="A758" s="64"/>
      <c r="B758" s="47"/>
      <c r="C758" s="47"/>
      <c r="D758" s="47"/>
      <c r="E758" s="47"/>
      <c r="F758" s="47"/>
      <c r="G758" s="46"/>
      <c r="H758" s="42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  <c r="BP758" s="47"/>
      <c r="BQ758" s="47"/>
      <c r="BR758" s="47"/>
      <c r="BS758" s="47"/>
      <c r="BT758" s="47"/>
      <c r="BU758" s="47"/>
      <c r="BV758" s="47"/>
      <c r="BW758" s="47"/>
      <c r="BX758" s="47"/>
      <c r="BY758" s="47"/>
      <c r="BZ758" s="47"/>
      <c r="CA758" s="47"/>
      <c r="CB758" s="47"/>
      <c r="CC758" s="47"/>
      <c r="CD758" s="47"/>
      <c r="CE758" s="47"/>
      <c r="CF758" s="47"/>
      <c r="CG758" s="47"/>
      <c r="CH758" s="47"/>
      <c r="CI758" s="47"/>
      <c r="CJ758" s="47"/>
      <c r="CK758" s="47"/>
      <c r="CL758" s="47"/>
      <c r="CM758" s="47"/>
      <c r="CN758" s="47"/>
      <c r="CO758" s="47"/>
      <c r="CP758" s="47"/>
      <c r="CQ758" s="47"/>
      <c r="CR758" s="47"/>
      <c r="CS758" s="47"/>
      <c r="CT758" s="47"/>
      <c r="CU758" s="47"/>
      <c r="CV758" s="47"/>
      <c r="CW758" s="47"/>
      <c r="CX758" s="47"/>
      <c r="CY758" s="47"/>
      <c r="CZ758" s="47"/>
      <c r="DA758" s="47"/>
      <c r="DB758" s="47"/>
      <c r="DC758" s="47"/>
      <c r="DD758" s="47"/>
      <c r="DE758" s="47"/>
      <c r="DF758" s="47"/>
      <c r="DG758" s="47"/>
      <c r="DH758" s="47"/>
    </row>
    <row r="759">
      <c r="A759" s="64"/>
      <c r="B759" s="47"/>
      <c r="C759" s="47"/>
      <c r="D759" s="47"/>
      <c r="E759" s="47"/>
      <c r="F759" s="47"/>
      <c r="G759" s="46"/>
      <c r="H759" s="42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  <c r="BP759" s="47"/>
      <c r="BQ759" s="47"/>
      <c r="BR759" s="47"/>
      <c r="BS759" s="47"/>
      <c r="BT759" s="47"/>
      <c r="BU759" s="47"/>
      <c r="BV759" s="47"/>
      <c r="BW759" s="47"/>
      <c r="BX759" s="47"/>
      <c r="BY759" s="47"/>
      <c r="BZ759" s="47"/>
      <c r="CA759" s="47"/>
      <c r="CB759" s="47"/>
      <c r="CC759" s="47"/>
      <c r="CD759" s="47"/>
      <c r="CE759" s="47"/>
      <c r="CF759" s="47"/>
      <c r="CG759" s="47"/>
      <c r="CH759" s="47"/>
      <c r="CI759" s="47"/>
      <c r="CJ759" s="47"/>
      <c r="CK759" s="47"/>
      <c r="CL759" s="47"/>
      <c r="CM759" s="47"/>
      <c r="CN759" s="47"/>
      <c r="CO759" s="47"/>
      <c r="CP759" s="47"/>
      <c r="CQ759" s="47"/>
      <c r="CR759" s="47"/>
      <c r="CS759" s="47"/>
      <c r="CT759" s="47"/>
      <c r="CU759" s="47"/>
      <c r="CV759" s="47"/>
      <c r="CW759" s="47"/>
      <c r="CX759" s="47"/>
      <c r="CY759" s="47"/>
      <c r="CZ759" s="47"/>
      <c r="DA759" s="47"/>
      <c r="DB759" s="47"/>
      <c r="DC759" s="47"/>
      <c r="DD759" s="47"/>
      <c r="DE759" s="47"/>
      <c r="DF759" s="47"/>
      <c r="DG759" s="47"/>
      <c r="DH759" s="47"/>
    </row>
    <row r="760">
      <c r="A760" s="64"/>
      <c r="B760" s="47"/>
      <c r="C760" s="47"/>
      <c r="D760" s="47"/>
      <c r="E760" s="47"/>
      <c r="F760" s="47"/>
      <c r="G760" s="46"/>
      <c r="H760" s="42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47"/>
      <c r="CJ760" s="47"/>
      <c r="CK760" s="47"/>
      <c r="CL760" s="47"/>
      <c r="CM760" s="47"/>
      <c r="CN760" s="47"/>
      <c r="CO760" s="47"/>
      <c r="CP760" s="47"/>
      <c r="CQ760" s="47"/>
      <c r="CR760" s="47"/>
      <c r="CS760" s="47"/>
      <c r="CT760" s="47"/>
      <c r="CU760" s="47"/>
      <c r="CV760" s="47"/>
      <c r="CW760" s="47"/>
      <c r="CX760" s="47"/>
      <c r="CY760" s="47"/>
      <c r="CZ760" s="47"/>
      <c r="DA760" s="47"/>
      <c r="DB760" s="47"/>
      <c r="DC760" s="47"/>
      <c r="DD760" s="47"/>
      <c r="DE760" s="47"/>
      <c r="DF760" s="47"/>
      <c r="DG760" s="47"/>
      <c r="DH760" s="47"/>
    </row>
    <row r="761">
      <c r="A761" s="64"/>
      <c r="B761" s="47"/>
      <c r="C761" s="47"/>
      <c r="D761" s="47"/>
      <c r="E761" s="47"/>
      <c r="F761" s="47"/>
      <c r="G761" s="46"/>
      <c r="H761" s="42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  <c r="BP761" s="47"/>
      <c r="BQ761" s="47"/>
      <c r="BR761" s="47"/>
      <c r="BS761" s="47"/>
      <c r="BT761" s="47"/>
      <c r="BU761" s="47"/>
      <c r="BV761" s="47"/>
      <c r="BW761" s="47"/>
      <c r="BX761" s="47"/>
      <c r="BY761" s="47"/>
      <c r="BZ761" s="47"/>
      <c r="CA761" s="47"/>
      <c r="CB761" s="47"/>
      <c r="CC761" s="47"/>
      <c r="CD761" s="47"/>
      <c r="CE761" s="47"/>
      <c r="CF761" s="47"/>
      <c r="CG761" s="47"/>
      <c r="CH761" s="47"/>
      <c r="CI761" s="47"/>
      <c r="CJ761" s="47"/>
      <c r="CK761" s="47"/>
      <c r="CL761" s="47"/>
      <c r="CM761" s="47"/>
      <c r="CN761" s="47"/>
      <c r="CO761" s="47"/>
      <c r="CP761" s="47"/>
      <c r="CQ761" s="47"/>
      <c r="CR761" s="47"/>
      <c r="CS761" s="47"/>
      <c r="CT761" s="47"/>
      <c r="CU761" s="47"/>
      <c r="CV761" s="47"/>
      <c r="CW761" s="47"/>
      <c r="CX761" s="47"/>
      <c r="CY761" s="47"/>
      <c r="CZ761" s="47"/>
      <c r="DA761" s="47"/>
      <c r="DB761" s="47"/>
      <c r="DC761" s="47"/>
      <c r="DD761" s="47"/>
      <c r="DE761" s="47"/>
      <c r="DF761" s="47"/>
      <c r="DG761" s="47"/>
      <c r="DH761" s="47"/>
    </row>
    <row r="762">
      <c r="A762" s="64"/>
      <c r="B762" s="47"/>
      <c r="C762" s="47"/>
      <c r="D762" s="47"/>
      <c r="E762" s="47"/>
      <c r="F762" s="47"/>
      <c r="G762" s="46"/>
      <c r="H762" s="42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  <c r="BP762" s="47"/>
      <c r="BQ762" s="47"/>
      <c r="BR762" s="47"/>
      <c r="BS762" s="47"/>
      <c r="BT762" s="47"/>
      <c r="BU762" s="47"/>
      <c r="BV762" s="47"/>
      <c r="BW762" s="47"/>
      <c r="BX762" s="47"/>
      <c r="BY762" s="47"/>
      <c r="BZ762" s="47"/>
      <c r="CA762" s="47"/>
      <c r="CB762" s="47"/>
      <c r="CC762" s="47"/>
      <c r="CD762" s="47"/>
      <c r="CE762" s="47"/>
      <c r="CF762" s="47"/>
      <c r="CG762" s="47"/>
      <c r="CH762" s="47"/>
      <c r="CI762" s="47"/>
      <c r="CJ762" s="47"/>
      <c r="CK762" s="47"/>
      <c r="CL762" s="47"/>
      <c r="CM762" s="47"/>
      <c r="CN762" s="47"/>
      <c r="CO762" s="47"/>
      <c r="CP762" s="47"/>
      <c r="CQ762" s="47"/>
      <c r="CR762" s="47"/>
      <c r="CS762" s="47"/>
      <c r="CT762" s="47"/>
      <c r="CU762" s="47"/>
      <c r="CV762" s="47"/>
      <c r="CW762" s="47"/>
      <c r="CX762" s="47"/>
      <c r="CY762" s="47"/>
      <c r="CZ762" s="47"/>
      <c r="DA762" s="47"/>
      <c r="DB762" s="47"/>
      <c r="DC762" s="47"/>
      <c r="DD762" s="47"/>
      <c r="DE762" s="47"/>
      <c r="DF762" s="47"/>
      <c r="DG762" s="47"/>
      <c r="DH762" s="47"/>
    </row>
    <row r="763">
      <c r="A763" s="64"/>
      <c r="B763" s="47"/>
      <c r="C763" s="47"/>
      <c r="D763" s="47"/>
      <c r="E763" s="47"/>
      <c r="F763" s="47"/>
      <c r="G763" s="46"/>
      <c r="H763" s="42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  <c r="BP763" s="47"/>
      <c r="BQ763" s="47"/>
      <c r="BR763" s="47"/>
      <c r="BS763" s="47"/>
      <c r="BT763" s="47"/>
      <c r="BU763" s="47"/>
      <c r="BV763" s="47"/>
      <c r="BW763" s="47"/>
      <c r="BX763" s="47"/>
      <c r="BY763" s="47"/>
      <c r="BZ763" s="47"/>
      <c r="CA763" s="47"/>
      <c r="CB763" s="47"/>
      <c r="CC763" s="47"/>
      <c r="CD763" s="47"/>
      <c r="CE763" s="47"/>
      <c r="CF763" s="47"/>
      <c r="CG763" s="47"/>
      <c r="CH763" s="47"/>
      <c r="CI763" s="47"/>
      <c r="CJ763" s="47"/>
      <c r="CK763" s="47"/>
      <c r="CL763" s="47"/>
      <c r="CM763" s="47"/>
      <c r="CN763" s="47"/>
      <c r="CO763" s="47"/>
      <c r="CP763" s="47"/>
      <c r="CQ763" s="47"/>
      <c r="CR763" s="47"/>
      <c r="CS763" s="47"/>
      <c r="CT763" s="47"/>
      <c r="CU763" s="47"/>
      <c r="CV763" s="47"/>
      <c r="CW763" s="47"/>
      <c r="CX763" s="47"/>
      <c r="CY763" s="47"/>
      <c r="CZ763" s="47"/>
      <c r="DA763" s="47"/>
      <c r="DB763" s="47"/>
      <c r="DC763" s="47"/>
      <c r="DD763" s="47"/>
      <c r="DE763" s="47"/>
      <c r="DF763" s="47"/>
      <c r="DG763" s="47"/>
      <c r="DH763" s="47"/>
    </row>
    <row r="764">
      <c r="A764" s="64"/>
      <c r="B764" s="47"/>
      <c r="C764" s="47"/>
      <c r="D764" s="47"/>
      <c r="E764" s="47"/>
      <c r="F764" s="47"/>
      <c r="G764" s="46"/>
      <c r="H764" s="42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  <c r="BL764" s="47"/>
      <c r="BM764" s="47"/>
      <c r="BN764" s="47"/>
      <c r="BO764" s="47"/>
      <c r="BP764" s="47"/>
      <c r="BQ764" s="47"/>
      <c r="BR764" s="47"/>
      <c r="BS764" s="47"/>
      <c r="BT764" s="47"/>
      <c r="BU764" s="47"/>
      <c r="BV764" s="47"/>
      <c r="BW764" s="47"/>
      <c r="BX764" s="47"/>
      <c r="BY764" s="47"/>
      <c r="BZ764" s="47"/>
      <c r="CA764" s="47"/>
      <c r="CB764" s="47"/>
      <c r="CC764" s="47"/>
      <c r="CD764" s="47"/>
      <c r="CE764" s="47"/>
      <c r="CF764" s="47"/>
      <c r="CG764" s="47"/>
      <c r="CH764" s="47"/>
      <c r="CI764" s="47"/>
      <c r="CJ764" s="47"/>
      <c r="CK764" s="47"/>
      <c r="CL764" s="47"/>
      <c r="CM764" s="47"/>
      <c r="CN764" s="47"/>
      <c r="CO764" s="47"/>
      <c r="CP764" s="47"/>
      <c r="CQ764" s="47"/>
      <c r="CR764" s="47"/>
      <c r="CS764" s="47"/>
      <c r="CT764" s="47"/>
      <c r="CU764" s="47"/>
      <c r="CV764" s="47"/>
      <c r="CW764" s="47"/>
      <c r="CX764" s="47"/>
      <c r="CY764" s="47"/>
      <c r="CZ764" s="47"/>
      <c r="DA764" s="47"/>
      <c r="DB764" s="47"/>
      <c r="DC764" s="47"/>
      <c r="DD764" s="47"/>
      <c r="DE764" s="47"/>
      <c r="DF764" s="47"/>
      <c r="DG764" s="47"/>
      <c r="DH764" s="47"/>
    </row>
    <row r="765">
      <c r="A765" s="64"/>
      <c r="B765" s="47"/>
      <c r="C765" s="47"/>
      <c r="D765" s="47"/>
      <c r="E765" s="47"/>
      <c r="F765" s="47"/>
      <c r="G765" s="46"/>
      <c r="H765" s="42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  <c r="BL765" s="47"/>
      <c r="BM765" s="47"/>
      <c r="BN765" s="47"/>
      <c r="BO765" s="47"/>
      <c r="BP765" s="47"/>
      <c r="BQ765" s="47"/>
      <c r="BR765" s="47"/>
      <c r="BS765" s="47"/>
      <c r="BT765" s="47"/>
      <c r="BU765" s="47"/>
      <c r="BV765" s="47"/>
      <c r="BW765" s="47"/>
      <c r="BX765" s="47"/>
      <c r="BY765" s="47"/>
      <c r="BZ765" s="47"/>
      <c r="CA765" s="47"/>
      <c r="CB765" s="47"/>
      <c r="CC765" s="47"/>
      <c r="CD765" s="47"/>
      <c r="CE765" s="47"/>
      <c r="CF765" s="47"/>
      <c r="CG765" s="47"/>
      <c r="CH765" s="47"/>
      <c r="CI765" s="47"/>
      <c r="CJ765" s="47"/>
      <c r="CK765" s="47"/>
      <c r="CL765" s="47"/>
      <c r="CM765" s="47"/>
      <c r="CN765" s="47"/>
      <c r="CO765" s="47"/>
      <c r="CP765" s="47"/>
      <c r="CQ765" s="47"/>
      <c r="CR765" s="47"/>
      <c r="CS765" s="47"/>
      <c r="CT765" s="47"/>
      <c r="CU765" s="47"/>
      <c r="CV765" s="47"/>
      <c r="CW765" s="47"/>
      <c r="CX765" s="47"/>
      <c r="CY765" s="47"/>
      <c r="CZ765" s="47"/>
      <c r="DA765" s="47"/>
      <c r="DB765" s="47"/>
      <c r="DC765" s="47"/>
      <c r="DD765" s="47"/>
      <c r="DE765" s="47"/>
      <c r="DF765" s="47"/>
      <c r="DG765" s="47"/>
      <c r="DH765" s="47"/>
    </row>
    <row r="766">
      <c r="A766" s="64"/>
      <c r="B766" s="47"/>
      <c r="C766" s="47"/>
      <c r="D766" s="47"/>
      <c r="E766" s="47"/>
      <c r="F766" s="47"/>
      <c r="G766" s="46"/>
      <c r="H766" s="42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  <c r="BL766" s="47"/>
      <c r="BM766" s="47"/>
      <c r="BN766" s="47"/>
      <c r="BO766" s="47"/>
      <c r="BP766" s="47"/>
      <c r="BQ766" s="47"/>
      <c r="BR766" s="47"/>
      <c r="BS766" s="47"/>
      <c r="BT766" s="47"/>
      <c r="BU766" s="47"/>
      <c r="BV766" s="47"/>
      <c r="BW766" s="47"/>
      <c r="BX766" s="47"/>
      <c r="BY766" s="47"/>
      <c r="BZ766" s="47"/>
      <c r="CA766" s="47"/>
      <c r="CB766" s="47"/>
      <c r="CC766" s="47"/>
      <c r="CD766" s="47"/>
      <c r="CE766" s="47"/>
      <c r="CF766" s="47"/>
      <c r="CG766" s="47"/>
      <c r="CH766" s="47"/>
      <c r="CI766" s="47"/>
      <c r="CJ766" s="47"/>
      <c r="CK766" s="47"/>
      <c r="CL766" s="47"/>
      <c r="CM766" s="47"/>
      <c r="CN766" s="47"/>
      <c r="CO766" s="47"/>
      <c r="CP766" s="47"/>
      <c r="CQ766" s="47"/>
      <c r="CR766" s="47"/>
      <c r="CS766" s="47"/>
      <c r="CT766" s="47"/>
      <c r="CU766" s="47"/>
      <c r="CV766" s="47"/>
      <c r="CW766" s="47"/>
      <c r="CX766" s="47"/>
      <c r="CY766" s="47"/>
      <c r="CZ766" s="47"/>
      <c r="DA766" s="47"/>
      <c r="DB766" s="47"/>
      <c r="DC766" s="47"/>
      <c r="DD766" s="47"/>
      <c r="DE766" s="47"/>
      <c r="DF766" s="47"/>
      <c r="DG766" s="47"/>
      <c r="DH766" s="47"/>
    </row>
    <row r="767">
      <c r="A767" s="64"/>
      <c r="B767" s="47"/>
      <c r="C767" s="47"/>
      <c r="D767" s="47"/>
      <c r="E767" s="47"/>
      <c r="F767" s="47"/>
      <c r="G767" s="46"/>
      <c r="H767" s="42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  <c r="BL767" s="47"/>
      <c r="BM767" s="47"/>
      <c r="BN767" s="47"/>
      <c r="BO767" s="47"/>
      <c r="BP767" s="47"/>
      <c r="BQ767" s="47"/>
      <c r="BR767" s="47"/>
      <c r="BS767" s="47"/>
      <c r="BT767" s="47"/>
      <c r="BU767" s="47"/>
      <c r="BV767" s="47"/>
      <c r="BW767" s="47"/>
      <c r="BX767" s="47"/>
      <c r="BY767" s="47"/>
      <c r="BZ767" s="47"/>
      <c r="CA767" s="47"/>
      <c r="CB767" s="47"/>
      <c r="CC767" s="47"/>
      <c r="CD767" s="47"/>
      <c r="CE767" s="47"/>
      <c r="CF767" s="47"/>
      <c r="CG767" s="47"/>
      <c r="CH767" s="47"/>
      <c r="CI767" s="47"/>
      <c r="CJ767" s="47"/>
      <c r="CK767" s="47"/>
      <c r="CL767" s="47"/>
      <c r="CM767" s="47"/>
      <c r="CN767" s="47"/>
      <c r="CO767" s="47"/>
      <c r="CP767" s="47"/>
      <c r="CQ767" s="47"/>
      <c r="CR767" s="47"/>
      <c r="CS767" s="47"/>
      <c r="CT767" s="47"/>
      <c r="CU767" s="47"/>
      <c r="CV767" s="47"/>
      <c r="CW767" s="47"/>
      <c r="CX767" s="47"/>
      <c r="CY767" s="47"/>
      <c r="CZ767" s="47"/>
      <c r="DA767" s="47"/>
      <c r="DB767" s="47"/>
      <c r="DC767" s="47"/>
      <c r="DD767" s="47"/>
      <c r="DE767" s="47"/>
      <c r="DF767" s="47"/>
      <c r="DG767" s="47"/>
      <c r="DH767" s="47"/>
    </row>
    <row r="768">
      <c r="A768" s="64"/>
      <c r="B768" s="47"/>
      <c r="C768" s="47"/>
      <c r="D768" s="47"/>
      <c r="E768" s="47"/>
      <c r="F768" s="47"/>
      <c r="G768" s="46"/>
      <c r="H768" s="42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  <c r="BL768" s="47"/>
      <c r="BM768" s="47"/>
      <c r="BN768" s="47"/>
      <c r="BO768" s="47"/>
      <c r="BP768" s="47"/>
      <c r="BQ768" s="47"/>
      <c r="BR768" s="47"/>
      <c r="BS768" s="47"/>
      <c r="BT768" s="47"/>
      <c r="BU768" s="47"/>
      <c r="BV768" s="47"/>
      <c r="BW768" s="47"/>
      <c r="BX768" s="47"/>
      <c r="BY768" s="47"/>
      <c r="BZ768" s="47"/>
      <c r="CA768" s="47"/>
      <c r="CB768" s="47"/>
      <c r="CC768" s="47"/>
      <c r="CD768" s="47"/>
      <c r="CE768" s="47"/>
      <c r="CF768" s="47"/>
      <c r="CG768" s="47"/>
      <c r="CH768" s="47"/>
      <c r="CI768" s="47"/>
      <c r="CJ768" s="47"/>
      <c r="CK768" s="47"/>
      <c r="CL768" s="47"/>
      <c r="CM768" s="47"/>
      <c r="CN768" s="47"/>
      <c r="CO768" s="47"/>
      <c r="CP768" s="47"/>
      <c r="CQ768" s="47"/>
      <c r="CR768" s="47"/>
      <c r="CS768" s="47"/>
      <c r="CT768" s="47"/>
      <c r="CU768" s="47"/>
      <c r="CV768" s="47"/>
      <c r="CW768" s="47"/>
      <c r="CX768" s="47"/>
      <c r="CY768" s="47"/>
      <c r="CZ768" s="47"/>
      <c r="DA768" s="47"/>
      <c r="DB768" s="47"/>
      <c r="DC768" s="47"/>
      <c r="DD768" s="47"/>
      <c r="DE768" s="47"/>
      <c r="DF768" s="47"/>
      <c r="DG768" s="47"/>
      <c r="DH768" s="47"/>
    </row>
    <row r="769">
      <c r="A769" s="64"/>
      <c r="B769" s="47"/>
      <c r="C769" s="47"/>
      <c r="D769" s="47"/>
      <c r="E769" s="47"/>
      <c r="F769" s="47"/>
      <c r="G769" s="46"/>
      <c r="H769" s="42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  <c r="BL769" s="47"/>
      <c r="BM769" s="47"/>
      <c r="BN769" s="47"/>
      <c r="BO769" s="47"/>
      <c r="BP769" s="47"/>
      <c r="BQ769" s="47"/>
      <c r="BR769" s="47"/>
      <c r="BS769" s="47"/>
      <c r="BT769" s="47"/>
      <c r="BU769" s="47"/>
      <c r="BV769" s="47"/>
      <c r="BW769" s="47"/>
      <c r="BX769" s="47"/>
      <c r="BY769" s="47"/>
      <c r="BZ769" s="47"/>
      <c r="CA769" s="47"/>
      <c r="CB769" s="47"/>
      <c r="CC769" s="47"/>
      <c r="CD769" s="47"/>
      <c r="CE769" s="47"/>
      <c r="CF769" s="47"/>
      <c r="CG769" s="47"/>
      <c r="CH769" s="47"/>
      <c r="CI769" s="47"/>
      <c r="CJ769" s="47"/>
      <c r="CK769" s="47"/>
      <c r="CL769" s="47"/>
      <c r="CM769" s="47"/>
      <c r="CN769" s="47"/>
      <c r="CO769" s="47"/>
      <c r="CP769" s="47"/>
      <c r="CQ769" s="47"/>
      <c r="CR769" s="47"/>
      <c r="CS769" s="47"/>
      <c r="CT769" s="47"/>
      <c r="CU769" s="47"/>
      <c r="CV769" s="47"/>
      <c r="CW769" s="47"/>
      <c r="CX769" s="47"/>
      <c r="CY769" s="47"/>
      <c r="CZ769" s="47"/>
      <c r="DA769" s="47"/>
      <c r="DB769" s="47"/>
      <c r="DC769" s="47"/>
      <c r="DD769" s="47"/>
      <c r="DE769" s="47"/>
      <c r="DF769" s="47"/>
      <c r="DG769" s="47"/>
      <c r="DH769" s="47"/>
    </row>
    <row r="770">
      <c r="A770" s="64"/>
      <c r="B770" s="47"/>
      <c r="C770" s="47"/>
      <c r="D770" s="47"/>
      <c r="E770" s="47"/>
      <c r="F770" s="47"/>
      <c r="G770" s="46"/>
      <c r="H770" s="42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  <c r="BL770" s="47"/>
      <c r="BM770" s="47"/>
      <c r="BN770" s="47"/>
      <c r="BO770" s="47"/>
      <c r="BP770" s="47"/>
      <c r="BQ770" s="47"/>
      <c r="BR770" s="47"/>
      <c r="BS770" s="47"/>
      <c r="BT770" s="47"/>
      <c r="BU770" s="47"/>
      <c r="BV770" s="47"/>
      <c r="BW770" s="47"/>
      <c r="BX770" s="47"/>
      <c r="BY770" s="47"/>
      <c r="BZ770" s="47"/>
      <c r="CA770" s="47"/>
      <c r="CB770" s="47"/>
      <c r="CC770" s="47"/>
      <c r="CD770" s="47"/>
      <c r="CE770" s="47"/>
      <c r="CF770" s="47"/>
      <c r="CG770" s="47"/>
      <c r="CH770" s="47"/>
      <c r="CI770" s="47"/>
      <c r="CJ770" s="47"/>
      <c r="CK770" s="47"/>
      <c r="CL770" s="47"/>
      <c r="CM770" s="47"/>
      <c r="CN770" s="47"/>
      <c r="CO770" s="47"/>
      <c r="CP770" s="47"/>
      <c r="CQ770" s="47"/>
      <c r="CR770" s="47"/>
      <c r="CS770" s="47"/>
      <c r="CT770" s="47"/>
      <c r="CU770" s="47"/>
      <c r="CV770" s="47"/>
      <c r="CW770" s="47"/>
      <c r="CX770" s="47"/>
      <c r="CY770" s="47"/>
      <c r="CZ770" s="47"/>
      <c r="DA770" s="47"/>
      <c r="DB770" s="47"/>
      <c r="DC770" s="47"/>
      <c r="DD770" s="47"/>
      <c r="DE770" s="47"/>
      <c r="DF770" s="47"/>
      <c r="DG770" s="47"/>
      <c r="DH770" s="47"/>
    </row>
    <row r="771">
      <c r="A771" s="64"/>
      <c r="B771" s="47"/>
      <c r="C771" s="47"/>
      <c r="D771" s="47"/>
      <c r="E771" s="47"/>
      <c r="F771" s="47"/>
      <c r="G771" s="46"/>
      <c r="H771" s="42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  <c r="BL771" s="47"/>
      <c r="BM771" s="47"/>
      <c r="BN771" s="47"/>
      <c r="BO771" s="47"/>
      <c r="BP771" s="47"/>
      <c r="BQ771" s="47"/>
      <c r="BR771" s="47"/>
      <c r="BS771" s="47"/>
      <c r="BT771" s="47"/>
      <c r="BU771" s="47"/>
      <c r="BV771" s="47"/>
      <c r="BW771" s="47"/>
      <c r="BX771" s="47"/>
      <c r="BY771" s="47"/>
      <c r="BZ771" s="47"/>
      <c r="CA771" s="47"/>
      <c r="CB771" s="47"/>
      <c r="CC771" s="47"/>
      <c r="CD771" s="47"/>
      <c r="CE771" s="47"/>
      <c r="CF771" s="47"/>
      <c r="CG771" s="47"/>
      <c r="CH771" s="47"/>
      <c r="CI771" s="47"/>
      <c r="CJ771" s="47"/>
      <c r="CK771" s="47"/>
      <c r="CL771" s="47"/>
      <c r="CM771" s="47"/>
      <c r="CN771" s="47"/>
      <c r="CO771" s="47"/>
      <c r="CP771" s="47"/>
      <c r="CQ771" s="47"/>
      <c r="CR771" s="47"/>
      <c r="CS771" s="47"/>
      <c r="CT771" s="47"/>
      <c r="CU771" s="47"/>
      <c r="CV771" s="47"/>
      <c r="CW771" s="47"/>
      <c r="CX771" s="47"/>
      <c r="CY771" s="47"/>
      <c r="CZ771" s="47"/>
      <c r="DA771" s="47"/>
      <c r="DB771" s="47"/>
      <c r="DC771" s="47"/>
      <c r="DD771" s="47"/>
      <c r="DE771" s="47"/>
      <c r="DF771" s="47"/>
      <c r="DG771" s="47"/>
      <c r="DH771" s="47"/>
    </row>
    <row r="772">
      <c r="A772" s="64"/>
      <c r="B772" s="47"/>
      <c r="C772" s="47"/>
      <c r="D772" s="47"/>
      <c r="E772" s="47"/>
      <c r="F772" s="47"/>
      <c r="G772" s="46"/>
      <c r="H772" s="42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  <c r="BL772" s="47"/>
      <c r="BM772" s="47"/>
      <c r="BN772" s="47"/>
      <c r="BO772" s="47"/>
      <c r="BP772" s="47"/>
      <c r="BQ772" s="47"/>
      <c r="BR772" s="47"/>
      <c r="BS772" s="47"/>
      <c r="BT772" s="47"/>
      <c r="BU772" s="47"/>
      <c r="BV772" s="47"/>
      <c r="BW772" s="47"/>
      <c r="BX772" s="47"/>
      <c r="BY772" s="47"/>
      <c r="BZ772" s="47"/>
      <c r="CA772" s="47"/>
      <c r="CB772" s="47"/>
      <c r="CC772" s="47"/>
      <c r="CD772" s="47"/>
      <c r="CE772" s="47"/>
      <c r="CF772" s="47"/>
      <c r="CG772" s="47"/>
      <c r="CH772" s="47"/>
      <c r="CI772" s="47"/>
      <c r="CJ772" s="47"/>
      <c r="CK772" s="47"/>
      <c r="CL772" s="47"/>
      <c r="CM772" s="47"/>
      <c r="CN772" s="47"/>
      <c r="CO772" s="47"/>
      <c r="CP772" s="47"/>
      <c r="CQ772" s="47"/>
      <c r="CR772" s="47"/>
      <c r="CS772" s="47"/>
      <c r="CT772" s="47"/>
      <c r="CU772" s="47"/>
      <c r="CV772" s="47"/>
      <c r="CW772" s="47"/>
      <c r="CX772" s="47"/>
      <c r="CY772" s="47"/>
      <c r="CZ772" s="47"/>
      <c r="DA772" s="47"/>
      <c r="DB772" s="47"/>
      <c r="DC772" s="47"/>
      <c r="DD772" s="47"/>
      <c r="DE772" s="47"/>
      <c r="DF772" s="47"/>
      <c r="DG772" s="47"/>
      <c r="DH772" s="47"/>
    </row>
    <row r="773">
      <c r="A773" s="64"/>
      <c r="B773" s="47"/>
      <c r="C773" s="47"/>
      <c r="D773" s="47"/>
      <c r="E773" s="47"/>
      <c r="F773" s="47"/>
      <c r="G773" s="46"/>
      <c r="H773" s="42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  <c r="BL773" s="47"/>
      <c r="BM773" s="47"/>
      <c r="BN773" s="47"/>
      <c r="BO773" s="47"/>
      <c r="BP773" s="47"/>
      <c r="BQ773" s="47"/>
      <c r="BR773" s="47"/>
      <c r="BS773" s="47"/>
      <c r="BT773" s="47"/>
      <c r="BU773" s="47"/>
      <c r="BV773" s="47"/>
      <c r="BW773" s="47"/>
      <c r="BX773" s="47"/>
      <c r="BY773" s="47"/>
      <c r="BZ773" s="47"/>
      <c r="CA773" s="47"/>
      <c r="CB773" s="47"/>
      <c r="CC773" s="47"/>
      <c r="CD773" s="47"/>
      <c r="CE773" s="47"/>
      <c r="CF773" s="47"/>
      <c r="CG773" s="47"/>
      <c r="CH773" s="47"/>
      <c r="CI773" s="47"/>
      <c r="CJ773" s="47"/>
      <c r="CK773" s="47"/>
      <c r="CL773" s="47"/>
      <c r="CM773" s="47"/>
      <c r="CN773" s="47"/>
      <c r="CO773" s="47"/>
      <c r="CP773" s="47"/>
      <c r="CQ773" s="47"/>
      <c r="CR773" s="47"/>
      <c r="CS773" s="47"/>
      <c r="CT773" s="47"/>
      <c r="CU773" s="47"/>
      <c r="CV773" s="47"/>
      <c r="CW773" s="47"/>
      <c r="CX773" s="47"/>
      <c r="CY773" s="47"/>
      <c r="CZ773" s="47"/>
      <c r="DA773" s="47"/>
      <c r="DB773" s="47"/>
      <c r="DC773" s="47"/>
      <c r="DD773" s="47"/>
      <c r="DE773" s="47"/>
      <c r="DF773" s="47"/>
      <c r="DG773" s="47"/>
      <c r="DH773" s="47"/>
    </row>
    <row r="774">
      <c r="A774" s="64"/>
      <c r="B774" s="47"/>
      <c r="C774" s="47"/>
      <c r="D774" s="47"/>
      <c r="E774" s="47"/>
      <c r="F774" s="47"/>
      <c r="G774" s="46"/>
      <c r="H774" s="42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  <c r="BL774" s="47"/>
      <c r="BM774" s="47"/>
      <c r="BN774" s="47"/>
      <c r="BO774" s="47"/>
      <c r="BP774" s="47"/>
      <c r="BQ774" s="47"/>
      <c r="BR774" s="47"/>
      <c r="BS774" s="47"/>
      <c r="BT774" s="47"/>
      <c r="BU774" s="47"/>
      <c r="BV774" s="47"/>
      <c r="BW774" s="47"/>
      <c r="BX774" s="47"/>
      <c r="BY774" s="47"/>
      <c r="BZ774" s="47"/>
      <c r="CA774" s="47"/>
      <c r="CB774" s="47"/>
      <c r="CC774" s="47"/>
      <c r="CD774" s="47"/>
      <c r="CE774" s="47"/>
      <c r="CF774" s="47"/>
      <c r="CG774" s="47"/>
      <c r="CH774" s="47"/>
      <c r="CI774" s="47"/>
      <c r="CJ774" s="47"/>
      <c r="CK774" s="47"/>
      <c r="CL774" s="47"/>
      <c r="CM774" s="47"/>
      <c r="CN774" s="47"/>
      <c r="CO774" s="47"/>
      <c r="CP774" s="47"/>
      <c r="CQ774" s="47"/>
      <c r="CR774" s="47"/>
      <c r="CS774" s="47"/>
      <c r="CT774" s="47"/>
      <c r="CU774" s="47"/>
      <c r="CV774" s="47"/>
      <c r="CW774" s="47"/>
      <c r="CX774" s="47"/>
      <c r="CY774" s="47"/>
      <c r="CZ774" s="47"/>
      <c r="DA774" s="47"/>
      <c r="DB774" s="47"/>
      <c r="DC774" s="47"/>
      <c r="DD774" s="47"/>
      <c r="DE774" s="47"/>
      <c r="DF774" s="47"/>
      <c r="DG774" s="47"/>
      <c r="DH774" s="47"/>
    </row>
    <row r="775">
      <c r="A775" s="64"/>
      <c r="B775" s="47"/>
      <c r="C775" s="47"/>
      <c r="D775" s="47"/>
      <c r="E775" s="47"/>
      <c r="F775" s="47"/>
      <c r="G775" s="46"/>
      <c r="H775" s="42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  <c r="BL775" s="47"/>
      <c r="BM775" s="47"/>
      <c r="BN775" s="47"/>
      <c r="BO775" s="47"/>
      <c r="BP775" s="47"/>
      <c r="BQ775" s="47"/>
      <c r="BR775" s="47"/>
      <c r="BS775" s="47"/>
      <c r="BT775" s="47"/>
      <c r="BU775" s="47"/>
      <c r="BV775" s="47"/>
      <c r="BW775" s="47"/>
      <c r="BX775" s="47"/>
      <c r="BY775" s="47"/>
      <c r="BZ775" s="47"/>
      <c r="CA775" s="47"/>
      <c r="CB775" s="47"/>
      <c r="CC775" s="47"/>
      <c r="CD775" s="47"/>
      <c r="CE775" s="47"/>
      <c r="CF775" s="47"/>
      <c r="CG775" s="47"/>
      <c r="CH775" s="47"/>
      <c r="CI775" s="47"/>
      <c r="CJ775" s="47"/>
      <c r="CK775" s="47"/>
      <c r="CL775" s="47"/>
      <c r="CM775" s="47"/>
      <c r="CN775" s="47"/>
      <c r="CO775" s="47"/>
      <c r="CP775" s="47"/>
      <c r="CQ775" s="47"/>
      <c r="CR775" s="47"/>
      <c r="CS775" s="47"/>
      <c r="CT775" s="47"/>
      <c r="CU775" s="47"/>
      <c r="CV775" s="47"/>
      <c r="CW775" s="47"/>
      <c r="CX775" s="47"/>
      <c r="CY775" s="47"/>
      <c r="CZ775" s="47"/>
      <c r="DA775" s="47"/>
      <c r="DB775" s="47"/>
      <c r="DC775" s="47"/>
      <c r="DD775" s="47"/>
      <c r="DE775" s="47"/>
      <c r="DF775" s="47"/>
      <c r="DG775" s="47"/>
      <c r="DH775" s="47"/>
    </row>
    <row r="776">
      <c r="A776" s="64"/>
      <c r="B776" s="47"/>
      <c r="C776" s="47"/>
      <c r="D776" s="47"/>
      <c r="E776" s="47"/>
      <c r="F776" s="47"/>
      <c r="G776" s="46"/>
      <c r="H776" s="42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  <c r="BL776" s="47"/>
      <c r="BM776" s="47"/>
      <c r="BN776" s="47"/>
      <c r="BO776" s="47"/>
      <c r="BP776" s="47"/>
      <c r="BQ776" s="47"/>
      <c r="BR776" s="47"/>
      <c r="BS776" s="47"/>
      <c r="BT776" s="47"/>
      <c r="BU776" s="47"/>
      <c r="BV776" s="47"/>
      <c r="BW776" s="47"/>
      <c r="BX776" s="47"/>
      <c r="BY776" s="47"/>
      <c r="BZ776" s="47"/>
      <c r="CA776" s="47"/>
      <c r="CB776" s="47"/>
      <c r="CC776" s="47"/>
      <c r="CD776" s="47"/>
      <c r="CE776" s="47"/>
      <c r="CF776" s="47"/>
      <c r="CG776" s="47"/>
      <c r="CH776" s="47"/>
      <c r="CI776" s="47"/>
      <c r="CJ776" s="47"/>
      <c r="CK776" s="47"/>
      <c r="CL776" s="47"/>
      <c r="CM776" s="47"/>
      <c r="CN776" s="47"/>
      <c r="CO776" s="47"/>
      <c r="CP776" s="47"/>
      <c r="CQ776" s="47"/>
      <c r="CR776" s="47"/>
      <c r="CS776" s="47"/>
      <c r="CT776" s="47"/>
      <c r="CU776" s="47"/>
      <c r="CV776" s="47"/>
      <c r="CW776" s="47"/>
      <c r="CX776" s="47"/>
      <c r="CY776" s="47"/>
      <c r="CZ776" s="47"/>
      <c r="DA776" s="47"/>
      <c r="DB776" s="47"/>
      <c r="DC776" s="47"/>
      <c r="DD776" s="47"/>
      <c r="DE776" s="47"/>
      <c r="DF776" s="47"/>
      <c r="DG776" s="47"/>
      <c r="DH776" s="47"/>
    </row>
    <row r="777">
      <c r="A777" s="64"/>
      <c r="B777" s="47"/>
      <c r="C777" s="47"/>
      <c r="D777" s="47"/>
      <c r="E777" s="47"/>
      <c r="F777" s="47"/>
      <c r="G777" s="46"/>
      <c r="H777" s="42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  <c r="BL777" s="47"/>
      <c r="BM777" s="47"/>
      <c r="BN777" s="47"/>
      <c r="BO777" s="47"/>
      <c r="BP777" s="47"/>
      <c r="BQ777" s="47"/>
      <c r="BR777" s="47"/>
      <c r="BS777" s="47"/>
      <c r="BT777" s="47"/>
      <c r="BU777" s="47"/>
      <c r="BV777" s="47"/>
      <c r="BW777" s="47"/>
      <c r="BX777" s="47"/>
      <c r="BY777" s="47"/>
      <c r="BZ777" s="47"/>
      <c r="CA777" s="47"/>
      <c r="CB777" s="47"/>
      <c r="CC777" s="47"/>
      <c r="CD777" s="47"/>
      <c r="CE777" s="47"/>
      <c r="CF777" s="47"/>
      <c r="CG777" s="47"/>
      <c r="CH777" s="47"/>
      <c r="CI777" s="47"/>
      <c r="CJ777" s="47"/>
      <c r="CK777" s="47"/>
      <c r="CL777" s="47"/>
      <c r="CM777" s="47"/>
      <c r="CN777" s="47"/>
      <c r="CO777" s="47"/>
      <c r="CP777" s="47"/>
      <c r="CQ777" s="47"/>
      <c r="CR777" s="47"/>
      <c r="CS777" s="47"/>
      <c r="CT777" s="47"/>
      <c r="CU777" s="47"/>
      <c r="CV777" s="47"/>
      <c r="CW777" s="47"/>
      <c r="CX777" s="47"/>
      <c r="CY777" s="47"/>
      <c r="CZ777" s="47"/>
      <c r="DA777" s="47"/>
      <c r="DB777" s="47"/>
      <c r="DC777" s="47"/>
      <c r="DD777" s="47"/>
      <c r="DE777" s="47"/>
      <c r="DF777" s="47"/>
      <c r="DG777" s="47"/>
      <c r="DH777" s="47"/>
    </row>
    <row r="778">
      <c r="A778" s="64"/>
      <c r="B778" s="47"/>
      <c r="C778" s="47"/>
      <c r="D778" s="47"/>
      <c r="E778" s="47"/>
      <c r="F778" s="47"/>
      <c r="G778" s="46"/>
      <c r="H778" s="42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  <c r="BL778" s="47"/>
      <c r="BM778" s="47"/>
      <c r="BN778" s="47"/>
      <c r="BO778" s="47"/>
      <c r="BP778" s="47"/>
      <c r="BQ778" s="47"/>
      <c r="BR778" s="47"/>
      <c r="BS778" s="47"/>
      <c r="BT778" s="47"/>
      <c r="BU778" s="47"/>
      <c r="BV778" s="47"/>
      <c r="BW778" s="47"/>
      <c r="BX778" s="47"/>
      <c r="BY778" s="47"/>
      <c r="BZ778" s="47"/>
      <c r="CA778" s="47"/>
      <c r="CB778" s="47"/>
      <c r="CC778" s="47"/>
      <c r="CD778" s="47"/>
      <c r="CE778" s="47"/>
      <c r="CF778" s="47"/>
      <c r="CG778" s="47"/>
      <c r="CH778" s="47"/>
      <c r="CI778" s="47"/>
      <c r="CJ778" s="47"/>
      <c r="CK778" s="47"/>
      <c r="CL778" s="47"/>
      <c r="CM778" s="47"/>
      <c r="CN778" s="47"/>
      <c r="CO778" s="47"/>
      <c r="CP778" s="47"/>
      <c r="CQ778" s="47"/>
      <c r="CR778" s="47"/>
      <c r="CS778" s="47"/>
      <c r="CT778" s="47"/>
      <c r="CU778" s="47"/>
      <c r="CV778" s="47"/>
      <c r="CW778" s="47"/>
      <c r="CX778" s="47"/>
      <c r="CY778" s="47"/>
      <c r="CZ778" s="47"/>
      <c r="DA778" s="47"/>
      <c r="DB778" s="47"/>
      <c r="DC778" s="47"/>
      <c r="DD778" s="47"/>
      <c r="DE778" s="47"/>
      <c r="DF778" s="47"/>
      <c r="DG778" s="47"/>
      <c r="DH778" s="47"/>
    </row>
    <row r="779">
      <c r="A779" s="64"/>
      <c r="B779" s="47"/>
      <c r="C779" s="47"/>
      <c r="D779" s="47"/>
      <c r="E779" s="47"/>
      <c r="F779" s="47"/>
      <c r="G779" s="46"/>
      <c r="H779" s="42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  <c r="BL779" s="47"/>
      <c r="BM779" s="47"/>
      <c r="BN779" s="47"/>
      <c r="BO779" s="47"/>
      <c r="BP779" s="47"/>
      <c r="BQ779" s="47"/>
      <c r="BR779" s="47"/>
      <c r="BS779" s="47"/>
      <c r="BT779" s="47"/>
      <c r="BU779" s="47"/>
      <c r="BV779" s="47"/>
      <c r="BW779" s="47"/>
      <c r="BX779" s="47"/>
      <c r="BY779" s="47"/>
      <c r="BZ779" s="47"/>
      <c r="CA779" s="47"/>
      <c r="CB779" s="47"/>
      <c r="CC779" s="47"/>
      <c r="CD779" s="47"/>
      <c r="CE779" s="47"/>
      <c r="CF779" s="47"/>
      <c r="CG779" s="47"/>
      <c r="CH779" s="47"/>
      <c r="CI779" s="47"/>
      <c r="CJ779" s="47"/>
      <c r="CK779" s="47"/>
      <c r="CL779" s="47"/>
      <c r="CM779" s="47"/>
      <c r="CN779" s="47"/>
      <c r="CO779" s="47"/>
      <c r="CP779" s="47"/>
      <c r="CQ779" s="47"/>
      <c r="CR779" s="47"/>
      <c r="CS779" s="47"/>
      <c r="CT779" s="47"/>
      <c r="CU779" s="47"/>
      <c r="CV779" s="47"/>
      <c r="CW779" s="47"/>
      <c r="CX779" s="47"/>
      <c r="CY779" s="47"/>
      <c r="CZ779" s="47"/>
      <c r="DA779" s="47"/>
      <c r="DB779" s="47"/>
      <c r="DC779" s="47"/>
      <c r="DD779" s="47"/>
      <c r="DE779" s="47"/>
      <c r="DF779" s="47"/>
      <c r="DG779" s="47"/>
      <c r="DH779" s="47"/>
    </row>
    <row r="780">
      <c r="A780" s="64"/>
      <c r="B780" s="47"/>
      <c r="C780" s="47"/>
      <c r="D780" s="47"/>
      <c r="E780" s="47"/>
      <c r="F780" s="47"/>
      <c r="G780" s="46"/>
      <c r="H780" s="42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  <c r="BP780" s="47"/>
      <c r="BQ780" s="47"/>
      <c r="BR780" s="47"/>
      <c r="BS780" s="47"/>
      <c r="BT780" s="47"/>
      <c r="BU780" s="47"/>
      <c r="BV780" s="47"/>
      <c r="BW780" s="47"/>
      <c r="BX780" s="47"/>
      <c r="BY780" s="47"/>
      <c r="BZ780" s="47"/>
      <c r="CA780" s="47"/>
      <c r="CB780" s="47"/>
      <c r="CC780" s="47"/>
      <c r="CD780" s="47"/>
      <c r="CE780" s="47"/>
      <c r="CF780" s="47"/>
      <c r="CG780" s="47"/>
      <c r="CH780" s="47"/>
      <c r="CI780" s="47"/>
      <c r="CJ780" s="47"/>
      <c r="CK780" s="47"/>
      <c r="CL780" s="47"/>
      <c r="CM780" s="47"/>
      <c r="CN780" s="47"/>
      <c r="CO780" s="47"/>
      <c r="CP780" s="47"/>
      <c r="CQ780" s="47"/>
      <c r="CR780" s="47"/>
      <c r="CS780" s="47"/>
      <c r="CT780" s="47"/>
      <c r="CU780" s="47"/>
      <c r="CV780" s="47"/>
      <c r="CW780" s="47"/>
      <c r="CX780" s="47"/>
      <c r="CY780" s="47"/>
      <c r="CZ780" s="47"/>
      <c r="DA780" s="47"/>
      <c r="DB780" s="47"/>
      <c r="DC780" s="47"/>
      <c r="DD780" s="47"/>
      <c r="DE780" s="47"/>
      <c r="DF780" s="47"/>
      <c r="DG780" s="47"/>
      <c r="DH780" s="47"/>
    </row>
    <row r="781">
      <c r="A781" s="64"/>
      <c r="B781" s="47"/>
      <c r="C781" s="47"/>
      <c r="D781" s="47"/>
      <c r="E781" s="47"/>
      <c r="F781" s="47"/>
      <c r="G781" s="46"/>
      <c r="H781" s="42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  <c r="BP781" s="47"/>
      <c r="BQ781" s="47"/>
      <c r="BR781" s="47"/>
      <c r="BS781" s="47"/>
      <c r="BT781" s="47"/>
      <c r="BU781" s="47"/>
      <c r="BV781" s="47"/>
      <c r="BW781" s="47"/>
      <c r="BX781" s="47"/>
      <c r="BY781" s="47"/>
      <c r="BZ781" s="47"/>
      <c r="CA781" s="47"/>
      <c r="CB781" s="47"/>
      <c r="CC781" s="47"/>
      <c r="CD781" s="47"/>
      <c r="CE781" s="47"/>
      <c r="CF781" s="47"/>
      <c r="CG781" s="47"/>
      <c r="CH781" s="47"/>
      <c r="CI781" s="47"/>
      <c r="CJ781" s="47"/>
      <c r="CK781" s="47"/>
      <c r="CL781" s="47"/>
      <c r="CM781" s="47"/>
      <c r="CN781" s="47"/>
      <c r="CO781" s="47"/>
      <c r="CP781" s="47"/>
      <c r="CQ781" s="47"/>
      <c r="CR781" s="47"/>
      <c r="CS781" s="47"/>
      <c r="CT781" s="47"/>
      <c r="CU781" s="47"/>
      <c r="CV781" s="47"/>
      <c r="CW781" s="47"/>
      <c r="CX781" s="47"/>
      <c r="CY781" s="47"/>
      <c r="CZ781" s="47"/>
      <c r="DA781" s="47"/>
      <c r="DB781" s="47"/>
      <c r="DC781" s="47"/>
      <c r="DD781" s="47"/>
      <c r="DE781" s="47"/>
      <c r="DF781" s="47"/>
      <c r="DG781" s="47"/>
      <c r="DH781" s="47"/>
    </row>
    <row r="782">
      <c r="A782" s="64"/>
      <c r="B782" s="47"/>
      <c r="C782" s="47"/>
      <c r="D782" s="47"/>
      <c r="E782" s="47"/>
      <c r="F782" s="47"/>
      <c r="G782" s="46"/>
      <c r="H782" s="42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47"/>
      <c r="CA782" s="47"/>
      <c r="CB782" s="47"/>
      <c r="CC782" s="47"/>
      <c r="CD782" s="47"/>
      <c r="CE782" s="47"/>
      <c r="CF782" s="47"/>
      <c r="CG782" s="47"/>
      <c r="CH782" s="47"/>
      <c r="CI782" s="47"/>
      <c r="CJ782" s="47"/>
      <c r="CK782" s="47"/>
      <c r="CL782" s="47"/>
      <c r="CM782" s="47"/>
      <c r="CN782" s="47"/>
      <c r="CO782" s="47"/>
      <c r="CP782" s="47"/>
      <c r="CQ782" s="47"/>
      <c r="CR782" s="47"/>
      <c r="CS782" s="47"/>
      <c r="CT782" s="47"/>
      <c r="CU782" s="47"/>
      <c r="CV782" s="47"/>
      <c r="CW782" s="47"/>
      <c r="CX782" s="47"/>
      <c r="CY782" s="47"/>
      <c r="CZ782" s="47"/>
      <c r="DA782" s="47"/>
      <c r="DB782" s="47"/>
      <c r="DC782" s="47"/>
      <c r="DD782" s="47"/>
      <c r="DE782" s="47"/>
      <c r="DF782" s="47"/>
      <c r="DG782" s="47"/>
      <c r="DH782" s="47"/>
    </row>
    <row r="783">
      <c r="A783" s="64"/>
      <c r="B783" s="47"/>
      <c r="C783" s="47"/>
      <c r="D783" s="47"/>
      <c r="E783" s="47"/>
      <c r="F783" s="47"/>
      <c r="G783" s="46"/>
      <c r="H783" s="42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  <c r="BP783" s="47"/>
      <c r="BQ783" s="47"/>
      <c r="BR783" s="47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47"/>
      <c r="CK783" s="47"/>
      <c r="CL783" s="47"/>
      <c r="CM783" s="47"/>
      <c r="CN783" s="47"/>
      <c r="CO783" s="47"/>
      <c r="CP783" s="47"/>
      <c r="CQ783" s="47"/>
      <c r="CR783" s="47"/>
      <c r="CS783" s="47"/>
      <c r="CT783" s="47"/>
      <c r="CU783" s="47"/>
      <c r="CV783" s="47"/>
      <c r="CW783" s="47"/>
      <c r="CX783" s="47"/>
      <c r="CY783" s="47"/>
      <c r="CZ783" s="47"/>
      <c r="DA783" s="47"/>
      <c r="DB783" s="47"/>
      <c r="DC783" s="47"/>
      <c r="DD783" s="47"/>
      <c r="DE783" s="47"/>
      <c r="DF783" s="47"/>
      <c r="DG783" s="47"/>
      <c r="DH783" s="47"/>
    </row>
    <row r="784">
      <c r="A784" s="64"/>
      <c r="B784" s="47"/>
      <c r="C784" s="47"/>
      <c r="D784" s="47"/>
      <c r="E784" s="47"/>
      <c r="F784" s="47"/>
      <c r="G784" s="46"/>
      <c r="H784" s="42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  <c r="BP784" s="47"/>
      <c r="BQ784" s="47"/>
      <c r="BR784" s="47"/>
      <c r="BS784" s="47"/>
      <c r="BT784" s="47"/>
      <c r="BU784" s="47"/>
      <c r="BV784" s="47"/>
      <c r="BW784" s="47"/>
      <c r="BX784" s="47"/>
      <c r="BY784" s="47"/>
      <c r="BZ784" s="47"/>
      <c r="CA784" s="47"/>
      <c r="CB784" s="47"/>
      <c r="CC784" s="47"/>
      <c r="CD784" s="47"/>
      <c r="CE784" s="47"/>
      <c r="CF784" s="47"/>
      <c r="CG784" s="47"/>
      <c r="CH784" s="47"/>
      <c r="CI784" s="47"/>
      <c r="CJ784" s="47"/>
      <c r="CK784" s="47"/>
      <c r="CL784" s="47"/>
      <c r="CM784" s="47"/>
      <c r="CN784" s="47"/>
      <c r="CO784" s="47"/>
      <c r="CP784" s="47"/>
      <c r="CQ784" s="47"/>
      <c r="CR784" s="47"/>
      <c r="CS784" s="47"/>
      <c r="CT784" s="47"/>
      <c r="CU784" s="47"/>
      <c r="CV784" s="47"/>
      <c r="CW784" s="47"/>
      <c r="CX784" s="47"/>
      <c r="CY784" s="47"/>
      <c r="CZ784" s="47"/>
      <c r="DA784" s="47"/>
      <c r="DB784" s="47"/>
      <c r="DC784" s="47"/>
      <c r="DD784" s="47"/>
      <c r="DE784" s="47"/>
      <c r="DF784" s="47"/>
      <c r="DG784" s="47"/>
      <c r="DH784" s="47"/>
    </row>
    <row r="785">
      <c r="A785" s="64"/>
      <c r="B785" s="47"/>
      <c r="C785" s="47"/>
      <c r="D785" s="47"/>
      <c r="E785" s="47"/>
      <c r="F785" s="47"/>
      <c r="G785" s="46"/>
      <c r="H785" s="42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  <c r="BP785" s="47"/>
      <c r="BQ785" s="47"/>
      <c r="BR785" s="47"/>
      <c r="BS785" s="47"/>
      <c r="BT785" s="47"/>
      <c r="BU785" s="47"/>
      <c r="BV785" s="47"/>
      <c r="BW785" s="47"/>
      <c r="BX785" s="47"/>
      <c r="BY785" s="47"/>
      <c r="BZ785" s="47"/>
      <c r="CA785" s="47"/>
      <c r="CB785" s="47"/>
      <c r="CC785" s="47"/>
      <c r="CD785" s="47"/>
      <c r="CE785" s="47"/>
      <c r="CF785" s="47"/>
      <c r="CG785" s="47"/>
      <c r="CH785" s="47"/>
      <c r="CI785" s="47"/>
      <c r="CJ785" s="47"/>
      <c r="CK785" s="47"/>
      <c r="CL785" s="47"/>
      <c r="CM785" s="47"/>
      <c r="CN785" s="47"/>
      <c r="CO785" s="47"/>
      <c r="CP785" s="47"/>
      <c r="CQ785" s="47"/>
      <c r="CR785" s="47"/>
      <c r="CS785" s="47"/>
      <c r="CT785" s="47"/>
      <c r="CU785" s="47"/>
      <c r="CV785" s="47"/>
      <c r="CW785" s="47"/>
      <c r="CX785" s="47"/>
      <c r="CY785" s="47"/>
      <c r="CZ785" s="47"/>
      <c r="DA785" s="47"/>
      <c r="DB785" s="47"/>
      <c r="DC785" s="47"/>
      <c r="DD785" s="47"/>
      <c r="DE785" s="47"/>
      <c r="DF785" s="47"/>
      <c r="DG785" s="47"/>
      <c r="DH785" s="47"/>
    </row>
    <row r="786">
      <c r="A786" s="64"/>
      <c r="B786" s="47"/>
      <c r="C786" s="47"/>
      <c r="D786" s="47"/>
      <c r="E786" s="47"/>
      <c r="F786" s="47"/>
      <c r="G786" s="46"/>
      <c r="H786" s="42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  <c r="BL786" s="47"/>
      <c r="BM786" s="47"/>
      <c r="BN786" s="47"/>
      <c r="BO786" s="47"/>
      <c r="BP786" s="47"/>
      <c r="BQ786" s="47"/>
      <c r="BR786" s="47"/>
      <c r="BS786" s="47"/>
      <c r="BT786" s="47"/>
      <c r="BU786" s="47"/>
      <c r="BV786" s="47"/>
      <c r="BW786" s="47"/>
      <c r="BX786" s="47"/>
      <c r="BY786" s="47"/>
      <c r="BZ786" s="47"/>
      <c r="CA786" s="47"/>
      <c r="CB786" s="47"/>
      <c r="CC786" s="47"/>
      <c r="CD786" s="47"/>
      <c r="CE786" s="47"/>
      <c r="CF786" s="47"/>
      <c r="CG786" s="47"/>
      <c r="CH786" s="47"/>
      <c r="CI786" s="47"/>
      <c r="CJ786" s="47"/>
      <c r="CK786" s="47"/>
      <c r="CL786" s="47"/>
      <c r="CM786" s="47"/>
      <c r="CN786" s="47"/>
      <c r="CO786" s="47"/>
      <c r="CP786" s="47"/>
      <c r="CQ786" s="47"/>
      <c r="CR786" s="47"/>
      <c r="CS786" s="47"/>
      <c r="CT786" s="47"/>
      <c r="CU786" s="47"/>
      <c r="CV786" s="47"/>
      <c r="CW786" s="47"/>
      <c r="CX786" s="47"/>
      <c r="CY786" s="47"/>
      <c r="CZ786" s="47"/>
      <c r="DA786" s="47"/>
      <c r="DB786" s="47"/>
      <c r="DC786" s="47"/>
      <c r="DD786" s="47"/>
      <c r="DE786" s="47"/>
      <c r="DF786" s="47"/>
      <c r="DG786" s="47"/>
      <c r="DH786" s="47"/>
    </row>
    <row r="787">
      <c r="A787" s="64"/>
      <c r="B787" s="47"/>
      <c r="C787" s="47"/>
      <c r="D787" s="47"/>
      <c r="E787" s="47"/>
      <c r="F787" s="47"/>
      <c r="G787" s="46"/>
      <c r="H787" s="42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  <c r="BL787" s="47"/>
      <c r="BM787" s="47"/>
      <c r="BN787" s="47"/>
      <c r="BO787" s="47"/>
      <c r="BP787" s="47"/>
      <c r="BQ787" s="47"/>
      <c r="BR787" s="47"/>
      <c r="BS787" s="47"/>
      <c r="BT787" s="47"/>
      <c r="BU787" s="47"/>
      <c r="BV787" s="47"/>
      <c r="BW787" s="47"/>
      <c r="BX787" s="47"/>
      <c r="BY787" s="47"/>
      <c r="BZ787" s="47"/>
      <c r="CA787" s="47"/>
      <c r="CB787" s="47"/>
      <c r="CC787" s="47"/>
      <c r="CD787" s="47"/>
      <c r="CE787" s="47"/>
      <c r="CF787" s="47"/>
      <c r="CG787" s="47"/>
      <c r="CH787" s="47"/>
      <c r="CI787" s="47"/>
      <c r="CJ787" s="47"/>
      <c r="CK787" s="47"/>
      <c r="CL787" s="47"/>
      <c r="CM787" s="47"/>
      <c r="CN787" s="47"/>
      <c r="CO787" s="47"/>
      <c r="CP787" s="47"/>
      <c r="CQ787" s="47"/>
      <c r="CR787" s="47"/>
      <c r="CS787" s="47"/>
      <c r="CT787" s="47"/>
      <c r="CU787" s="47"/>
      <c r="CV787" s="47"/>
      <c r="CW787" s="47"/>
      <c r="CX787" s="47"/>
      <c r="CY787" s="47"/>
      <c r="CZ787" s="47"/>
      <c r="DA787" s="47"/>
      <c r="DB787" s="47"/>
      <c r="DC787" s="47"/>
      <c r="DD787" s="47"/>
      <c r="DE787" s="47"/>
      <c r="DF787" s="47"/>
      <c r="DG787" s="47"/>
      <c r="DH787" s="47"/>
    </row>
    <row r="788">
      <c r="A788" s="64"/>
      <c r="B788" s="47"/>
      <c r="C788" s="47"/>
      <c r="D788" s="47"/>
      <c r="E788" s="47"/>
      <c r="F788" s="47"/>
      <c r="G788" s="46"/>
      <c r="H788" s="42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  <c r="BL788" s="47"/>
      <c r="BM788" s="47"/>
      <c r="BN788" s="47"/>
      <c r="BO788" s="47"/>
      <c r="BP788" s="47"/>
      <c r="BQ788" s="47"/>
      <c r="BR788" s="47"/>
      <c r="BS788" s="47"/>
      <c r="BT788" s="47"/>
      <c r="BU788" s="47"/>
      <c r="BV788" s="47"/>
      <c r="BW788" s="47"/>
      <c r="BX788" s="47"/>
      <c r="BY788" s="47"/>
      <c r="BZ788" s="47"/>
      <c r="CA788" s="47"/>
      <c r="CB788" s="47"/>
      <c r="CC788" s="47"/>
      <c r="CD788" s="47"/>
      <c r="CE788" s="47"/>
      <c r="CF788" s="47"/>
      <c r="CG788" s="47"/>
      <c r="CH788" s="47"/>
      <c r="CI788" s="47"/>
      <c r="CJ788" s="47"/>
      <c r="CK788" s="47"/>
      <c r="CL788" s="47"/>
      <c r="CM788" s="47"/>
      <c r="CN788" s="47"/>
      <c r="CO788" s="47"/>
      <c r="CP788" s="47"/>
      <c r="CQ788" s="47"/>
      <c r="CR788" s="47"/>
      <c r="CS788" s="47"/>
      <c r="CT788" s="47"/>
      <c r="CU788" s="47"/>
      <c r="CV788" s="47"/>
      <c r="CW788" s="47"/>
      <c r="CX788" s="47"/>
      <c r="CY788" s="47"/>
      <c r="CZ788" s="47"/>
      <c r="DA788" s="47"/>
      <c r="DB788" s="47"/>
      <c r="DC788" s="47"/>
      <c r="DD788" s="47"/>
      <c r="DE788" s="47"/>
      <c r="DF788" s="47"/>
      <c r="DG788" s="47"/>
      <c r="DH788" s="47"/>
    </row>
    <row r="789">
      <c r="A789" s="64"/>
      <c r="B789" s="47"/>
      <c r="C789" s="47"/>
      <c r="D789" s="47"/>
      <c r="E789" s="47"/>
      <c r="F789" s="47"/>
      <c r="G789" s="46"/>
      <c r="H789" s="42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  <c r="BL789" s="47"/>
      <c r="BM789" s="47"/>
      <c r="BN789" s="47"/>
      <c r="BO789" s="47"/>
      <c r="BP789" s="47"/>
      <c r="BQ789" s="47"/>
      <c r="BR789" s="47"/>
      <c r="BS789" s="47"/>
      <c r="BT789" s="47"/>
      <c r="BU789" s="47"/>
      <c r="BV789" s="47"/>
      <c r="BW789" s="47"/>
      <c r="BX789" s="47"/>
      <c r="BY789" s="47"/>
      <c r="BZ789" s="47"/>
      <c r="CA789" s="47"/>
      <c r="CB789" s="47"/>
      <c r="CC789" s="47"/>
      <c r="CD789" s="47"/>
      <c r="CE789" s="47"/>
      <c r="CF789" s="47"/>
      <c r="CG789" s="47"/>
      <c r="CH789" s="47"/>
      <c r="CI789" s="47"/>
      <c r="CJ789" s="47"/>
      <c r="CK789" s="47"/>
      <c r="CL789" s="47"/>
      <c r="CM789" s="47"/>
      <c r="CN789" s="47"/>
      <c r="CO789" s="47"/>
      <c r="CP789" s="47"/>
      <c r="CQ789" s="47"/>
      <c r="CR789" s="47"/>
      <c r="CS789" s="47"/>
      <c r="CT789" s="47"/>
      <c r="CU789" s="47"/>
      <c r="CV789" s="47"/>
      <c r="CW789" s="47"/>
      <c r="CX789" s="47"/>
      <c r="CY789" s="47"/>
      <c r="CZ789" s="47"/>
      <c r="DA789" s="47"/>
      <c r="DB789" s="47"/>
      <c r="DC789" s="47"/>
      <c r="DD789" s="47"/>
      <c r="DE789" s="47"/>
      <c r="DF789" s="47"/>
      <c r="DG789" s="47"/>
      <c r="DH789" s="47"/>
    </row>
    <row r="790">
      <c r="A790" s="64"/>
      <c r="B790" s="47"/>
      <c r="C790" s="47"/>
      <c r="D790" s="47"/>
      <c r="E790" s="47"/>
      <c r="F790" s="47"/>
      <c r="G790" s="46"/>
      <c r="H790" s="42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  <c r="BL790" s="47"/>
      <c r="BM790" s="47"/>
      <c r="BN790" s="47"/>
      <c r="BO790" s="47"/>
      <c r="BP790" s="47"/>
      <c r="BQ790" s="47"/>
      <c r="BR790" s="47"/>
      <c r="BS790" s="47"/>
      <c r="BT790" s="47"/>
      <c r="BU790" s="47"/>
      <c r="BV790" s="47"/>
      <c r="BW790" s="47"/>
      <c r="BX790" s="47"/>
      <c r="BY790" s="47"/>
      <c r="BZ790" s="47"/>
      <c r="CA790" s="47"/>
      <c r="CB790" s="47"/>
      <c r="CC790" s="47"/>
      <c r="CD790" s="47"/>
      <c r="CE790" s="47"/>
      <c r="CF790" s="47"/>
      <c r="CG790" s="47"/>
      <c r="CH790" s="47"/>
      <c r="CI790" s="47"/>
      <c r="CJ790" s="47"/>
      <c r="CK790" s="47"/>
      <c r="CL790" s="47"/>
      <c r="CM790" s="47"/>
      <c r="CN790" s="47"/>
      <c r="CO790" s="47"/>
      <c r="CP790" s="47"/>
      <c r="CQ790" s="47"/>
      <c r="CR790" s="47"/>
      <c r="CS790" s="47"/>
      <c r="CT790" s="47"/>
      <c r="CU790" s="47"/>
      <c r="CV790" s="47"/>
      <c r="CW790" s="47"/>
      <c r="CX790" s="47"/>
      <c r="CY790" s="47"/>
      <c r="CZ790" s="47"/>
      <c r="DA790" s="47"/>
      <c r="DB790" s="47"/>
      <c r="DC790" s="47"/>
      <c r="DD790" s="47"/>
      <c r="DE790" s="47"/>
      <c r="DF790" s="47"/>
      <c r="DG790" s="47"/>
      <c r="DH790" s="47"/>
    </row>
    <row r="791">
      <c r="A791" s="64"/>
      <c r="B791" s="47"/>
      <c r="C791" s="47"/>
      <c r="D791" s="47"/>
      <c r="E791" s="47"/>
      <c r="F791" s="47"/>
      <c r="G791" s="46"/>
      <c r="H791" s="42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  <c r="BL791" s="47"/>
      <c r="BM791" s="47"/>
      <c r="BN791" s="47"/>
      <c r="BO791" s="47"/>
      <c r="BP791" s="47"/>
      <c r="BQ791" s="47"/>
      <c r="BR791" s="47"/>
      <c r="BS791" s="47"/>
      <c r="BT791" s="47"/>
      <c r="BU791" s="47"/>
      <c r="BV791" s="47"/>
      <c r="BW791" s="47"/>
      <c r="BX791" s="47"/>
      <c r="BY791" s="47"/>
      <c r="BZ791" s="47"/>
      <c r="CA791" s="47"/>
      <c r="CB791" s="47"/>
      <c r="CC791" s="47"/>
      <c r="CD791" s="47"/>
      <c r="CE791" s="47"/>
      <c r="CF791" s="47"/>
      <c r="CG791" s="47"/>
      <c r="CH791" s="47"/>
      <c r="CI791" s="47"/>
      <c r="CJ791" s="47"/>
      <c r="CK791" s="47"/>
      <c r="CL791" s="47"/>
      <c r="CM791" s="47"/>
      <c r="CN791" s="47"/>
      <c r="CO791" s="47"/>
      <c r="CP791" s="47"/>
      <c r="CQ791" s="47"/>
      <c r="CR791" s="47"/>
      <c r="CS791" s="47"/>
      <c r="CT791" s="47"/>
      <c r="CU791" s="47"/>
      <c r="CV791" s="47"/>
      <c r="CW791" s="47"/>
      <c r="CX791" s="47"/>
      <c r="CY791" s="47"/>
      <c r="CZ791" s="47"/>
      <c r="DA791" s="47"/>
      <c r="DB791" s="47"/>
      <c r="DC791" s="47"/>
      <c r="DD791" s="47"/>
      <c r="DE791" s="47"/>
      <c r="DF791" s="47"/>
      <c r="DG791" s="47"/>
      <c r="DH791" s="47"/>
    </row>
    <row r="792">
      <c r="A792" s="64"/>
      <c r="B792" s="47"/>
      <c r="C792" s="47"/>
      <c r="D792" s="47"/>
      <c r="E792" s="47"/>
      <c r="F792" s="47"/>
      <c r="G792" s="46"/>
      <c r="H792" s="42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  <c r="BL792" s="47"/>
      <c r="BM792" s="47"/>
      <c r="BN792" s="47"/>
      <c r="BO792" s="47"/>
      <c r="BP792" s="47"/>
      <c r="BQ792" s="47"/>
      <c r="BR792" s="47"/>
      <c r="BS792" s="47"/>
      <c r="BT792" s="47"/>
      <c r="BU792" s="47"/>
      <c r="BV792" s="47"/>
      <c r="BW792" s="47"/>
      <c r="BX792" s="47"/>
      <c r="BY792" s="47"/>
      <c r="BZ792" s="47"/>
      <c r="CA792" s="47"/>
      <c r="CB792" s="47"/>
      <c r="CC792" s="47"/>
      <c r="CD792" s="47"/>
      <c r="CE792" s="47"/>
      <c r="CF792" s="47"/>
      <c r="CG792" s="47"/>
      <c r="CH792" s="47"/>
      <c r="CI792" s="47"/>
      <c r="CJ792" s="47"/>
      <c r="CK792" s="47"/>
      <c r="CL792" s="47"/>
      <c r="CM792" s="47"/>
      <c r="CN792" s="47"/>
      <c r="CO792" s="47"/>
      <c r="CP792" s="47"/>
      <c r="CQ792" s="47"/>
      <c r="CR792" s="47"/>
      <c r="CS792" s="47"/>
      <c r="CT792" s="47"/>
      <c r="CU792" s="47"/>
      <c r="CV792" s="47"/>
      <c r="CW792" s="47"/>
      <c r="CX792" s="47"/>
      <c r="CY792" s="47"/>
      <c r="CZ792" s="47"/>
      <c r="DA792" s="47"/>
      <c r="DB792" s="47"/>
      <c r="DC792" s="47"/>
      <c r="DD792" s="47"/>
      <c r="DE792" s="47"/>
      <c r="DF792" s="47"/>
      <c r="DG792" s="47"/>
      <c r="DH792" s="47"/>
    </row>
    <row r="793">
      <c r="A793" s="64"/>
      <c r="B793" s="47"/>
      <c r="C793" s="47"/>
      <c r="D793" s="47"/>
      <c r="E793" s="47"/>
      <c r="F793" s="47"/>
      <c r="G793" s="46"/>
      <c r="H793" s="42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  <c r="BL793" s="47"/>
      <c r="BM793" s="47"/>
      <c r="BN793" s="47"/>
      <c r="BO793" s="47"/>
      <c r="BP793" s="47"/>
      <c r="BQ793" s="47"/>
      <c r="BR793" s="47"/>
      <c r="BS793" s="47"/>
      <c r="BT793" s="47"/>
      <c r="BU793" s="47"/>
      <c r="BV793" s="47"/>
      <c r="BW793" s="47"/>
      <c r="BX793" s="47"/>
      <c r="BY793" s="47"/>
      <c r="BZ793" s="47"/>
      <c r="CA793" s="47"/>
      <c r="CB793" s="47"/>
      <c r="CC793" s="47"/>
      <c r="CD793" s="47"/>
      <c r="CE793" s="47"/>
      <c r="CF793" s="47"/>
      <c r="CG793" s="47"/>
      <c r="CH793" s="47"/>
      <c r="CI793" s="47"/>
      <c r="CJ793" s="47"/>
      <c r="CK793" s="47"/>
      <c r="CL793" s="47"/>
      <c r="CM793" s="47"/>
      <c r="CN793" s="47"/>
      <c r="CO793" s="47"/>
      <c r="CP793" s="47"/>
      <c r="CQ793" s="47"/>
      <c r="CR793" s="47"/>
      <c r="CS793" s="47"/>
      <c r="CT793" s="47"/>
      <c r="CU793" s="47"/>
      <c r="CV793" s="47"/>
      <c r="CW793" s="47"/>
      <c r="CX793" s="47"/>
      <c r="CY793" s="47"/>
      <c r="CZ793" s="47"/>
      <c r="DA793" s="47"/>
      <c r="DB793" s="47"/>
      <c r="DC793" s="47"/>
      <c r="DD793" s="47"/>
      <c r="DE793" s="47"/>
      <c r="DF793" s="47"/>
      <c r="DG793" s="47"/>
      <c r="DH793" s="47"/>
    </row>
    <row r="794">
      <c r="A794" s="64"/>
      <c r="B794" s="47"/>
      <c r="C794" s="47"/>
      <c r="D794" s="47"/>
      <c r="E794" s="47"/>
      <c r="F794" s="47"/>
      <c r="G794" s="46"/>
      <c r="H794" s="42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  <c r="BL794" s="47"/>
      <c r="BM794" s="47"/>
      <c r="BN794" s="47"/>
      <c r="BO794" s="47"/>
      <c r="BP794" s="47"/>
      <c r="BQ794" s="47"/>
      <c r="BR794" s="47"/>
      <c r="BS794" s="47"/>
      <c r="BT794" s="47"/>
      <c r="BU794" s="47"/>
      <c r="BV794" s="47"/>
      <c r="BW794" s="47"/>
      <c r="BX794" s="47"/>
      <c r="BY794" s="47"/>
      <c r="BZ794" s="47"/>
      <c r="CA794" s="47"/>
      <c r="CB794" s="47"/>
      <c r="CC794" s="47"/>
      <c r="CD794" s="47"/>
      <c r="CE794" s="47"/>
      <c r="CF794" s="47"/>
      <c r="CG794" s="47"/>
      <c r="CH794" s="47"/>
      <c r="CI794" s="47"/>
      <c r="CJ794" s="47"/>
      <c r="CK794" s="47"/>
      <c r="CL794" s="47"/>
      <c r="CM794" s="47"/>
      <c r="CN794" s="47"/>
      <c r="CO794" s="47"/>
      <c r="CP794" s="47"/>
      <c r="CQ794" s="47"/>
      <c r="CR794" s="47"/>
      <c r="CS794" s="47"/>
      <c r="CT794" s="47"/>
      <c r="CU794" s="47"/>
      <c r="CV794" s="47"/>
      <c r="CW794" s="47"/>
      <c r="CX794" s="47"/>
      <c r="CY794" s="47"/>
      <c r="CZ794" s="47"/>
      <c r="DA794" s="47"/>
      <c r="DB794" s="47"/>
      <c r="DC794" s="47"/>
      <c r="DD794" s="47"/>
      <c r="DE794" s="47"/>
      <c r="DF794" s="47"/>
      <c r="DG794" s="47"/>
      <c r="DH794" s="47"/>
    </row>
    <row r="795">
      <c r="A795" s="64"/>
      <c r="B795" s="47"/>
      <c r="C795" s="47"/>
      <c r="D795" s="47"/>
      <c r="E795" s="47"/>
      <c r="F795" s="47"/>
      <c r="G795" s="46"/>
      <c r="H795" s="42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  <c r="BP795" s="47"/>
      <c r="BQ795" s="47"/>
      <c r="BR795" s="47"/>
      <c r="BS795" s="47"/>
      <c r="BT795" s="47"/>
      <c r="BU795" s="47"/>
      <c r="BV795" s="47"/>
      <c r="BW795" s="47"/>
      <c r="BX795" s="47"/>
      <c r="BY795" s="47"/>
      <c r="BZ795" s="47"/>
      <c r="CA795" s="47"/>
      <c r="CB795" s="47"/>
      <c r="CC795" s="47"/>
      <c r="CD795" s="47"/>
      <c r="CE795" s="47"/>
      <c r="CF795" s="47"/>
      <c r="CG795" s="47"/>
      <c r="CH795" s="47"/>
      <c r="CI795" s="47"/>
      <c r="CJ795" s="47"/>
      <c r="CK795" s="47"/>
      <c r="CL795" s="47"/>
      <c r="CM795" s="47"/>
      <c r="CN795" s="47"/>
      <c r="CO795" s="47"/>
      <c r="CP795" s="47"/>
      <c r="CQ795" s="47"/>
      <c r="CR795" s="47"/>
      <c r="CS795" s="47"/>
      <c r="CT795" s="47"/>
      <c r="CU795" s="47"/>
      <c r="CV795" s="47"/>
      <c r="CW795" s="47"/>
      <c r="CX795" s="47"/>
      <c r="CY795" s="47"/>
      <c r="CZ795" s="47"/>
      <c r="DA795" s="47"/>
      <c r="DB795" s="47"/>
      <c r="DC795" s="47"/>
      <c r="DD795" s="47"/>
      <c r="DE795" s="47"/>
      <c r="DF795" s="47"/>
      <c r="DG795" s="47"/>
      <c r="DH795" s="47"/>
    </row>
    <row r="796">
      <c r="A796" s="64"/>
      <c r="B796" s="47"/>
      <c r="C796" s="47"/>
      <c r="D796" s="47"/>
      <c r="E796" s="47"/>
      <c r="F796" s="47"/>
      <c r="G796" s="46"/>
      <c r="H796" s="42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  <c r="BL796" s="47"/>
      <c r="BM796" s="47"/>
      <c r="BN796" s="47"/>
      <c r="BO796" s="47"/>
      <c r="BP796" s="47"/>
      <c r="BQ796" s="47"/>
      <c r="BR796" s="47"/>
      <c r="BS796" s="47"/>
      <c r="BT796" s="47"/>
      <c r="BU796" s="47"/>
      <c r="BV796" s="47"/>
      <c r="BW796" s="47"/>
      <c r="BX796" s="47"/>
      <c r="BY796" s="47"/>
      <c r="BZ796" s="47"/>
      <c r="CA796" s="47"/>
      <c r="CB796" s="47"/>
      <c r="CC796" s="47"/>
      <c r="CD796" s="47"/>
      <c r="CE796" s="47"/>
      <c r="CF796" s="47"/>
      <c r="CG796" s="47"/>
      <c r="CH796" s="47"/>
      <c r="CI796" s="47"/>
      <c r="CJ796" s="47"/>
      <c r="CK796" s="47"/>
      <c r="CL796" s="47"/>
      <c r="CM796" s="47"/>
      <c r="CN796" s="47"/>
      <c r="CO796" s="47"/>
      <c r="CP796" s="47"/>
      <c r="CQ796" s="47"/>
      <c r="CR796" s="47"/>
      <c r="CS796" s="47"/>
      <c r="CT796" s="47"/>
      <c r="CU796" s="47"/>
      <c r="CV796" s="47"/>
      <c r="CW796" s="47"/>
      <c r="CX796" s="47"/>
      <c r="CY796" s="47"/>
      <c r="CZ796" s="47"/>
      <c r="DA796" s="47"/>
      <c r="DB796" s="47"/>
      <c r="DC796" s="47"/>
      <c r="DD796" s="47"/>
      <c r="DE796" s="47"/>
      <c r="DF796" s="47"/>
      <c r="DG796" s="47"/>
      <c r="DH796" s="47"/>
    </row>
    <row r="797">
      <c r="A797" s="64"/>
      <c r="B797" s="47"/>
      <c r="C797" s="47"/>
      <c r="D797" s="47"/>
      <c r="E797" s="47"/>
      <c r="F797" s="47"/>
      <c r="G797" s="46"/>
      <c r="H797" s="42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  <c r="BL797" s="47"/>
      <c r="BM797" s="47"/>
      <c r="BN797" s="47"/>
      <c r="BO797" s="47"/>
      <c r="BP797" s="47"/>
      <c r="BQ797" s="47"/>
      <c r="BR797" s="47"/>
      <c r="BS797" s="47"/>
      <c r="BT797" s="47"/>
      <c r="BU797" s="47"/>
      <c r="BV797" s="47"/>
      <c r="BW797" s="47"/>
      <c r="BX797" s="47"/>
      <c r="BY797" s="47"/>
      <c r="BZ797" s="47"/>
      <c r="CA797" s="47"/>
      <c r="CB797" s="47"/>
      <c r="CC797" s="47"/>
      <c r="CD797" s="47"/>
      <c r="CE797" s="47"/>
      <c r="CF797" s="47"/>
      <c r="CG797" s="47"/>
      <c r="CH797" s="47"/>
      <c r="CI797" s="47"/>
      <c r="CJ797" s="47"/>
      <c r="CK797" s="47"/>
      <c r="CL797" s="47"/>
      <c r="CM797" s="47"/>
      <c r="CN797" s="47"/>
      <c r="CO797" s="47"/>
      <c r="CP797" s="47"/>
      <c r="CQ797" s="47"/>
      <c r="CR797" s="47"/>
      <c r="CS797" s="47"/>
      <c r="CT797" s="47"/>
      <c r="CU797" s="47"/>
      <c r="CV797" s="47"/>
      <c r="CW797" s="47"/>
      <c r="CX797" s="47"/>
      <c r="CY797" s="47"/>
      <c r="CZ797" s="47"/>
      <c r="DA797" s="47"/>
      <c r="DB797" s="47"/>
      <c r="DC797" s="47"/>
      <c r="DD797" s="47"/>
      <c r="DE797" s="47"/>
      <c r="DF797" s="47"/>
      <c r="DG797" s="47"/>
      <c r="DH797" s="47"/>
    </row>
    <row r="798">
      <c r="A798" s="64"/>
      <c r="B798" s="47"/>
      <c r="C798" s="47"/>
      <c r="D798" s="47"/>
      <c r="E798" s="47"/>
      <c r="F798" s="47"/>
      <c r="G798" s="46"/>
      <c r="H798" s="42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  <c r="BL798" s="47"/>
      <c r="BM798" s="47"/>
      <c r="BN798" s="47"/>
      <c r="BO798" s="47"/>
      <c r="BP798" s="47"/>
      <c r="BQ798" s="47"/>
      <c r="BR798" s="47"/>
      <c r="BS798" s="47"/>
      <c r="BT798" s="47"/>
      <c r="BU798" s="47"/>
      <c r="BV798" s="47"/>
      <c r="BW798" s="47"/>
      <c r="BX798" s="47"/>
      <c r="BY798" s="47"/>
      <c r="BZ798" s="47"/>
      <c r="CA798" s="47"/>
      <c r="CB798" s="47"/>
      <c r="CC798" s="47"/>
      <c r="CD798" s="47"/>
      <c r="CE798" s="47"/>
      <c r="CF798" s="47"/>
      <c r="CG798" s="47"/>
      <c r="CH798" s="47"/>
      <c r="CI798" s="47"/>
      <c r="CJ798" s="47"/>
      <c r="CK798" s="47"/>
      <c r="CL798" s="47"/>
      <c r="CM798" s="47"/>
      <c r="CN798" s="47"/>
      <c r="CO798" s="47"/>
      <c r="CP798" s="47"/>
      <c r="CQ798" s="47"/>
      <c r="CR798" s="47"/>
      <c r="CS798" s="47"/>
      <c r="CT798" s="47"/>
      <c r="CU798" s="47"/>
      <c r="CV798" s="47"/>
      <c r="CW798" s="47"/>
      <c r="CX798" s="47"/>
      <c r="CY798" s="47"/>
      <c r="CZ798" s="47"/>
      <c r="DA798" s="47"/>
      <c r="DB798" s="47"/>
      <c r="DC798" s="47"/>
      <c r="DD798" s="47"/>
      <c r="DE798" s="47"/>
      <c r="DF798" s="47"/>
      <c r="DG798" s="47"/>
      <c r="DH798" s="47"/>
    </row>
    <row r="799">
      <c r="A799" s="64"/>
      <c r="B799" s="47"/>
      <c r="C799" s="47"/>
      <c r="D799" s="47"/>
      <c r="E799" s="47"/>
      <c r="F799" s="47"/>
      <c r="G799" s="46"/>
      <c r="H799" s="42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  <c r="BL799" s="47"/>
      <c r="BM799" s="47"/>
      <c r="BN799" s="47"/>
      <c r="BO799" s="47"/>
      <c r="BP799" s="47"/>
      <c r="BQ799" s="47"/>
      <c r="BR799" s="47"/>
      <c r="BS799" s="47"/>
      <c r="BT799" s="47"/>
      <c r="BU799" s="47"/>
      <c r="BV799" s="47"/>
      <c r="BW799" s="47"/>
      <c r="BX799" s="47"/>
      <c r="BY799" s="47"/>
      <c r="BZ799" s="47"/>
      <c r="CA799" s="47"/>
      <c r="CB799" s="47"/>
      <c r="CC799" s="47"/>
      <c r="CD799" s="47"/>
      <c r="CE799" s="47"/>
      <c r="CF799" s="47"/>
      <c r="CG799" s="47"/>
      <c r="CH799" s="47"/>
      <c r="CI799" s="47"/>
      <c r="CJ799" s="47"/>
      <c r="CK799" s="47"/>
      <c r="CL799" s="47"/>
      <c r="CM799" s="47"/>
      <c r="CN799" s="47"/>
      <c r="CO799" s="47"/>
      <c r="CP799" s="47"/>
      <c r="CQ799" s="47"/>
      <c r="CR799" s="47"/>
      <c r="CS799" s="47"/>
      <c r="CT799" s="47"/>
      <c r="CU799" s="47"/>
      <c r="CV799" s="47"/>
      <c r="CW799" s="47"/>
      <c r="CX799" s="47"/>
      <c r="CY799" s="47"/>
      <c r="CZ799" s="47"/>
      <c r="DA799" s="47"/>
      <c r="DB799" s="47"/>
      <c r="DC799" s="47"/>
      <c r="DD799" s="47"/>
      <c r="DE799" s="47"/>
      <c r="DF799" s="47"/>
      <c r="DG799" s="47"/>
      <c r="DH799" s="47"/>
    </row>
    <row r="800">
      <c r="A800" s="64"/>
      <c r="B800" s="47"/>
      <c r="C800" s="47"/>
      <c r="D800" s="47"/>
      <c r="E800" s="47"/>
      <c r="F800" s="47"/>
      <c r="G800" s="46"/>
      <c r="H800" s="42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  <c r="BL800" s="47"/>
      <c r="BM800" s="47"/>
      <c r="BN800" s="47"/>
      <c r="BO800" s="47"/>
      <c r="BP800" s="47"/>
      <c r="BQ800" s="47"/>
      <c r="BR800" s="47"/>
      <c r="BS800" s="47"/>
      <c r="BT800" s="47"/>
      <c r="BU800" s="47"/>
      <c r="BV800" s="47"/>
      <c r="BW800" s="47"/>
      <c r="BX800" s="47"/>
      <c r="BY800" s="47"/>
      <c r="BZ800" s="47"/>
      <c r="CA800" s="47"/>
      <c r="CB800" s="47"/>
      <c r="CC800" s="47"/>
      <c r="CD800" s="47"/>
      <c r="CE800" s="47"/>
      <c r="CF800" s="47"/>
      <c r="CG800" s="47"/>
      <c r="CH800" s="47"/>
      <c r="CI800" s="47"/>
      <c r="CJ800" s="47"/>
      <c r="CK800" s="47"/>
      <c r="CL800" s="47"/>
      <c r="CM800" s="47"/>
      <c r="CN800" s="47"/>
      <c r="CO800" s="47"/>
      <c r="CP800" s="47"/>
      <c r="CQ800" s="47"/>
      <c r="CR800" s="47"/>
      <c r="CS800" s="47"/>
      <c r="CT800" s="47"/>
      <c r="CU800" s="47"/>
      <c r="CV800" s="47"/>
      <c r="CW800" s="47"/>
      <c r="CX800" s="47"/>
      <c r="CY800" s="47"/>
      <c r="CZ800" s="47"/>
      <c r="DA800" s="47"/>
      <c r="DB800" s="47"/>
      <c r="DC800" s="47"/>
      <c r="DD800" s="47"/>
      <c r="DE800" s="47"/>
      <c r="DF800" s="47"/>
      <c r="DG800" s="47"/>
      <c r="DH800" s="47"/>
    </row>
    <row r="801">
      <c r="A801" s="64"/>
      <c r="B801" s="47"/>
      <c r="C801" s="47"/>
      <c r="D801" s="47"/>
      <c r="E801" s="47"/>
      <c r="F801" s="47"/>
      <c r="G801" s="46"/>
      <c r="H801" s="42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  <c r="BL801" s="47"/>
      <c r="BM801" s="47"/>
      <c r="BN801" s="47"/>
      <c r="BO801" s="47"/>
      <c r="BP801" s="47"/>
      <c r="BQ801" s="47"/>
      <c r="BR801" s="47"/>
      <c r="BS801" s="47"/>
      <c r="BT801" s="47"/>
      <c r="BU801" s="47"/>
      <c r="BV801" s="47"/>
      <c r="BW801" s="47"/>
      <c r="BX801" s="47"/>
      <c r="BY801" s="47"/>
      <c r="BZ801" s="47"/>
      <c r="CA801" s="47"/>
      <c r="CB801" s="47"/>
      <c r="CC801" s="47"/>
      <c r="CD801" s="47"/>
      <c r="CE801" s="47"/>
      <c r="CF801" s="47"/>
      <c r="CG801" s="47"/>
      <c r="CH801" s="47"/>
      <c r="CI801" s="47"/>
      <c r="CJ801" s="47"/>
      <c r="CK801" s="47"/>
      <c r="CL801" s="47"/>
      <c r="CM801" s="47"/>
      <c r="CN801" s="47"/>
      <c r="CO801" s="47"/>
      <c r="CP801" s="47"/>
      <c r="CQ801" s="47"/>
      <c r="CR801" s="47"/>
      <c r="CS801" s="47"/>
      <c r="CT801" s="47"/>
      <c r="CU801" s="47"/>
      <c r="CV801" s="47"/>
      <c r="CW801" s="47"/>
      <c r="CX801" s="47"/>
      <c r="CY801" s="47"/>
      <c r="CZ801" s="47"/>
      <c r="DA801" s="47"/>
      <c r="DB801" s="47"/>
      <c r="DC801" s="47"/>
      <c r="DD801" s="47"/>
      <c r="DE801" s="47"/>
      <c r="DF801" s="47"/>
      <c r="DG801" s="47"/>
      <c r="DH801" s="47"/>
    </row>
    <row r="802">
      <c r="A802" s="64"/>
      <c r="B802" s="47"/>
      <c r="C802" s="47"/>
      <c r="D802" s="47"/>
      <c r="E802" s="47"/>
      <c r="F802" s="47"/>
      <c r="G802" s="46"/>
      <c r="H802" s="42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  <c r="BL802" s="47"/>
      <c r="BM802" s="47"/>
      <c r="BN802" s="47"/>
      <c r="BO802" s="47"/>
      <c r="BP802" s="47"/>
      <c r="BQ802" s="47"/>
      <c r="BR802" s="47"/>
      <c r="BS802" s="47"/>
      <c r="BT802" s="47"/>
      <c r="BU802" s="47"/>
      <c r="BV802" s="47"/>
      <c r="BW802" s="47"/>
      <c r="BX802" s="47"/>
      <c r="BY802" s="47"/>
      <c r="BZ802" s="47"/>
      <c r="CA802" s="47"/>
      <c r="CB802" s="47"/>
      <c r="CC802" s="47"/>
      <c r="CD802" s="47"/>
      <c r="CE802" s="47"/>
      <c r="CF802" s="47"/>
      <c r="CG802" s="47"/>
      <c r="CH802" s="47"/>
      <c r="CI802" s="47"/>
      <c r="CJ802" s="47"/>
      <c r="CK802" s="47"/>
      <c r="CL802" s="47"/>
      <c r="CM802" s="47"/>
      <c r="CN802" s="47"/>
      <c r="CO802" s="47"/>
      <c r="CP802" s="47"/>
      <c r="CQ802" s="47"/>
      <c r="CR802" s="47"/>
      <c r="CS802" s="47"/>
      <c r="CT802" s="47"/>
      <c r="CU802" s="47"/>
      <c r="CV802" s="47"/>
      <c r="CW802" s="47"/>
      <c r="CX802" s="47"/>
      <c r="CY802" s="47"/>
      <c r="CZ802" s="47"/>
      <c r="DA802" s="47"/>
      <c r="DB802" s="47"/>
      <c r="DC802" s="47"/>
      <c r="DD802" s="47"/>
      <c r="DE802" s="47"/>
      <c r="DF802" s="47"/>
      <c r="DG802" s="47"/>
      <c r="DH802" s="47"/>
    </row>
    <row r="803">
      <c r="A803" s="64"/>
      <c r="B803" s="47"/>
      <c r="C803" s="47"/>
      <c r="D803" s="47"/>
      <c r="E803" s="47"/>
      <c r="F803" s="47"/>
      <c r="G803" s="46"/>
      <c r="H803" s="42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  <c r="BP803" s="47"/>
      <c r="BQ803" s="47"/>
      <c r="BR803" s="47"/>
      <c r="BS803" s="47"/>
      <c r="BT803" s="47"/>
      <c r="BU803" s="47"/>
      <c r="BV803" s="47"/>
      <c r="BW803" s="47"/>
      <c r="BX803" s="47"/>
      <c r="BY803" s="47"/>
      <c r="BZ803" s="47"/>
      <c r="CA803" s="47"/>
      <c r="CB803" s="47"/>
      <c r="CC803" s="47"/>
      <c r="CD803" s="47"/>
      <c r="CE803" s="47"/>
      <c r="CF803" s="47"/>
      <c r="CG803" s="47"/>
      <c r="CH803" s="47"/>
      <c r="CI803" s="47"/>
      <c r="CJ803" s="47"/>
      <c r="CK803" s="47"/>
      <c r="CL803" s="47"/>
      <c r="CM803" s="47"/>
      <c r="CN803" s="47"/>
      <c r="CO803" s="47"/>
      <c r="CP803" s="47"/>
      <c r="CQ803" s="47"/>
      <c r="CR803" s="47"/>
      <c r="CS803" s="47"/>
      <c r="CT803" s="47"/>
      <c r="CU803" s="47"/>
      <c r="CV803" s="47"/>
      <c r="CW803" s="47"/>
      <c r="CX803" s="47"/>
      <c r="CY803" s="47"/>
      <c r="CZ803" s="47"/>
      <c r="DA803" s="47"/>
      <c r="DB803" s="47"/>
      <c r="DC803" s="47"/>
      <c r="DD803" s="47"/>
      <c r="DE803" s="47"/>
      <c r="DF803" s="47"/>
      <c r="DG803" s="47"/>
      <c r="DH803" s="47"/>
    </row>
    <row r="804">
      <c r="A804" s="64"/>
      <c r="B804" s="47"/>
      <c r="C804" s="47"/>
      <c r="D804" s="47"/>
      <c r="E804" s="47"/>
      <c r="F804" s="47"/>
      <c r="G804" s="46"/>
      <c r="H804" s="42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  <c r="BL804" s="47"/>
      <c r="BM804" s="47"/>
      <c r="BN804" s="47"/>
      <c r="BO804" s="47"/>
      <c r="BP804" s="47"/>
      <c r="BQ804" s="47"/>
      <c r="BR804" s="47"/>
      <c r="BS804" s="47"/>
      <c r="BT804" s="47"/>
      <c r="BU804" s="47"/>
      <c r="BV804" s="47"/>
      <c r="BW804" s="47"/>
      <c r="BX804" s="47"/>
      <c r="BY804" s="47"/>
      <c r="BZ804" s="47"/>
      <c r="CA804" s="47"/>
      <c r="CB804" s="47"/>
      <c r="CC804" s="47"/>
      <c r="CD804" s="47"/>
      <c r="CE804" s="47"/>
      <c r="CF804" s="47"/>
      <c r="CG804" s="47"/>
      <c r="CH804" s="47"/>
      <c r="CI804" s="47"/>
      <c r="CJ804" s="47"/>
      <c r="CK804" s="47"/>
      <c r="CL804" s="47"/>
      <c r="CM804" s="47"/>
      <c r="CN804" s="47"/>
      <c r="CO804" s="47"/>
      <c r="CP804" s="47"/>
      <c r="CQ804" s="47"/>
      <c r="CR804" s="47"/>
      <c r="CS804" s="47"/>
      <c r="CT804" s="47"/>
      <c r="CU804" s="47"/>
      <c r="CV804" s="47"/>
      <c r="CW804" s="47"/>
      <c r="CX804" s="47"/>
      <c r="CY804" s="47"/>
      <c r="CZ804" s="47"/>
      <c r="DA804" s="47"/>
      <c r="DB804" s="47"/>
      <c r="DC804" s="47"/>
      <c r="DD804" s="47"/>
      <c r="DE804" s="47"/>
      <c r="DF804" s="47"/>
      <c r="DG804" s="47"/>
      <c r="DH804" s="47"/>
    </row>
    <row r="805">
      <c r="A805" s="64"/>
      <c r="B805" s="47"/>
      <c r="C805" s="47"/>
      <c r="D805" s="47"/>
      <c r="E805" s="47"/>
      <c r="F805" s="47"/>
      <c r="G805" s="46"/>
      <c r="H805" s="42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  <c r="BL805" s="47"/>
      <c r="BM805" s="47"/>
      <c r="BN805" s="47"/>
      <c r="BO805" s="47"/>
      <c r="BP805" s="47"/>
      <c r="BQ805" s="47"/>
      <c r="BR805" s="47"/>
      <c r="BS805" s="47"/>
      <c r="BT805" s="47"/>
      <c r="BU805" s="47"/>
      <c r="BV805" s="47"/>
      <c r="BW805" s="47"/>
      <c r="BX805" s="47"/>
      <c r="BY805" s="47"/>
      <c r="BZ805" s="47"/>
      <c r="CA805" s="47"/>
      <c r="CB805" s="47"/>
      <c r="CC805" s="47"/>
      <c r="CD805" s="47"/>
      <c r="CE805" s="47"/>
      <c r="CF805" s="47"/>
      <c r="CG805" s="47"/>
      <c r="CH805" s="47"/>
      <c r="CI805" s="47"/>
      <c r="CJ805" s="47"/>
      <c r="CK805" s="47"/>
      <c r="CL805" s="47"/>
      <c r="CM805" s="47"/>
      <c r="CN805" s="47"/>
      <c r="CO805" s="47"/>
      <c r="CP805" s="47"/>
      <c r="CQ805" s="47"/>
      <c r="CR805" s="47"/>
      <c r="CS805" s="47"/>
      <c r="CT805" s="47"/>
      <c r="CU805" s="47"/>
      <c r="CV805" s="47"/>
      <c r="CW805" s="47"/>
      <c r="CX805" s="47"/>
      <c r="CY805" s="47"/>
      <c r="CZ805" s="47"/>
      <c r="DA805" s="47"/>
      <c r="DB805" s="47"/>
      <c r="DC805" s="47"/>
      <c r="DD805" s="47"/>
      <c r="DE805" s="47"/>
      <c r="DF805" s="47"/>
      <c r="DG805" s="47"/>
      <c r="DH805" s="47"/>
    </row>
    <row r="806">
      <c r="A806" s="64"/>
      <c r="B806" s="47"/>
      <c r="C806" s="47"/>
      <c r="D806" s="47"/>
      <c r="E806" s="47"/>
      <c r="F806" s="47"/>
      <c r="G806" s="46"/>
      <c r="H806" s="42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  <c r="BL806" s="47"/>
      <c r="BM806" s="47"/>
      <c r="BN806" s="47"/>
      <c r="BO806" s="47"/>
      <c r="BP806" s="47"/>
      <c r="BQ806" s="47"/>
      <c r="BR806" s="47"/>
      <c r="BS806" s="47"/>
      <c r="BT806" s="47"/>
      <c r="BU806" s="47"/>
      <c r="BV806" s="47"/>
      <c r="BW806" s="47"/>
      <c r="BX806" s="47"/>
      <c r="BY806" s="47"/>
      <c r="BZ806" s="47"/>
      <c r="CA806" s="47"/>
      <c r="CB806" s="47"/>
      <c r="CC806" s="47"/>
      <c r="CD806" s="47"/>
      <c r="CE806" s="47"/>
      <c r="CF806" s="47"/>
      <c r="CG806" s="47"/>
      <c r="CH806" s="47"/>
      <c r="CI806" s="47"/>
      <c r="CJ806" s="47"/>
      <c r="CK806" s="47"/>
      <c r="CL806" s="47"/>
      <c r="CM806" s="47"/>
      <c r="CN806" s="47"/>
      <c r="CO806" s="47"/>
      <c r="CP806" s="47"/>
      <c r="CQ806" s="47"/>
      <c r="CR806" s="47"/>
      <c r="CS806" s="47"/>
      <c r="CT806" s="47"/>
      <c r="CU806" s="47"/>
      <c r="CV806" s="47"/>
      <c r="CW806" s="47"/>
      <c r="CX806" s="47"/>
      <c r="CY806" s="47"/>
      <c r="CZ806" s="47"/>
      <c r="DA806" s="47"/>
      <c r="DB806" s="47"/>
      <c r="DC806" s="47"/>
      <c r="DD806" s="47"/>
      <c r="DE806" s="47"/>
      <c r="DF806" s="47"/>
      <c r="DG806" s="47"/>
      <c r="DH806" s="47"/>
    </row>
    <row r="807">
      <c r="A807" s="64"/>
      <c r="B807" s="47"/>
      <c r="C807" s="47"/>
      <c r="D807" s="47"/>
      <c r="E807" s="47"/>
      <c r="F807" s="47"/>
      <c r="G807" s="46"/>
      <c r="H807" s="42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  <c r="BL807" s="47"/>
      <c r="BM807" s="47"/>
      <c r="BN807" s="47"/>
      <c r="BO807" s="47"/>
      <c r="BP807" s="47"/>
      <c r="BQ807" s="47"/>
      <c r="BR807" s="47"/>
      <c r="BS807" s="47"/>
      <c r="BT807" s="47"/>
      <c r="BU807" s="47"/>
      <c r="BV807" s="47"/>
      <c r="BW807" s="47"/>
      <c r="BX807" s="47"/>
      <c r="BY807" s="47"/>
      <c r="BZ807" s="47"/>
      <c r="CA807" s="47"/>
      <c r="CB807" s="47"/>
      <c r="CC807" s="47"/>
      <c r="CD807" s="47"/>
      <c r="CE807" s="47"/>
      <c r="CF807" s="47"/>
      <c r="CG807" s="47"/>
      <c r="CH807" s="47"/>
      <c r="CI807" s="47"/>
      <c r="CJ807" s="47"/>
      <c r="CK807" s="47"/>
      <c r="CL807" s="47"/>
      <c r="CM807" s="47"/>
      <c r="CN807" s="47"/>
      <c r="CO807" s="47"/>
      <c r="CP807" s="47"/>
      <c r="CQ807" s="47"/>
      <c r="CR807" s="47"/>
      <c r="CS807" s="47"/>
      <c r="CT807" s="47"/>
      <c r="CU807" s="47"/>
      <c r="CV807" s="47"/>
      <c r="CW807" s="47"/>
      <c r="CX807" s="47"/>
      <c r="CY807" s="47"/>
      <c r="CZ807" s="47"/>
      <c r="DA807" s="47"/>
      <c r="DB807" s="47"/>
      <c r="DC807" s="47"/>
      <c r="DD807" s="47"/>
      <c r="DE807" s="47"/>
      <c r="DF807" s="47"/>
      <c r="DG807" s="47"/>
      <c r="DH807" s="47"/>
    </row>
    <row r="808">
      <c r="A808" s="64"/>
      <c r="B808" s="47"/>
      <c r="C808" s="47"/>
      <c r="D808" s="47"/>
      <c r="E808" s="47"/>
      <c r="F808" s="47"/>
      <c r="G808" s="46"/>
      <c r="H808" s="42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  <c r="BL808" s="47"/>
      <c r="BM808" s="47"/>
      <c r="BN808" s="47"/>
      <c r="BO808" s="47"/>
      <c r="BP808" s="47"/>
      <c r="BQ808" s="47"/>
      <c r="BR808" s="47"/>
      <c r="BS808" s="47"/>
      <c r="BT808" s="47"/>
      <c r="BU808" s="47"/>
      <c r="BV808" s="47"/>
      <c r="BW808" s="47"/>
      <c r="BX808" s="47"/>
      <c r="BY808" s="47"/>
      <c r="BZ808" s="47"/>
      <c r="CA808" s="47"/>
      <c r="CB808" s="47"/>
      <c r="CC808" s="47"/>
      <c r="CD808" s="47"/>
      <c r="CE808" s="47"/>
      <c r="CF808" s="47"/>
      <c r="CG808" s="47"/>
      <c r="CH808" s="47"/>
      <c r="CI808" s="47"/>
      <c r="CJ808" s="47"/>
      <c r="CK808" s="47"/>
      <c r="CL808" s="47"/>
      <c r="CM808" s="47"/>
      <c r="CN808" s="47"/>
      <c r="CO808" s="47"/>
      <c r="CP808" s="47"/>
      <c r="CQ808" s="47"/>
      <c r="CR808" s="47"/>
      <c r="CS808" s="47"/>
      <c r="CT808" s="47"/>
      <c r="CU808" s="47"/>
      <c r="CV808" s="47"/>
      <c r="CW808" s="47"/>
      <c r="CX808" s="47"/>
      <c r="CY808" s="47"/>
      <c r="CZ808" s="47"/>
      <c r="DA808" s="47"/>
      <c r="DB808" s="47"/>
      <c r="DC808" s="47"/>
      <c r="DD808" s="47"/>
      <c r="DE808" s="47"/>
      <c r="DF808" s="47"/>
      <c r="DG808" s="47"/>
      <c r="DH808" s="47"/>
    </row>
    <row r="809">
      <c r="A809" s="64"/>
      <c r="B809" s="47"/>
      <c r="C809" s="47"/>
      <c r="D809" s="47"/>
      <c r="E809" s="47"/>
      <c r="F809" s="47"/>
      <c r="G809" s="46"/>
      <c r="H809" s="42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  <c r="BL809" s="47"/>
      <c r="BM809" s="47"/>
      <c r="BN809" s="47"/>
      <c r="BO809" s="47"/>
      <c r="BP809" s="47"/>
      <c r="BQ809" s="47"/>
      <c r="BR809" s="47"/>
      <c r="BS809" s="47"/>
      <c r="BT809" s="47"/>
      <c r="BU809" s="47"/>
      <c r="BV809" s="47"/>
      <c r="BW809" s="47"/>
      <c r="BX809" s="47"/>
      <c r="BY809" s="47"/>
      <c r="BZ809" s="47"/>
      <c r="CA809" s="47"/>
      <c r="CB809" s="47"/>
      <c r="CC809" s="47"/>
      <c r="CD809" s="47"/>
      <c r="CE809" s="47"/>
      <c r="CF809" s="47"/>
      <c r="CG809" s="47"/>
      <c r="CH809" s="47"/>
      <c r="CI809" s="47"/>
      <c r="CJ809" s="47"/>
      <c r="CK809" s="47"/>
      <c r="CL809" s="47"/>
      <c r="CM809" s="47"/>
      <c r="CN809" s="47"/>
      <c r="CO809" s="47"/>
      <c r="CP809" s="47"/>
      <c r="CQ809" s="47"/>
      <c r="CR809" s="47"/>
      <c r="CS809" s="47"/>
      <c r="CT809" s="47"/>
      <c r="CU809" s="47"/>
      <c r="CV809" s="47"/>
      <c r="CW809" s="47"/>
      <c r="CX809" s="47"/>
      <c r="CY809" s="47"/>
      <c r="CZ809" s="47"/>
      <c r="DA809" s="47"/>
      <c r="DB809" s="47"/>
      <c r="DC809" s="47"/>
      <c r="DD809" s="47"/>
      <c r="DE809" s="47"/>
      <c r="DF809" s="47"/>
      <c r="DG809" s="47"/>
      <c r="DH809" s="47"/>
    </row>
    <row r="810">
      <c r="A810" s="64"/>
      <c r="B810" s="47"/>
      <c r="C810" s="47"/>
      <c r="D810" s="47"/>
      <c r="E810" s="47"/>
      <c r="F810" s="47"/>
      <c r="G810" s="46"/>
      <c r="H810" s="42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  <c r="BL810" s="47"/>
      <c r="BM810" s="47"/>
      <c r="BN810" s="47"/>
      <c r="BO810" s="47"/>
      <c r="BP810" s="47"/>
      <c r="BQ810" s="47"/>
      <c r="BR810" s="47"/>
      <c r="BS810" s="47"/>
      <c r="BT810" s="47"/>
      <c r="BU810" s="47"/>
      <c r="BV810" s="47"/>
      <c r="BW810" s="47"/>
      <c r="BX810" s="47"/>
      <c r="BY810" s="47"/>
      <c r="BZ810" s="47"/>
      <c r="CA810" s="47"/>
      <c r="CB810" s="47"/>
      <c r="CC810" s="47"/>
      <c r="CD810" s="47"/>
      <c r="CE810" s="47"/>
      <c r="CF810" s="47"/>
      <c r="CG810" s="47"/>
      <c r="CH810" s="47"/>
      <c r="CI810" s="47"/>
      <c r="CJ810" s="47"/>
      <c r="CK810" s="47"/>
      <c r="CL810" s="47"/>
      <c r="CM810" s="47"/>
      <c r="CN810" s="47"/>
      <c r="CO810" s="47"/>
      <c r="CP810" s="47"/>
      <c r="CQ810" s="47"/>
      <c r="CR810" s="47"/>
      <c r="CS810" s="47"/>
      <c r="CT810" s="47"/>
      <c r="CU810" s="47"/>
      <c r="CV810" s="47"/>
      <c r="CW810" s="47"/>
      <c r="CX810" s="47"/>
      <c r="CY810" s="47"/>
      <c r="CZ810" s="47"/>
      <c r="DA810" s="47"/>
      <c r="DB810" s="47"/>
      <c r="DC810" s="47"/>
      <c r="DD810" s="47"/>
      <c r="DE810" s="47"/>
      <c r="DF810" s="47"/>
      <c r="DG810" s="47"/>
      <c r="DH810" s="47"/>
    </row>
    <row r="811">
      <c r="A811" s="64"/>
      <c r="B811" s="47"/>
      <c r="C811" s="47"/>
      <c r="D811" s="47"/>
      <c r="E811" s="47"/>
      <c r="F811" s="47"/>
      <c r="G811" s="46"/>
      <c r="H811" s="42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  <c r="BP811" s="47"/>
      <c r="BQ811" s="47"/>
      <c r="BR811" s="47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/>
      <c r="CE811" s="47"/>
      <c r="CF811" s="47"/>
      <c r="CG811" s="47"/>
      <c r="CH811" s="47"/>
      <c r="CI811" s="47"/>
      <c r="CJ811" s="47"/>
      <c r="CK811" s="47"/>
      <c r="CL811" s="47"/>
      <c r="CM811" s="47"/>
      <c r="CN811" s="47"/>
      <c r="CO811" s="47"/>
      <c r="CP811" s="47"/>
      <c r="CQ811" s="47"/>
      <c r="CR811" s="47"/>
      <c r="CS811" s="47"/>
      <c r="CT811" s="47"/>
      <c r="CU811" s="47"/>
      <c r="CV811" s="47"/>
      <c r="CW811" s="47"/>
      <c r="CX811" s="47"/>
      <c r="CY811" s="47"/>
      <c r="CZ811" s="47"/>
      <c r="DA811" s="47"/>
      <c r="DB811" s="47"/>
      <c r="DC811" s="47"/>
      <c r="DD811" s="47"/>
      <c r="DE811" s="47"/>
      <c r="DF811" s="47"/>
      <c r="DG811" s="47"/>
      <c r="DH811" s="47"/>
    </row>
    <row r="812">
      <c r="A812" s="64"/>
      <c r="B812" s="47"/>
      <c r="C812" s="47"/>
      <c r="D812" s="47"/>
      <c r="E812" s="47"/>
      <c r="F812" s="47"/>
      <c r="G812" s="46"/>
      <c r="H812" s="42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  <c r="BP812" s="47"/>
      <c r="BQ812" s="47"/>
      <c r="BR812" s="47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47"/>
      <c r="CK812" s="47"/>
      <c r="CL812" s="47"/>
      <c r="CM812" s="47"/>
      <c r="CN812" s="47"/>
      <c r="CO812" s="47"/>
      <c r="CP812" s="47"/>
      <c r="CQ812" s="47"/>
      <c r="CR812" s="47"/>
      <c r="CS812" s="47"/>
      <c r="CT812" s="47"/>
      <c r="CU812" s="47"/>
      <c r="CV812" s="47"/>
      <c r="CW812" s="47"/>
      <c r="CX812" s="47"/>
      <c r="CY812" s="47"/>
      <c r="CZ812" s="47"/>
      <c r="DA812" s="47"/>
      <c r="DB812" s="47"/>
      <c r="DC812" s="47"/>
      <c r="DD812" s="47"/>
      <c r="DE812" s="47"/>
      <c r="DF812" s="47"/>
      <c r="DG812" s="47"/>
      <c r="DH812" s="47"/>
    </row>
    <row r="813">
      <c r="A813" s="64"/>
      <c r="B813" s="47"/>
      <c r="C813" s="47"/>
      <c r="D813" s="47"/>
      <c r="E813" s="47"/>
      <c r="F813" s="47"/>
      <c r="G813" s="46"/>
      <c r="H813" s="42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  <c r="BP813" s="47"/>
      <c r="BQ813" s="47"/>
      <c r="BR813" s="47"/>
      <c r="BS813" s="47"/>
      <c r="BT813" s="47"/>
      <c r="BU813" s="47"/>
      <c r="BV813" s="47"/>
      <c r="BW813" s="47"/>
      <c r="BX813" s="47"/>
      <c r="BY813" s="47"/>
      <c r="BZ813" s="47"/>
      <c r="CA813" s="47"/>
      <c r="CB813" s="47"/>
      <c r="CC813" s="47"/>
      <c r="CD813" s="47"/>
      <c r="CE813" s="47"/>
      <c r="CF813" s="47"/>
      <c r="CG813" s="47"/>
      <c r="CH813" s="47"/>
      <c r="CI813" s="47"/>
      <c r="CJ813" s="47"/>
      <c r="CK813" s="47"/>
      <c r="CL813" s="47"/>
      <c r="CM813" s="47"/>
      <c r="CN813" s="47"/>
      <c r="CO813" s="47"/>
      <c r="CP813" s="47"/>
      <c r="CQ813" s="47"/>
      <c r="CR813" s="47"/>
      <c r="CS813" s="47"/>
      <c r="CT813" s="47"/>
      <c r="CU813" s="47"/>
      <c r="CV813" s="47"/>
      <c r="CW813" s="47"/>
      <c r="CX813" s="47"/>
      <c r="CY813" s="47"/>
      <c r="CZ813" s="47"/>
      <c r="DA813" s="47"/>
      <c r="DB813" s="47"/>
      <c r="DC813" s="47"/>
      <c r="DD813" s="47"/>
      <c r="DE813" s="47"/>
      <c r="DF813" s="47"/>
      <c r="DG813" s="47"/>
      <c r="DH813" s="47"/>
    </row>
    <row r="814">
      <c r="A814" s="64"/>
      <c r="B814" s="47"/>
      <c r="C814" s="47"/>
      <c r="D814" s="47"/>
      <c r="E814" s="47"/>
      <c r="F814" s="47"/>
      <c r="G814" s="46"/>
      <c r="H814" s="42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  <c r="BP814" s="47"/>
      <c r="BQ814" s="47"/>
      <c r="BR814" s="47"/>
      <c r="BS814" s="47"/>
      <c r="BT814" s="47"/>
      <c r="BU814" s="47"/>
      <c r="BV814" s="47"/>
      <c r="BW814" s="47"/>
      <c r="BX814" s="47"/>
      <c r="BY814" s="47"/>
      <c r="BZ814" s="47"/>
      <c r="CA814" s="47"/>
      <c r="CB814" s="47"/>
      <c r="CC814" s="47"/>
      <c r="CD814" s="47"/>
      <c r="CE814" s="47"/>
      <c r="CF814" s="47"/>
      <c r="CG814" s="47"/>
      <c r="CH814" s="47"/>
      <c r="CI814" s="47"/>
      <c r="CJ814" s="47"/>
      <c r="CK814" s="47"/>
      <c r="CL814" s="47"/>
      <c r="CM814" s="47"/>
      <c r="CN814" s="47"/>
      <c r="CO814" s="47"/>
      <c r="CP814" s="47"/>
      <c r="CQ814" s="47"/>
      <c r="CR814" s="47"/>
      <c r="CS814" s="47"/>
      <c r="CT814" s="47"/>
      <c r="CU814" s="47"/>
      <c r="CV814" s="47"/>
      <c r="CW814" s="47"/>
      <c r="CX814" s="47"/>
      <c r="CY814" s="47"/>
      <c r="CZ814" s="47"/>
      <c r="DA814" s="47"/>
      <c r="DB814" s="47"/>
      <c r="DC814" s="47"/>
      <c r="DD814" s="47"/>
      <c r="DE814" s="47"/>
      <c r="DF814" s="47"/>
      <c r="DG814" s="47"/>
      <c r="DH814" s="47"/>
    </row>
    <row r="815">
      <c r="A815" s="64"/>
      <c r="B815" s="47"/>
      <c r="C815" s="47"/>
      <c r="D815" s="47"/>
      <c r="E815" s="47"/>
      <c r="F815" s="47"/>
      <c r="G815" s="46"/>
      <c r="H815" s="42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  <c r="BP815" s="47"/>
      <c r="BQ815" s="47"/>
      <c r="BR815" s="47"/>
      <c r="BS815" s="47"/>
      <c r="BT815" s="47"/>
      <c r="BU815" s="47"/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47"/>
      <c r="CK815" s="47"/>
      <c r="CL815" s="47"/>
      <c r="CM815" s="47"/>
      <c r="CN815" s="47"/>
      <c r="CO815" s="47"/>
      <c r="CP815" s="47"/>
      <c r="CQ815" s="47"/>
      <c r="CR815" s="47"/>
      <c r="CS815" s="47"/>
      <c r="CT815" s="47"/>
      <c r="CU815" s="47"/>
      <c r="CV815" s="47"/>
      <c r="CW815" s="47"/>
      <c r="CX815" s="47"/>
      <c r="CY815" s="47"/>
      <c r="CZ815" s="47"/>
      <c r="DA815" s="47"/>
      <c r="DB815" s="47"/>
      <c r="DC815" s="47"/>
      <c r="DD815" s="47"/>
      <c r="DE815" s="47"/>
      <c r="DF815" s="47"/>
      <c r="DG815" s="47"/>
      <c r="DH815" s="47"/>
    </row>
    <row r="816">
      <c r="A816" s="64"/>
      <c r="B816" s="47"/>
      <c r="C816" s="47"/>
      <c r="D816" s="47"/>
      <c r="E816" s="47"/>
      <c r="F816" s="47"/>
      <c r="G816" s="46"/>
      <c r="H816" s="42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  <c r="BP816" s="47"/>
      <c r="BQ816" s="47"/>
      <c r="BR816" s="47"/>
      <c r="BS816" s="47"/>
      <c r="BT816" s="47"/>
      <c r="BU816" s="47"/>
      <c r="BV816" s="47"/>
      <c r="BW816" s="47"/>
      <c r="BX816" s="47"/>
      <c r="BY816" s="47"/>
      <c r="BZ816" s="47"/>
      <c r="CA816" s="47"/>
      <c r="CB816" s="47"/>
      <c r="CC816" s="47"/>
      <c r="CD816" s="47"/>
      <c r="CE816" s="47"/>
      <c r="CF816" s="47"/>
      <c r="CG816" s="47"/>
      <c r="CH816" s="47"/>
      <c r="CI816" s="47"/>
      <c r="CJ816" s="47"/>
      <c r="CK816" s="47"/>
      <c r="CL816" s="47"/>
      <c r="CM816" s="47"/>
      <c r="CN816" s="47"/>
      <c r="CO816" s="47"/>
      <c r="CP816" s="47"/>
      <c r="CQ816" s="47"/>
      <c r="CR816" s="47"/>
      <c r="CS816" s="47"/>
      <c r="CT816" s="47"/>
      <c r="CU816" s="47"/>
      <c r="CV816" s="47"/>
      <c r="CW816" s="47"/>
      <c r="CX816" s="47"/>
      <c r="CY816" s="47"/>
      <c r="CZ816" s="47"/>
      <c r="DA816" s="47"/>
      <c r="DB816" s="47"/>
      <c r="DC816" s="47"/>
      <c r="DD816" s="47"/>
      <c r="DE816" s="47"/>
      <c r="DF816" s="47"/>
      <c r="DG816" s="47"/>
      <c r="DH816" s="47"/>
    </row>
    <row r="817">
      <c r="A817" s="64"/>
      <c r="B817" s="47"/>
      <c r="C817" s="47"/>
      <c r="D817" s="47"/>
      <c r="E817" s="47"/>
      <c r="F817" s="47"/>
      <c r="G817" s="46"/>
      <c r="H817" s="42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  <c r="BP817" s="47"/>
      <c r="BQ817" s="47"/>
      <c r="BR817" s="47"/>
      <c r="BS817" s="47"/>
      <c r="BT817" s="47"/>
      <c r="BU817" s="47"/>
      <c r="BV817" s="47"/>
      <c r="BW817" s="47"/>
      <c r="BX817" s="47"/>
      <c r="BY817" s="47"/>
      <c r="BZ817" s="47"/>
      <c r="CA817" s="47"/>
      <c r="CB817" s="47"/>
      <c r="CC817" s="47"/>
      <c r="CD817" s="47"/>
      <c r="CE817" s="47"/>
      <c r="CF817" s="47"/>
      <c r="CG817" s="47"/>
      <c r="CH817" s="47"/>
      <c r="CI817" s="47"/>
      <c r="CJ817" s="47"/>
      <c r="CK817" s="47"/>
      <c r="CL817" s="47"/>
      <c r="CM817" s="47"/>
      <c r="CN817" s="47"/>
      <c r="CO817" s="47"/>
      <c r="CP817" s="47"/>
      <c r="CQ817" s="47"/>
      <c r="CR817" s="47"/>
      <c r="CS817" s="47"/>
      <c r="CT817" s="47"/>
      <c r="CU817" s="47"/>
      <c r="CV817" s="47"/>
      <c r="CW817" s="47"/>
      <c r="CX817" s="47"/>
      <c r="CY817" s="47"/>
      <c r="CZ817" s="47"/>
      <c r="DA817" s="47"/>
      <c r="DB817" s="47"/>
      <c r="DC817" s="47"/>
      <c r="DD817" s="47"/>
      <c r="DE817" s="47"/>
      <c r="DF817" s="47"/>
      <c r="DG817" s="47"/>
      <c r="DH817" s="47"/>
    </row>
    <row r="818">
      <c r="A818" s="64"/>
      <c r="B818" s="47"/>
      <c r="C818" s="47"/>
      <c r="D818" s="47"/>
      <c r="E818" s="47"/>
      <c r="F818" s="47"/>
      <c r="G818" s="46"/>
      <c r="H818" s="42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  <c r="BP818" s="47"/>
      <c r="BQ818" s="47"/>
      <c r="BR818" s="47"/>
      <c r="BS818" s="47"/>
      <c r="BT818" s="47"/>
      <c r="BU818" s="47"/>
      <c r="BV818" s="47"/>
      <c r="BW818" s="47"/>
      <c r="BX818" s="47"/>
      <c r="BY818" s="47"/>
      <c r="BZ818" s="47"/>
      <c r="CA818" s="47"/>
      <c r="CB818" s="47"/>
      <c r="CC818" s="47"/>
      <c r="CD818" s="47"/>
      <c r="CE818" s="47"/>
      <c r="CF818" s="47"/>
      <c r="CG818" s="47"/>
      <c r="CH818" s="47"/>
      <c r="CI818" s="47"/>
      <c r="CJ818" s="47"/>
      <c r="CK818" s="47"/>
      <c r="CL818" s="47"/>
      <c r="CM818" s="47"/>
      <c r="CN818" s="47"/>
      <c r="CO818" s="47"/>
      <c r="CP818" s="47"/>
      <c r="CQ818" s="47"/>
      <c r="CR818" s="47"/>
      <c r="CS818" s="47"/>
      <c r="CT818" s="47"/>
      <c r="CU818" s="47"/>
      <c r="CV818" s="47"/>
      <c r="CW818" s="47"/>
      <c r="CX818" s="47"/>
      <c r="CY818" s="47"/>
      <c r="CZ818" s="47"/>
      <c r="DA818" s="47"/>
      <c r="DB818" s="47"/>
      <c r="DC818" s="47"/>
      <c r="DD818" s="47"/>
      <c r="DE818" s="47"/>
      <c r="DF818" s="47"/>
      <c r="DG818" s="47"/>
      <c r="DH818" s="47"/>
    </row>
    <row r="819">
      <c r="A819" s="64"/>
      <c r="B819" s="47"/>
      <c r="C819" s="47"/>
      <c r="D819" s="47"/>
      <c r="E819" s="47"/>
      <c r="F819" s="47"/>
      <c r="G819" s="46"/>
      <c r="H819" s="42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  <c r="BP819" s="47"/>
      <c r="BQ819" s="47"/>
      <c r="BR819" s="47"/>
      <c r="BS819" s="47"/>
      <c r="BT819" s="47"/>
      <c r="BU819" s="47"/>
      <c r="BV819" s="47"/>
      <c r="BW819" s="47"/>
      <c r="BX819" s="47"/>
      <c r="BY819" s="47"/>
      <c r="BZ819" s="47"/>
      <c r="CA819" s="47"/>
      <c r="CB819" s="47"/>
      <c r="CC819" s="47"/>
      <c r="CD819" s="47"/>
      <c r="CE819" s="47"/>
      <c r="CF819" s="47"/>
      <c r="CG819" s="47"/>
      <c r="CH819" s="47"/>
      <c r="CI819" s="47"/>
      <c r="CJ819" s="47"/>
      <c r="CK819" s="47"/>
      <c r="CL819" s="47"/>
      <c r="CM819" s="47"/>
      <c r="CN819" s="47"/>
      <c r="CO819" s="47"/>
      <c r="CP819" s="47"/>
      <c r="CQ819" s="47"/>
      <c r="CR819" s="47"/>
      <c r="CS819" s="47"/>
      <c r="CT819" s="47"/>
      <c r="CU819" s="47"/>
      <c r="CV819" s="47"/>
      <c r="CW819" s="47"/>
      <c r="CX819" s="47"/>
      <c r="CY819" s="47"/>
      <c r="CZ819" s="47"/>
      <c r="DA819" s="47"/>
      <c r="DB819" s="47"/>
      <c r="DC819" s="47"/>
      <c r="DD819" s="47"/>
      <c r="DE819" s="47"/>
      <c r="DF819" s="47"/>
      <c r="DG819" s="47"/>
      <c r="DH819" s="47"/>
    </row>
    <row r="820">
      <c r="A820" s="64"/>
      <c r="B820" s="47"/>
      <c r="C820" s="47"/>
      <c r="D820" s="47"/>
      <c r="E820" s="47"/>
      <c r="F820" s="47"/>
      <c r="G820" s="46"/>
      <c r="H820" s="42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47"/>
      <c r="CA820" s="47"/>
      <c r="CB820" s="47"/>
      <c r="CC820" s="47"/>
      <c r="CD820" s="47"/>
      <c r="CE820" s="47"/>
      <c r="CF820" s="47"/>
      <c r="CG820" s="47"/>
      <c r="CH820" s="47"/>
      <c r="CI820" s="47"/>
      <c r="CJ820" s="47"/>
      <c r="CK820" s="47"/>
      <c r="CL820" s="47"/>
      <c r="CM820" s="47"/>
      <c r="CN820" s="47"/>
      <c r="CO820" s="47"/>
      <c r="CP820" s="47"/>
      <c r="CQ820" s="47"/>
      <c r="CR820" s="47"/>
      <c r="CS820" s="47"/>
      <c r="CT820" s="47"/>
      <c r="CU820" s="47"/>
      <c r="CV820" s="47"/>
      <c r="CW820" s="47"/>
      <c r="CX820" s="47"/>
      <c r="CY820" s="47"/>
      <c r="CZ820" s="47"/>
      <c r="DA820" s="47"/>
      <c r="DB820" s="47"/>
      <c r="DC820" s="47"/>
      <c r="DD820" s="47"/>
      <c r="DE820" s="47"/>
      <c r="DF820" s="47"/>
      <c r="DG820" s="47"/>
      <c r="DH820" s="47"/>
    </row>
    <row r="821">
      <c r="A821" s="64"/>
      <c r="B821" s="47"/>
      <c r="C821" s="47"/>
      <c r="D821" s="47"/>
      <c r="E821" s="47"/>
      <c r="F821" s="47"/>
      <c r="G821" s="46"/>
      <c r="H821" s="42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  <c r="BP821" s="47"/>
      <c r="BQ821" s="47"/>
      <c r="BR821" s="47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47"/>
      <c r="CK821" s="47"/>
      <c r="CL821" s="47"/>
      <c r="CM821" s="47"/>
      <c r="CN821" s="47"/>
      <c r="CO821" s="47"/>
      <c r="CP821" s="47"/>
      <c r="CQ821" s="47"/>
      <c r="CR821" s="47"/>
      <c r="CS821" s="47"/>
      <c r="CT821" s="47"/>
      <c r="CU821" s="47"/>
      <c r="CV821" s="47"/>
      <c r="CW821" s="47"/>
      <c r="CX821" s="47"/>
      <c r="CY821" s="47"/>
      <c r="CZ821" s="47"/>
      <c r="DA821" s="47"/>
      <c r="DB821" s="47"/>
      <c r="DC821" s="47"/>
      <c r="DD821" s="47"/>
      <c r="DE821" s="47"/>
      <c r="DF821" s="47"/>
      <c r="DG821" s="47"/>
      <c r="DH821" s="47"/>
    </row>
    <row r="822">
      <c r="A822" s="64"/>
      <c r="B822" s="47"/>
      <c r="C822" s="47"/>
      <c r="D822" s="47"/>
      <c r="E822" s="47"/>
      <c r="F822" s="47"/>
      <c r="G822" s="46"/>
      <c r="H822" s="42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47"/>
      <c r="CA822" s="47"/>
      <c r="CB822" s="47"/>
      <c r="CC822" s="47"/>
      <c r="CD822" s="47"/>
      <c r="CE822" s="47"/>
      <c r="CF822" s="47"/>
      <c r="CG822" s="47"/>
      <c r="CH822" s="47"/>
      <c r="CI822" s="47"/>
      <c r="CJ822" s="47"/>
      <c r="CK822" s="47"/>
      <c r="CL822" s="47"/>
      <c r="CM822" s="47"/>
      <c r="CN822" s="47"/>
      <c r="CO822" s="47"/>
      <c r="CP822" s="47"/>
      <c r="CQ822" s="47"/>
      <c r="CR822" s="47"/>
      <c r="CS822" s="47"/>
      <c r="CT822" s="47"/>
      <c r="CU822" s="47"/>
      <c r="CV822" s="47"/>
      <c r="CW822" s="47"/>
      <c r="CX822" s="47"/>
      <c r="CY822" s="47"/>
      <c r="CZ822" s="47"/>
      <c r="DA822" s="47"/>
      <c r="DB822" s="47"/>
      <c r="DC822" s="47"/>
      <c r="DD822" s="47"/>
      <c r="DE822" s="47"/>
      <c r="DF822" s="47"/>
      <c r="DG822" s="47"/>
      <c r="DH822" s="47"/>
    </row>
    <row r="823">
      <c r="A823" s="64"/>
      <c r="B823" s="47"/>
      <c r="C823" s="47"/>
      <c r="D823" s="47"/>
      <c r="E823" s="47"/>
      <c r="F823" s="47"/>
      <c r="G823" s="46"/>
      <c r="H823" s="42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  <c r="BP823" s="47"/>
      <c r="BQ823" s="47"/>
      <c r="BR823" s="47"/>
      <c r="BS823" s="47"/>
      <c r="BT823" s="47"/>
      <c r="BU823" s="47"/>
      <c r="BV823" s="47"/>
      <c r="BW823" s="47"/>
      <c r="BX823" s="47"/>
      <c r="BY823" s="47"/>
      <c r="BZ823" s="47"/>
      <c r="CA823" s="47"/>
      <c r="CB823" s="47"/>
      <c r="CC823" s="47"/>
      <c r="CD823" s="47"/>
      <c r="CE823" s="47"/>
      <c r="CF823" s="47"/>
      <c r="CG823" s="47"/>
      <c r="CH823" s="47"/>
      <c r="CI823" s="47"/>
      <c r="CJ823" s="47"/>
      <c r="CK823" s="47"/>
      <c r="CL823" s="47"/>
      <c r="CM823" s="47"/>
      <c r="CN823" s="47"/>
      <c r="CO823" s="47"/>
      <c r="CP823" s="47"/>
      <c r="CQ823" s="47"/>
      <c r="CR823" s="47"/>
      <c r="CS823" s="47"/>
      <c r="CT823" s="47"/>
      <c r="CU823" s="47"/>
      <c r="CV823" s="47"/>
      <c r="CW823" s="47"/>
      <c r="CX823" s="47"/>
      <c r="CY823" s="47"/>
      <c r="CZ823" s="47"/>
      <c r="DA823" s="47"/>
      <c r="DB823" s="47"/>
      <c r="DC823" s="47"/>
      <c r="DD823" s="47"/>
      <c r="DE823" s="47"/>
      <c r="DF823" s="47"/>
      <c r="DG823" s="47"/>
      <c r="DH823" s="47"/>
    </row>
    <row r="824">
      <c r="A824" s="64"/>
      <c r="B824" s="47"/>
      <c r="C824" s="47"/>
      <c r="D824" s="47"/>
      <c r="E824" s="47"/>
      <c r="F824" s="47"/>
      <c r="G824" s="46"/>
      <c r="H824" s="42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  <c r="BP824" s="47"/>
      <c r="BQ824" s="47"/>
      <c r="BR824" s="47"/>
      <c r="BS824" s="47"/>
      <c r="BT824" s="47"/>
      <c r="BU824" s="47"/>
      <c r="BV824" s="47"/>
      <c r="BW824" s="47"/>
      <c r="BX824" s="47"/>
      <c r="BY824" s="47"/>
      <c r="BZ824" s="47"/>
      <c r="CA824" s="47"/>
      <c r="CB824" s="47"/>
      <c r="CC824" s="47"/>
      <c r="CD824" s="47"/>
      <c r="CE824" s="47"/>
      <c r="CF824" s="47"/>
      <c r="CG824" s="47"/>
      <c r="CH824" s="47"/>
      <c r="CI824" s="47"/>
      <c r="CJ824" s="47"/>
      <c r="CK824" s="47"/>
      <c r="CL824" s="47"/>
      <c r="CM824" s="47"/>
      <c r="CN824" s="47"/>
      <c r="CO824" s="47"/>
      <c r="CP824" s="47"/>
      <c r="CQ824" s="47"/>
      <c r="CR824" s="47"/>
      <c r="CS824" s="47"/>
      <c r="CT824" s="47"/>
      <c r="CU824" s="47"/>
      <c r="CV824" s="47"/>
      <c r="CW824" s="47"/>
      <c r="CX824" s="47"/>
      <c r="CY824" s="47"/>
      <c r="CZ824" s="47"/>
      <c r="DA824" s="47"/>
      <c r="DB824" s="47"/>
      <c r="DC824" s="47"/>
      <c r="DD824" s="47"/>
      <c r="DE824" s="47"/>
      <c r="DF824" s="47"/>
      <c r="DG824" s="47"/>
      <c r="DH824" s="47"/>
    </row>
    <row r="825">
      <c r="A825" s="64"/>
      <c r="B825" s="47"/>
      <c r="C825" s="47"/>
      <c r="D825" s="47"/>
      <c r="E825" s="47"/>
      <c r="F825" s="47"/>
      <c r="G825" s="46"/>
      <c r="H825" s="42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  <c r="BP825" s="47"/>
      <c r="BQ825" s="47"/>
      <c r="BR825" s="47"/>
      <c r="BS825" s="47"/>
      <c r="BT825" s="47"/>
      <c r="BU825" s="47"/>
      <c r="BV825" s="47"/>
      <c r="BW825" s="47"/>
      <c r="BX825" s="47"/>
      <c r="BY825" s="47"/>
      <c r="BZ825" s="47"/>
      <c r="CA825" s="47"/>
      <c r="CB825" s="47"/>
      <c r="CC825" s="47"/>
      <c r="CD825" s="47"/>
      <c r="CE825" s="47"/>
      <c r="CF825" s="47"/>
      <c r="CG825" s="47"/>
      <c r="CH825" s="47"/>
      <c r="CI825" s="47"/>
      <c r="CJ825" s="47"/>
      <c r="CK825" s="47"/>
      <c r="CL825" s="47"/>
      <c r="CM825" s="47"/>
      <c r="CN825" s="47"/>
      <c r="CO825" s="47"/>
      <c r="CP825" s="47"/>
      <c r="CQ825" s="47"/>
      <c r="CR825" s="47"/>
      <c r="CS825" s="47"/>
      <c r="CT825" s="47"/>
      <c r="CU825" s="47"/>
      <c r="CV825" s="47"/>
      <c r="CW825" s="47"/>
      <c r="CX825" s="47"/>
      <c r="CY825" s="47"/>
      <c r="CZ825" s="47"/>
      <c r="DA825" s="47"/>
      <c r="DB825" s="47"/>
      <c r="DC825" s="47"/>
      <c r="DD825" s="47"/>
      <c r="DE825" s="47"/>
      <c r="DF825" s="47"/>
      <c r="DG825" s="47"/>
      <c r="DH825" s="47"/>
    </row>
    <row r="826">
      <c r="A826" s="64"/>
      <c r="B826" s="47"/>
      <c r="C826" s="47"/>
      <c r="D826" s="47"/>
      <c r="E826" s="47"/>
      <c r="F826" s="47"/>
      <c r="G826" s="46"/>
      <c r="H826" s="42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  <c r="BP826" s="47"/>
      <c r="BQ826" s="47"/>
      <c r="BR826" s="47"/>
      <c r="BS826" s="47"/>
      <c r="BT826" s="47"/>
      <c r="BU826" s="47"/>
      <c r="BV826" s="47"/>
      <c r="BW826" s="47"/>
      <c r="BX826" s="47"/>
      <c r="BY826" s="47"/>
      <c r="BZ826" s="47"/>
      <c r="CA826" s="47"/>
      <c r="CB826" s="47"/>
      <c r="CC826" s="47"/>
      <c r="CD826" s="47"/>
      <c r="CE826" s="47"/>
      <c r="CF826" s="47"/>
      <c r="CG826" s="47"/>
      <c r="CH826" s="47"/>
      <c r="CI826" s="47"/>
      <c r="CJ826" s="47"/>
      <c r="CK826" s="47"/>
      <c r="CL826" s="47"/>
      <c r="CM826" s="47"/>
      <c r="CN826" s="47"/>
      <c r="CO826" s="47"/>
      <c r="CP826" s="47"/>
      <c r="CQ826" s="47"/>
      <c r="CR826" s="47"/>
      <c r="CS826" s="47"/>
      <c r="CT826" s="47"/>
      <c r="CU826" s="47"/>
      <c r="CV826" s="47"/>
      <c r="CW826" s="47"/>
      <c r="CX826" s="47"/>
      <c r="CY826" s="47"/>
      <c r="CZ826" s="47"/>
      <c r="DA826" s="47"/>
      <c r="DB826" s="47"/>
      <c r="DC826" s="47"/>
      <c r="DD826" s="47"/>
      <c r="DE826" s="47"/>
      <c r="DF826" s="47"/>
      <c r="DG826" s="47"/>
      <c r="DH826" s="47"/>
    </row>
    <row r="827">
      <c r="A827" s="64"/>
      <c r="B827" s="47"/>
      <c r="C827" s="47"/>
      <c r="D827" s="47"/>
      <c r="E827" s="47"/>
      <c r="F827" s="47"/>
      <c r="G827" s="46"/>
      <c r="H827" s="42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  <c r="BP827" s="47"/>
      <c r="BQ827" s="47"/>
      <c r="BR827" s="47"/>
      <c r="BS827" s="47"/>
      <c r="BT827" s="47"/>
      <c r="BU827" s="47"/>
      <c r="BV827" s="47"/>
      <c r="BW827" s="47"/>
      <c r="BX827" s="47"/>
      <c r="BY827" s="47"/>
      <c r="BZ827" s="47"/>
      <c r="CA827" s="47"/>
      <c r="CB827" s="47"/>
      <c r="CC827" s="47"/>
      <c r="CD827" s="47"/>
      <c r="CE827" s="47"/>
      <c r="CF827" s="47"/>
      <c r="CG827" s="47"/>
      <c r="CH827" s="47"/>
      <c r="CI827" s="47"/>
      <c r="CJ827" s="47"/>
      <c r="CK827" s="47"/>
      <c r="CL827" s="47"/>
      <c r="CM827" s="47"/>
      <c r="CN827" s="47"/>
      <c r="CO827" s="47"/>
      <c r="CP827" s="47"/>
      <c r="CQ827" s="47"/>
      <c r="CR827" s="47"/>
      <c r="CS827" s="47"/>
      <c r="CT827" s="47"/>
      <c r="CU827" s="47"/>
      <c r="CV827" s="47"/>
      <c r="CW827" s="47"/>
      <c r="CX827" s="47"/>
      <c r="CY827" s="47"/>
      <c r="CZ827" s="47"/>
      <c r="DA827" s="47"/>
      <c r="DB827" s="47"/>
      <c r="DC827" s="47"/>
      <c r="DD827" s="47"/>
      <c r="DE827" s="47"/>
      <c r="DF827" s="47"/>
      <c r="DG827" s="47"/>
      <c r="DH827" s="47"/>
    </row>
    <row r="828">
      <c r="A828" s="64"/>
      <c r="B828" s="47"/>
      <c r="C828" s="47"/>
      <c r="D828" s="47"/>
      <c r="E828" s="47"/>
      <c r="F828" s="47"/>
      <c r="G828" s="46"/>
      <c r="H828" s="42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  <c r="BP828" s="47"/>
      <c r="BQ828" s="47"/>
      <c r="BR828" s="47"/>
      <c r="BS828" s="47"/>
      <c r="BT828" s="47"/>
      <c r="BU828" s="47"/>
      <c r="BV828" s="47"/>
      <c r="BW828" s="47"/>
      <c r="BX828" s="47"/>
      <c r="BY828" s="47"/>
      <c r="BZ828" s="47"/>
      <c r="CA828" s="47"/>
      <c r="CB828" s="47"/>
      <c r="CC828" s="47"/>
      <c r="CD828" s="47"/>
      <c r="CE828" s="47"/>
      <c r="CF828" s="47"/>
      <c r="CG828" s="47"/>
      <c r="CH828" s="47"/>
      <c r="CI828" s="47"/>
      <c r="CJ828" s="47"/>
      <c r="CK828" s="47"/>
      <c r="CL828" s="47"/>
      <c r="CM828" s="47"/>
      <c r="CN828" s="47"/>
      <c r="CO828" s="47"/>
      <c r="CP828" s="47"/>
      <c r="CQ828" s="47"/>
      <c r="CR828" s="47"/>
      <c r="CS828" s="47"/>
      <c r="CT828" s="47"/>
      <c r="CU828" s="47"/>
      <c r="CV828" s="47"/>
      <c r="CW828" s="47"/>
      <c r="CX828" s="47"/>
      <c r="CY828" s="47"/>
      <c r="CZ828" s="47"/>
      <c r="DA828" s="47"/>
      <c r="DB828" s="47"/>
      <c r="DC828" s="47"/>
      <c r="DD828" s="47"/>
      <c r="DE828" s="47"/>
      <c r="DF828" s="47"/>
      <c r="DG828" s="47"/>
      <c r="DH828" s="47"/>
    </row>
    <row r="829">
      <c r="A829" s="64"/>
      <c r="B829" s="47"/>
      <c r="C829" s="47"/>
      <c r="D829" s="47"/>
      <c r="E829" s="47"/>
      <c r="F829" s="47"/>
      <c r="G829" s="46"/>
      <c r="H829" s="42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  <c r="BP829" s="47"/>
      <c r="BQ829" s="47"/>
      <c r="BR829" s="47"/>
      <c r="BS829" s="47"/>
      <c r="BT829" s="47"/>
      <c r="BU829" s="47"/>
      <c r="BV829" s="47"/>
      <c r="BW829" s="47"/>
      <c r="BX829" s="47"/>
      <c r="BY829" s="47"/>
      <c r="BZ829" s="47"/>
      <c r="CA829" s="47"/>
      <c r="CB829" s="47"/>
      <c r="CC829" s="47"/>
      <c r="CD829" s="47"/>
      <c r="CE829" s="47"/>
      <c r="CF829" s="47"/>
      <c r="CG829" s="47"/>
      <c r="CH829" s="47"/>
      <c r="CI829" s="47"/>
      <c r="CJ829" s="47"/>
      <c r="CK829" s="47"/>
      <c r="CL829" s="47"/>
      <c r="CM829" s="47"/>
      <c r="CN829" s="47"/>
      <c r="CO829" s="47"/>
      <c r="CP829" s="47"/>
      <c r="CQ829" s="47"/>
      <c r="CR829" s="47"/>
      <c r="CS829" s="47"/>
      <c r="CT829" s="47"/>
      <c r="CU829" s="47"/>
      <c r="CV829" s="47"/>
      <c r="CW829" s="47"/>
      <c r="CX829" s="47"/>
      <c r="CY829" s="47"/>
      <c r="CZ829" s="47"/>
      <c r="DA829" s="47"/>
      <c r="DB829" s="47"/>
      <c r="DC829" s="47"/>
      <c r="DD829" s="47"/>
      <c r="DE829" s="47"/>
      <c r="DF829" s="47"/>
      <c r="DG829" s="47"/>
      <c r="DH829" s="47"/>
    </row>
    <row r="830">
      <c r="A830" s="64"/>
      <c r="B830" s="47"/>
      <c r="C830" s="47"/>
      <c r="D830" s="47"/>
      <c r="E830" s="47"/>
      <c r="F830" s="47"/>
      <c r="G830" s="46"/>
      <c r="H830" s="42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  <c r="BP830" s="47"/>
      <c r="BQ830" s="47"/>
      <c r="BR830" s="47"/>
      <c r="BS830" s="47"/>
      <c r="BT830" s="47"/>
      <c r="BU830" s="47"/>
      <c r="BV830" s="47"/>
      <c r="BW830" s="47"/>
      <c r="BX830" s="47"/>
      <c r="BY830" s="47"/>
      <c r="BZ830" s="47"/>
      <c r="CA830" s="47"/>
      <c r="CB830" s="47"/>
      <c r="CC830" s="47"/>
      <c r="CD830" s="47"/>
      <c r="CE830" s="47"/>
      <c r="CF830" s="47"/>
      <c r="CG830" s="47"/>
      <c r="CH830" s="47"/>
      <c r="CI830" s="47"/>
      <c r="CJ830" s="47"/>
      <c r="CK830" s="47"/>
      <c r="CL830" s="47"/>
      <c r="CM830" s="47"/>
      <c r="CN830" s="47"/>
      <c r="CO830" s="47"/>
      <c r="CP830" s="47"/>
      <c r="CQ830" s="47"/>
      <c r="CR830" s="47"/>
      <c r="CS830" s="47"/>
      <c r="CT830" s="47"/>
      <c r="CU830" s="47"/>
      <c r="CV830" s="47"/>
      <c r="CW830" s="47"/>
      <c r="CX830" s="47"/>
      <c r="CY830" s="47"/>
      <c r="CZ830" s="47"/>
      <c r="DA830" s="47"/>
      <c r="DB830" s="47"/>
      <c r="DC830" s="47"/>
      <c r="DD830" s="47"/>
      <c r="DE830" s="47"/>
      <c r="DF830" s="47"/>
      <c r="DG830" s="47"/>
      <c r="DH830" s="47"/>
    </row>
    <row r="831">
      <c r="A831" s="64"/>
      <c r="B831" s="47"/>
      <c r="C831" s="47"/>
      <c r="D831" s="47"/>
      <c r="E831" s="47"/>
      <c r="F831" s="47"/>
      <c r="G831" s="46"/>
      <c r="H831" s="42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  <c r="BP831" s="47"/>
      <c r="BQ831" s="47"/>
      <c r="BR831" s="47"/>
      <c r="BS831" s="47"/>
      <c r="BT831" s="47"/>
      <c r="BU831" s="47"/>
      <c r="BV831" s="47"/>
      <c r="BW831" s="47"/>
      <c r="BX831" s="47"/>
      <c r="BY831" s="47"/>
      <c r="BZ831" s="47"/>
      <c r="CA831" s="47"/>
      <c r="CB831" s="47"/>
      <c r="CC831" s="47"/>
      <c r="CD831" s="47"/>
      <c r="CE831" s="47"/>
      <c r="CF831" s="47"/>
      <c r="CG831" s="47"/>
      <c r="CH831" s="47"/>
      <c r="CI831" s="47"/>
      <c r="CJ831" s="47"/>
      <c r="CK831" s="47"/>
      <c r="CL831" s="47"/>
      <c r="CM831" s="47"/>
      <c r="CN831" s="47"/>
      <c r="CO831" s="47"/>
      <c r="CP831" s="47"/>
      <c r="CQ831" s="47"/>
      <c r="CR831" s="47"/>
      <c r="CS831" s="47"/>
      <c r="CT831" s="47"/>
      <c r="CU831" s="47"/>
      <c r="CV831" s="47"/>
      <c r="CW831" s="47"/>
      <c r="CX831" s="47"/>
      <c r="CY831" s="47"/>
      <c r="CZ831" s="47"/>
      <c r="DA831" s="47"/>
      <c r="DB831" s="47"/>
      <c r="DC831" s="47"/>
      <c r="DD831" s="47"/>
      <c r="DE831" s="47"/>
      <c r="DF831" s="47"/>
      <c r="DG831" s="47"/>
      <c r="DH831" s="47"/>
    </row>
    <row r="832">
      <c r="A832" s="64"/>
      <c r="B832" s="47"/>
      <c r="C832" s="47"/>
      <c r="D832" s="47"/>
      <c r="E832" s="47"/>
      <c r="F832" s="47"/>
      <c r="G832" s="46"/>
      <c r="H832" s="42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  <c r="BP832" s="47"/>
      <c r="BQ832" s="47"/>
      <c r="BR832" s="47"/>
      <c r="BS832" s="47"/>
      <c r="BT832" s="47"/>
      <c r="BU832" s="47"/>
      <c r="BV832" s="47"/>
      <c r="BW832" s="47"/>
      <c r="BX832" s="47"/>
      <c r="BY832" s="47"/>
      <c r="BZ832" s="47"/>
      <c r="CA832" s="47"/>
      <c r="CB832" s="47"/>
      <c r="CC832" s="47"/>
      <c r="CD832" s="47"/>
      <c r="CE832" s="47"/>
      <c r="CF832" s="47"/>
      <c r="CG832" s="47"/>
      <c r="CH832" s="47"/>
      <c r="CI832" s="47"/>
      <c r="CJ832" s="47"/>
      <c r="CK832" s="47"/>
      <c r="CL832" s="47"/>
      <c r="CM832" s="47"/>
      <c r="CN832" s="47"/>
      <c r="CO832" s="47"/>
      <c r="CP832" s="47"/>
      <c r="CQ832" s="47"/>
      <c r="CR832" s="47"/>
      <c r="CS832" s="47"/>
      <c r="CT832" s="47"/>
      <c r="CU832" s="47"/>
      <c r="CV832" s="47"/>
      <c r="CW832" s="47"/>
      <c r="CX832" s="47"/>
      <c r="CY832" s="47"/>
      <c r="CZ832" s="47"/>
      <c r="DA832" s="47"/>
      <c r="DB832" s="47"/>
      <c r="DC832" s="47"/>
      <c r="DD832" s="47"/>
      <c r="DE832" s="47"/>
      <c r="DF832" s="47"/>
      <c r="DG832" s="47"/>
      <c r="DH832" s="47"/>
    </row>
    <row r="833">
      <c r="A833" s="64"/>
      <c r="B833" s="47"/>
      <c r="C833" s="47"/>
      <c r="D833" s="47"/>
      <c r="E833" s="47"/>
      <c r="F833" s="47"/>
      <c r="G833" s="46"/>
      <c r="H833" s="42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S833" s="47"/>
      <c r="CT833" s="47"/>
      <c r="CU833" s="47"/>
      <c r="CV833" s="47"/>
      <c r="CW833" s="47"/>
      <c r="CX833" s="47"/>
      <c r="CY833" s="47"/>
      <c r="CZ833" s="47"/>
      <c r="DA833" s="47"/>
      <c r="DB833" s="47"/>
      <c r="DC833" s="47"/>
      <c r="DD833" s="47"/>
      <c r="DE833" s="47"/>
      <c r="DF833" s="47"/>
      <c r="DG833" s="47"/>
      <c r="DH833" s="47"/>
    </row>
    <row r="834">
      <c r="A834" s="64"/>
      <c r="B834" s="47"/>
      <c r="C834" s="47"/>
      <c r="D834" s="47"/>
      <c r="E834" s="47"/>
      <c r="F834" s="47"/>
      <c r="G834" s="46"/>
      <c r="H834" s="42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  <c r="BP834" s="47"/>
      <c r="BQ834" s="47"/>
      <c r="BR834" s="47"/>
      <c r="BS834" s="47"/>
      <c r="BT834" s="47"/>
      <c r="BU834" s="47"/>
      <c r="BV834" s="47"/>
      <c r="BW834" s="47"/>
      <c r="BX834" s="47"/>
      <c r="BY834" s="47"/>
      <c r="BZ834" s="47"/>
      <c r="CA834" s="47"/>
      <c r="CB834" s="47"/>
      <c r="CC834" s="47"/>
      <c r="CD834" s="47"/>
      <c r="CE834" s="47"/>
      <c r="CF834" s="47"/>
      <c r="CG834" s="47"/>
      <c r="CH834" s="47"/>
      <c r="CI834" s="47"/>
      <c r="CJ834" s="47"/>
      <c r="CK834" s="47"/>
      <c r="CL834" s="47"/>
      <c r="CM834" s="47"/>
      <c r="CN834" s="47"/>
      <c r="CO834" s="47"/>
      <c r="CP834" s="47"/>
      <c r="CQ834" s="47"/>
      <c r="CR834" s="47"/>
      <c r="CS834" s="47"/>
      <c r="CT834" s="47"/>
      <c r="CU834" s="47"/>
      <c r="CV834" s="47"/>
      <c r="CW834" s="47"/>
      <c r="CX834" s="47"/>
      <c r="CY834" s="47"/>
      <c r="CZ834" s="47"/>
      <c r="DA834" s="47"/>
      <c r="DB834" s="47"/>
      <c r="DC834" s="47"/>
      <c r="DD834" s="47"/>
      <c r="DE834" s="47"/>
      <c r="DF834" s="47"/>
      <c r="DG834" s="47"/>
      <c r="DH834" s="47"/>
    </row>
    <row r="835">
      <c r="A835" s="64"/>
      <c r="B835" s="47"/>
      <c r="C835" s="47"/>
      <c r="D835" s="47"/>
      <c r="E835" s="47"/>
      <c r="F835" s="47"/>
      <c r="G835" s="46"/>
      <c r="H835" s="42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  <c r="BP835" s="47"/>
      <c r="BQ835" s="47"/>
      <c r="BR835" s="47"/>
      <c r="BS835" s="47"/>
      <c r="BT835" s="47"/>
      <c r="BU835" s="47"/>
      <c r="BV835" s="47"/>
      <c r="BW835" s="47"/>
      <c r="BX835" s="47"/>
      <c r="BY835" s="47"/>
      <c r="BZ835" s="47"/>
      <c r="CA835" s="47"/>
      <c r="CB835" s="47"/>
      <c r="CC835" s="47"/>
      <c r="CD835" s="47"/>
      <c r="CE835" s="47"/>
      <c r="CF835" s="47"/>
      <c r="CG835" s="47"/>
      <c r="CH835" s="47"/>
      <c r="CI835" s="47"/>
      <c r="CJ835" s="47"/>
      <c r="CK835" s="47"/>
      <c r="CL835" s="47"/>
      <c r="CM835" s="47"/>
      <c r="CN835" s="47"/>
      <c r="CO835" s="47"/>
      <c r="CP835" s="47"/>
      <c r="CQ835" s="47"/>
      <c r="CR835" s="47"/>
      <c r="CS835" s="47"/>
      <c r="CT835" s="47"/>
      <c r="CU835" s="47"/>
      <c r="CV835" s="47"/>
      <c r="CW835" s="47"/>
      <c r="CX835" s="47"/>
      <c r="CY835" s="47"/>
      <c r="CZ835" s="47"/>
      <c r="DA835" s="47"/>
      <c r="DB835" s="47"/>
      <c r="DC835" s="47"/>
      <c r="DD835" s="47"/>
      <c r="DE835" s="47"/>
      <c r="DF835" s="47"/>
      <c r="DG835" s="47"/>
      <c r="DH835" s="47"/>
    </row>
    <row r="836">
      <c r="A836" s="64"/>
      <c r="B836" s="47"/>
      <c r="C836" s="47"/>
      <c r="D836" s="47"/>
      <c r="E836" s="47"/>
      <c r="F836" s="47"/>
      <c r="G836" s="46"/>
      <c r="H836" s="42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  <c r="BL836" s="47"/>
      <c r="BM836" s="47"/>
      <c r="BN836" s="47"/>
      <c r="BO836" s="47"/>
      <c r="BP836" s="47"/>
      <c r="BQ836" s="47"/>
      <c r="BR836" s="47"/>
      <c r="BS836" s="47"/>
      <c r="BT836" s="47"/>
      <c r="BU836" s="47"/>
      <c r="BV836" s="47"/>
      <c r="BW836" s="47"/>
      <c r="BX836" s="47"/>
      <c r="BY836" s="47"/>
      <c r="BZ836" s="47"/>
      <c r="CA836" s="47"/>
      <c r="CB836" s="47"/>
      <c r="CC836" s="47"/>
      <c r="CD836" s="47"/>
      <c r="CE836" s="47"/>
      <c r="CF836" s="47"/>
      <c r="CG836" s="47"/>
      <c r="CH836" s="47"/>
      <c r="CI836" s="47"/>
      <c r="CJ836" s="47"/>
      <c r="CK836" s="47"/>
      <c r="CL836" s="47"/>
      <c r="CM836" s="47"/>
      <c r="CN836" s="47"/>
      <c r="CO836" s="47"/>
      <c r="CP836" s="47"/>
      <c r="CQ836" s="47"/>
      <c r="CR836" s="47"/>
      <c r="CS836" s="47"/>
      <c r="CT836" s="47"/>
      <c r="CU836" s="47"/>
      <c r="CV836" s="47"/>
      <c r="CW836" s="47"/>
      <c r="CX836" s="47"/>
      <c r="CY836" s="47"/>
      <c r="CZ836" s="47"/>
      <c r="DA836" s="47"/>
      <c r="DB836" s="47"/>
      <c r="DC836" s="47"/>
      <c r="DD836" s="47"/>
      <c r="DE836" s="47"/>
      <c r="DF836" s="47"/>
      <c r="DG836" s="47"/>
      <c r="DH836" s="47"/>
    </row>
    <row r="837">
      <c r="A837" s="64"/>
      <c r="B837" s="47"/>
      <c r="C837" s="47"/>
      <c r="D837" s="47"/>
      <c r="E837" s="47"/>
      <c r="F837" s="47"/>
      <c r="G837" s="46"/>
      <c r="H837" s="42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  <c r="BL837" s="47"/>
      <c r="BM837" s="47"/>
      <c r="BN837" s="47"/>
      <c r="BO837" s="47"/>
      <c r="BP837" s="47"/>
      <c r="BQ837" s="47"/>
      <c r="BR837" s="47"/>
      <c r="BS837" s="47"/>
      <c r="BT837" s="47"/>
      <c r="BU837" s="47"/>
      <c r="BV837" s="47"/>
      <c r="BW837" s="47"/>
      <c r="BX837" s="47"/>
      <c r="BY837" s="47"/>
      <c r="BZ837" s="47"/>
      <c r="CA837" s="47"/>
      <c r="CB837" s="47"/>
      <c r="CC837" s="47"/>
      <c r="CD837" s="47"/>
      <c r="CE837" s="47"/>
      <c r="CF837" s="47"/>
      <c r="CG837" s="47"/>
      <c r="CH837" s="47"/>
      <c r="CI837" s="47"/>
      <c r="CJ837" s="47"/>
      <c r="CK837" s="47"/>
      <c r="CL837" s="47"/>
      <c r="CM837" s="47"/>
      <c r="CN837" s="47"/>
      <c r="CO837" s="47"/>
      <c r="CP837" s="47"/>
      <c r="CQ837" s="47"/>
      <c r="CR837" s="47"/>
      <c r="CS837" s="47"/>
      <c r="CT837" s="47"/>
      <c r="CU837" s="47"/>
      <c r="CV837" s="47"/>
      <c r="CW837" s="47"/>
      <c r="CX837" s="47"/>
      <c r="CY837" s="47"/>
      <c r="CZ837" s="47"/>
      <c r="DA837" s="47"/>
      <c r="DB837" s="47"/>
      <c r="DC837" s="47"/>
      <c r="DD837" s="47"/>
      <c r="DE837" s="47"/>
      <c r="DF837" s="47"/>
      <c r="DG837" s="47"/>
      <c r="DH837" s="47"/>
    </row>
    <row r="838">
      <c r="A838" s="64"/>
      <c r="B838" s="47"/>
      <c r="C838" s="47"/>
      <c r="D838" s="47"/>
      <c r="E838" s="47"/>
      <c r="F838" s="47"/>
      <c r="G838" s="46"/>
      <c r="H838" s="42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  <c r="BL838" s="47"/>
      <c r="BM838" s="47"/>
      <c r="BN838" s="47"/>
      <c r="BO838" s="47"/>
      <c r="BP838" s="47"/>
      <c r="BQ838" s="47"/>
      <c r="BR838" s="47"/>
      <c r="BS838" s="47"/>
      <c r="BT838" s="47"/>
      <c r="BU838" s="47"/>
      <c r="BV838" s="47"/>
      <c r="BW838" s="47"/>
      <c r="BX838" s="47"/>
      <c r="BY838" s="47"/>
      <c r="BZ838" s="47"/>
      <c r="CA838" s="47"/>
      <c r="CB838" s="47"/>
      <c r="CC838" s="47"/>
      <c r="CD838" s="47"/>
      <c r="CE838" s="47"/>
      <c r="CF838" s="47"/>
      <c r="CG838" s="47"/>
      <c r="CH838" s="47"/>
      <c r="CI838" s="47"/>
      <c r="CJ838" s="47"/>
      <c r="CK838" s="47"/>
      <c r="CL838" s="47"/>
      <c r="CM838" s="47"/>
      <c r="CN838" s="47"/>
      <c r="CO838" s="47"/>
      <c r="CP838" s="47"/>
      <c r="CQ838" s="47"/>
      <c r="CR838" s="47"/>
      <c r="CS838" s="47"/>
      <c r="CT838" s="47"/>
      <c r="CU838" s="47"/>
      <c r="CV838" s="47"/>
      <c r="CW838" s="47"/>
      <c r="CX838" s="47"/>
      <c r="CY838" s="47"/>
      <c r="CZ838" s="47"/>
      <c r="DA838" s="47"/>
      <c r="DB838" s="47"/>
      <c r="DC838" s="47"/>
      <c r="DD838" s="47"/>
      <c r="DE838" s="47"/>
      <c r="DF838" s="47"/>
      <c r="DG838" s="47"/>
      <c r="DH838" s="47"/>
    </row>
    <row r="839">
      <c r="A839" s="64"/>
      <c r="B839" s="47"/>
      <c r="C839" s="47"/>
      <c r="D839" s="47"/>
      <c r="E839" s="47"/>
      <c r="F839" s="47"/>
      <c r="G839" s="46"/>
      <c r="H839" s="42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  <c r="BL839" s="47"/>
      <c r="BM839" s="47"/>
      <c r="BN839" s="47"/>
      <c r="BO839" s="47"/>
      <c r="BP839" s="47"/>
      <c r="BQ839" s="47"/>
      <c r="BR839" s="47"/>
      <c r="BS839" s="47"/>
      <c r="BT839" s="47"/>
      <c r="BU839" s="47"/>
      <c r="BV839" s="47"/>
      <c r="BW839" s="47"/>
      <c r="BX839" s="47"/>
      <c r="BY839" s="47"/>
      <c r="BZ839" s="47"/>
      <c r="CA839" s="47"/>
      <c r="CB839" s="47"/>
      <c r="CC839" s="47"/>
      <c r="CD839" s="47"/>
      <c r="CE839" s="47"/>
      <c r="CF839" s="47"/>
      <c r="CG839" s="47"/>
      <c r="CH839" s="47"/>
      <c r="CI839" s="47"/>
      <c r="CJ839" s="47"/>
      <c r="CK839" s="47"/>
      <c r="CL839" s="47"/>
      <c r="CM839" s="47"/>
      <c r="CN839" s="47"/>
      <c r="CO839" s="47"/>
      <c r="CP839" s="47"/>
      <c r="CQ839" s="47"/>
      <c r="CR839" s="47"/>
      <c r="CS839" s="47"/>
      <c r="CT839" s="47"/>
      <c r="CU839" s="47"/>
      <c r="CV839" s="47"/>
      <c r="CW839" s="47"/>
      <c r="CX839" s="47"/>
      <c r="CY839" s="47"/>
      <c r="CZ839" s="47"/>
      <c r="DA839" s="47"/>
      <c r="DB839" s="47"/>
      <c r="DC839" s="47"/>
      <c r="DD839" s="47"/>
      <c r="DE839" s="47"/>
      <c r="DF839" s="47"/>
      <c r="DG839" s="47"/>
      <c r="DH839" s="47"/>
    </row>
    <row r="840">
      <c r="A840" s="64"/>
      <c r="B840" s="47"/>
      <c r="C840" s="47"/>
      <c r="D840" s="47"/>
      <c r="E840" s="47"/>
      <c r="F840" s="47"/>
      <c r="G840" s="46"/>
      <c r="H840" s="42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  <c r="BL840" s="47"/>
      <c r="BM840" s="47"/>
      <c r="BN840" s="47"/>
      <c r="BO840" s="47"/>
      <c r="BP840" s="47"/>
      <c r="BQ840" s="47"/>
      <c r="BR840" s="47"/>
      <c r="BS840" s="47"/>
      <c r="BT840" s="47"/>
      <c r="BU840" s="47"/>
      <c r="BV840" s="47"/>
      <c r="BW840" s="47"/>
      <c r="BX840" s="47"/>
      <c r="BY840" s="47"/>
      <c r="BZ840" s="47"/>
      <c r="CA840" s="47"/>
      <c r="CB840" s="47"/>
      <c r="CC840" s="47"/>
      <c r="CD840" s="47"/>
      <c r="CE840" s="47"/>
      <c r="CF840" s="47"/>
      <c r="CG840" s="47"/>
      <c r="CH840" s="47"/>
      <c r="CI840" s="47"/>
      <c r="CJ840" s="47"/>
      <c r="CK840" s="47"/>
      <c r="CL840" s="47"/>
      <c r="CM840" s="47"/>
      <c r="CN840" s="47"/>
      <c r="CO840" s="47"/>
      <c r="CP840" s="47"/>
      <c r="CQ840" s="47"/>
      <c r="CR840" s="47"/>
      <c r="CS840" s="47"/>
      <c r="CT840" s="47"/>
      <c r="CU840" s="47"/>
      <c r="CV840" s="47"/>
      <c r="CW840" s="47"/>
      <c r="CX840" s="47"/>
      <c r="CY840" s="47"/>
      <c r="CZ840" s="47"/>
      <c r="DA840" s="47"/>
      <c r="DB840" s="47"/>
      <c r="DC840" s="47"/>
      <c r="DD840" s="47"/>
      <c r="DE840" s="47"/>
      <c r="DF840" s="47"/>
      <c r="DG840" s="47"/>
      <c r="DH840" s="47"/>
    </row>
    <row r="841">
      <c r="A841" s="64"/>
      <c r="B841" s="47"/>
      <c r="C841" s="47"/>
      <c r="D841" s="47"/>
      <c r="E841" s="47"/>
      <c r="F841" s="47"/>
      <c r="G841" s="46"/>
      <c r="H841" s="42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7"/>
      <c r="BO841" s="47"/>
      <c r="BP841" s="47"/>
      <c r="BQ841" s="47"/>
      <c r="BR841" s="47"/>
      <c r="BS841" s="47"/>
      <c r="BT841" s="47"/>
      <c r="BU841" s="47"/>
      <c r="BV841" s="47"/>
      <c r="BW841" s="47"/>
      <c r="BX841" s="47"/>
      <c r="BY841" s="47"/>
      <c r="BZ841" s="47"/>
      <c r="CA841" s="47"/>
      <c r="CB841" s="47"/>
      <c r="CC841" s="47"/>
      <c r="CD841" s="47"/>
      <c r="CE841" s="47"/>
      <c r="CF841" s="47"/>
      <c r="CG841" s="47"/>
      <c r="CH841" s="47"/>
      <c r="CI841" s="47"/>
      <c r="CJ841" s="47"/>
      <c r="CK841" s="47"/>
      <c r="CL841" s="47"/>
      <c r="CM841" s="47"/>
      <c r="CN841" s="47"/>
      <c r="CO841" s="47"/>
      <c r="CP841" s="47"/>
      <c r="CQ841" s="47"/>
      <c r="CR841" s="47"/>
      <c r="CS841" s="47"/>
      <c r="CT841" s="47"/>
      <c r="CU841" s="47"/>
      <c r="CV841" s="47"/>
      <c r="CW841" s="47"/>
      <c r="CX841" s="47"/>
      <c r="CY841" s="47"/>
      <c r="CZ841" s="47"/>
      <c r="DA841" s="47"/>
      <c r="DB841" s="47"/>
      <c r="DC841" s="47"/>
      <c r="DD841" s="47"/>
      <c r="DE841" s="47"/>
      <c r="DF841" s="47"/>
      <c r="DG841" s="47"/>
      <c r="DH841" s="47"/>
    </row>
    <row r="842">
      <c r="A842" s="64"/>
      <c r="B842" s="47"/>
      <c r="C842" s="47"/>
      <c r="D842" s="47"/>
      <c r="E842" s="47"/>
      <c r="F842" s="47"/>
      <c r="G842" s="46"/>
      <c r="H842" s="42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  <c r="BL842" s="47"/>
      <c r="BM842" s="47"/>
      <c r="BN842" s="47"/>
      <c r="BO842" s="47"/>
      <c r="BP842" s="47"/>
      <c r="BQ842" s="47"/>
      <c r="BR842" s="47"/>
      <c r="BS842" s="47"/>
      <c r="BT842" s="47"/>
      <c r="BU842" s="47"/>
      <c r="BV842" s="47"/>
      <c r="BW842" s="47"/>
      <c r="BX842" s="47"/>
      <c r="BY842" s="47"/>
      <c r="BZ842" s="47"/>
      <c r="CA842" s="47"/>
      <c r="CB842" s="47"/>
      <c r="CC842" s="47"/>
      <c r="CD842" s="47"/>
      <c r="CE842" s="47"/>
      <c r="CF842" s="47"/>
      <c r="CG842" s="47"/>
      <c r="CH842" s="47"/>
      <c r="CI842" s="47"/>
      <c r="CJ842" s="47"/>
      <c r="CK842" s="47"/>
      <c r="CL842" s="47"/>
      <c r="CM842" s="47"/>
      <c r="CN842" s="47"/>
      <c r="CO842" s="47"/>
      <c r="CP842" s="47"/>
      <c r="CQ842" s="47"/>
      <c r="CR842" s="47"/>
      <c r="CS842" s="47"/>
      <c r="CT842" s="47"/>
      <c r="CU842" s="47"/>
      <c r="CV842" s="47"/>
      <c r="CW842" s="47"/>
      <c r="CX842" s="47"/>
      <c r="CY842" s="47"/>
      <c r="CZ842" s="47"/>
      <c r="DA842" s="47"/>
      <c r="DB842" s="47"/>
      <c r="DC842" s="47"/>
      <c r="DD842" s="47"/>
      <c r="DE842" s="47"/>
      <c r="DF842" s="47"/>
      <c r="DG842" s="47"/>
      <c r="DH842" s="47"/>
    </row>
    <row r="843">
      <c r="A843" s="64"/>
      <c r="B843" s="47"/>
      <c r="C843" s="47"/>
      <c r="D843" s="47"/>
      <c r="E843" s="47"/>
      <c r="F843" s="47"/>
      <c r="G843" s="46"/>
      <c r="H843" s="42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  <c r="BL843" s="47"/>
      <c r="BM843" s="47"/>
      <c r="BN843" s="47"/>
      <c r="BO843" s="47"/>
      <c r="BP843" s="47"/>
      <c r="BQ843" s="47"/>
      <c r="BR843" s="47"/>
      <c r="BS843" s="47"/>
      <c r="BT843" s="47"/>
      <c r="BU843" s="47"/>
      <c r="BV843" s="47"/>
      <c r="BW843" s="47"/>
      <c r="BX843" s="47"/>
      <c r="BY843" s="47"/>
      <c r="BZ843" s="47"/>
      <c r="CA843" s="47"/>
      <c r="CB843" s="47"/>
      <c r="CC843" s="47"/>
      <c r="CD843" s="47"/>
      <c r="CE843" s="47"/>
      <c r="CF843" s="47"/>
      <c r="CG843" s="47"/>
      <c r="CH843" s="47"/>
      <c r="CI843" s="47"/>
      <c r="CJ843" s="47"/>
      <c r="CK843" s="47"/>
      <c r="CL843" s="47"/>
      <c r="CM843" s="47"/>
      <c r="CN843" s="47"/>
      <c r="CO843" s="47"/>
      <c r="CP843" s="47"/>
      <c r="CQ843" s="47"/>
      <c r="CR843" s="47"/>
      <c r="CS843" s="47"/>
      <c r="CT843" s="47"/>
      <c r="CU843" s="47"/>
      <c r="CV843" s="47"/>
      <c r="CW843" s="47"/>
      <c r="CX843" s="47"/>
      <c r="CY843" s="47"/>
      <c r="CZ843" s="47"/>
      <c r="DA843" s="47"/>
      <c r="DB843" s="47"/>
      <c r="DC843" s="47"/>
      <c r="DD843" s="47"/>
      <c r="DE843" s="47"/>
      <c r="DF843" s="47"/>
      <c r="DG843" s="47"/>
      <c r="DH843" s="47"/>
    </row>
    <row r="844">
      <c r="A844" s="64"/>
      <c r="B844" s="47"/>
      <c r="C844" s="47"/>
      <c r="D844" s="47"/>
      <c r="E844" s="47"/>
      <c r="F844" s="47"/>
      <c r="G844" s="46"/>
      <c r="H844" s="42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  <c r="BL844" s="47"/>
      <c r="BM844" s="47"/>
      <c r="BN844" s="47"/>
      <c r="BO844" s="47"/>
      <c r="BP844" s="47"/>
      <c r="BQ844" s="47"/>
      <c r="BR844" s="47"/>
      <c r="BS844" s="47"/>
      <c r="BT844" s="47"/>
      <c r="BU844" s="47"/>
      <c r="BV844" s="47"/>
      <c r="BW844" s="47"/>
      <c r="BX844" s="47"/>
      <c r="BY844" s="47"/>
      <c r="BZ844" s="47"/>
      <c r="CA844" s="47"/>
      <c r="CB844" s="47"/>
      <c r="CC844" s="47"/>
      <c r="CD844" s="47"/>
      <c r="CE844" s="47"/>
      <c r="CF844" s="47"/>
      <c r="CG844" s="47"/>
      <c r="CH844" s="47"/>
      <c r="CI844" s="47"/>
      <c r="CJ844" s="47"/>
      <c r="CK844" s="47"/>
      <c r="CL844" s="47"/>
      <c r="CM844" s="47"/>
      <c r="CN844" s="47"/>
      <c r="CO844" s="47"/>
      <c r="CP844" s="47"/>
      <c r="CQ844" s="47"/>
      <c r="CR844" s="47"/>
      <c r="CS844" s="47"/>
      <c r="CT844" s="47"/>
      <c r="CU844" s="47"/>
      <c r="CV844" s="47"/>
      <c r="CW844" s="47"/>
      <c r="CX844" s="47"/>
      <c r="CY844" s="47"/>
      <c r="CZ844" s="47"/>
      <c r="DA844" s="47"/>
      <c r="DB844" s="47"/>
      <c r="DC844" s="47"/>
      <c r="DD844" s="47"/>
      <c r="DE844" s="47"/>
      <c r="DF844" s="47"/>
      <c r="DG844" s="47"/>
      <c r="DH844" s="47"/>
    </row>
    <row r="845">
      <c r="A845" s="64"/>
      <c r="B845" s="47"/>
      <c r="C845" s="47"/>
      <c r="D845" s="47"/>
      <c r="E845" s="47"/>
      <c r="F845" s="47"/>
      <c r="G845" s="46"/>
      <c r="H845" s="42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  <c r="BL845" s="47"/>
      <c r="BM845" s="47"/>
      <c r="BN845" s="47"/>
      <c r="BO845" s="47"/>
      <c r="BP845" s="47"/>
      <c r="BQ845" s="47"/>
      <c r="BR845" s="47"/>
      <c r="BS845" s="47"/>
      <c r="BT845" s="47"/>
      <c r="BU845" s="47"/>
      <c r="BV845" s="47"/>
      <c r="BW845" s="47"/>
      <c r="BX845" s="47"/>
      <c r="BY845" s="47"/>
      <c r="BZ845" s="47"/>
      <c r="CA845" s="47"/>
      <c r="CB845" s="47"/>
      <c r="CC845" s="47"/>
      <c r="CD845" s="47"/>
      <c r="CE845" s="47"/>
      <c r="CF845" s="47"/>
      <c r="CG845" s="47"/>
      <c r="CH845" s="47"/>
      <c r="CI845" s="47"/>
      <c r="CJ845" s="47"/>
      <c r="CK845" s="47"/>
      <c r="CL845" s="47"/>
      <c r="CM845" s="47"/>
      <c r="CN845" s="47"/>
      <c r="CO845" s="47"/>
      <c r="CP845" s="47"/>
      <c r="CQ845" s="47"/>
      <c r="CR845" s="47"/>
      <c r="CS845" s="47"/>
      <c r="CT845" s="47"/>
      <c r="CU845" s="47"/>
      <c r="CV845" s="47"/>
      <c r="CW845" s="47"/>
      <c r="CX845" s="47"/>
      <c r="CY845" s="47"/>
      <c r="CZ845" s="47"/>
      <c r="DA845" s="47"/>
      <c r="DB845" s="47"/>
      <c r="DC845" s="47"/>
      <c r="DD845" s="47"/>
      <c r="DE845" s="47"/>
      <c r="DF845" s="47"/>
      <c r="DG845" s="47"/>
      <c r="DH845" s="47"/>
    </row>
    <row r="846">
      <c r="A846" s="64"/>
      <c r="B846" s="47"/>
      <c r="C846" s="47"/>
      <c r="D846" s="47"/>
      <c r="E846" s="47"/>
      <c r="F846" s="47"/>
      <c r="G846" s="46"/>
      <c r="H846" s="42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  <c r="BL846" s="47"/>
      <c r="BM846" s="47"/>
      <c r="BN846" s="47"/>
      <c r="BO846" s="47"/>
      <c r="BP846" s="47"/>
      <c r="BQ846" s="47"/>
      <c r="BR846" s="47"/>
      <c r="BS846" s="47"/>
      <c r="BT846" s="47"/>
      <c r="BU846" s="47"/>
      <c r="BV846" s="47"/>
      <c r="BW846" s="47"/>
      <c r="BX846" s="47"/>
      <c r="BY846" s="47"/>
      <c r="BZ846" s="47"/>
      <c r="CA846" s="47"/>
      <c r="CB846" s="47"/>
      <c r="CC846" s="47"/>
      <c r="CD846" s="47"/>
      <c r="CE846" s="47"/>
      <c r="CF846" s="47"/>
      <c r="CG846" s="47"/>
      <c r="CH846" s="47"/>
      <c r="CI846" s="47"/>
      <c r="CJ846" s="47"/>
      <c r="CK846" s="47"/>
      <c r="CL846" s="47"/>
      <c r="CM846" s="47"/>
      <c r="CN846" s="47"/>
      <c r="CO846" s="47"/>
      <c r="CP846" s="47"/>
      <c r="CQ846" s="47"/>
      <c r="CR846" s="47"/>
      <c r="CS846" s="47"/>
      <c r="CT846" s="47"/>
      <c r="CU846" s="47"/>
      <c r="CV846" s="47"/>
      <c r="CW846" s="47"/>
      <c r="CX846" s="47"/>
      <c r="CY846" s="47"/>
      <c r="CZ846" s="47"/>
      <c r="DA846" s="47"/>
      <c r="DB846" s="47"/>
      <c r="DC846" s="47"/>
      <c r="DD846" s="47"/>
      <c r="DE846" s="47"/>
      <c r="DF846" s="47"/>
      <c r="DG846" s="47"/>
      <c r="DH846" s="47"/>
    </row>
    <row r="847">
      <c r="A847" s="64"/>
      <c r="B847" s="47"/>
      <c r="C847" s="47"/>
      <c r="D847" s="47"/>
      <c r="E847" s="47"/>
      <c r="F847" s="47"/>
      <c r="G847" s="46"/>
      <c r="H847" s="42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  <c r="BL847" s="47"/>
      <c r="BM847" s="47"/>
      <c r="BN847" s="47"/>
      <c r="BO847" s="47"/>
      <c r="BP847" s="47"/>
      <c r="BQ847" s="47"/>
      <c r="BR847" s="47"/>
      <c r="BS847" s="47"/>
      <c r="BT847" s="47"/>
      <c r="BU847" s="47"/>
      <c r="BV847" s="47"/>
      <c r="BW847" s="47"/>
      <c r="BX847" s="47"/>
      <c r="BY847" s="47"/>
      <c r="BZ847" s="47"/>
      <c r="CA847" s="47"/>
      <c r="CB847" s="47"/>
      <c r="CC847" s="47"/>
      <c r="CD847" s="47"/>
      <c r="CE847" s="47"/>
      <c r="CF847" s="47"/>
      <c r="CG847" s="47"/>
      <c r="CH847" s="47"/>
      <c r="CI847" s="47"/>
      <c r="CJ847" s="47"/>
      <c r="CK847" s="47"/>
      <c r="CL847" s="47"/>
      <c r="CM847" s="47"/>
      <c r="CN847" s="47"/>
      <c r="CO847" s="47"/>
      <c r="CP847" s="47"/>
      <c r="CQ847" s="47"/>
      <c r="CR847" s="47"/>
      <c r="CS847" s="47"/>
      <c r="CT847" s="47"/>
      <c r="CU847" s="47"/>
      <c r="CV847" s="47"/>
      <c r="CW847" s="47"/>
      <c r="CX847" s="47"/>
      <c r="CY847" s="47"/>
      <c r="CZ847" s="47"/>
      <c r="DA847" s="47"/>
      <c r="DB847" s="47"/>
      <c r="DC847" s="47"/>
      <c r="DD847" s="47"/>
      <c r="DE847" s="47"/>
      <c r="DF847" s="47"/>
      <c r="DG847" s="47"/>
      <c r="DH847" s="47"/>
    </row>
    <row r="848">
      <c r="A848" s="64"/>
      <c r="B848" s="47"/>
      <c r="C848" s="47"/>
      <c r="D848" s="47"/>
      <c r="E848" s="47"/>
      <c r="F848" s="47"/>
      <c r="G848" s="46"/>
      <c r="H848" s="42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  <c r="BL848" s="47"/>
      <c r="BM848" s="47"/>
      <c r="BN848" s="47"/>
      <c r="BO848" s="47"/>
      <c r="BP848" s="47"/>
      <c r="BQ848" s="47"/>
      <c r="BR848" s="47"/>
      <c r="BS848" s="47"/>
      <c r="BT848" s="47"/>
      <c r="BU848" s="47"/>
      <c r="BV848" s="47"/>
      <c r="BW848" s="47"/>
      <c r="BX848" s="47"/>
      <c r="BY848" s="47"/>
      <c r="BZ848" s="47"/>
      <c r="CA848" s="47"/>
      <c r="CB848" s="47"/>
      <c r="CC848" s="47"/>
      <c r="CD848" s="47"/>
      <c r="CE848" s="47"/>
      <c r="CF848" s="47"/>
      <c r="CG848" s="47"/>
      <c r="CH848" s="47"/>
      <c r="CI848" s="47"/>
      <c r="CJ848" s="47"/>
      <c r="CK848" s="47"/>
      <c r="CL848" s="47"/>
      <c r="CM848" s="47"/>
      <c r="CN848" s="47"/>
      <c r="CO848" s="47"/>
      <c r="CP848" s="47"/>
      <c r="CQ848" s="47"/>
      <c r="CR848" s="47"/>
      <c r="CS848" s="47"/>
      <c r="CT848" s="47"/>
      <c r="CU848" s="47"/>
      <c r="CV848" s="47"/>
      <c r="CW848" s="47"/>
      <c r="CX848" s="47"/>
      <c r="CY848" s="47"/>
      <c r="CZ848" s="47"/>
      <c r="DA848" s="47"/>
      <c r="DB848" s="47"/>
      <c r="DC848" s="47"/>
      <c r="DD848" s="47"/>
      <c r="DE848" s="47"/>
      <c r="DF848" s="47"/>
      <c r="DG848" s="47"/>
      <c r="DH848" s="47"/>
    </row>
    <row r="849">
      <c r="A849" s="64"/>
      <c r="B849" s="47"/>
      <c r="C849" s="47"/>
      <c r="D849" s="47"/>
      <c r="E849" s="47"/>
      <c r="F849" s="47"/>
      <c r="G849" s="46"/>
      <c r="H849" s="42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  <c r="BL849" s="47"/>
      <c r="BM849" s="47"/>
      <c r="BN849" s="47"/>
      <c r="BO849" s="47"/>
      <c r="BP849" s="47"/>
      <c r="BQ849" s="47"/>
      <c r="BR849" s="47"/>
      <c r="BS849" s="47"/>
      <c r="BT849" s="47"/>
      <c r="BU849" s="47"/>
      <c r="BV849" s="47"/>
      <c r="BW849" s="47"/>
      <c r="BX849" s="47"/>
      <c r="BY849" s="47"/>
      <c r="BZ849" s="47"/>
      <c r="CA849" s="47"/>
      <c r="CB849" s="47"/>
      <c r="CC849" s="47"/>
      <c r="CD849" s="47"/>
      <c r="CE849" s="47"/>
      <c r="CF849" s="47"/>
      <c r="CG849" s="47"/>
      <c r="CH849" s="47"/>
      <c r="CI849" s="47"/>
      <c r="CJ849" s="47"/>
      <c r="CK849" s="47"/>
      <c r="CL849" s="47"/>
      <c r="CM849" s="47"/>
      <c r="CN849" s="47"/>
      <c r="CO849" s="47"/>
      <c r="CP849" s="47"/>
      <c r="CQ849" s="47"/>
      <c r="CR849" s="47"/>
      <c r="CS849" s="47"/>
      <c r="CT849" s="47"/>
      <c r="CU849" s="47"/>
      <c r="CV849" s="47"/>
      <c r="CW849" s="47"/>
      <c r="CX849" s="47"/>
      <c r="CY849" s="47"/>
      <c r="CZ849" s="47"/>
      <c r="DA849" s="47"/>
      <c r="DB849" s="47"/>
      <c r="DC849" s="47"/>
      <c r="DD849" s="47"/>
      <c r="DE849" s="47"/>
      <c r="DF849" s="47"/>
      <c r="DG849" s="47"/>
      <c r="DH849" s="47"/>
    </row>
    <row r="850">
      <c r="A850" s="64"/>
      <c r="B850" s="47"/>
      <c r="C850" s="47"/>
      <c r="D850" s="47"/>
      <c r="E850" s="47"/>
      <c r="F850" s="47"/>
      <c r="G850" s="46"/>
      <c r="H850" s="42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  <c r="BL850" s="47"/>
      <c r="BM850" s="47"/>
      <c r="BN850" s="47"/>
      <c r="BO850" s="47"/>
      <c r="BP850" s="47"/>
      <c r="BQ850" s="47"/>
      <c r="BR850" s="47"/>
      <c r="BS850" s="47"/>
      <c r="BT850" s="47"/>
      <c r="BU850" s="47"/>
      <c r="BV850" s="47"/>
      <c r="BW850" s="47"/>
      <c r="BX850" s="47"/>
      <c r="BY850" s="47"/>
      <c r="BZ850" s="47"/>
      <c r="CA850" s="47"/>
      <c r="CB850" s="47"/>
      <c r="CC850" s="47"/>
      <c r="CD850" s="47"/>
      <c r="CE850" s="47"/>
      <c r="CF850" s="47"/>
      <c r="CG850" s="47"/>
      <c r="CH850" s="47"/>
      <c r="CI850" s="47"/>
      <c r="CJ850" s="47"/>
      <c r="CK850" s="47"/>
      <c r="CL850" s="47"/>
      <c r="CM850" s="47"/>
      <c r="CN850" s="47"/>
      <c r="CO850" s="47"/>
      <c r="CP850" s="47"/>
      <c r="CQ850" s="47"/>
      <c r="CR850" s="47"/>
      <c r="CS850" s="47"/>
      <c r="CT850" s="47"/>
      <c r="CU850" s="47"/>
      <c r="CV850" s="47"/>
      <c r="CW850" s="47"/>
      <c r="CX850" s="47"/>
      <c r="CY850" s="47"/>
      <c r="CZ850" s="47"/>
      <c r="DA850" s="47"/>
      <c r="DB850" s="47"/>
      <c r="DC850" s="47"/>
      <c r="DD850" s="47"/>
      <c r="DE850" s="47"/>
      <c r="DF850" s="47"/>
      <c r="DG850" s="47"/>
      <c r="DH850" s="47"/>
    </row>
    <row r="851">
      <c r="A851" s="64"/>
      <c r="B851" s="47"/>
      <c r="C851" s="47"/>
      <c r="D851" s="47"/>
      <c r="E851" s="47"/>
      <c r="F851" s="47"/>
      <c r="G851" s="46"/>
      <c r="H851" s="42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  <c r="BL851" s="47"/>
      <c r="BM851" s="47"/>
      <c r="BN851" s="47"/>
      <c r="BO851" s="47"/>
      <c r="BP851" s="47"/>
      <c r="BQ851" s="47"/>
      <c r="BR851" s="47"/>
      <c r="BS851" s="47"/>
      <c r="BT851" s="47"/>
      <c r="BU851" s="47"/>
      <c r="BV851" s="47"/>
      <c r="BW851" s="47"/>
      <c r="BX851" s="47"/>
      <c r="BY851" s="47"/>
      <c r="BZ851" s="47"/>
      <c r="CA851" s="47"/>
      <c r="CB851" s="47"/>
      <c r="CC851" s="47"/>
      <c r="CD851" s="47"/>
      <c r="CE851" s="47"/>
      <c r="CF851" s="47"/>
      <c r="CG851" s="47"/>
      <c r="CH851" s="47"/>
      <c r="CI851" s="47"/>
      <c r="CJ851" s="47"/>
      <c r="CK851" s="47"/>
      <c r="CL851" s="47"/>
      <c r="CM851" s="47"/>
      <c r="CN851" s="47"/>
      <c r="CO851" s="47"/>
      <c r="CP851" s="47"/>
      <c r="CQ851" s="47"/>
      <c r="CR851" s="47"/>
      <c r="CS851" s="47"/>
      <c r="CT851" s="47"/>
      <c r="CU851" s="47"/>
      <c r="CV851" s="47"/>
      <c r="CW851" s="47"/>
      <c r="CX851" s="47"/>
      <c r="CY851" s="47"/>
      <c r="CZ851" s="47"/>
      <c r="DA851" s="47"/>
      <c r="DB851" s="47"/>
      <c r="DC851" s="47"/>
      <c r="DD851" s="47"/>
      <c r="DE851" s="47"/>
      <c r="DF851" s="47"/>
      <c r="DG851" s="47"/>
      <c r="DH851" s="47"/>
    </row>
    <row r="852">
      <c r="A852" s="64"/>
      <c r="B852" s="47"/>
      <c r="C852" s="47"/>
      <c r="D852" s="47"/>
      <c r="E852" s="47"/>
      <c r="F852" s="47"/>
      <c r="G852" s="46"/>
      <c r="H852" s="42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  <c r="BL852" s="47"/>
      <c r="BM852" s="47"/>
      <c r="BN852" s="47"/>
      <c r="BO852" s="47"/>
      <c r="BP852" s="47"/>
      <c r="BQ852" s="47"/>
      <c r="BR852" s="47"/>
      <c r="BS852" s="47"/>
      <c r="BT852" s="47"/>
      <c r="BU852" s="47"/>
      <c r="BV852" s="47"/>
      <c r="BW852" s="47"/>
      <c r="BX852" s="47"/>
      <c r="BY852" s="47"/>
      <c r="BZ852" s="47"/>
      <c r="CA852" s="47"/>
      <c r="CB852" s="47"/>
      <c r="CC852" s="47"/>
      <c r="CD852" s="47"/>
      <c r="CE852" s="47"/>
      <c r="CF852" s="47"/>
      <c r="CG852" s="47"/>
      <c r="CH852" s="47"/>
      <c r="CI852" s="47"/>
      <c r="CJ852" s="47"/>
      <c r="CK852" s="47"/>
      <c r="CL852" s="47"/>
      <c r="CM852" s="47"/>
      <c r="CN852" s="47"/>
      <c r="CO852" s="47"/>
      <c r="CP852" s="47"/>
      <c r="CQ852" s="47"/>
      <c r="CR852" s="47"/>
      <c r="CS852" s="47"/>
      <c r="CT852" s="47"/>
      <c r="CU852" s="47"/>
      <c r="CV852" s="47"/>
      <c r="CW852" s="47"/>
      <c r="CX852" s="47"/>
      <c r="CY852" s="47"/>
      <c r="CZ852" s="47"/>
      <c r="DA852" s="47"/>
      <c r="DB852" s="47"/>
      <c r="DC852" s="47"/>
      <c r="DD852" s="47"/>
      <c r="DE852" s="47"/>
      <c r="DF852" s="47"/>
      <c r="DG852" s="47"/>
      <c r="DH852" s="47"/>
    </row>
    <row r="853">
      <c r="A853" s="64"/>
      <c r="B853" s="47"/>
      <c r="C853" s="47"/>
      <c r="D853" s="47"/>
      <c r="E853" s="47"/>
      <c r="F853" s="47"/>
      <c r="G853" s="46"/>
      <c r="H853" s="42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  <c r="BL853" s="47"/>
      <c r="BM853" s="47"/>
      <c r="BN853" s="47"/>
      <c r="BO853" s="47"/>
      <c r="BP853" s="47"/>
      <c r="BQ853" s="47"/>
      <c r="BR853" s="47"/>
      <c r="BS853" s="47"/>
      <c r="BT853" s="47"/>
      <c r="BU853" s="47"/>
      <c r="BV853" s="47"/>
      <c r="BW853" s="47"/>
      <c r="BX853" s="47"/>
      <c r="BY853" s="47"/>
      <c r="BZ853" s="47"/>
      <c r="CA853" s="47"/>
      <c r="CB853" s="47"/>
      <c r="CC853" s="47"/>
      <c r="CD853" s="47"/>
      <c r="CE853" s="47"/>
      <c r="CF853" s="47"/>
      <c r="CG853" s="47"/>
      <c r="CH853" s="47"/>
      <c r="CI853" s="47"/>
      <c r="CJ853" s="47"/>
      <c r="CK853" s="47"/>
      <c r="CL853" s="47"/>
      <c r="CM853" s="47"/>
      <c r="CN853" s="47"/>
      <c r="CO853" s="47"/>
      <c r="CP853" s="47"/>
      <c r="CQ853" s="47"/>
      <c r="CR853" s="47"/>
      <c r="CS853" s="47"/>
      <c r="CT853" s="47"/>
      <c r="CU853" s="47"/>
      <c r="CV853" s="47"/>
      <c r="CW853" s="47"/>
      <c r="CX853" s="47"/>
      <c r="CY853" s="47"/>
      <c r="CZ853" s="47"/>
      <c r="DA853" s="47"/>
      <c r="DB853" s="47"/>
      <c r="DC853" s="47"/>
      <c r="DD853" s="47"/>
      <c r="DE853" s="47"/>
      <c r="DF853" s="47"/>
      <c r="DG853" s="47"/>
      <c r="DH853" s="47"/>
    </row>
    <row r="854">
      <c r="A854" s="64"/>
      <c r="B854" s="47"/>
      <c r="C854" s="47"/>
      <c r="D854" s="47"/>
      <c r="E854" s="47"/>
      <c r="F854" s="47"/>
      <c r="G854" s="46"/>
      <c r="H854" s="42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  <c r="BL854" s="47"/>
      <c r="BM854" s="47"/>
      <c r="BN854" s="47"/>
      <c r="BO854" s="47"/>
      <c r="BP854" s="47"/>
      <c r="BQ854" s="47"/>
      <c r="BR854" s="47"/>
      <c r="BS854" s="47"/>
      <c r="BT854" s="47"/>
      <c r="BU854" s="47"/>
      <c r="BV854" s="47"/>
      <c r="BW854" s="47"/>
      <c r="BX854" s="47"/>
      <c r="BY854" s="47"/>
      <c r="BZ854" s="47"/>
      <c r="CA854" s="47"/>
      <c r="CB854" s="47"/>
      <c r="CC854" s="47"/>
      <c r="CD854" s="47"/>
      <c r="CE854" s="47"/>
      <c r="CF854" s="47"/>
      <c r="CG854" s="47"/>
      <c r="CH854" s="47"/>
      <c r="CI854" s="47"/>
      <c r="CJ854" s="47"/>
      <c r="CK854" s="47"/>
      <c r="CL854" s="47"/>
      <c r="CM854" s="47"/>
      <c r="CN854" s="47"/>
      <c r="CO854" s="47"/>
      <c r="CP854" s="47"/>
      <c r="CQ854" s="47"/>
      <c r="CR854" s="47"/>
      <c r="CS854" s="47"/>
      <c r="CT854" s="47"/>
      <c r="CU854" s="47"/>
      <c r="CV854" s="47"/>
      <c r="CW854" s="47"/>
      <c r="CX854" s="47"/>
      <c r="CY854" s="47"/>
      <c r="CZ854" s="47"/>
      <c r="DA854" s="47"/>
      <c r="DB854" s="47"/>
      <c r="DC854" s="47"/>
      <c r="DD854" s="47"/>
      <c r="DE854" s="47"/>
      <c r="DF854" s="47"/>
      <c r="DG854" s="47"/>
      <c r="DH854" s="47"/>
    </row>
    <row r="855">
      <c r="A855" s="64"/>
      <c r="B855" s="47"/>
      <c r="C855" s="47"/>
      <c r="D855" s="47"/>
      <c r="E855" s="47"/>
      <c r="F855" s="47"/>
      <c r="G855" s="46"/>
      <c r="H855" s="42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  <c r="BL855" s="47"/>
      <c r="BM855" s="47"/>
      <c r="BN855" s="47"/>
      <c r="BO855" s="47"/>
      <c r="BP855" s="47"/>
      <c r="BQ855" s="47"/>
      <c r="BR855" s="47"/>
      <c r="BS855" s="47"/>
      <c r="BT855" s="47"/>
      <c r="BU855" s="47"/>
      <c r="BV855" s="47"/>
      <c r="BW855" s="47"/>
      <c r="BX855" s="47"/>
      <c r="BY855" s="47"/>
      <c r="BZ855" s="47"/>
      <c r="CA855" s="47"/>
      <c r="CB855" s="47"/>
      <c r="CC855" s="47"/>
      <c r="CD855" s="47"/>
      <c r="CE855" s="47"/>
      <c r="CF855" s="47"/>
      <c r="CG855" s="47"/>
      <c r="CH855" s="47"/>
      <c r="CI855" s="47"/>
      <c r="CJ855" s="47"/>
      <c r="CK855" s="47"/>
      <c r="CL855" s="47"/>
      <c r="CM855" s="47"/>
      <c r="CN855" s="47"/>
      <c r="CO855" s="47"/>
      <c r="CP855" s="47"/>
      <c r="CQ855" s="47"/>
      <c r="CR855" s="47"/>
      <c r="CS855" s="47"/>
      <c r="CT855" s="47"/>
      <c r="CU855" s="47"/>
      <c r="CV855" s="47"/>
      <c r="CW855" s="47"/>
      <c r="CX855" s="47"/>
      <c r="CY855" s="47"/>
      <c r="CZ855" s="47"/>
      <c r="DA855" s="47"/>
      <c r="DB855" s="47"/>
      <c r="DC855" s="47"/>
      <c r="DD855" s="47"/>
      <c r="DE855" s="47"/>
      <c r="DF855" s="47"/>
      <c r="DG855" s="47"/>
      <c r="DH855" s="47"/>
    </row>
    <row r="856">
      <c r="A856" s="64"/>
      <c r="B856" s="47"/>
      <c r="C856" s="47"/>
      <c r="D856" s="47"/>
      <c r="E856" s="47"/>
      <c r="F856" s="47"/>
      <c r="G856" s="46"/>
      <c r="H856" s="42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  <c r="BL856" s="47"/>
      <c r="BM856" s="47"/>
      <c r="BN856" s="47"/>
      <c r="BO856" s="47"/>
      <c r="BP856" s="47"/>
      <c r="BQ856" s="47"/>
      <c r="BR856" s="47"/>
      <c r="BS856" s="47"/>
      <c r="BT856" s="47"/>
      <c r="BU856" s="47"/>
      <c r="BV856" s="47"/>
      <c r="BW856" s="47"/>
      <c r="BX856" s="47"/>
      <c r="BY856" s="47"/>
      <c r="BZ856" s="47"/>
      <c r="CA856" s="47"/>
      <c r="CB856" s="47"/>
      <c r="CC856" s="47"/>
      <c r="CD856" s="47"/>
      <c r="CE856" s="47"/>
      <c r="CF856" s="47"/>
      <c r="CG856" s="47"/>
      <c r="CH856" s="47"/>
      <c r="CI856" s="47"/>
      <c r="CJ856" s="47"/>
      <c r="CK856" s="47"/>
      <c r="CL856" s="47"/>
      <c r="CM856" s="47"/>
      <c r="CN856" s="47"/>
      <c r="CO856" s="47"/>
      <c r="CP856" s="47"/>
      <c r="CQ856" s="47"/>
      <c r="CR856" s="47"/>
      <c r="CS856" s="47"/>
      <c r="CT856" s="47"/>
      <c r="CU856" s="47"/>
      <c r="CV856" s="47"/>
      <c r="CW856" s="47"/>
      <c r="CX856" s="47"/>
      <c r="CY856" s="47"/>
      <c r="CZ856" s="47"/>
      <c r="DA856" s="47"/>
      <c r="DB856" s="47"/>
      <c r="DC856" s="47"/>
      <c r="DD856" s="47"/>
      <c r="DE856" s="47"/>
      <c r="DF856" s="47"/>
      <c r="DG856" s="47"/>
      <c r="DH856" s="47"/>
    </row>
    <row r="857">
      <c r="A857" s="64"/>
      <c r="B857" s="47"/>
      <c r="C857" s="47"/>
      <c r="D857" s="47"/>
      <c r="E857" s="47"/>
      <c r="F857" s="47"/>
      <c r="G857" s="46"/>
      <c r="H857" s="42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  <c r="BL857" s="47"/>
      <c r="BM857" s="47"/>
      <c r="BN857" s="47"/>
      <c r="BO857" s="47"/>
      <c r="BP857" s="47"/>
      <c r="BQ857" s="47"/>
      <c r="BR857" s="47"/>
      <c r="BS857" s="47"/>
      <c r="BT857" s="47"/>
      <c r="BU857" s="47"/>
      <c r="BV857" s="47"/>
      <c r="BW857" s="47"/>
      <c r="BX857" s="47"/>
      <c r="BY857" s="47"/>
      <c r="BZ857" s="47"/>
      <c r="CA857" s="47"/>
      <c r="CB857" s="47"/>
      <c r="CC857" s="47"/>
      <c r="CD857" s="47"/>
      <c r="CE857" s="47"/>
      <c r="CF857" s="47"/>
      <c r="CG857" s="47"/>
      <c r="CH857" s="47"/>
      <c r="CI857" s="47"/>
      <c r="CJ857" s="47"/>
      <c r="CK857" s="47"/>
      <c r="CL857" s="47"/>
      <c r="CM857" s="47"/>
      <c r="CN857" s="47"/>
      <c r="CO857" s="47"/>
      <c r="CP857" s="47"/>
      <c r="CQ857" s="47"/>
      <c r="CR857" s="47"/>
      <c r="CS857" s="47"/>
      <c r="CT857" s="47"/>
      <c r="CU857" s="47"/>
      <c r="CV857" s="47"/>
      <c r="CW857" s="47"/>
      <c r="CX857" s="47"/>
      <c r="CY857" s="47"/>
      <c r="CZ857" s="47"/>
      <c r="DA857" s="47"/>
      <c r="DB857" s="47"/>
      <c r="DC857" s="47"/>
      <c r="DD857" s="47"/>
      <c r="DE857" s="47"/>
      <c r="DF857" s="47"/>
      <c r="DG857" s="47"/>
      <c r="DH857" s="47"/>
    </row>
    <row r="858">
      <c r="A858" s="64"/>
      <c r="B858" s="47"/>
      <c r="C858" s="47"/>
      <c r="D858" s="47"/>
      <c r="E858" s="47"/>
      <c r="F858" s="47"/>
      <c r="G858" s="46"/>
      <c r="H858" s="42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/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47"/>
      <c r="CA858" s="47"/>
      <c r="CB858" s="47"/>
      <c r="CC858" s="47"/>
      <c r="CD858" s="47"/>
      <c r="CE858" s="47"/>
      <c r="CF858" s="47"/>
      <c r="CG858" s="47"/>
      <c r="CH858" s="47"/>
      <c r="CI858" s="47"/>
      <c r="CJ858" s="47"/>
      <c r="CK858" s="47"/>
      <c r="CL858" s="47"/>
      <c r="CM858" s="47"/>
      <c r="CN858" s="47"/>
      <c r="CO858" s="47"/>
      <c r="CP858" s="47"/>
      <c r="CQ858" s="47"/>
      <c r="CR858" s="47"/>
      <c r="CS858" s="47"/>
      <c r="CT858" s="47"/>
      <c r="CU858" s="47"/>
      <c r="CV858" s="47"/>
      <c r="CW858" s="47"/>
      <c r="CX858" s="47"/>
      <c r="CY858" s="47"/>
      <c r="CZ858" s="47"/>
      <c r="DA858" s="47"/>
      <c r="DB858" s="47"/>
      <c r="DC858" s="47"/>
      <c r="DD858" s="47"/>
      <c r="DE858" s="47"/>
      <c r="DF858" s="47"/>
      <c r="DG858" s="47"/>
      <c r="DH858" s="47"/>
    </row>
    <row r="859">
      <c r="A859" s="64"/>
      <c r="B859" s="47"/>
      <c r="C859" s="47"/>
      <c r="D859" s="47"/>
      <c r="E859" s="47"/>
      <c r="F859" s="47"/>
      <c r="G859" s="46"/>
      <c r="H859" s="42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  <c r="BL859" s="47"/>
      <c r="BM859" s="47"/>
      <c r="BN859" s="47"/>
      <c r="BO859" s="47"/>
      <c r="BP859" s="47"/>
      <c r="BQ859" s="47"/>
      <c r="BR859" s="47"/>
      <c r="BS859" s="47"/>
      <c r="BT859" s="47"/>
      <c r="BU859" s="47"/>
      <c r="BV859" s="47"/>
      <c r="BW859" s="47"/>
      <c r="BX859" s="47"/>
      <c r="BY859" s="47"/>
      <c r="BZ859" s="47"/>
      <c r="CA859" s="47"/>
      <c r="CB859" s="47"/>
      <c r="CC859" s="47"/>
      <c r="CD859" s="47"/>
      <c r="CE859" s="47"/>
      <c r="CF859" s="47"/>
      <c r="CG859" s="47"/>
      <c r="CH859" s="47"/>
      <c r="CI859" s="47"/>
      <c r="CJ859" s="47"/>
      <c r="CK859" s="47"/>
      <c r="CL859" s="47"/>
      <c r="CM859" s="47"/>
      <c r="CN859" s="47"/>
      <c r="CO859" s="47"/>
      <c r="CP859" s="47"/>
      <c r="CQ859" s="47"/>
      <c r="CR859" s="47"/>
      <c r="CS859" s="47"/>
      <c r="CT859" s="47"/>
      <c r="CU859" s="47"/>
      <c r="CV859" s="47"/>
      <c r="CW859" s="47"/>
      <c r="CX859" s="47"/>
      <c r="CY859" s="47"/>
      <c r="CZ859" s="47"/>
      <c r="DA859" s="47"/>
      <c r="DB859" s="47"/>
      <c r="DC859" s="47"/>
      <c r="DD859" s="47"/>
      <c r="DE859" s="47"/>
      <c r="DF859" s="47"/>
      <c r="DG859" s="47"/>
      <c r="DH859" s="47"/>
    </row>
    <row r="860">
      <c r="A860" s="64"/>
      <c r="B860" s="47"/>
      <c r="C860" s="47"/>
      <c r="D860" s="47"/>
      <c r="E860" s="47"/>
      <c r="F860" s="47"/>
      <c r="G860" s="46"/>
      <c r="H860" s="42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  <c r="BL860" s="47"/>
      <c r="BM860" s="47"/>
      <c r="BN860" s="47"/>
      <c r="BO860" s="47"/>
      <c r="BP860" s="47"/>
      <c r="BQ860" s="47"/>
      <c r="BR860" s="47"/>
      <c r="BS860" s="47"/>
      <c r="BT860" s="47"/>
      <c r="BU860" s="47"/>
      <c r="BV860" s="47"/>
      <c r="BW860" s="47"/>
      <c r="BX860" s="47"/>
      <c r="BY860" s="47"/>
      <c r="BZ860" s="47"/>
      <c r="CA860" s="47"/>
      <c r="CB860" s="47"/>
      <c r="CC860" s="47"/>
      <c r="CD860" s="47"/>
      <c r="CE860" s="47"/>
      <c r="CF860" s="47"/>
      <c r="CG860" s="47"/>
      <c r="CH860" s="47"/>
      <c r="CI860" s="47"/>
      <c r="CJ860" s="47"/>
      <c r="CK860" s="47"/>
      <c r="CL860" s="47"/>
      <c r="CM860" s="47"/>
      <c r="CN860" s="47"/>
      <c r="CO860" s="47"/>
      <c r="CP860" s="47"/>
      <c r="CQ860" s="47"/>
      <c r="CR860" s="47"/>
      <c r="CS860" s="47"/>
      <c r="CT860" s="47"/>
      <c r="CU860" s="47"/>
      <c r="CV860" s="47"/>
      <c r="CW860" s="47"/>
      <c r="CX860" s="47"/>
      <c r="CY860" s="47"/>
      <c r="CZ860" s="47"/>
      <c r="DA860" s="47"/>
      <c r="DB860" s="47"/>
      <c r="DC860" s="47"/>
      <c r="DD860" s="47"/>
      <c r="DE860" s="47"/>
      <c r="DF860" s="47"/>
      <c r="DG860" s="47"/>
      <c r="DH860" s="47"/>
    </row>
    <row r="861">
      <c r="A861" s="64"/>
      <c r="B861" s="47"/>
      <c r="C861" s="47"/>
      <c r="D861" s="47"/>
      <c r="E861" s="47"/>
      <c r="F861" s="47"/>
      <c r="G861" s="46"/>
      <c r="H861" s="42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  <c r="BL861" s="47"/>
      <c r="BM861" s="47"/>
      <c r="BN861" s="47"/>
      <c r="BO861" s="47"/>
      <c r="BP861" s="47"/>
      <c r="BQ861" s="47"/>
      <c r="BR861" s="47"/>
      <c r="BS861" s="47"/>
      <c r="BT861" s="47"/>
      <c r="BU861" s="47"/>
      <c r="BV861" s="47"/>
      <c r="BW861" s="47"/>
      <c r="BX861" s="47"/>
      <c r="BY861" s="47"/>
      <c r="BZ861" s="47"/>
      <c r="CA861" s="47"/>
      <c r="CB861" s="47"/>
      <c r="CC861" s="47"/>
      <c r="CD861" s="47"/>
      <c r="CE861" s="47"/>
      <c r="CF861" s="47"/>
      <c r="CG861" s="47"/>
      <c r="CH861" s="47"/>
      <c r="CI861" s="47"/>
      <c r="CJ861" s="47"/>
      <c r="CK861" s="47"/>
      <c r="CL861" s="47"/>
      <c r="CM861" s="47"/>
      <c r="CN861" s="47"/>
      <c r="CO861" s="47"/>
      <c r="CP861" s="47"/>
      <c r="CQ861" s="47"/>
      <c r="CR861" s="47"/>
      <c r="CS861" s="47"/>
      <c r="CT861" s="47"/>
      <c r="CU861" s="47"/>
      <c r="CV861" s="47"/>
      <c r="CW861" s="47"/>
      <c r="CX861" s="47"/>
      <c r="CY861" s="47"/>
      <c r="CZ861" s="47"/>
      <c r="DA861" s="47"/>
      <c r="DB861" s="47"/>
      <c r="DC861" s="47"/>
      <c r="DD861" s="47"/>
      <c r="DE861" s="47"/>
      <c r="DF861" s="47"/>
      <c r="DG861" s="47"/>
      <c r="DH861" s="47"/>
    </row>
    <row r="862">
      <c r="A862" s="64"/>
      <c r="B862" s="47"/>
      <c r="C862" s="47"/>
      <c r="D862" s="47"/>
      <c r="E862" s="47"/>
      <c r="F862" s="47"/>
      <c r="G862" s="46"/>
      <c r="H862" s="42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/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47"/>
      <c r="CA862" s="47"/>
      <c r="CB862" s="47"/>
      <c r="CC862" s="47"/>
      <c r="CD862" s="47"/>
      <c r="CE862" s="47"/>
      <c r="CF862" s="47"/>
      <c r="CG862" s="47"/>
      <c r="CH862" s="47"/>
      <c r="CI862" s="47"/>
      <c r="CJ862" s="47"/>
      <c r="CK862" s="47"/>
      <c r="CL862" s="47"/>
      <c r="CM862" s="47"/>
      <c r="CN862" s="47"/>
      <c r="CO862" s="47"/>
      <c r="CP862" s="47"/>
      <c r="CQ862" s="47"/>
      <c r="CR862" s="47"/>
      <c r="CS862" s="47"/>
      <c r="CT862" s="47"/>
      <c r="CU862" s="47"/>
      <c r="CV862" s="47"/>
      <c r="CW862" s="47"/>
      <c r="CX862" s="47"/>
      <c r="CY862" s="47"/>
      <c r="CZ862" s="47"/>
      <c r="DA862" s="47"/>
      <c r="DB862" s="47"/>
      <c r="DC862" s="47"/>
      <c r="DD862" s="47"/>
      <c r="DE862" s="47"/>
      <c r="DF862" s="47"/>
      <c r="DG862" s="47"/>
      <c r="DH862" s="47"/>
    </row>
    <row r="863">
      <c r="A863" s="64"/>
      <c r="B863" s="47"/>
      <c r="C863" s="47"/>
      <c r="D863" s="47"/>
      <c r="E863" s="47"/>
      <c r="F863" s="47"/>
      <c r="G863" s="46"/>
      <c r="H863" s="42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  <c r="BL863" s="47"/>
      <c r="BM863" s="47"/>
      <c r="BN863" s="47"/>
      <c r="BO863" s="47"/>
      <c r="BP863" s="47"/>
      <c r="BQ863" s="47"/>
      <c r="BR863" s="47"/>
      <c r="BS863" s="47"/>
      <c r="BT863" s="47"/>
      <c r="BU863" s="47"/>
      <c r="BV863" s="47"/>
      <c r="BW863" s="47"/>
      <c r="BX863" s="47"/>
      <c r="BY863" s="47"/>
      <c r="BZ863" s="47"/>
      <c r="CA863" s="47"/>
      <c r="CB863" s="47"/>
      <c r="CC863" s="47"/>
      <c r="CD863" s="47"/>
      <c r="CE863" s="47"/>
      <c r="CF863" s="47"/>
      <c r="CG863" s="47"/>
      <c r="CH863" s="47"/>
      <c r="CI863" s="47"/>
      <c r="CJ863" s="47"/>
      <c r="CK863" s="47"/>
      <c r="CL863" s="47"/>
      <c r="CM863" s="47"/>
      <c r="CN863" s="47"/>
      <c r="CO863" s="47"/>
      <c r="CP863" s="47"/>
      <c r="CQ863" s="47"/>
      <c r="CR863" s="47"/>
      <c r="CS863" s="47"/>
      <c r="CT863" s="47"/>
      <c r="CU863" s="47"/>
      <c r="CV863" s="47"/>
      <c r="CW863" s="47"/>
      <c r="CX863" s="47"/>
      <c r="CY863" s="47"/>
      <c r="CZ863" s="47"/>
      <c r="DA863" s="47"/>
      <c r="DB863" s="47"/>
      <c r="DC863" s="47"/>
      <c r="DD863" s="47"/>
      <c r="DE863" s="47"/>
      <c r="DF863" s="47"/>
      <c r="DG863" s="47"/>
      <c r="DH863" s="47"/>
    </row>
    <row r="864">
      <c r="A864" s="64"/>
      <c r="B864" s="47"/>
      <c r="C864" s="47"/>
      <c r="D864" s="47"/>
      <c r="E864" s="47"/>
      <c r="F864" s="47"/>
      <c r="G864" s="46"/>
      <c r="H864" s="42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  <c r="BL864" s="47"/>
      <c r="BM864" s="47"/>
      <c r="BN864" s="47"/>
      <c r="BO864" s="47"/>
      <c r="BP864" s="47"/>
      <c r="BQ864" s="47"/>
      <c r="BR864" s="47"/>
      <c r="BS864" s="47"/>
      <c r="BT864" s="47"/>
      <c r="BU864" s="47"/>
      <c r="BV864" s="47"/>
      <c r="BW864" s="47"/>
      <c r="BX864" s="47"/>
      <c r="BY864" s="47"/>
      <c r="BZ864" s="47"/>
      <c r="CA864" s="47"/>
      <c r="CB864" s="47"/>
      <c r="CC864" s="47"/>
      <c r="CD864" s="47"/>
      <c r="CE864" s="47"/>
      <c r="CF864" s="47"/>
      <c r="CG864" s="47"/>
      <c r="CH864" s="47"/>
      <c r="CI864" s="47"/>
      <c r="CJ864" s="47"/>
      <c r="CK864" s="47"/>
      <c r="CL864" s="47"/>
      <c r="CM864" s="47"/>
      <c r="CN864" s="47"/>
      <c r="CO864" s="47"/>
      <c r="CP864" s="47"/>
      <c r="CQ864" s="47"/>
      <c r="CR864" s="47"/>
      <c r="CS864" s="47"/>
      <c r="CT864" s="47"/>
      <c r="CU864" s="47"/>
      <c r="CV864" s="47"/>
      <c r="CW864" s="47"/>
      <c r="CX864" s="47"/>
      <c r="CY864" s="47"/>
      <c r="CZ864" s="47"/>
      <c r="DA864" s="47"/>
      <c r="DB864" s="47"/>
      <c r="DC864" s="47"/>
      <c r="DD864" s="47"/>
      <c r="DE864" s="47"/>
      <c r="DF864" s="47"/>
      <c r="DG864" s="47"/>
      <c r="DH864" s="47"/>
    </row>
    <row r="865">
      <c r="A865" s="64"/>
      <c r="B865" s="47"/>
      <c r="C865" s="47"/>
      <c r="D865" s="47"/>
      <c r="E865" s="47"/>
      <c r="F865" s="47"/>
      <c r="G865" s="46"/>
      <c r="H865" s="42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  <c r="BL865" s="47"/>
      <c r="BM865" s="47"/>
      <c r="BN865" s="47"/>
      <c r="BO865" s="47"/>
      <c r="BP865" s="47"/>
      <c r="BQ865" s="47"/>
      <c r="BR865" s="47"/>
      <c r="BS865" s="47"/>
      <c r="BT865" s="47"/>
      <c r="BU865" s="47"/>
      <c r="BV865" s="47"/>
      <c r="BW865" s="47"/>
      <c r="BX865" s="47"/>
      <c r="BY865" s="47"/>
      <c r="BZ865" s="47"/>
      <c r="CA865" s="47"/>
      <c r="CB865" s="47"/>
      <c r="CC865" s="47"/>
      <c r="CD865" s="47"/>
      <c r="CE865" s="47"/>
      <c r="CF865" s="47"/>
      <c r="CG865" s="47"/>
      <c r="CH865" s="47"/>
      <c r="CI865" s="47"/>
      <c r="CJ865" s="47"/>
      <c r="CK865" s="47"/>
      <c r="CL865" s="47"/>
      <c r="CM865" s="47"/>
      <c r="CN865" s="47"/>
      <c r="CO865" s="47"/>
      <c r="CP865" s="47"/>
      <c r="CQ865" s="47"/>
      <c r="CR865" s="47"/>
      <c r="CS865" s="47"/>
      <c r="CT865" s="47"/>
      <c r="CU865" s="47"/>
      <c r="CV865" s="47"/>
      <c r="CW865" s="47"/>
      <c r="CX865" s="47"/>
      <c r="CY865" s="47"/>
      <c r="CZ865" s="47"/>
      <c r="DA865" s="47"/>
      <c r="DB865" s="47"/>
      <c r="DC865" s="47"/>
      <c r="DD865" s="47"/>
      <c r="DE865" s="47"/>
      <c r="DF865" s="47"/>
      <c r="DG865" s="47"/>
      <c r="DH865" s="47"/>
    </row>
    <row r="866">
      <c r="A866" s="64"/>
      <c r="B866" s="47"/>
      <c r="C866" s="47"/>
      <c r="D866" s="47"/>
      <c r="E866" s="47"/>
      <c r="F866" s="47"/>
      <c r="G866" s="46"/>
      <c r="H866" s="42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  <c r="BL866" s="47"/>
      <c r="BM866" s="47"/>
      <c r="BN866" s="47"/>
      <c r="BO866" s="47"/>
      <c r="BP866" s="47"/>
      <c r="BQ866" s="47"/>
      <c r="BR866" s="47"/>
      <c r="BS866" s="47"/>
      <c r="BT866" s="47"/>
      <c r="BU866" s="47"/>
      <c r="BV866" s="47"/>
      <c r="BW866" s="47"/>
      <c r="BX866" s="47"/>
      <c r="BY866" s="47"/>
      <c r="BZ866" s="47"/>
      <c r="CA866" s="47"/>
      <c r="CB866" s="47"/>
      <c r="CC866" s="47"/>
      <c r="CD866" s="47"/>
      <c r="CE866" s="47"/>
      <c r="CF866" s="47"/>
      <c r="CG866" s="47"/>
      <c r="CH866" s="47"/>
      <c r="CI866" s="47"/>
      <c r="CJ866" s="47"/>
      <c r="CK866" s="47"/>
      <c r="CL866" s="47"/>
      <c r="CM866" s="47"/>
      <c r="CN866" s="47"/>
      <c r="CO866" s="47"/>
      <c r="CP866" s="47"/>
      <c r="CQ866" s="47"/>
      <c r="CR866" s="47"/>
      <c r="CS866" s="47"/>
      <c r="CT866" s="47"/>
      <c r="CU866" s="47"/>
      <c r="CV866" s="47"/>
      <c r="CW866" s="47"/>
      <c r="CX866" s="47"/>
      <c r="CY866" s="47"/>
      <c r="CZ866" s="47"/>
      <c r="DA866" s="47"/>
      <c r="DB866" s="47"/>
      <c r="DC866" s="47"/>
      <c r="DD866" s="47"/>
      <c r="DE866" s="47"/>
      <c r="DF866" s="47"/>
      <c r="DG866" s="47"/>
      <c r="DH866" s="47"/>
    </row>
    <row r="867">
      <c r="A867" s="64"/>
      <c r="B867" s="47"/>
      <c r="C867" s="47"/>
      <c r="D867" s="47"/>
      <c r="E867" s="47"/>
      <c r="F867" s="47"/>
      <c r="G867" s="46"/>
      <c r="H867" s="42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  <c r="BL867" s="47"/>
      <c r="BM867" s="47"/>
      <c r="BN867" s="47"/>
      <c r="BO867" s="47"/>
      <c r="BP867" s="47"/>
      <c r="BQ867" s="47"/>
      <c r="BR867" s="47"/>
      <c r="BS867" s="47"/>
      <c r="BT867" s="47"/>
      <c r="BU867" s="47"/>
      <c r="BV867" s="47"/>
      <c r="BW867" s="47"/>
      <c r="BX867" s="47"/>
      <c r="BY867" s="47"/>
      <c r="BZ867" s="47"/>
      <c r="CA867" s="47"/>
      <c r="CB867" s="47"/>
      <c r="CC867" s="47"/>
      <c r="CD867" s="47"/>
      <c r="CE867" s="47"/>
      <c r="CF867" s="47"/>
      <c r="CG867" s="47"/>
      <c r="CH867" s="47"/>
      <c r="CI867" s="47"/>
      <c r="CJ867" s="47"/>
      <c r="CK867" s="47"/>
      <c r="CL867" s="47"/>
      <c r="CM867" s="47"/>
      <c r="CN867" s="47"/>
      <c r="CO867" s="47"/>
      <c r="CP867" s="47"/>
      <c r="CQ867" s="47"/>
      <c r="CR867" s="47"/>
      <c r="CS867" s="47"/>
      <c r="CT867" s="47"/>
      <c r="CU867" s="47"/>
      <c r="CV867" s="47"/>
      <c r="CW867" s="47"/>
      <c r="CX867" s="47"/>
      <c r="CY867" s="47"/>
      <c r="CZ867" s="47"/>
      <c r="DA867" s="47"/>
      <c r="DB867" s="47"/>
      <c r="DC867" s="47"/>
      <c r="DD867" s="47"/>
      <c r="DE867" s="47"/>
      <c r="DF867" s="47"/>
      <c r="DG867" s="47"/>
      <c r="DH867" s="47"/>
    </row>
    <row r="868">
      <c r="A868" s="64"/>
      <c r="B868" s="47"/>
      <c r="C868" s="47"/>
      <c r="D868" s="47"/>
      <c r="E868" s="47"/>
      <c r="F868" s="47"/>
      <c r="G868" s="46"/>
      <c r="H868" s="42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  <c r="BL868" s="47"/>
      <c r="BM868" s="47"/>
      <c r="BN868" s="47"/>
      <c r="BO868" s="47"/>
      <c r="BP868" s="47"/>
      <c r="BQ868" s="47"/>
      <c r="BR868" s="47"/>
      <c r="BS868" s="47"/>
      <c r="BT868" s="47"/>
      <c r="BU868" s="47"/>
      <c r="BV868" s="47"/>
      <c r="BW868" s="47"/>
      <c r="BX868" s="47"/>
      <c r="BY868" s="47"/>
      <c r="BZ868" s="47"/>
      <c r="CA868" s="47"/>
      <c r="CB868" s="47"/>
      <c r="CC868" s="47"/>
      <c r="CD868" s="47"/>
      <c r="CE868" s="47"/>
      <c r="CF868" s="47"/>
      <c r="CG868" s="47"/>
      <c r="CH868" s="47"/>
      <c r="CI868" s="47"/>
      <c r="CJ868" s="47"/>
      <c r="CK868" s="47"/>
      <c r="CL868" s="47"/>
      <c r="CM868" s="47"/>
      <c r="CN868" s="47"/>
      <c r="CO868" s="47"/>
      <c r="CP868" s="47"/>
      <c r="CQ868" s="47"/>
      <c r="CR868" s="47"/>
      <c r="CS868" s="47"/>
      <c r="CT868" s="47"/>
      <c r="CU868" s="47"/>
      <c r="CV868" s="47"/>
      <c r="CW868" s="47"/>
      <c r="CX868" s="47"/>
      <c r="CY868" s="47"/>
      <c r="CZ868" s="47"/>
      <c r="DA868" s="47"/>
      <c r="DB868" s="47"/>
      <c r="DC868" s="47"/>
      <c r="DD868" s="47"/>
      <c r="DE868" s="47"/>
      <c r="DF868" s="47"/>
      <c r="DG868" s="47"/>
      <c r="DH868" s="47"/>
    </row>
    <row r="869">
      <c r="A869" s="64"/>
      <c r="B869" s="47"/>
      <c r="C869" s="47"/>
      <c r="D869" s="47"/>
      <c r="E869" s="47"/>
      <c r="F869" s="47"/>
      <c r="G869" s="46"/>
      <c r="H869" s="42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  <c r="BL869" s="47"/>
      <c r="BM869" s="47"/>
      <c r="BN869" s="47"/>
      <c r="BO869" s="47"/>
      <c r="BP869" s="47"/>
      <c r="BQ869" s="47"/>
      <c r="BR869" s="47"/>
      <c r="BS869" s="47"/>
      <c r="BT869" s="47"/>
      <c r="BU869" s="47"/>
      <c r="BV869" s="47"/>
      <c r="BW869" s="47"/>
      <c r="BX869" s="47"/>
      <c r="BY869" s="47"/>
      <c r="BZ869" s="47"/>
      <c r="CA869" s="47"/>
      <c r="CB869" s="47"/>
      <c r="CC869" s="47"/>
      <c r="CD869" s="47"/>
      <c r="CE869" s="47"/>
      <c r="CF869" s="47"/>
      <c r="CG869" s="47"/>
      <c r="CH869" s="47"/>
      <c r="CI869" s="47"/>
      <c r="CJ869" s="47"/>
      <c r="CK869" s="47"/>
      <c r="CL869" s="47"/>
      <c r="CM869" s="47"/>
      <c r="CN869" s="47"/>
      <c r="CO869" s="47"/>
      <c r="CP869" s="47"/>
      <c r="CQ869" s="47"/>
      <c r="CR869" s="47"/>
      <c r="CS869" s="47"/>
      <c r="CT869" s="47"/>
      <c r="CU869" s="47"/>
      <c r="CV869" s="47"/>
      <c r="CW869" s="47"/>
      <c r="CX869" s="47"/>
      <c r="CY869" s="47"/>
      <c r="CZ869" s="47"/>
      <c r="DA869" s="47"/>
      <c r="DB869" s="47"/>
      <c r="DC869" s="47"/>
      <c r="DD869" s="47"/>
      <c r="DE869" s="47"/>
      <c r="DF869" s="47"/>
      <c r="DG869" s="47"/>
      <c r="DH869" s="47"/>
    </row>
    <row r="870">
      <c r="A870" s="64"/>
      <c r="B870" s="47"/>
      <c r="C870" s="47"/>
      <c r="D870" s="47"/>
      <c r="E870" s="47"/>
      <c r="F870" s="47"/>
      <c r="G870" s="46"/>
      <c r="H870" s="42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  <c r="BL870" s="47"/>
      <c r="BM870" s="47"/>
      <c r="BN870" s="47"/>
      <c r="BO870" s="47"/>
      <c r="BP870" s="47"/>
      <c r="BQ870" s="47"/>
      <c r="BR870" s="47"/>
      <c r="BS870" s="47"/>
      <c r="BT870" s="47"/>
      <c r="BU870" s="47"/>
      <c r="BV870" s="47"/>
      <c r="BW870" s="47"/>
      <c r="BX870" s="47"/>
      <c r="BY870" s="47"/>
      <c r="BZ870" s="47"/>
      <c r="CA870" s="47"/>
      <c r="CB870" s="47"/>
      <c r="CC870" s="47"/>
      <c r="CD870" s="47"/>
      <c r="CE870" s="47"/>
      <c r="CF870" s="47"/>
      <c r="CG870" s="47"/>
      <c r="CH870" s="47"/>
      <c r="CI870" s="47"/>
      <c r="CJ870" s="47"/>
      <c r="CK870" s="47"/>
      <c r="CL870" s="47"/>
      <c r="CM870" s="47"/>
      <c r="CN870" s="47"/>
      <c r="CO870" s="47"/>
      <c r="CP870" s="47"/>
      <c r="CQ870" s="47"/>
      <c r="CR870" s="47"/>
      <c r="CS870" s="47"/>
      <c r="CT870" s="47"/>
      <c r="CU870" s="47"/>
      <c r="CV870" s="47"/>
      <c r="CW870" s="47"/>
      <c r="CX870" s="47"/>
      <c r="CY870" s="47"/>
      <c r="CZ870" s="47"/>
      <c r="DA870" s="47"/>
      <c r="DB870" s="47"/>
      <c r="DC870" s="47"/>
      <c r="DD870" s="47"/>
      <c r="DE870" s="47"/>
      <c r="DF870" s="47"/>
      <c r="DG870" s="47"/>
      <c r="DH870" s="47"/>
    </row>
    <row r="871">
      <c r="A871" s="64"/>
      <c r="B871" s="47"/>
      <c r="C871" s="47"/>
      <c r="D871" s="47"/>
      <c r="E871" s="47"/>
      <c r="F871" s="47"/>
      <c r="G871" s="46"/>
      <c r="H871" s="42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  <c r="BL871" s="47"/>
      <c r="BM871" s="47"/>
      <c r="BN871" s="47"/>
      <c r="BO871" s="47"/>
      <c r="BP871" s="47"/>
      <c r="BQ871" s="47"/>
      <c r="BR871" s="47"/>
      <c r="BS871" s="47"/>
      <c r="BT871" s="47"/>
      <c r="BU871" s="47"/>
      <c r="BV871" s="47"/>
      <c r="BW871" s="47"/>
      <c r="BX871" s="47"/>
      <c r="BY871" s="47"/>
      <c r="BZ871" s="47"/>
      <c r="CA871" s="47"/>
      <c r="CB871" s="47"/>
      <c r="CC871" s="47"/>
      <c r="CD871" s="47"/>
      <c r="CE871" s="47"/>
      <c r="CF871" s="47"/>
      <c r="CG871" s="47"/>
      <c r="CH871" s="47"/>
      <c r="CI871" s="47"/>
      <c r="CJ871" s="47"/>
      <c r="CK871" s="47"/>
      <c r="CL871" s="47"/>
      <c r="CM871" s="47"/>
      <c r="CN871" s="47"/>
      <c r="CO871" s="47"/>
      <c r="CP871" s="47"/>
      <c r="CQ871" s="47"/>
      <c r="CR871" s="47"/>
      <c r="CS871" s="47"/>
      <c r="CT871" s="47"/>
      <c r="CU871" s="47"/>
      <c r="CV871" s="47"/>
      <c r="CW871" s="47"/>
      <c r="CX871" s="47"/>
      <c r="CY871" s="47"/>
      <c r="CZ871" s="47"/>
      <c r="DA871" s="47"/>
      <c r="DB871" s="47"/>
      <c r="DC871" s="47"/>
      <c r="DD871" s="47"/>
      <c r="DE871" s="47"/>
      <c r="DF871" s="47"/>
      <c r="DG871" s="47"/>
      <c r="DH871" s="47"/>
    </row>
    <row r="872">
      <c r="A872" s="64"/>
      <c r="B872" s="47"/>
      <c r="C872" s="47"/>
      <c r="D872" s="47"/>
      <c r="E872" s="47"/>
      <c r="F872" s="47"/>
      <c r="G872" s="46"/>
      <c r="H872" s="42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  <c r="BL872" s="47"/>
      <c r="BM872" s="47"/>
      <c r="BN872" s="47"/>
      <c r="BO872" s="47"/>
      <c r="BP872" s="47"/>
      <c r="BQ872" s="47"/>
      <c r="BR872" s="47"/>
      <c r="BS872" s="47"/>
      <c r="BT872" s="47"/>
      <c r="BU872" s="47"/>
      <c r="BV872" s="47"/>
      <c r="BW872" s="47"/>
      <c r="BX872" s="47"/>
      <c r="BY872" s="47"/>
      <c r="BZ872" s="47"/>
      <c r="CA872" s="47"/>
      <c r="CB872" s="47"/>
      <c r="CC872" s="47"/>
      <c r="CD872" s="47"/>
      <c r="CE872" s="47"/>
      <c r="CF872" s="47"/>
      <c r="CG872" s="47"/>
      <c r="CH872" s="47"/>
      <c r="CI872" s="47"/>
      <c r="CJ872" s="47"/>
      <c r="CK872" s="47"/>
      <c r="CL872" s="47"/>
      <c r="CM872" s="47"/>
      <c r="CN872" s="47"/>
      <c r="CO872" s="47"/>
      <c r="CP872" s="47"/>
      <c r="CQ872" s="47"/>
      <c r="CR872" s="47"/>
      <c r="CS872" s="47"/>
      <c r="CT872" s="47"/>
      <c r="CU872" s="47"/>
      <c r="CV872" s="47"/>
      <c r="CW872" s="47"/>
      <c r="CX872" s="47"/>
      <c r="CY872" s="47"/>
      <c r="CZ872" s="47"/>
      <c r="DA872" s="47"/>
      <c r="DB872" s="47"/>
      <c r="DC872" s="47"/>
      <c r="DD872" s="47"/>
      <c r="DE872" s="47"/>
      <c r="DF872" s="47"/>
      <c r="DG872" s="47"/>
      <c r="DH872" s="47"/>
    </row>
    <row r="873">
      <c r="A873" s="64"/>
      <c r="B873" s="47"/>
      <c r="C873" s="47"/>
      <c r="D873" s="47"/>
      <c r="E873" s="47"/>
      <c r="F873" s="47"/>
      <c r="G873" s="46"/>
      <c r="H873" s="42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  <c r="BL873" s="47"/>
      <c r="BM873" s="47"/>
      <c r="BN873" s="47"/>
      <c r="BO873" s="47"/>
      <c r="BP873" s="47"/>
      <c r="BQ873" s="47"/>
      <c r="BR873" s="47"/>
      <c r="BS873" s="47"/>
      <c r="BT873" s="47"/>
      <c r="BU873" s="47"/>
      <c r="BV873" s="47"/>
      <c r="BW873" s="47"/>
      <c r="BX873" s="47"/>
      <c r="BY873" s="47"/>
      <c r="BZ873" s="47"/>
      <c r="CA873" s="47"/>
      <c r="CB873" s="47"/>
      <c r="CC873" s="47"/>
      <c r="CD873" s="47"/>
      <c r="CE873" s="47"/>
      <c r="CF873" s="47"/>
      <c r="CG873" s="47"/>
      <c r="CH873" s="47"/>
      <c r="CI873" s="47"/>
      <c r="CJ873" s="47"/>
      <c r="CK873" s="47"/>
      <c r="CL873" s="47"/>
      <c r="CM873" s="47"/>
      <c r="CN873" s="47"/>
      <c r="CO873" s="47"/>
      <c r="CP873" s="47"/>
      <c r="CQ873" s="47"/>
      <c r="CR873" s="47"/>
      <c r="CS873" s="47"/>
      <c r="CT873" s="47"/>
      <c r="CU873" s="47"/>
      <c r="CV873" s="47"/>
      <c r="CW873" s="47"/>
      <c r="CX873" s="47"/>
      <c r="CY873" s="47"/>
      <c r="CZ873" s="47"/>
      <c r="DA873" s="47"/>
      <c r="DB873" s="47"/>
      <c r="DC873" s="47"/>
      <c r="DD873" s="47"/>
      <c r="DE873" s="47"/>
      <c r="DF873" s="47"/>
      <c r="DG873" s="47"/>
      <c r="DH873" s="47"/>
    </row>
    <row r="874">
      <c r="A874" s="64"/>
      <c r="B874" s="47"/>
      <c r="C874" s="47"/>
      <c r="D874" s="47"/>
      <c r="E874" s="47"/>
      <c r="F874" s="47"/>
      <c r="G874" s="46"/>
      <c r="H874" s="42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  <c r="BL874" s="47"/>
      <c r="BM874" s="47"/>
      <c r="BN874" s="47"/>
      <c r="BO874" s="47"/>
      <c r="BP874" s="47"/>
      <c r="BQ874" s="47"/>
      <c r="BR874" s="47"/>
      <c r="BS874" s="47"/>
      <c r="BT874" s="47"/>
      <c r="BU874" s="47"/>
      <c r="BV874" s="47"/>
      <c r="BW874" s="47"/>
      <c r="BX874" s="47"/>
      <c r="BY874" s="47"/>
      <c r="BZ874" s="47"/>
      <c r="CA874" s="47"/>
      <c r="CB874" s="47"/>
      <c r="CC874" s="47"/>
      <c r="CD874" s="47"/>
      <c r="CE874" s="47"/>
      <c r="CF874" s="47"/>
      <c r="CG874" s="47"/>
      <c r="CH874" s="47"/>
      <c r="CI874" s="47"/>
      <c r="CJ874" s="47"/>
      <c r="CK874" s="47"/>
      <c r="CL874" s="47"/>
      <c r="CM874" s="47"/>
      <c r="CN874" s="47"/>
      <c r="CO874" s="47"/>
      <c r="CP874" s="47"/>
      <c r="CQ874" s="47"/>
      <c r="CR874" s="47"/>
      <c r="CS874" s="47"/>
      <c r="CT874" s="47"/>
      <c r="CU874" s="47"/>
      <c r="CV874" s="47"/>
      <c r="CW874" s="47"/>
      <c r="CX874" s="47"/>
      <c r="CY874" s="47"/>
      <c r="CZ874" s="47"/>
      <c r="DA874" s="47"/>
      <c r="DB874" s="47"/>
      <c r="DC874" s="47"/>
      <c r="DD874" s="47"/>
      <c r="DE874" s="47"/>
      <c r="DF874" s="47"/>
      <c r="DG874" s="47"/>
      <c r="DH874" s="47"/>
    </row>
    <row r="875">
      <c r="A875" s="64"/>
      <c r="B875" s="47"/>
      <c r="C875" s="47"/>
      <c r="D875" s="47"/>
      <c r="E875" s="47"/>
      <c r="F875" s="47"/>
      <c r="G875" s="46"/>
      <c r="H875" s="42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  <c r="BL875" s="47"/>
      <c r="BM875" s="47"/>
      <c r="BN875" s="47"/>
      <c r="BO875" s="47"/>
      <c r="BP875" s="47"/>
      <c r="BQ875" s="47"/>
      <c r="BR875" s="47"/>
      <c r="BS875" s="47"/>
      <c r="BT875" s="47"/>
      <c r="BU875" s="47"/>
      <c r="BV875" s="47"/>
      <c r="BW875" s="47"/>
      <c r="BX875" s="47"/>
      <c r="BY875" s="47"/>
      <c r="BZ875" s="47"/>
      <c r="CA875" s="47"/>
      <c r="CB875" s="47"/>
      <c r="CC875" s="47"/>
      <c r="CD875" s="47"/>
      <c r="CE875" s="47"/>
      <c r="CF875" s="47"/>
      <c r="CG875" s="47"/>
      <c r="CH875" s="47"/>
      <c r="CI875" s="47"/>
      <c r="CJ875" s="47"/>
      <c r="CK875" s="47"/>
      <c r="CL875" s="47"/>
      <c r="CM875" s="47"/>
      <c r="CN875" s="47"/>
      <c r="CO875" s="47"/>
      <c r="CP875" s="47"/>
      <c r="CQ875" s="47"/>
      <c r="CR875" s="47"/>
      <c r="CS875" s="47"/>
      <c r="CT875" s="47"/>
      <c r="CU875" s="47"/>
      <c r="CV875" s="47"/>
      <c r="CW875" s="47"/>
      <c r="CX875" s="47"/>
      <c r="CY875" s="47"/>
      <c r="CZ875" s="47"/>
      <c r="DA875" s="47"/>
      <c r="DB875" s="47"/>
      <c r="DC875" s="47"/>
      <c r="DD875" s="47"/>
      <c r="DE875" s="47"/>
      <c r="DF875" s="47"/>
      <c r="DG875" s="47"/>
      <c r="DH875" s="47"/>
    </row>
    <row r="876">
      <c r="A876" s="64"/>
      <c r="B876" s="47"/>
      <c r="C876" s="47"/>
      <c r="D876" s="47"/>
      <c r="E876" s="47"/>
      <c r="F876" s="47"/>
      <c r="G876" s="46"/>
      <c r="H876" s="42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  <c r="BL876" s="47"/>
      <c r="BM876" s="47"/>
      <c r="BN876" s="47"/>
      <c r="BO876" s="47"/>
      <c r="BP876" s="47"/>
      <c r="BQ876" s="47"/>
      <c r="BR876" s="47"/>
      <c r="BS876" s="47"/>
      <c r="BT876" s="47"/>
      <c r="BU876" s="47"/>
      <c r="BV876" s="47"/>
      <c r="BW876" s="47"/>
      <c r="BX876" s="47"/>
      <c r="BY876" s="47"/>
      <c r="BZ876" s="47"/>
      <c r="CA876" s="47"/>
      <c r="CB876" s="47"/>
      <c r="CC876" s="47"/>
      <c r="CD876" s="47"/>
      <c r="CE876" s="47"/>
      <c r="CF876" s="47"/>
      <c r="CG876" s="47"/>
      <c r="CH876" s="47"/>
      <c r="CI876" s="47"/>
      <c r="CJ876" s="47"/>
      <c r="CK876" s="47"/>
      <c r="CL876" s="47"/>
      <c r="CM876" s="47"/>
      <c r="CN876" s="47"/>
      <c r="CO876" s="47"/>
      <c r="CP876" s="47"/>
      <c r="CQ876" s="47"/>
      <c r="CR876" s="47"/>
      <c r="CS876" s="47"/>
      <c r="CT876" s="47"/>
      <c r="CU876" s="47"/>
      <c r="CV876" s="47"/>
      <c r="CW876" s="47"/>
      <c r="CX876" s="47"/>
      <c r="CY876" s="47"/>
      <c r="CZ876" s="47"/>
      <c r="DA876" s="47"/>
      <c r="DB876" s="47"/>
      <c r="DC876" s="47"/>
      <c r="DD876" s="47"/>
      <c r="DE876" s="47"/>
      <c r="DF876" s="47"/>
      <c r="DG876" s="47"/>
      <c r="DH876" s="47"/>
    </row>
    <row r="877">
      <c r="A877" s="64"/>
      <c r="B877" s="47"/>
      <c r="C877" s="47"/>
      <c r="D877" s="47"/>
      <c r="E877" s="47"/>
      <c r="F877" s="47"/>
      <c r="G877" s="46"/>
      <c r="H877" s="42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  <c r="BL877" s="47"/>
      <c r="BM877" s="47"/>
      <c r="BN877" s="47"/>
      <c r="BO877" s="47"/>
      <c r="BP877" s="47"/>
      <c r="BQ877" s="47"/>
      <c r="BR877" s="47"/>
      <c r="BS877" s="47"/>
      <c r="BT877" s="47"/>
      <c r="BU877" s="47"/>
      <c r="BV877" s="47"/>
      <c r="BW877" s="47"/>
      <c r="BX877" s="47"/>
      <c r="BY877" s="47"/>
      <c r="BZ877" s="47"/>
      <c r="CA877" s="47"/>
      <c r="CB877" s="47"/>
      <c r="CC877" s="47"/>
      <c r="CD877" s="47"/>
      <c r="CE877" s="47"/>
      <c r="CF877" s="47"/>
      <c r="CG877" s="47"/>
      <c r="CH877" s="47"/>
      <c r="CI877" s="47"/>
      <c r="CJ877" s="47"/>
      <c r="CK877" s="47"/>
      <c r="CL877" s="47"/>
      <c r="CM877" s="47"/>
      <c r="CN877" s="47"/>
      <c r="CO877" s="47"/>
      <c r="CP877" s="47"/>
      <c r="CQ877" s="47"/>
      <c r="CR877" s="47"/>
      <c r="CS877" s="47"/>
      <c r="CT877" s="47"/>
      <c r="CU877" s="47"/>
      <c r="CV877" s="47"/>
      <c r="CW877" s="47"/>
      <c r="CX877" s="47"/>
      <c r="CY877" s="47"/>
      <c r="CZ877" s="47"/>
      <c r="DA877" s="47"/>
      <c r="DB877" s="47"/>
      <c r="DC877" s="47"/>
      <c r="DD877" s="47"/>
      <c r="DE877" s="47"/>
      <c r="DF877" s="47"/>
      <c r="DG877" s="47"/>
      <c r="DH877" s="47"/>
    </row>
    <row r="878">
      <c r="A878" s="64"/>
      <c r="B878" s="47"/>
      <c r="C878" s="47"/>
      <c r="D878" s="47"/>
      <c r="E878" s="47"/>
      <c r="F878" s="47"/>
      <c r="G878" s="46"/>
      <c r="H878" s="42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  <c r="BL878" s="47"/>
      <c r="BM878" s="47"/>
      <c r="BN878" s="47"/>
      <c r="BO878" s="47"/>
      <c r="BP878" s="47"/>
      <c r="BQ878" s="47"/>
      <c r="BR878" s="47"/>
      <c r="BS878" s="47"/>
      <c r="BT878" s="47"/>
      <c r="BU878" s="47"/>
      <c r="BV878" s="47"/>
      <c r="BW878" s="47"/>
      <c r="BX878" s="47"/>
      <c r="BY878" s="47"/>
      <c r="BZ878" s="47"/>
      <c r="CA878" s="47"/>
      <c r="CB878" s="47"/>
      <c r="CC878" s="47"/>
      <c r="CD878" s="47"/>
      <c r="CE878" s="47"/>
      <c r="CF878" s="47"/>
      <c r="CG878" s="47"/>
      <c r="CH878" s="47"/>
      <c r="CI878" s="47"/>
      <c r="CJ878" s="47"/>
      <c r="CK878" s="47"/>
      <c r="CL878" s="47"/>
      <c r="CM878" s="47"/>
      <c r="CN878" s="47"/>
      <c r="CO878" s="47"/>
      <c r="CP878" s="47"/>
      <c r="CQ878" s="47"/>
      <c r="CR878" s="47"/>
      <c r="CS878" s="47"/>
      <c r="CT878" s="47"/>
      <c r="CU878" s="47"/>
      <c r="CV878" s="47"/>
      <c r="CW878" s="47"/>
      <c r="CX878" s="47"/>
      <c r="CY878" s="47"/>
      <c r="CZ878" s="47"/>
      <c r="DA878" s="47"/>
      <c r="DB878" s="47"/>
      <c r="DC878" s="47"/>
      <c r="DD878" s="47"/>
      <c r="DE878" s="47"/>
      <c r="DF878" s="47"/>
      <c r="DG878" s="47"/>
      <c r="DH878" s="47"/>
    </row>
    <row r="879">
      <c r="A879" s="64"/>
      <c r="B879" s="47"/>
      <c r="C879" s="47"/>
      <c r="D879" s="47"/>
      <c r="E879" s="47"/>
      <c r="F879" s="47"/>
      <c r="G879" s="46"/>
      <c r="H879" s="42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  <c r="BL879" s="47"/>
      <c r="BM879" s="47"/>
      <c r="BN879" s="47"/>
      <c r="BO879" s="47"/>
      <c r="BP879" s="47"/>
      <c r="BQ879" s="47"/>
      <c r="BR879" s="47"/>
      <c r="BS879" s="47"/>
      <c r="BT879" s="47"/>
      <c r="BU879" s="47"/>
      <c r="BV879" s="47"/>
      <c r="BW879" s="47"/>
      <c r="BX879" s="47"/>
      <c r="BY879" s="47"/>
      <c r="BZ879" s="47"/>
      <c r="CA879" s="47"/>
      <c r="CB879" s="47"/>
      <c r="CC879" s="47"/>
      <c r="CD879" s="47"/>
      <c r="CE879" s="47"/>
      <c r="CF879" s="47"/>
      <c r="CG879" s="47"/>
      <c r="CH879" s="47"/>
      <c r="CI879" s="47"/>
      <c r="CJ879" s="47"/>
      <c r="CK879" s="47"/>
      <c r="CL879" s="47"/>
      <c r="CM879" s="47"/>
      <c r="CN879" s="47"/>
      <c r="CO879" s="47"/>
      <c r="CP879" s="47"/>
      <c r="CQ879" s="47"/>
      <c r="CR879" s="47"/>
      <c r="CS879" s="47"/>
      <c r="CT879" s="47"/>
      <c r="CU879" s="47"/>
      <c r="CV879" s="47"/>
      <c r="CW879" s="47"/>
      <c r="CX879" s="47"/>
      <c r="CY879" s="47"/>
      <c r="CZ879" s="47"/>
      <c r="DA879" s="47"/>
      <c r="DB879" s="47"/>
      <c r="DC879" s="47"/>
      <c r="DD879" s="47"/>
      <c r="DE879" s="47"/>
      <c r="DF879" s="47"/>
      <c r="DG879" s="47"/>
      <c r="DH879" s="47"/>
    </row>
    <row r="880">
      <c r="A880" s="64"/>
      <c r="B880" s="47"/>
      <c r="C880" s="47"/>
      <c r="D880" s="47"/>
      <c r="E880" s="47"/>
      <c r="F880" s="47"/>
      <c r="G880" s="46"/>
      <c r="H880" s="42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  <c r="BL880" s="47"/>
      <c r="BM880" s="47"/>
      <c r="BN880" s="47"/>
      <c r="BO880" s="47"/>
      <c r="BP880" s="47"/>
      <c r="BQ880" s="47"/>
      <c r="BR880" s="47"/>
      <c r="BS880" s="47"/>
      <c r="BT880" s="47"/>
      <c r="BU880" s="47"/>
      <c r="BV880" s="47"/>
      <c r="BW880" s="47"/>
      <c r="BX880" s="47"/>
      <c r="BY880" s="47"/>
      <c r="BZ880" s="47"/>
      <c r="CA880" s="47"/>
      <c r="CB880" s="47"/>
      <c r="CC880" s="47"/>
      <c r="CD880" s="47"/>
      <c r="CE880" s="47"/>
      <c r="CF880" s="47"/>
      <c r="CG880" s="47"/>
      <c r="CH880" s="47"/>
      <c r="CI880" s="47"/>
      <c r="CJ880" s="47"/>
      <c r="CK880" s="47"/>
      <c r="CL880" s="47"/>
      <c r="CM880" s="47"/>
      <c r="CN880" s="47"/>
      <c r="CO880" s="47"/>
      <c r="CP880" s="47"/>
      <c r="CQ880" s="47"/>
      <c r="CR880" s="47"/>
      <c r="CS880" s="47"/>
      <c r="CT880" s="47"/>
      <c r="CU880" s="47"/>
      <c r="CV880" s="47"/>
      <c r="CW880" s="47"/>
      <c r="CX880" s="47"/>
      <c r="CY880" s="47"/>
      <c r="CZ880" s="47"/>
      <c r="DA880" s="47"/>
      <c r="DB880" s="47"/>
      <c r="DC880" s="47"/>
      <c r="DD880" s="47"/>
      <c r="DE880" s="47"/>
      <c r="DF880" s="47"/>
      <c r="DG880" s="47"/>
      <c r="DH880" s="47"/>
    </row>
    <row r="881">
      <c r="A881" s="64"/>
      <c r="B881" s="47"/>
      <c r="C881" s="47"/>
      <c r="D881" s="47"/>
      <c r="E881" s="47"/>
      <c r="F881" s="47"/>
      <c r="G881" s="46"/>
      <c r="H881" s="42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  <c r="BJ881" s="47"/>
      <c r="BK881" s="47"/>
      <c r="BL881" s="47"/>
      <c r="BM881" s="47"/>
      <c r="BN881" s="47"/>
      <c r="BO881" s="47"/>
      <c r="BP881" s="47"/>
      <c r="BQ881" s="47"/>
      <c r="BR881" s="47"/>
      <c r="BS881" s="47"/>
      <c r="BT881" s="47"/>
      <c r="BU881" s="47"/>
      <c r="BV881" s="47"/>
      <c r="BW881" s="47"/>
      <c r="BX881" s="47"/>
      <c r="BY881" s="47"/>
      <c r="BZ881" s="47"/>
      <c r="CA881" s="47"/>
      <c r="CB881" s="47"/>
      <c r="CC881" s="47"/>
      <c r="CD881" s="47"/>
      <c r="CE881" s="47"/>
      <c r="CF881" s="47"/>
      <c r="CG881" s="47"/>
      <c r="CH881" s="47"/>
      <c r="CI881" s="47"/>
      <c r="CJ881" s="47"/>
      <c r="CK881" s="47"/>
      <c r="CL881" s="47"/>
      <c r="CM881" s="47"/>
      <c r="CN881" s="47"/>
      <c r="CO881" s="47"/>
      <c r="CP881" s="47"/>
      <c r="CQ881" s="47"/>
      <c r="CR881" s="47"/>
      <c r="CS881" s="47"/>
      <c r="CT881" s="47"/>
      <c r="CU881" s="47"/>
      <c r="CV881" s="47"/>
      <c r="CW881" s="47"/>
      <c r="CX881" s="47"/>
      <c r="CY881" s="47"/>
      <c r="CZ881" s="47"/>
      <c r="DA881" s="47"/>
      <c r="DB881" s="47"/>
      <c r="DC881" s="47"/>
      <c r="DD881" s="47"/>
      <c r="DE881" s="47"/>
      <c r="DF881" s="47"/>
      <c r="DG881" s="47"/>
      <c r="DH881" s="47"/>
    </row>
    <row r="882">
      <c r="A882" s="64"/>
      <c r="B882" s="47"/>
      <c r="C882" s="47"/>
      <c r="D882" s="47"/>
      <c r="E882" s="47"/>
      <c r="F882" s="47"/>
      <c r="G882" s="46"/>
      <c r="H882" s="42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  <c r="BJ882" s="47"/>
      <c r="BK882" s="47"/>
      <c r="BL882" s="47"/>
      <c r="BM882" s="47"/>
      <c r="BN882" s="47"/>
      <c r="BO882" s="47"/>
      <c r="BP882" s="47"/>
      <c r="BQ882" s="47"/>
      <c r="BR882" s="47"/>
      <c r="BS882" s="47"/>
      <c r="BT882" s="47"/>
      <c r="BU882" s="47"/>
      <c r="BV882" s="47"/>
      <c r="BW882" s="47"/>
      <c r="BX882" s="47"/>
      <c r="BY882" s="47"/>
      <c r="BZ882" s="47"/>
      <c r="CA882" s="47"/>
      <c r="CB882" s="47"/>
      <c r="CC882" s="47"/>
      <c r="CD882" s="47"/>
      <c r="CE882" s="47"/>
      <c r="CF882" s="47"/>
      <c r="CG882" s="47"/>
      <c r="CH882" s="47"/>
      <c r="CI882" s="47"/>
      <c r="CJ882" s="47"/>
      <c r="CK882" s="47"/>
      <c r="CL882" s="47"/>
      <c r="CM882" s="47"/>
      <c r="CN882" s="47"/>
      <c r="CO882" s="47"/>
      <c r="CP882" s="47"/>
      <c r="CQ882" s="47"/>
      <c r="CR882" s="47"/>
      <c r="CS882" s="47"/>
      <c r="CT882" s="47"/>
      <c r="CU882" s="47"/>
      <c r="CV882" s="47"/>
      <c r="CW882" s="47"/>
      <c r="CX882" s="47"/>
      <c r="CY882" s="47"/>
      <c r="CZ882" s="47"/>
      <c r="DA882" s="47"/>
      <c r="DB882" s="47"/>
      <c r="DC882" s="47"/>
      <c r="DD882" s="47"/>
      <c r="DE882" s="47"/>
      <c r="DF882" s="47"/>
      <c r="DG882" s="47"/>
      <c r="DH882" s="47"/>
    </row>
    <row r="883">
      <c r="A883" s="64"/>
      <c r="B883" s="47"/>
      <c r="C883" s="47"/>
      <c r="D883" s="47"/>
      <c r="E883" s="47"/>
      <c r="F883" s="47"/>
      <c r="G883" s="46"/>
      <c r="H883" s="42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  <c r="BL883" s="47"/>
      <c r="BM883" s="47"/>
      <c r="BN883" s="47"/>
      <c r="BO883" s="47"/>
      <c r="BP883" s="47"/>
      <c r="BQ883" s="47"/>
      <c r="BR883" s="47"/>
      <c r="BS883" s="47"/>
      <c r="BT883" s="47"/>
      <c r="BU883" s="47"/>
      <c r="BV883" s="47"/>
      <c r="BW883" s="47"/>
      <c r="BX883" s="47"/>
      <c r="BY883" s="47"/>
      <c r="BZ883" s="47"/>
      <c r="CA883" s="47"/>
      <c r="CB883" s="47"/>
      <c r="CC883" s="47"/>
      <c r="CD883" s="47"/>
      <c r="CE883" s="47"/>
      <c r="CF883" s="47"/>
      <c r="CG883" s="47"/>
      <c r="CH883" s="47"/>
      <c r="CI883" s="47"/>
      <c r="CJ883" s="47"/>
      <c r="CK883" s="47"/>
      <c r="CL883" s="47"/>
      <c r="CM883" s="47"/>
      <c r="CN883" s="47"/>
      <c r="CO883" s="47"/>
      <c r="CP883" s="47"/>
      <c r="CQ883" s="47"/>
      <c r="CR883" s="47"/>
      <c r="CS883" s="47"/>
      <c r="CT883" s="47"/>
      <c r="CU883" s="47"/>
      <c r="CV883" s="47"/>
      <c r="CW883" s="47"/>
      <c r="CX883" s="47"/>
      <c r="CY883" s="47"/>
      <c r="CZ883" s="47"/>
      <c r="DA883" s="47"/>
      <c r="DB883" s="47"/>
      <c r="DC883" s="47"/>
      <c r="DD883" s="47"/>
      <c r="DE883" s="47"/>
      <c r="DF883" s="47"/>
      <c r="DG883" s="47"/>
      <c r="DH883" s="47"/>
    </row>
    <row r="884">
      <c r="A884" s="64"/>
      <c r="B884" s="47"/>
      <c r="C884" s="47"/>
      <c r="D884" s="47"/>
      <c r="E884" s="47"/>
      <c r="F884" s="47"/>
      <c r="G884" s="46"/>
      <c r="H884" s="42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  <c r="BL884" s="47"/>
      <c r="BM884" s="47"/>
      <c r="BN884" s="47"/>
      <c r="BO884" s="47"/>
      <c r="BP884" s="47"/>
      <c r="BQ884" s="47"/>
      <c r="BR884" s="47"/>
      <c r="BS884" s="47"/>
      <c r="BT884" s="47"/>
      <c r="BU884" s="47"/>
      <c r="BV884" s="47"/>
      <c r="BW884" s="47"/>
      <c r="BX884" s="47"/>
      <c r="BY884" s="47"/>
      <c r="BZ884" s="47"/>
      <c r="CA884" s="47"/>
      <c r="CB884" s="47"/>
      <c r="CC884" s="47"/>
      <c r="CD884" s="47"/>
      <c r="CE884" s="47"/>
      <c r="CF884" s="47"/>
      <c r="CG884" s="47"/>
      <c r="CH884" s="47"/>
      <c r="CI884" s="47"/>
      <c r="CJ884" s="47"/>
      <c r="CK884" s="47"/>
      <c r="CL884" s="47"/>
      <c r="CM884" s="47"/>
      <c r="CN884" s="47"/>
      <c r="CO884" s="47"/>
      <c r="CP884" s="47"/>
      <c r="CQ884" s="47"/>
      <c r="CR884" s="47"/>
      <c r="CS884" s="47"/>
      <c r="CT884" s="47"/>
      <c r="CU884" s="47"/>
      <c r="CV884" s="47"/>
      <c r="CW884" s="47"/>
      <c r="CX884" s="47"/>
      <c r="CY884" s="47"/>
      <c r="CZ884" s="47"/>
      <c r="DA884" s="47"/>
      <c r="DB884" s="47"/>
      <c r="DC884" s="47"/>
      <c r="DD884" s="47"/>
      <c r="DE884" s="47"/>
      <c r="DF884" s="47"/>
      <c r="DG884" s="47"/>
      <c r="DH884" s="47"/>
    </row>
    <row r="885">
      <c r="A885" s="64"/>
      <c r="B885" s="47"/>
      <c r="C885" s="47"/>
      <c r="D885" s="47"/>
      <c r="E885" s="47"/>
      <c r="F885" s="47"/>
      <c r="G885" s="46"/>
      <c r="H885" s="42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  <c r="BK885" s="47"/>
      <c r="BL885" s="47"/>
      <c r="BM885" s="47"/>
      <c r="BN885" s="47"/>
      <c r="BO885" s="47"/>
      <c r="BP885" s="47"/>
      <c r="BQ885" s="47"/>
      <c r="BR885" s="47"/>
      <c r="BS885" s="47"/>
      <c r="BT885" s="47"/>
      <c r="BU885" s="47"/>
      <c r="BV885" s="47"/>
      <c r="BW885" s="47"/>
      <c r="BX885" s="47"/>
      <c r="BY885" s="47"/>
      <c r="BZ885" s="47"/>
      <c r="CA885" s="47"/>
      <c r="CB885" s="47"/>
      <c r="CC885" s="47"/>
      <c r="CD885" s="47"/>
      <c r="CE885" s="47"/>
      <c r="CF885" s="47"/>
      <c r="CG885" s="47"/>
      <c r="CH885" s="47"/>
      <c r="CI885" s="47"/>
      <c r="CJ885" s="47"/>
      <c r="CK885" s="47"/>
      <c r="CL885" s="47"/>
      <c r="CM885" s="47"/>
      <c r="CN885" s="47"/>
      <c r="CO885" s="47"/>
      <c r="CP885" s="47"/>
      <c r="CQ885" s="47"/>
      <c r="CR885" s="47"/>
      <c r="CS885" s="47"/>
      <c r="CT885" s="47"/>
      <c r="CU885" s="47"/>
      <c r="CV885" s="47"/>
      <c r="CW885" s="47"/>
      <c r="CX885" s="47"/>
      <c r="CY885" s="47"/>
      <c r="CZ885" s="47"/>
      <c r="DA885" s="47"/>
      <c r="DB885" s="47"/>
      <c r="DC885" s="47"/>
      <c r="DD885" s="47"/>
      <c r="DE885" s="47"/>
      <c r="DF885" s="47"/>
      <c r="DG885" s="47"/>
      <c r="DH885" s="47"/>
    </row>
    <row r="886">
      <c r="A886" s="64"/>
      <c r="B886" s="47"/>
      <c r="C886" s="47"/>
      <c r="D886" s="47"/>
      <c r="E886" s="47"/>
      <c r="F886" s="47"/>
      <c r="G886" s="46"/>
      <c r="H886" s="42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  <c r="BJ886" s="47"/>
      <c r="BK886" s="47"/>
      <c r="BL886" s="47"/>
      <c r="BM886" s="47"/>
      <c r="BN886" s="47"/>
      <c r="BO886" s="47"/>
      <c r="BP886" s="47"/>
      <c r="BQ886" s="47"/>
      <c r="BR886" s="47"/>
      <c r="BS886" s="47"/>
      <c r="BT886" s="47"/>
      <c r="BU886" s="47"/>
      <c r="BV886" s="47"/>
      <c r="BW886" s="47"/>
      <c r="BX886" s="47"/>
      <c r="BY886" s="47"/>
      <c r="BZ886" s="47"/>
      <c r="CA886" s="47"/>
      <c r="CB886" s="47"/>
      <c r="CC886" s="47"/>
      <c r="CD886" s="47"/>
      <c r="CE886" s="47"/>
      <c r="CF886" s="47"/>
      <c r="CG886" s="47"/>
      <c r="CH886" s="47"/>
      <c r="CI886" s="47"/>
      <c r="CJ886" s="47"/>
      <c r="CK886" s="47"/>
      <c r="CL886" s="47"/>
      <c r="CM886" s="47"/>
      <c r="CN886" s="47"/>
      <c r="CO886" s="47"/>
      <c r="CP886" s="47"/>
      <c r="CQ886" s="47"/>
      <c r="CR886" s="47"/>
      <c r="CS886" s="47"/>
      <c r="CT886" s="47"/>
      <c r="CU886" s="47"/>
      <c r="CV886" s="47"/>
      <c r="CW886" s="47"/>
      <c r="CX886" s="47"/>
      <c r="CY886" s="47"/>
      <c r="CZ886" s="47"/>
      <c r="DA886" s="47"/>
      <c r="DB886" s="47"/>
      <c r="DC886" s="47"/>
      <c r="DD886" s="47"/>
      <c r="DE886" s="47"/>
      <c r="DF886" s="47"/>
      <c r="DG886" s="47"/>
      <c r="DH886" s="47"/>
    </row>
    <row r="887">
      <c r="A887" s="64"/>
      <c r="B887" s="47"/>
      <c r="C887" s="47"/>
      <c r="D887" s="47"/>
      <c r="E887" s="47"/>
      <c r="F887" s="47"/>
      <c r="G887" s="46"/>
      <c r="H887" s="42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  <c r="BJ887" s="47"/>
      <c r="BK887" s="47"/>
      <c r="BL887" s="47"/>
      <c r="BM887" s="47"/>
      <c r="BN887" s="47"/>
      <c r="BO887" s="47"/>
      <c r="BP887" s="47"/>
      <c r="BQ887" s="47"/>
      <c r="BR887" s="47"/>
      <c r="BS887" s="47"/>
      <c r="BT887" s="47"/>
      <c r="BU887" s="47"/>
      <c r="BV887" s="47"/>
      <c r="BW887" s="47"/>
      <c r="BX887" s="47"/>
      <c r="BY887" s="47"/>
      <c r="BZ887" s="47"/>
      <c r="CA887" s="47"/>
      <c r="CB887" s="47"/>
      <c r="CC887" s="47"/>
      <c r="CD887" s="47"/>
      <c r="CE887" s="47"/>
      <c r="CF887" s="47"/>
      <c r="CG887" s="47"/>
      <c r="CH887" s="47"/>
      <c r="CI887" s="47"/>
      <c r="CJ887" s="47"/>
      <c r="CK887" s="47"/>
      <c r="CL887" s="47"/>
      <c r="CM887" s="47"/>
      <c r="CN887" s="47"/>
      <c r="CO887" s="47"/>
      <c r="CP887" s="47"/>
      <c r="CQ887" s="47"/>
      <c r="CR887" s="47"/>
      <c r="CS887" s="47"/>
      <c r="CT887" s="47"/>
      <c r="CU887" s="47"/>
      <c r="CV887" s="47"/>
      <c r="CW887" s="47"/>
      <c r="CX887" s="47"/>
      <c r="CY887" s="47"/>
      <c r="CZ887" s="47"/>
      <c r="DA887" s="47"/>
      <c r="DB887" s="47"/>
      <c r="DC887" s="47"/>
      <c r="DD887" s="47"/>
      <c r="DE887" s="47"/>
      <c r="DF887" s="47"/>
      <c r="DG887" s="47"/>
      <c r="DH887" s="47"/>
    </row>
    <row r="888">
      <c r="A888" s="64"/>
      <c r="B888" s="47"/>
      <c r="C888" s="47"/>
      <c r="D888" s="47"/>
      <c r="E888" s="47"/>
      <c r="F888" s="47"/>
      <c r="G888" s="46"/>
      <c r="H888" s="42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  <c r="BJ888" s="47"/>
      <c r="BK888" s="47"/>
      <c r="BL888" s="47"/>
      <c r="BM888" s="47"/>
      <c r="BN888" s="47"/>
      <c r="BO888" s="47"/>
      <c r="BP888" s="47"/>
      <c r="BQ888" s="47"/>
      <c r="BR888" s="47"/>
      <c r="BS888" s="47"/>
      <c r="BT888" s="47"/>
      <c r="BU888" s="47"/>
      <c r="BV888" s="47"/>
      <c r="BW888" s="47"/>
      <c r="BX888" s="47"/>
      <c r="BY888" s="47"/>
      <c r="BZ888" s="47"/>
      <c r="CA888" s="47"/>
      <c r="CB888" s="47"/>
      <c r="CC888" s="47"/>
      <c r="CD888" s="47"/>
      <c r="CE888" s="47"/>
      <c r="CF888" s="47"/>
      <c r="CG888" s="47"/>
      <c r="CH888" s="47"/>
      <c r="CI888" s="47"/>
      <c r="CJ888" s="47"/>
      <c r="CK888" s="47"/>
      <c r="CL888" s="47"/>
      <c r="CM888" s="47"/>
      <c r="CN888" s="47"/>
      <c r="CO888" s="47"/>
      <c r="CP888" s="47"/>
      <c r="CQ888" s="47"/>
      <c r="CR888" s="47"/>
      <c r="CS888" s="47"/>
      <c r="CT888" s="47"/>
      <c r="CU888" s="47"/>
      <c r="CV888" s="47"/>
      <c r="CW888" s="47"/>
      <c r="CX888" s="47"/>
      <c r="CY888" s="47"/>
      <c r="CZ888" s="47"/>
      <c r="DA888" s="47"/>
      <c r="DB888" s="47"/>
      <c r="DC888" s="47"/>
      <c r="DD888" s="47"/>
      <c r="DE888" s="47"/>
      <c r="DF888" s="47"/>
      <c r="DG888" s="47"/>
      <c r="DH888" s="47"/>
    </row>
    <row r="889">
      <c r="A889" s="64"/>
      <c r="B889" s="47"/>
      <c r="C889" s="47"/>
      <c r="D889" s="47"/>
      <c r="E889" s="47"/>
      <c r="F889" s="47"/>
      <c r="G889" s="46"/>
      <c r="H889" s="42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  <c r="BJ889" s="47"/>
      <c r="BK889" s="47"/>
      <c r="BL889" s="47"/>
      <c r="BM889" s="47"/>
      <c r="BN889" s="47"/>
      <c r="BO889" s="47"/>
      <c r="BP889" s="47"/>
      <c r="BQ889" s="47"/>
      <c r="BR889" s="47"/>
      <c r="BS889" s="47"/>
      <c r="BT889" s="47"/>
      <c r="BU889" s="47"/>
      <c r="BV889" s="47"/>
      <c r="BW889" s="47"/>
      <c r="BX889" s="47"/>
      <c r="BY889" s="47"/>
      <c r="BZ889" s="47"/>
      <c r="CA889" s="47"/>
      <c r="CB889" s="47"/>
      <c r="CC889" s="47"/>
      <c r="CD889" s="47"/>
      <c r="CE889" s="47"/>
      <c r="CF889" s="47"/>
      <c r="CG889" s="47"/>
      <c r="CH889" s="47"/>
      <c r="CI889" s="47"/>
      <c r="CJ889" s="47"/>
      <c r="CK889" s="47"/>
      <c r="CL889" s="47"/>
      <c r="CM889" s="47"/>
      <c r="CN889" s="47"/>
      <c r="CO889" s="47"/>
      <c r="CP889" s="47"/>
      <c r="CQ889" s="47"/>
      <c r="CR889" s="47"/>
      <c r="CS889" s="47"/>
      <c r="CT889" s="47"/>
      <c r="CU889" s="47"/>
      <c r="CV889" s="47"/>
      <c r="CW889" s="47"/>
      <c r="CX889" s="47"/>
      <c r="CY889" s="47"/>
      <c r="CZ889" s="47"/>
      <c r="DA889" s="47"/>
      <c r="DB889" s="47"/>
      <c r="DC889" s="47"/>
      <c r="DD889" s="47"/>
      <c r="DE889" s="47"/>
      <c r="DF889" s="47"/>
      <c r="DG889" s="47"/>
      <c r="DH889" s="47"/>
    </row>
    <row r="890">
      <c r="A890" s="64"/>
      <c r="B890" s="47"/>
      <c r="C890" s="47"/>
      <c r="D890" s="47"/>
      <c r="E890" s="47"/>
      <c r="F890" s="47"/>
      <c r="G890" s="46"/>
      <c r="H890" s="42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  <c r="BJ890" s="47"/>
      <c r="BK890" s="47"/>
      <c r="BL890" s="47"/>
      <c r="BM890" s="47"/>
      <c r="BN890" s="47"/>
      <c r="BO890" s="47"/>
      <c r="BP890" s="47"/>
      <c r="BQ890" s="47"/>
      <c r="BR890" s="47"/>
      <c r="BS890" s="47"/>
      <c r="BT890" s="47"/>
      <c r="BU890" s="47"/>
      <c r="BV890" s="47"/>
      <c r="BW890" s="47"/>
      <c r="BX890" s="47"/>
      <c r="BY890" s="47"/>
      <c r="BZ890" s="47"/>
      <c r="CA890" s="47"/>
      <c r="CB890" s="47"/>
      <c r="CC890" s="47"/>
      <c r="CD890" s="47"/>
      <c r="CE890" s="47"/>
      <c r="CF890" s="47"/>
      <c r="CG890" s="47"/>
      <c r="CH890" s="47"/>
      <c r="CI890" s="47"/>
      <c r="CJ890" s="47"/>
      <c r="CK890" s="47"/>
      <c r="CL890" s="47"/>
      <c r="CM890" s="47"/>
      <c r="CN890" s="47"/>
      <c r="CO890" s="47"/>
      <c r="CP890" s="47"/>
      <c r="CQ890" s="47"/>
      <c r="CR890" s="47"/>
      <c r="CS890" s="47"/>
      <c r="CT890" s="47"/>
      <c r="CU890" s="47"/>
      <c r="CV890" s="47"/>
      <c r="CW890" s="47"/>
      <c r="CX890" s="47"/>
      <c r="CY890" s="47"/>
      <c r="CZ890" s="47"/>
      <c r="DA890" s="47"/>
      <c r="DB890" s="47"/>
      <c r="DC890" s="47"/>
      <c r="DD890" s="47"/>
      <c r="DE890" s="47"/>
      <c r="DF890" s="47"/>
      <c r="DG890" s="47"/>
      <c r="DH890" s="47"/>
    </row>
    <row r="891">
      <c r="A891" s="64"/>
      <c r="B891" s="47"/>
      <c r="C891" s="47"/>
      <c r="D891" s="47"/>
      <c r="E891" s="47"/>
      <c r="F891" s="47"/>
      <c r="G891" s="46"/>
      <c r="H891" s="42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  <c r="BJ891" s="47"/>
      <c r="BK891" s="47"/>
      <c r="BL891" s="47"/>
      <c r="BM891" s="47"/>
      <c r="BN891" s="47"/>
      <c r="BO891" s="47"/>
      <c r="BP891" s="47"/>
      <c r="BQ891" s="47"/>
      <c r="BR891" s="47"/>
      <c r="BS891" s="47"/>
      <c r="BT891" s="47"/>
      <c r="BU891" s="47"/>
      <c r="BV891" s="47"/>
      <c r="BW891" s="47"/>
      <c r="BX891" s="47"/>
      <c r="BY891" s="47"/>
      <c r="BZ891" s="47"/>
      <c r="CA891" s="47"/>
      <c r="CB891" s="47"/>
      <c r="CC891" s="47"/>
      <c r="CD891" s="47"/>
      <c r="CE891" s="47"/>
      <c r="CF891" s="47"/>
      <c r="CG891" s="47"/>
      <c r="CH891" s="47"/>
      <c r="CI891" s="47"/>
      <c r="CJ891" s="47"/>
      <c r="CK891" s="47"/>
      <c r="CL891" s="47"/>
      <c r="CM891" s="47"/>
      <c r="CN891" s="47"/>
      <c r="CO891" s="47"/>
      <c r="CP891" s="47"/>
      <c r="CQ891" s="47"/>
      <c r="CR891" s="47"/>
      <c r="CS891" s="47"/>
      <c r="CT891" s="47"/>
      <c r="CU891" s="47"/>
      <c r="CV891" s="47"/>
      <c r="CW891" s="47"/>
      <c r="CX891" s="47"/>
      <c r="CY891" s="47"/>
      <c r="CZ891" s="47"/>
      <c r="DA891" s="47"/>
      <c r="DB891" s="47"/>
      <c r="DC891" s="47"/>
      <c r="DD891" s="47"/>
      <c r="DE891" s="47"/>
      <c r="DF891" s="47"/>
      <c r="DG891" s="47"/>
      <c r="DH891" s="47"/>
    </row>
    <row r="892">
      <c r="A892" s="64"/>
      <c r="B892" s="47"/>
      <c r="C892" s="47"/>
      <c r="D892" s="47"/>
      <c r="E892" s="47"/>
      <c r="F892" s="47"/>
      <c r="G892" s="46"/>
      <c r="H892" s="42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  <c r="BL892" s="47"/>
      <c r="BM892" s="47"/>
      <c r="BN892" s="47"/>
      <c r="BO892" s="47"/>
      <c r="BP892" s="47"/>
      <c r="BQ892" s="47"/>
      <c r="BR892" s="47"/>
      <c r="BS892" s="47"/>
      <c r="BT892" s="47"/>
      <c r="BU892" s="47"/>
      <c r="BV892" s="47"/>
      <c r="BW892" s="47"/>
      <c r="BX892" s="47"/>
      <c r="BY892" s="47"/>
      <c r="BZ892" s="47"/>
      <c r="CA892" s="47"/>
      <c r="CB892" s="47"/>
      <c r="CC892" s="47"/>
      <c r="CD892" s="47"/>
      <c r="CE892" s="47"/>
      <c r="CF892" s="47"/>
      <c r="CG892" s="47"/>
      <c r="CH892" s="47"/>
      <c r="CI892" s="47"/>
      <c r="CJ892" s="47"/>
      <c r="CK892" s="47"/>
      <c r="CL892" s="47"/>
      <c r="CM892" s="47"/>
      <c r="CN892" s="47"/>
      <c r="CO892" s="47"/>
      <c r="CP892" s="47"/>
      <c r="CQ892" s="47"/>
      <c r="CR892" s="47"/>
      <c r="CS892" s="47"/>
      <c r="CT892" s="47"/>
      <c r="CU892" s="47"/>
      <c r="CV892" s="47"/>
      <c r="CW892" s="47"/>
      <c r="CX892" s="47"/>
      <c r="CY892" s="47"/>
      <c r="CZ892" s="47"/>
      <c r="DA892" s="47"/>
      <c r="DB892" s="47"/>
      <c r="DC892" s="47"/>
      <c r="DD892" s="47"/>
      <c r="DE892" s="47"/>
      <c r="DF892" s="47"/>
      <c r="DG892" s="47"/>
      <c r="DH892" s="47"/>
    </row>
    <row r="893">
      <c r="A893" s="64"/>
      <c r="B893" s="47"/>
      <c r="C893" s="47"/>
      <c r="D893" s="47"/>
      <c r="E893" s="47"/>
      <c r="F893" s="47"/>
      <c r="G893" s="46"/>
      <c r="H893" s="42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  <c r="BJ893" s="47"/>
      <c r="BK893" s="47"/>
      <c r="BL893" s="47"/>
      <c r="BM893" s="47"/>
      <c r="BN893" s="47"/>
      <c r="BO893" s="47"/>
      <c r="BP893" s="47"/>
      <c r="BQ893" s="47"/>
      <c r="BR893" s="47"/>
      <c r="BS893" s="47"/>
      <c r="BT893" s="47"/>
      <c r="BU893" s="47"/>
      <c r="BV893" s="47"/>
      <c r="BW893" s="47"/>
      <c r="BX893" s="47"/>
      <c r="BY893" s="47"/>
      <c r="BZ893" s="47"/>
      <c r="CA893" s="47"/>
      <c r="CB893" s="47"/>
      <c r="CC893" s="47"/>
      <c r="CD893" s="47"/>
      <c r="CE893" s="47"/>
      <c r="CF893" s="47"/>
      <c r="CG893" s="47"/>
      <c r="CH893" s="47"/>
      <c r="CI893" s="47"/>
      <c r="CJ893" s="47"/>
      <c r="CK893" s="47"/>
      <c r="CL893" s="47"/>
      <c r="CM893" s="47"/>
      <c r="CN893" s="47"/>
      <c r="CO893" s="47"/>
      <c r="CP893" s="47"/>
      <c r="CQ893" s="47"/>
      <c r="CR893" s="47"/>
      <c r="CS893" s="47"/>
      <c r="CT893" s="47"/>
      <c r="CU893" s="47"/>
      <c r="CV893" s="47"/>
      <c r="CW893" s="47"/>
      <c r="CX893" s="47"/>
      <c r="CY893" s="47"/>
      <c r="CZ893" s="47"/>
      <c r="DA893" s="47"/>
      <c r="DB893" s="47"/>
      <c r="DC893" s="47"/>
      <c r="DD893" s="47"/>
      <c r="DE893" s="47"/>
      <c r="DF893" s="47"/>
      <c r="DG893" s="47"/>
      <c r="DH893" s="47"/>
    </row>
    <row r="894">
      <c r="A894" s="64"/>
      <c r="B894" s="47"/>
      <c r="C894" s="47"/>
      <c r="D894" s="47"/>
      <c r="E894" s="47"/>
      <c r="F894" s="47"/>
      <c r="G894" s="46"/>
      <c r="H894" s="42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  <c r="BJ894" s="47"/>
      <c r="BK894" s="47"/>
      <c r="BL894" s="47"/>
      <c r="BM894" s="47"/>
      <c r="BN894" s="47"/>
      <c r="BO894" s="47"/>
      <c r="BP894" s="47"/>
      <c r="BQ894" s="47"/>
      <c r="BR894" s="47"/>
      <c r="BS894" s="47"/>
      <c r="BT894" s="47"/>
      <c r="BU894" s="47"/>
      <c r="BV894" s="47"/>
      <c r="BW894" s="47"/>
      <c r="BX894" s="47"/>
      <c r="BY894" s="47"/>
      <c r="BZ894" s="47"/>
      <c r="CA894" s="47"/>
      <c r="CB894" s="47"/>
      <c r="CC894" s="47"/>
      <c r="CD894" s="47"/>
      <c r="CE894" s="47"/>
      <c r="CF894" s="47"/>
      <c r="CG894" s="47"/>
      <c r="CH894" s="47"/>
      <c r="CI894" s="47"/>
      <c r="CJ894" s="47"/>
      <c r="CK894" s="47"/>
      <c r="CL894" s="47"/>
      <c r="CM894" s="47"/>
      <c r="CN894" s="47"/>
      <c r="CO894" s="47"/>
      <c r="CP894" s="47"/>
      <c r="CQ894" s="47"/>
      <c r="CR894" s="47"/>
      <c r="CS894" s="47"/>
      <c r="CT894" s="47"/>
      <c r="CU894" s="47"/>
      <c r="CV894" s="47"/>
      <c r="CW894" s="47"/>
      <c r="CX894" s="47"/>
      <c r="CY894" s="47"/>
      <c r="CZ894" s="47"/>
      <c r="DA894" s="47"/>
      <c r="DB894" s="47"/>
      <c r="DC894" s="47"/>
      <c r="DD894" s="47"/>
      <c r="DE894" s="47"/>
      <c r="DF894" s="47"/>
      <c r="DG894" s="47"/>
      <c r="DH894" s="47"/>
    </row>
    <row r="895">
      <c r="A895" s="64"/>
      <c r="B895" s="47"/>
      <c r="C895" s="47"/>
      <c r="D895" s="47"/>
      <c r="E895" s="47"/>
      <c r="F895" s="47"/>
      <c r="G895" s="46"/>
      <c r="H895" s="42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  <c r="BL895" s="47"/>
      <c r="BM895" s="47"/>
      <c r="BN895" s="47"/>
      <c r="BO895" s="47"/>
      <c r="BP895" s="47"/>
      <c r="BQ895" s="47"/>
      <c r="BR895" s="47"/>
      <c r="BS895" s="47"/>
      <c r="BT895" s="47"/>
      <c r="BU895" s="47"/>
      <c r="BV895" s="47"/>
      <c r="BW895" s="47"/>
      <c r="BX895" s="47"/>
      <c r="BY895" s="47"/>
      <c r="BZ895" s="47"/>
      <c r="CA895" s="47"/>
      <c r="CB895" s="47"/>
      <c r="CC895" s="47"/>
      <c r="CD895" s="47"/>
      <c r="CE895" s="47"/>
      <c r="CF895" s="47"/>
      <c r="CG895" s="47"/>
      <c r="CH895" s="47"/>
      <c r="CI895" s="47"/>
      <c r="CJ895" s="47"/>
      <c r="CK895" s="47"/>
      <c r="CL895" s="47"/>
      <c r="CM895" s="47"/>
      <c r="CN895" s="47"/>
      <c r="CO895" s="47"/>
      <c r="CP895" s="47"/>
      <c r="CQ895" s="47"/>
      <c r="CR895" s="47"/>
      <c r="CS895" s="47"/>
      <c r="CT895" s="47"/>
      <c r="CU895" s="47"/>
      <c r="CV895" s="47"/>
      <c r="CW895" s="47"/>
      <c r="CX895" s="47"/>
      <c r="CY895" s="47"/>
      <c r="CZ895" s="47"/>
      <c r="DA895" s="47"/>
      <c r="DB895" s="47"/>
      <c r="DC895" s="47"/>
      <c r="DD895" s="47"/>
      <c r="DE895" s="47"/>
      <c r="DF895" s="47"/>
      <c r="DG895" s="47"/>
      <c r="DH895" s="47"/>
    </row>
    <row r="896">
      <c r="A896" s="64"/>
      <c r="B896" s="47"/>
      <c r="C896" s="47"/>
      <c r="D896" s="47"/>
      <c r="E896" s="47"/>
      <c r="F896" s="47"/>
      <c r="G896" s="46"/>
      <c r="H896" s="42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/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47"/>
      <c r="CA896" s="47"/>
      <c r="CB896" s="47"/>
      <c r="CC896" s="47"/>
      <c r="CD896" s="47"/>
      <c r="CE896" s="47"/>
      <c r="CF896" s="47"/>
      <c r="CG896" s="47"/>
      <c r="CH896" s="47"/>
      <c r="CI896" s="47"/>
      <c r="CJ896" s="47"/>
      <c r="CK896" s="47"/>
      <c r="CL896" s="47"/>
      <c r="CM896" s="47"/>
      <c r="CN896" s="47"/>
      <c r="CO896" s="47"/>
      <c r="CP896" s="47"/>
      <c r="CQ896" s="47"/>
      <c r="CR896" s="47"/>
      <c r="CS896" s="47"/>
      <c r="CT896" s="47"/>
      <c r="CU896" s="47"/>
      <c r="CV896" s="47"/>
      <c r="CW896" s="47"/>
      <c r="CX896" s="47"/>
      <c r="CY896" s="47"/>
      <c r="CZ896" s="47"/>
      <c r="DA896" s="47"/>
      <c r="DB896" s="47"/>
      <c r="DC896" s="47"/>
      <c r="DD896" s="47"/>
      <c r="DE896" s="47"/>
      <c r="DF896" s="47"/>
      <c r="DG896" s="47"/>
      <c r="DH896" s="47"/>
    </row>
    <row r="897">
      <c r="A897" s="64"/>
      <c r="B897" s="47"/>
      <c r="C897" s="47"/>
      <c r="D897" s="47"/>
      <c r="E897" s="47"/>
      <c r="F897" s="47"/>
      <c r="G897" s="46"/>
      <c r="H897" s="42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  <c r="BJ897" s="47"/>
      <c r="BK897" s="47"/>
      <c r="BL897" s="47"/>
      <c r="BM897" s="47"/>
      <c r="BN897" s="47"/>
      <c r="BO897" s="47"/>
      <c r="BP897" s="47"/>
      <c r="BQ897" s="47"/>
      <c r="BR897" s="47"/>
      <c r="BS897" s="47"/>
      <c r="BT897" s="47"/>
      <c r="BU897" s="47"/>
      <c r="BV897" s="47"/>
      <c r="BW897" s="47"/>
      <c r="BX897" s="47"/>
      <c r="BY897" s="47"/>
      <c r="BZ897" s="47"/>
      <c r="CA897" s="47"/>
      <c r="CB897" s="47"/>
      <c r="CC897" s="47"/>
      <c r="CD897" s="47"/>
      <c r="CE897" s="47"/>
      <c r="CF897" s="47"/>
      <c r="CG897" s="47"/>
      <c r="CH897" s="47"/>
      <c r="CI897" s="47"/>
      <c r="CJ897" s="47"/>
      <c r="CK897" s="47"/>
      <c r="CL897" s="47"/>
      <c r="CM897" s="47"/>
      <c r="CN897" s="47"/>
      <c r="CO897" s="47"/>
      <c r="CP897" s="47"/>
      <c r="CQ897" s="47"/>
      <c r="CR897" s="47"/>
      <c r="CS897" s="47"/>
      <c r="CT897" s="47"/>
      <c r="CU897" s="47"/>
      <c r="CV897" s="47"/>
      <c r="CW897" s="47"/>
      <c r="CX897" s="47"/>
      <c r="CY897" s="47"/>
      <c r="CZ897" s="47"/>
      <c r="DA897" s="47"/>
      <c r="DB897" s="47"/>
      <c r="DC897" s="47"/>
      <c r="DD897" s="47"/>
      <c r="DE897" s="47"/>
      <c r="DF897" s="47"/>
      <c r="DG897" s="47"/>
      <c r="DH897" s="47"/>
    </row>
    <row r="898">
      <c r="A898" s="64"/>
      <c r="B898" s="47"/>
      <c r="C898" s="47"/>
      <c r="D898" s="47"/>
      <c r="E898" s="47"/>
      <c r="F898" s="47"/>
      <c r="G898" s="46"/>
      <c r="H898" s="42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  <c r="BJ898" s="47"/>
      <c r="BK898" s="47"/>
      <c r="BL898" s="47"/>
      <c r="BM898" s="47"/>
      <c r="BN898" s="47"/>
      <c r="BO898" s="47"/>
      <c r="BP898" s="47"/>
      <c r="BQ898" s="47"/>
      <c r="BR898" s="47"/>
      <c r="BS898" s="47"/>
      <c r="BT898" s="47"/>
      <c r="BU898" s="47"/>
      <c r="BV898" s="47"/>
      <c r="BW898" s="47"/>
      <c r="BX898" s="47"/>
      <c r="BY898" s="47"/>
      <c r="BZ898" s="47"/>
      <c r="CA898" s="47"/>
      <c r="CB898" s="47"/>
      <c r="CC898" s="47"/>
      <c r="CD898" s="47"/>
      <c r="CE898" s="47"/>
      <c r="CF898" s="47"/>
      <c r="CG898" s="47"/>
      <c r="CH898" s="47"/>
      <c r="CI898" s="47"/>
      <c r="CJ898" s="47"/>
      <c r="CK898" s="47"/>
      <c r="CL898" s="47"/>
      <c r="CM898" s="47"/>
      <c r="CN898" s="47"/>
      <c r="CO898" s="47"/>
      <c r="CP898" s="47"/>
      <c r="CQ898" s="47"/>
      <c r="CR898" s="47"/>
      <c r="CS898" s="47"/>
      <c r="CT898" s="47"/>
      <c r="CU898" s="47"/>
      <c r="CV898" s="47"/>
      <c r="CW898" s="47"/>
      <c r="CX898" s="47"/>
      <c r="CY898" s="47"/>
      <c r="CZ898" s="47"/>
      <c r="DA898" s="47"/>
      <c r="DB898" s="47"/>
      <c r="DC898" s="47"/>
      <c r="DD898" s="47"/>
      <c r="DE898" s="47"/>
      <c r="DF898" s="47"/>
      <c r="DG898" s="47"/>
      <c r="DH898" s="47"/>
    </row>
    <row r="899">
      <c r="A899" s="64"/>
      <c r="B899" s="47"/>
      <c r="C899" s="47"/>
      <c r="D899" s="47"/>
      <c r="E899" s="47"/>
      <c r="F899" s="47"/>
      <c r="G899" s="46"/>
      <c r="H899" s="42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  <c r="BJ899" s="47"/>
      <c r="BK899" s="47"/>
      <c r="BL899" s="47"/>
      <c r="BM899" s="47"/>
      <c r="BN899" s="47"/>
      <c r="BO899" s="47"/>
      <c r="BP899" s="47"/>
      <c r="BQ899" s="47"/>
      <c r="BR899" s="47"/>
      <c r="BS899" s="47"/>
      <c r="BT899" s="47"/>
      <c r="BU899" s="47"/>
      <c r="BV899" s="47"/>
      <c r="BW899" s="47"/>
      <c r="BX899" s="47"/>
      <c r="BY899" s="47"/>
      <c r="BZ899" s="47"/>
      <c r="CA899" s="47"/>
      <c r="CB899" s="47"/>
      <c r="CC899" s="47"/>
      <c r="CD899" s="47"/>
      <c r="CE899" s="47"/>
      <c r="CF899" s="47"/>
      <c r="CG899" s="47"/>
      <c r="CH899" s="47"/>
      <c r="CI899" s="47"/>
      <c r="CJ899" s="47"/>
      <c r="CK899" s="47"/>
      <c r="CL899" s="47"/>
      <c r="CM899" s="47"/>
      <c r="CN899" s="47"/>
      <c r="CO899" s="47"/>
      <c r="CP899" s="47"/>
      <c r="CQ899" s="47"/>
      <c r="CR899" s="47"/>
      <c r="CS899" s="47"/>
      <c r="CT899" s="47"/>
      <c r="CU899" s="47"/>
      <c r="CV899" s="47"/>
      <c r="CW899" s="47"/>
      <c r="CX899" s="47"/>
      <c r="CY899" s="47"/>
      <c r="CZ899" s="47"/>
      <c r="DA899" s="47"/>
      <c r="DB899" s="47"/>
      <c r="DC899" s="47"/>
      <c r="DD899" s="47"/>
      <c r="DE899" s="47"/>
      <c r="DF899" s="47"/>
      <c r="DG899" s="47"/>
      <c r="DH899" s="47"/>
    </row>
    <row r="900">
      <c r="A900" s="64"/>
      <c r="B900" s="47"/>
      <c r="C900" s="47"/>
      <c r="D900" s="47"/>
      <c r="E900" s="47"/>
      <c r="F900" s="47"/>
      <c r="G900" s="46"/>
      <c r="H900" s="42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  <c r="BJ900" s="47"/>
      <c r="BK900" s="47"/>
      <c r="BL900" s="47"/>
      <c r="BM900" s="47"/>
      <c r="BN900" s="47"/>
      <c r="BO900" s="47"/>
      <c r="BP900" s="47"/>
      <c r="BQ900" s="47"/>
      <c r="BR900" s="47"/>
      <c r="BS900" s="47"/>
      <c r="BT900" s="47"/>
      <c r="BU900" s="47"/>
      <c r="BV900" s="47"/>
      <c r="BW900" s="47"/>
      <c r="BX900" s="47"/>
      <c r="BY900" s="47"/>
      <c r="BZ900" s="47"/>
      <c r="CA900" s="47"/>
      <c r="CB900" s="47"/>
      <c r="CC900" s="47"/>
      <c r="CD900" s="47"/>
      <c r="CE900" s="47"/>
      <c r="CF900" s="47"/>
      <c r="CG900" s="47"/>
      <c r="CH900" s="47"/>
      <c r="CI900" s="47"/>
      <c r="CJ900" s="47"/>
      <c r="CK900" s="47"/>
      <c r="CL900" s="47"/>
      <c r="CM900" s="47"/>
      <c r="CN900" s="47"/>
      <c r="CO900" s="47"/>
      <c r="CP900" s="47"/>
      <c r="CQ900" s="47"/>
      <c r="CR900" s="47"/>
      <c r="CS900" s="47"/>
      <c r="CT900" s="47"/>
      <c r="CU900" s="47"/>
      <c r="CV900" s="47"/>
      <c r="CW900" s="47"/>
      <c r="CX900" s="47"/>
      <c r="CY900" s="47"/>
      <c r="CZ900" s="47"/>
      <c r="DA900" s="47"/>
      <c r="DB900" s="47"/>
      <c r="DC900" s="47"/>
      <c r="DD900" s="47"/>
      <c r="DE900" s="47"/>
      <c r="DF900" s="47"/>
      <c r="DG900" s="47"/>
      <c r="DH900" s="47"/>
    </row>
    <row r="901">
      <c r="A901" s="64"/>
      <c r="B901" s="47"/>
      <c r="C901" s="47"/>
      <c r="D901" s="47"/>
      <c r="E901" s="47"/>
      <c r="F901" s="47"/>
      <c r="G901" s="46"/>
      <c r="H901" s="42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  <c r="BJ901" s="47"/>
      <c r="BK901" s="47"/>
      <c r="BL901" s="47"/>
      <c r="BM901" s="47"/>
      <c r="BN901" s="47"/>
      <c r="BO901" s="47"/>
      <c r="BP901" s="47"/>
      <c r="BQ901" s="47"/>
      <c r="BR901" s="47"/>
      <c r="BS901" s="47"/>
      <c r="BT901" s="47"/>
      <c r="BU901" s="47"/>
      <c r="BV901" s="47"/>
      <c r="BW901" s="47"/>
      <c r="BX901" s="47"/>
      <c r="BY901" s="47"/>
      <c r="BZ901" s="47"/>
      <c r="CA901" s="47"/>
      <c r="CB901" s="47"/>
      <c r="CC901" s="47"/>
      <c r="CD901" s="47"/>
      <c r="CE901" s="47"/>
      <c r="CF901" s="47"/>
      <c r="CG901" s="47"/>
      <c r="CH901" s="47"/>
      <c r="CI901" s="47"/>
      <c r="CJ901" s="47"/>
      <c r="CK901" s="47"/>
      <c r="CL901" s="47"/>
      <c r="CM901" s="47"/>
      <c r="CN901" s="47"/>
      <c r="CO901" s="47"/>
      <c r="CP901" s="47"/>
      <c r="CQ901" s="47"/>
      <c r="CR901" s="47"/>
      <c r="CS901" s="47"/>
      <c r="CT901" s="47"/>
      <c r="CU901" s="47"/>
      <c r="CV901" s="47"/>
      <c r="CW901" s="47"/>
      <c r="CX901" s="47"/>
      <c r="CY901" s="47"/>
      <c r="CZ901" s="47"/>
      <c r="DA901" s="47"/>
      <c r="DB901" s="47"/>
      <c r="DC901" s="47"/>
      <c r="DD901" s="47"/>
      <c r="DE901" s="47"/>
      <c r="DF901" s="47"/>
      <c r="DG901" s="47"/>
      <c r="DH901" s="47"/>
    </row>
    <row r="902">
      <c r="A902" s="64"/>
      <c r="B902" s="47"/>
      <c r="C902" s="47"/>
      <c r="D902" s="47"/>
      <c r="E902" s="47"/>
      <c r="F902" s="47"/>
      <c r="G902" s="46"/>
      <c r="H902" s="42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/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47"/>
      <c r="CA902" s="47"/>
      <c r="CB902" s="47"/>
      <c r="CC902" s="47"/>
      <c r="CD902" s="47"/>
      <c r="CE902" s="47"/>
      <c r="CF902" s="47"/>
      <c r="CG902" s="47"/>
      <c r="CH902" s="47"/>
      <c r="CI902" s="47"/>
      <c r="CJ902" s="47"/>
      <c r="CK902" s="47"/>
      <c r="CL902" s="47"/>
      <c r="CM902" s="47"/>
      <c r="CN902" s="47"/>
      <c r="CO902" s="47"/>
      <c r="CP902" s="47"/>
      <c r="CQ902" s="47"/>
      <c r="CR902" s="47"/>
      <c r="CS902" s="47"/>
      <c r="CT902" s="47"/>
      <c r="CU902" s="47"/>
      <c r="CV902" s="47"/>
      <c r="CW902" s="47"/>
      <c r="CX902" s="47"/>
      <c r="CY902" s="47"/>
      <c r="CZ902" s="47"/>
      <c r="DA902" s="47"/>
      <c r="DB902" s="47"/>
      <c r="DC902" s="47"/>
      <c r="DD902" s="47"/>
      <c r="DE902" s="47"/>
      <c r="DF902" s="47"/>
      <c r="DG902" s="47"/>
      <c r="DH902" s="47"/>
    </row>
    <row r="903">
      <c r="A903" s="64"/>
      <c r="B903" s="47"/>
      <c r="C903" s="47"/>
      <c r="D903" s="47"/>
      <c r="E903" s="47"/>
      <c r="F903" s="47"/>
      <c r="G903" s="46"/>
      <c r="H903" s="42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  <c r="BJ903" s="47"/>
      <c r="BK903" s="47"/>
      <c r="BL903" s="47"/>
      <c r="BM903" s="47"/>
      <c r="BN903" s="47"/>
      <c r="BO903" s="47"/>
      <c r="BP903" s="47"/>
      <c r="BQ903" s="47"/>
      <c r="BR903" s="47"/>
      <c r="BS903" s="47"/>
      <c r="BT903" s="47"/>
      <c r="BU903" s="47"/>
      <c r="BV903" s="47"/>
      <c r="BW903" s="47"/>
      <c r="BX903" s="47"/>
      <c r="BY903" s="47"/>
      <c r="BZ903" s="47"/>
      <c r="CA903" s="47"/>
      <c r="CB903" s="47"/>
      <c r="CC903" s="47"/>
      <c r="CD903" s="47"/>
      <c r="CE903" s="47"/>
      <c r="CF903" s="47"/>
      <c r="CG903" s="47"/>
      <c r="CH903" s="47"/>
      <c r="CI903" s="47"/>
      <c r="CJ903" s="47"/>
      <c r="CK903" s="47"/>
      <c r="CL903" s="47"/>
      <c r="CM903" s="47"/>
      <c r="CN903" s="47"/>
      <c r="CO903" s="47"/>
      <c r="CP903" s="47"/>
      <c r="CQ903" s="47"/>
      <c r="CR903" s="47"/>
      <c r="CS903" s="47"/>
      <c r="CT903" s="47"/>
      <c r="CU903" s="47"/>
      <c r="CV903" s="47"/>
      <c r="CW903" s="47"/>
      <c r="CX903" s="47"/>
      <c r="CY903" s="47"/>
      <c r="CZ903" s="47"/>
      <c r="DA903" s="47"/>
      <c r="DB903" s="47"/>
      <c r="DC903" s="47"/>
      <c r="DD903" s="47"/>
      <c r="DE903" s="47"/>
      <c r="DF903" s="47"/>
      <c r="DG903" s="47"/>
      <c r="DH903" s="47"/>
    </row>
    <row r="904">
      <c r="A904" s="64"/>
      <c r="B904" s="47"/>
      <c r="C904" s="47"/>
      <c r="D904" s="47"/>
      <c r="E904" s="47"/>
      <c r="F904" s="47"/>
      <c r="G904" s="46"/>
      <c r="H904" s="42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  <c r="BJ904" s="47"/>
      <c r="BK904" s="47"/>
      <c r="BL904" s="47"/>
      <c r="BM904" s="47"/>
      <c r="BN904" s="47"/>
      <c r="BO904" s="47"/>
      <c r="BP904" s="47"/>
      <c r="BQ904" s="47"/>
      <c r="BR904" s="47"/>
      <c r="BS904" s="47"/>
      <c r="BT904" s="47"/>
      <c r="BU904" s="47"/>
      <c r="BV904" s="47"/>
      <c r="BW904" s="47"/>
      <c r="BX904" s="47"/>
      <c r="BY904" s="47"/>
      <c r="BZ904" s="47"/>
      <c r="CA904" s="47"/>
      <c r="CB904" s="47"/>
      <c r="CC904" s="47"/>
      <c r="CD904" s="47"/>
      <c r="CE904" s="47"/>
      <c r="CF904" s="47"/>
      <c r="CG904" s="47"/>
      <c r="CH904" s="47"/>
      <c r="CI904" s="47"/>
      <c r="CJ904" s="47"/>
      <c r="CK904" s="47"/>
      <c r="CL904" s="47"/>
      <c r="CM904" s="47"/>
      <c r="CN904" s="47"/>
      <c r="CO904" s="47"/>
      <c r="CP904" s="47"/>
      <c r="CQ904" s="47"/>
      <c r="CR904" s="47"/>
      <c r="CS904" s="47"/>
      <c r="CT904" s="47"/>
      <c r="CU904" s="47"/>
      <c r="CV904" s="47"/>
      <c r="CW904" s="47"/>
      <c r="CX904" s="47"/>
      <c r="CY904" s="47"/>
      <c r="CZ904" s="47"/>
      <c r="DA904" s="47"/>
      <c r="DB904" s="47"/>
      <c r="DC904" s="47"/>
      <c r="DD904" s="47"/>
      <c r="DE904" s="47"/>
      <c r="DF904" s="47"/>
      <c r="DG904" s="47"/>
      <c r="DH904" s="47"/>
    </row>
    <row r="905">
      <c r="A905" s="64"/>
      <c r="B905" s="47"/>
      <c r="C905" s="47"/>
      <c r="D905" s="47"/>
      <c r="E905" s="47"/>
      <c r="F905" s="47"/>
      <c r="G905" s="46"/>
      <c r="H905" s="42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  <c r="BJ905" s="47"/>
      <c r="BK905" s="47"/>
      <c r="BL905" s="47"/>
      <c r="BM905" s="47"/>
      <c r="BN905" s="47"/>
      <c r="BO905" s="47"/>
      <c r="BP905" s="47"/>
      <c r="BQ905" s="47"/>
      <c r="BR905" s="47"/>
      <c r="BS905" s="47"/>
      <c r="BT905" s="47"/>
      <c r="BU905" s="47"/>
      <c r="BV905" s="47"/>
      <c r="BW905" s="47"/>
      <c r="BX905" s="47"/>
      <c r="BY905" s="47"/>
      <c r="BZ905" s="47"/>
      <c r="CA905" s="47"/>
      <c r="CB905" s="47"/>
      <c r="CC905" s="47"/>
      <c r="CD905" s="47"/>
      <c r="CE905" s="47"/>
      <c r="CF905" s="47"/>
      <c r="CG905" s="47"/>
      <c r="CH905" s="47"/>
      <c r="CI905" s="47"/>
      <c r="CJ905" s="47"/>
      <c r="CK905" s="47"/>
      <c r="CL905" s="47"/>
      <c r="CM905" s="47"/>
      <c r="CN905" s="47"/>
      <c r="CO905" s="47"/>
      <c r="CP905" s="47"/>
      <c r="CQ905" s="47"/>
      <c r="CR905" s="47"/>
      <c r="CS905" s="47"/>
      <c r="CT905" s="47"/>
      <c r="CU905" s="47"/>
      <c r="CV905" s="47"/>
      <c r="CW905" s="47"/>
      <c r="CX905" s="47"/>
      <c r="CY905" s="47"/>
      <c r="CZ905" s="47"/>
      <c r="DA905" s="47"/>
      <c r="DB905" s="47"/>
      <c r="DC905" s="47"/>
      <c r="DD905" s="47"/>
      <c r="DE905" s="47"/>
      <c r="DF905" s="47"/>
      <c r="DG905" s="47"/>
      <c r="DH905" s="47"/>
    </row>
    <row r="906">
      <c r="A906" s="64"/>
      <c r="B906" s="47"/>
      <c r="C906" s="47"/>
      <c r="D906" s="47"/>
      <c r="E906" s="47"/>
      <c r="F906" s="47"/>
      <c r="G906" s="46"/>
      <c r="H906" s="42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  <c r="BJ906" s="47"/>
      <c r="BK906" s="47"/>
      <c r="BL906" s="47"/>
      <c r="BM906" s="47"/>
      <c r="BN906" s="47"/>
      <c r="BO906" s="47"/>
      <c r="BP906" s="47"/>
      <c r="BQ906" s="47"/>
      <c r="BR906" s="47"/>
      <c r="BS906" s="47"/>
      <c r="BT906" s="47"/>
      <c r="BU906" s="47"/>
      <c r="BV906" s="47"/>
      <c r="BW906" s="47"/>
      <c r="BX906" s="47"/>
      <c r="BY906" s="47"/>
      <c r="BZ906" s="47"/>
      <c r="CA906" s="47"/>
      <c r="CB906" s="47"/>
      <c r="CC906" s="47"/>
      <c r="CD906" s="47"/>
      <c r="CE906" s="47"/>
      <c r="CF906" s="47"/>
      <c r="CG906" s="47"/>
      <c r="CH906" s="47"/>
      <c r="CI906" s="47"/>
      <c r="CJ906" s="47"/>
      <c r="CK906" s="47"/>
      <c r="CL906" s="47"/>
      <c r="CM906" s="47"/>
      <c r="CN906" s="47"/>
      <c r="CO906" s="47"/>
      <c r="CP906" s="47"/>
      <c r="CQ906" s="47"/>
      <c r="CR906" s="47"/>
      <c r="CS906" s="47"/>
      <c r="CT906" s="47"/>
      <c r="CU906" s="47"/>
      <c r="CV906" s="47"/>
      <c r="CW906" s="47"/>
      <c r="CX906" s="47"/>
      <c r="CY906" s="47"/>
      <c r="CZ906" s="47"/>
      <c r="DA906" s="47"/>
      <c r="DB906" s="47"/>
      <c r="DC906" s="47"/>
      <c r="DD906" s="47"/>
      <c r="DE906" s="47"/>
      <c r="DF906" s="47"/>
      <c r="DG906" s="47"/>
      <c r="DH906" s="47"/>
    </row>
    <row r="907">
      <c r="A907" s="64"/>
      <c r="B907" s="47"/>
      <c r="C907" s="47"/>
      <c r="D907" s="47"/>
      <c r="E907" s="47"/>
      <c r="F907" s="47"/>
      <c r="G907" s="46"/>
      <c r="H907" s="42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  <c r="BJ907" s="47"/>
      <c r="BK907" s="47"/>
      <c r="BL907" s="47"/>
      <c r="BM907" s="47"/>
      <c r="BN907" s="47"/>
      <c r="BO907" s="47"/>
      <c r="BP907" s="47"/>
      <c r="BQ907" s="47"/>
      <c r="BR907" s="47"/>
      <c r="BS907" s="47"/>
      <c r="BT907" s="47"/>
      <c r="BU907" s="47"/>
      <c r="BV907" s="47"/>
      <c r="BW907" s="47"/>
      <c r="BX907" s="47"/>
      <c r="BY907" s="47"/>
      <c r="BZ907" s="47"/>
      <c r="CA907" s="47"/>
      <c r="CB907" s="47"/>
      <c r="CC907" s="47"/>
      <c r="CD907" s="47"/>
      <c r="CE907" s="47"/>
      <c r="CF907" s="47"/>
      <c r="CG907" s="47"/>
      <c r="CH907" s="47"/>
      <c r="CI907" s="47"/>
      <c r="CJ907" s="47"/>
      <c r="CK907" s="47"/>
      <c r="CL907" s="47"/>
      <c r="CM907" s="47"/>
      <c r="CN907" s="47"/>
      <c r="CO907" s="47"/>
      <c r="CP907" s="47"/>
      <c r="CQ907" s="47"/>
      <c r="CR907" s="47"/>
      <c r="CS907" s="47"/>
      <c r="CT907" s="47"/>
      <c r="CU907" s="47"/>
      <c r="CV907" s="47"/>
      <c r="CW907" s="47"/>
      <c r="CX907" s="47"/>
      <c r="CY907" s="47"/>
      <c r="CZ907" s="47"/>
      <c r="DA907" s="47"/>
      <c r="DB907" s="47"/>
      <c r="DC907" s="47"/>
      <c r="DD907" s="47"/>
      <c r="DE907" s="47"/>
      <c r="DF907" s="47"/>
      <c r="DG907" s="47"/>
      <c r="DH907" s="47"/>
    </row>
    <row r="908">
      <c r="A908" s="64"/>
      <c r="B908" s="47"/>
      <c r="C908" s="47"/>
      <c r="D908" s="47"/>
      <c r="E908" s="47"/>
      <c r="F908" s="47"/>
      <c r="G908" s="46"/>
      <c r="H908" s="42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  <c r="BJ908" s="47"/>
      <c r="BK908" s="47"/>
      <c r="BL908" s="47"/>
      <c r="BM908" s="47"/>
      <c r="BN908" s="47"/>
      <c r="BO908" s="47"/>
      <c r="BP908" s="47"/>
      <c r="BQ908" s="47"/>
      <c r="BR908" s="47"/>
      <c r="BS908" s="47"/>
      <c r="BT908" s="47"/>
      <c r="BU908" s="47"/>
      <c r="BV908" s="47"/>
      <c r="BW908" s="47"/>
      <c r="BX908" s="47"/>
      <c r="BY908" s="47"/>
      <c r="BZ908" s="47"/>
      <c r="CA908" s="47"/>
      <c r="CB908" s="47"/>
      <c r="CC908" s="47"/>
      <c r="CD908" s="47"/>
      <c r="CE908" s="47"/>
      <c r="CF908" s="47"/>
      <c r="CG908" s="47"/>
      <c r="CH908" s="47"/>
      <c r="CI908" s="47"/>
      <c r="CJ908" s="47"/>
      <c r="CK908" s="47"/>
      <c r="CL908" s="47"/>
      <c r="CM908" s="47"/>
      <c r="CN908" s="47"/>
      <c r="CO908" s="47"/>
      <c r="CP908" s="47"/>
      <c r="CQ908" s="47"/>
      <c r="CR908" s="47"/>
      <c r="CS908" s="47"/>
      <c r="CT908" s="47"/>
      <c r="CU908" s="47"/>
      <c r="CV908" s="47"/>
      <c r="CW908" s="47"/>
      <c r="CX908" s="47"/>
      <c r="CY908" s="47"/>
      <c r="CZ908" s="47"/>
      <c r="DA908" s="47"/>
      <c r="DB908" s="47"/>
      <c r="DC908" s="47"/>
      <c r="DD908" s="47"/>
      <c r="DE908" s="47"/>
      <c r="DF908" s="47"/>
      <c r="DG908" s="47"/>
      <c r="DH908" s="47"/>
    </row>
    <row r="909">
      <c r="A909" s="64"/>
      <c r="B909" s="47"/>
      <c r="C909" s="47"/>
      <c r="D909" s="47"/>
      <c r="E909" s="47"/>
      <c r="F909" s="47"/>
      <c r="G909" s="46"/>
      <c r="H909" s="42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  <c r="BJ909" s="47"/>
      <c r="BK909" s="47"/>
      <c r="BL909" s="47"/>
      <c r="BM909" s="47"/>
      <c r="BN909" s="47"/>
      <c r="BO909" s="47"/>
      <c r="BP909" s="47"/>
      <c r="BQ909" s="47"/>
      <c r="BR909" s="47"/>
      <c r="BS909" s="47"/>
      <c r="BT909" s="47"/>
      <c r="BU909" s="47"/>
      <c r="BV909" s="47"/>
      <c r="BW909" s="47"/>
      <c r="BX909" s="47"/>
      <c r="BY909" s="47"/>
      <c r="BZ909" s="47"/>
      <c r="CA909" s="47"/>
      <c r="CB909" s="47"/>
      <c r="CC909" s="47"/>
      <c r="CD909" s="47"/>
      <c r="CE909" s="47"/>
      <c r="CF909" s="47"/>
      <c r="CG909" s="47"/>
      <c r="CH909" s="47"/>
      <c r="CI909" s="47"/>
      <c r="CJ909" s="47"/>
      <c r="CK909" s="47"/>
      <c r="CL909" s="47"/>
      <c r="CM909" s="47"/>
      <c r="CN909" s="47"/>
      <c r="CO909" s="47"/>
      <c r="CP909" s="47"/>
      <c r="CQ909" s="47"/>
      <c r="CR909" s="47"/>
      <c r="CS909" s="47"/>
      <c r="CT909" s="47"/>
      <c r="CU909" s="47"/>
      <c r="CV909" s="47"/>
      <c r="CW909" s="47"/>
      <c r="CX909" s="47"/>
      <c r="CY909" s="47"/>
      <c r="CZ909" s="47"/>
      <c r="DA909" s="47"/>
      <c r="DB909" s="47"/>
      <c r="DC909" s="47"/>
      <c r="DD909" s="47"/>
      <c r="DE909" s="47"/>
      <c r="DF909" s="47"/>
      <c r="DG909" s="47"/>
      <c r="DH909" s="47"/>
    </row>
    <row r="910">
      <c r="A910" s="64"/>
      <c r="B910" s="47"/>
      <c r="C910" s="47"/>
      <c r="D910" s="47"/>
      <c r="E910" s="47"/>
      <c r="F910" s="47"/>
      <c r="G910" s="46"/>
      <c r="H910" s="42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  <c r="BJ910" s="47"/>
      <c r="BK910" s="47"/>
      <c r="BL910" s="47"/>
      <c r="BM910" s="47"/>
      <c r="BN910" s="47"/>
      <c r="BO910" s="47"/>
      <c r="BP910" s="47"/>
      <c r="BQ910" s="47"/>
      <c r="BR910" s="47"/>
      <c r="BS910" s="47"/>
      <c r="BT910" s="47"/>
      <c r="BU910" s="47"/>
      <c r="BV910" s="47"/>
      <c r="BW910" s="47"/>
      <c r="BX910" s="47"/>
      <c r="BY910" s="47"/>
      <c r="BZ910" s="47"/>
      <c r="CA910" s="47"/>
      <c r="CB910" s="47"/>
      <c r="CC910" s="47"/>
      <c r="CD910" s="47"/>
      <c r="CE910" s="47"/>
      <c r="CF910" s="47"/>
      <c r="CG910" s="47"/>
      <c r="CH910" s="47"/>
      <c r="CI910" s="47"/>
      <c r="CJ910" s="47"/>
      <c r="CK910" s="47"/>
      <c r="CL910" s="47"/>
      <c r="CM910" s="47"/>
      <c r="CN910" s="47"/>
      <c r="CO910" s="47"/>
      <c r="CP910" s="47"/>
      <c r="CQ910" s="47"/>
      <c r="CR910" s="47"/>
      <c r="CS910" s="47"/>
      <c r="CT910" s="47"/>
      <c r="CU910" s="47"/>
      <c r="CV910" s="47"/>
      <c r="CW910" s="47"/>
      <c r="CX910" s="47"/>
      <c r="CY910" s="47"/>
      <c r="CZ910" s="47"/>
      <c r="DA910" s="47"/>
      <c r="DB910" s="47"/>
      <c r="DC910" s="47"/>
      <c r="DD910" s="47"/>
      <c r="DE910" s="47"/>
      <c r="DF910" s="47"/>
      <c r="DG910" s="47"/>
      <c r="DH910" s="47"/>
    </row>
    <row r="911">
      <c r="A911" s="64"/>
      <c r="B911" s="47"/>
      <c r="C911" s="47"/>
      <c r="D911" s="47"/>
      <c r="E911" s="47"/>
      <c r="F911" s="47"/>
      <c r="G911" s="46"/>
      <c r="H911" s="42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  <c r="BJ911" s="47"/>
      <c r="BK911" s="47"/>
      <c r="BL911" s="47"/>
      <c r="BM911" s="47"/>
      <c r="BN911" s="47"/>
      <c r="BO911" s="47"/>
      <c r="BP911" s="47"/>
      <c r="BQ911" s="47"/>
      <c r="BR911" s="47"/>
      <c r="BS911" s="47"/>
      <c r="BT911" s="47"/>
      <c r="BU911" s="47"/>
      <c r="BV911" s="47"/>
      <c r="BW911" s="47"/>
      <c r="BX911" s="47"/>
      <c r="BY911" s="47"/>
      <c r="BZ911" s="47"/>
      <c r="CA911" s="47"/>
      <c r="CB911" s="47"/>
      <c r="CC911" s="47"/>
      <c r="CD911" s="47"/>
      <c r="CE911" s="47"/>
      <c r="CF911" s="47"/>
      <c r="CG911" s="47"/>
      <c r="CH911" s="47"/>
      <c r="CI911" s="47"/>
      <c r="CJ911" s="47"/>
      <c r="CK911" s="47"/>
      <c r="CL911" s="47"/>
      <c r="CM911" s="47"/>
      <c r="CN911" s="47"/>
      <c r="CO911" s="47"/>
      <c r="CP911" s="47"/>
      <c r="CQ911" s="47"/>
      <c r="CR911" s="47"/>
      <c r="CS911" s="47"/>
      <c r="CT911" s="47"/>
      <c r="CU911" s="47"/>
      <c r="CV911" s="47"/>
      <c r="CW911" s="47"/>
      <c r="CX911" s="47"/>
      <c r="CY911" s="47"/>
      <c r="CZ911" s="47"/>
      <c r="DA911" s="47"/>
      <c r="DB911" s="47"/>
      <c r="DC911" s="47"/>
      <c r="DD911" s="47"/>
      <c r="DE911" s="47"/>
      <c r="DF911" s="47"/>
      <c r="DG911" s="47"/>
      <c r="DH911" s="47"/>
    </row>
    <row r="912">
      <c r="A912" s="64"/>
      <c r="B912" s="47"/>
      <c r="C912" s="47"/>
      <c r="D912" s="47"/>
      <c r="E912" s="47"/>
      <c r="F912" s="47"/>
      <c r="G912" s="46"/>
      <c r="H912" s="42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  <c r="BJ912" s="47"/>
      <c r="BK912" s="47"/>
      <c r="BL912" s="47"/>
      <c r="BM912" s="47"/>
      <c r="BN912" s="47"/>
      <c r="BO912" s="47"/>
      <c r="BP912" s="47"/>
      <c r="BQ912" s="47"/>
      <c r="BR912" s="47"/>
      <c r="BS912" s="47"/>
      <c r="BT912" s="47"/>
      <c r="BU912" s="47"/>
      <c r="BV912" s="47"/>
      <c r="BW912" s="47"/>
      <c r="BX912" s="47"/>
      <c r="BY912" s="47"/>
      <c r="BZ912" s="47"/>
      <c r="CA912" s="47"/>
      <c r="CB912" s="47"/>
      <c r="CC912" s="47"/>
      <c r="CD912" s="47"/>
      <c r="CE912" s="47"/>
      <c r="CF912" s="47"/>
      <c r="CG912" s="47"/>
      <c r="CH912" s="47"/>
      <c r="CI912" s="47"/>
      <c r="CJ912" s="47"/>
      <c r="CK912" s="47"/>
      <c r="CL912" s="47"/>
      <c r="CM912" s="47"/>
      <c r="CN912" s="47"/>
      <c r="CO912" s="47"/>
      <c r="CP912" s="47"/>
      <c r="CQ912" s="47"/>
      <c r="CR912" s="47"/>
      <c r="CS912" s="47"/>
      <c r="CT912" s="47"/>
      <c r="CU912" s="47"/>
      <c r="CV912" s="47"/>
      <c r="CW912" s="47"/>
      <c r="CX912" s="47"/>
      <c r="CY912" s="47"/>
      <c r="CZ912" s="47"/>
      <c r="DA912" s="47"/>
      <c r="DB912" s="47"/>
      <c r="DC912" s="47"/>
      <c r="DD912" s="47"/>
      <c r="DE912" s="47"/>
      <c r="DF912" s="47"/>
      <c r="DG912" s="47"/>
      <c r="DH912" s="47"/>
    </row>
    <row r="913">
      <c r="A913" s="64"/>
      <c r="B913" s="47"/>
      <c r="C913" s="47"/>
      <c r="D913" s="47"/>
      <c r="E913" s="47"/>
      <c r="F913" s="47"/>
      <c r="G913" s="46"/>
      <c r="H913" s="42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  <c r="BJ913" s="47"/>
      <c r="BK913" s="47"/>
      <c r="BL913" s="47"/>
      <c r="BM913" s="47"/>
      <c r="BN913" s="47"/>
      <c r="BO913" s="47"/>
      <c r="BP913" s="47"/>
      <c r="BQ913" s="47"/>
      <c r="BR913" s="47"/>
      <c r="BS913" s="47"/>
      <c r="BT913" s="47"/>
      <c r="BU913" s="47"/>
      <c r="BV913" s="47"/>
      <c r="BW913" s="47"/>
      <c r="BX913" s="47"/>
      <c r="BY913" s="47"/>
      <c r="BZ913" s="47"/>
      <c r="CA913" s="47"/>
      <c r="CB913" s="47"/>
      <c r="CC913" s="47"/>
      <c r="CD913" s="47"/>
      <c r="CE913" s="47"/>
      <c r="CF913" s="47"/>
      <c r="CG913" s="47"/>
      <c r="CH913" s="47"/>
      <c r="CI913" s="47"/>
      <c r="CJ913" s="47"/>
      <c r="CK913" s="47"/>
      <c r="CL913" s="47"/>
      <c r="CM913" s="47"/>
      <c r="CN913" s="47"/>
      <c r="CO913" s="47"/>
      <c r="CP913" s="47"/>
      <c r="CQ913" s="47"/>
      <c r="CR913" s="47"/>
      <c r="CS913" s="47"/>
      <c r="CT913" s="47"/>
      <c r="CU913" s="47"/>
      <c r="CV913" s="47"/>
      <c r="CW913" s="47"/>
      <c r="CX913" s="47"/>
      <c r="CY913" s="47"/>
      <c r="CZ913" s="47"/>
      <c r="DA913" s="47"/>
      <c r="DB913" s="47"/>
      <c r="DC913" s="47"/>
      <c r="DD913" s="47"/>
      <c r="DE913" s="47"/>
      <c r="DF913" s="47"/>
      <c r="DG913" s="47"/>
      <c r="DH913" s="47"/>
    </row>
    <row r="914">
      <c r="A914" s="64"/>
      <c r="B914" s="47"/>
      <c r="C914" s="47"/>
      <c r="D914" s="47"/>
      <c r="E914" s="47"/>
      <c r="F914" s="47"/>
      <c r="G914" s="46"/>
      <c r="H914" s="42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  <c r="BJ914" s="47"/>
      <c r="BK914" s="47"/>
      <c r="BL914" s="47"/>
      <c r="BM914" s="47"/>
      <c r="BN914" s="47"/>
      <c r="BO914" s="47"/>
      <c r="BP914" s="47"/>
      <c r="BQ914" s="47"/>
      <c r="BR914" s="47"/>
      <c r="BS914" s="47"/>
      <c r="BT914" s="47"/>
      <c r="BU914" s="47"/>
      <c r="BV914" s="47"/>
      <c r="BW914" s="47"/>
      <c r="BX914" s="47"/>
      <c r="BY914" s="47"/>
      <c r="BZ914" s="47"/>
      <c r="CA914" s="47"/>
      <c r="CB914" s="47"/>
      <c r="CC914" s="47"/>
      <c r="CD914" s="47"/>
      <c r="CE914" s="47"/>
      <c r="CF914" s="47"/>
      <c r="CG914" s="47"/>
      <c r="CH914" s="47"/>
      <c r="CI914" s="47"/>
      <c r="CJ914" s="47"/>
      <c r="CK914" s="47"/>
      <c r="CL914" s="47"/>
      <c r="CM914" s="47"/>
      <c r="CN914" s="47"/>
      <c r="CO914" s="47"/>
      <c r="CP914" s="47"/>
      <c r="CQ914" s="47"/>
      <c r="CR914" s="47"/>
      <c r="CS914" s="47"/>
      <c r="CT914" s="47"/>
      <c r="CU914" s="47"/>
      <c r="CV914" s="47"/>
      <c r="CW914" s="47"/>
      <c r="CX914" s="47"/>
      <c r="CY914" s="47"/>
      <c r="CZ914" s="47"/>
      <c r="DA914" s="47"/>
      <c r="DB914" s="47"/>
      <c r="DC914" s="47"/>
      <c r="DD914" s="47"/>
      <c r="DE914" s="47"/>
      <c r="DF914" s="47"/>
      <c r="DG914" s="47"/>
      <c r="DH914" s="47"/>
    </row>
    <row r="915">
      <c r="A915" s="64"/>
      <c r="B915" s="47"/>
      <c r="C915" s="47"/>
      <c r="D915" s="47"/>
      <c r="E915" s="47"/>
      <c r="F915" s="47"/>
      <c r="G915" s="46"/>
      <c r="H915" s="42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  <c r="BJ915" s="47"/>
      <c r="BK915" s="47"/>
      <c r="BL915" s="47"/>
      <c r="BM915" s="47"/>
      <c r="BN915" s="47"/>
      <c r="BO915" s="47"/>
      <c r="BP915" s="47"/>
      <c r="BQ915" s="47"/>
      <c r="BR915" s="47"/>
      <c r="BS915" s="47"/>
      <c r="BT915" s="47"/>
      <c r="BU915" s="47"/>
      <c r="BV915" s="47"/>
      <c r="BW915" s="47"/>
      <c r="BX915" s="47"/>
      <c r="BY915" s="47"/>
      <c r="BZ915" s="47"/>
      <c r="CA915" s="47"/>
      <c r="CB915" s="47"/>
      <c r="CC915" s="47"/>
      <c r="CD915" s="47"/>
      <c r="CE915" s="47"/>
      <c r="CF915" s="47"/>
      <c r="CG915" s="47"/>
      <c r="CH915" s="47"/>
      <c r="CI915" s="47"/>
      <c r="CJ915" s="47"/>
      <c r="CK915" s="47"/>
      <c r="CL915" s="47"/>
      <c r="CM915" s="47"/>
      <c r="CN915" s="47"/>
      <c r="CO915" s="47"/>
      <c r="CP915" s="47"/>
      <c r="CQ915" s="47"/>
      <c r="CR915" s="47"/>
      <c r="CS915" s="47"/>
      <c r="CT915" s="47"/>
      <c r="CU915" s="47"/>
      <c r="CV915" s="47"/>
      <c r="CW915" s="47"/>
      <c r="CX915" s="47"/>
      <c r="CY915" s="47"/>
      <c r="CZ915" s="47"/>
      <c r="DA915" s="47"/>
      <c r="DB915" s="47"/>
      <c r="DC915" s="47"/>
      <c r="DD915" s="47"/>
      <c r="DE915" s="47"/>
      <c r="DF915" s="47"/>
      <c r="DG915" s="47"/>
      <c r="DH915" s="47"/>
    </row>
    <row r="916">
      <c r="A916" s="64"/>
      <c r="B916" s="47"/>
      <c r="C916" s="47"/>
      <c r="D916" s="47"/>
      <c r="E916" s="47"/>
      <c r="F916" s="47"/>
      <c r="G916" s="46"/>
      <c r="H916" s="42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  <c r="BJ916" s="47"/>
      <c r="BK916" s="47"/>
      <c r="BL916" s="47"/>
      <c r="BM916" s="47"/>
      <c r="BN916" s="47"/>
      <c r="BO916" s="47"/>
      <c r="BP916" s="47"/>
      <c r="BQ916" s="47"/>
      <c r="BR916" s="47"/>
      <c r="BS916" s="47"/>
      <c r="BT916" s="47"/>
      <c r="BU916" s="47"/>
      <c r="BV916" s="47"/>
      <c r="BW916" s="47"/>
      <c r="BX916" s="47"/>
      <c r="BY916" s="47"/>
      <c r="BZ916" s="47"/>
      <c r="CA916" s="47"/>
      <c r="CB916" s="47"/>
      <c r="CC916" s="47"/>
      <c r="CD916" s="47"/>
      <c r="CE916" s="47"/>
      <c r="CF916" s="47"/>
      <c r="CG916" s="47"/>
      <c r="CH916" s="47"/>
      <c r="CI916" s="47"/>
      <c r="CJ916" s="47"/>
      <c r="CK916" s="47"/>
      <c r="CL916" s="47"/>
      <c r="CM916" s="47"/>
      <c r="CN916" s="47"/>
      <c r="CO916" s="47"/>
      <c r="CP916" s="47"/>
      <c r="CQ916" s="47"/>
      <c r="CR916" s="47"/>
      <c r="CS916" s="47"/>
      <c r="CT916" s="47"/>
      <c r="CU916" s="47"/>
      <c r="CV916" s="47"/>
      <c r="CW916" s="47"/>
      <c r="CX916" s="47"/>
      <c r="CY916" s="47"/>
      <c r="CZ916" s="47"/>
      <c r="DA916" s="47"/>
      <c r="DB916" s="47"/>
      <c r="DC916" s="47"/>
      <c r="DD916" s="47"/>
      <c r="DE916" s="47"/>
      <c r="DF916" s="47"/>
      <c r="DG916" s="47"/>
      <c r="DH916" s="47"/>
    </row>
    <row r="917">
      <c r="A917" s="64"/>
      <c r="B917" s="47"/>
      <c r="C917" s="47"/>
      <c r="D917" s="47"/>
      <c r="E917" s="47"/>
      <c r="F917" s="47"/>
      <c r="G917" s="46"/>
      <c r="H917" s="42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  <c r="BJ917" s="47"/>
      <c r="BK917" s="47"/>
      <c r="BL917" s="47"/>
      <c r="BM917" s="47"/>
      <c r="BN917" s="47"/>
      <c r="BO917" s="47"/>
      <c r="BP917" s="47"/>
      <c r="BQ917" s="47"/>
      <c r="BR917" s="47"/>
      <c r="BS917" s="47"/>
      <c r="BT917" s="47"/>
      <c r="BU917" s="47"/>
      <c r="BV917" s="47"/>
      <c r="BW917" s="47"/>
      <c r="BX917" s="47"/>
      <c r="BY917" s="47"/>
      <c r="BZ917" s="47"/>
      <c r="CA917" s="47"/>
      <c r="CB917" s="47"/>
      <c r="CC917" s="47"/>
      <c r="CD917" s="47"/>
      <c r="CE917" s="47"/>
      <c r="CF917" s="47"/>
      <c r="CG917" s="47"/>
      <c r="CH917" s="47"/>
      <c r="CI917" s="47"/>
      <c r="CJ917" s="47"/>
      <c r="CK917" s="47"/>
      <c r="CL917" s="47"/>
      <c r="CM917" s="47"/>
      <c r="CN917" s="47"/>
      <c r="CO917" s="47"/>
      <c r="CP917" s="47"/>
      <c r="CQ917" s="47"/>
      <c r="CR917" s="47"/>
      <c r="CS917" s="47"/>
      <c r="CT917" s="47"/>
      <c r="CU917" s="47"/>
      <c r="CV917" s="47"/>
      <c r="CW917" s="47"/>
      <c r="CX917" s="47"/>
      <c r="CY917" s="47"/>
      <c r="CZ917" s="47"/>
      <c r="DA917" s="47"/>
      <c r="DB917" s="47"/>
      <c r="DC917" s="47"/>
      <c r="DD917" s="47"/>
      <c r="DE917" s="47"/>
      <c r="DF917" s="47"/>
      <c r="DG917" s="47"/>
      <c r="DH917" s="47"/>
    </row>
    <row r="918">
      <c r="A918" s="64"/>
      <c r="B918" s="47"/>
      <c r="C918" s="47"/>
      <c r="D918" s="47"/>
      <c r="E918" s="47"/>
      <c r="F918" s="47"/>
      <c r="G918" s="46"/>
      <c r="H918" s="42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  <c r="BJ918" s="47"/>
      <c r="BK918" s="47"/>
      <c r="BL918" s="47"/>
      <c r="BM918" s="47"/>
      <c r="BN918" s="47"/>
      <c r="BO918" s="47"/>
      <c r="BP918" s="47"/>
      <c r="BQ918" s="47"/>
      <c r="BR918" s="47"/>
      <c r="BS918" s="47"/>
      <c r="BT918" s="47"/>
      <c r="BU918" s="47"/>
      <c r="BV918" s="47"/>
      <c r="BW918" s="47"/>
      <c r="BX918" s="47"/>
      <c r="BY918" s="47"/>
      <c r="BZ918" s="47"/>
      <c r="CA918" s="47"/>
      <c r="CB918" s="47"/>
      <c r="CC918" s="47"/>
      <c r="CD918" s="47"/>
      <c r="CE918" s="47"/>
      <c r="CF918" s="47"/>
      <c r="CG918" s="47"/>
      <c r="CH918" s="47"/>
      <c r="CI918" s="47"/>
      <c r="CJ918" s="47"/>
      <c r="CK918" s="47"/>
      <c r="CL918" s="47"/>
      <c r="CM918" s="47"/>
      <c r="CN918" s="47"/>
      <c r="CO918" s="47"/>
      <c r="CP918" s="47"/>
      <c r="CQ918" s="47"/>
      <c r="CR918" s="47"/>
      <c r="CS918" s="47"/>
      <c r="CT918" s="47"/>
      <c r="CU918" s="47"/>
      <c r="CV918" s="47"/>
      <c r="CW918" s="47"/>
      <c r="CX918" s="47"/>
      <c r="CY918" s="47"/>
      <c r="CZ918" s="47"/>
      <c r="DA918" s="47"/>
      <c r="DB918" s="47"/>
      <c r="DC918" s="47"/>
      <c r="DD918" s="47"/>
      <c r="DE918" s="47"/>
      <c r="DF918" s="47"/>
      <c r="DG918" s="47"/>
      <c r="DH918" s="47"/>
    </row>
    <row r="919">
      <c r="A919" s="64"/>
      <c r="B919" s="47"/>
      <c r="C919" s="47"/>
      <c r="D919" s="47"/>
      <c r="E919" s="47"/>
      <c r="F919" s="47"/>
      <c r="G919" s="46"/>
      <c r="H919" s="42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  <c r="BJ919" s="47"/>
      <c r="BK919" s="47"/>
      <c r="BL919" s="47"/>
      <c r="BM919" s="47"/>
      <c r="BN919" s="47"/>
      <c r="BO919" s="47"/>
      <c r="BP919" s="47"/>
      <c r="BQ919" s="47"/>
      <c r="BR919" s="47"/>
      <c r="BS919" s="47"/>
      <c r="BT919" s="47"/>
      <c r="BU919" s="47"/>
      <c r="BV919" s="47"/>
      <c r="BW919" s="47"/>
      <c r="BX919" s="47"/>
      <c r="BY919" s="47"/>
      <c r="BZ919" s="47"/>
      <c r="CA919" s="47"/>
      <c r="CB919" s="47"/>
      <c r="CC919" s="47"/>
      <c r="CD919" s="47"/>
      <c r="CE919" s="47"/>
      <c r="CF919" s="47"/>
      <c r="CG919" s="47"/>
      <c r="CH919" s="47"/>
      <c r="CI919" s="47"/>
      <c r="CJ919" s="47"/>
      <c r="CK919" s="47"/>
      <c r="CL919" s="47"/>
      <c r="CM919" s="47"/>
      <c r="CN919" s="47"/>
      <c r="CO919" s="47"/>
      <c r="CP919" s="47"/>
      <c r="CQ919" s="47"/>
      <c r="CR919" s="47"/>
      <c r="CS919" s="47"/>
      <c r="CT919" s="47"/>
      <c r="CU919" s="47"/>
      <c r="CV919" s="47"/>
      <c r="CW919" s="47"/>
      <c r="CX919" s="47"/>
      <c r="CY919" s="47"/>
      <c r="CZ919" s="47"/>
      <c r="DA919" s="47"/>
      <c r="DB919" s="47"/>
      <c r="DC919" s="47"/>
      <c r="DD919" s="47"/>
      <c r="DE919" s="47"/>
      <c r="DF919" s="47"/>
      <c r="DG919" s="47"/>
      <c r="DH919" s="47"/>
    </row>
    <row r="920">
      <c r="A920" s="64"/>
      <c r="B920" s="47"/>
      <c r="C920" s="47"/>
      <c r="D920" s="47"/>
      <c r="E920" s="47"/>
      <c r="F920" s="47"/>
      <c r="G920" s="46"/>
      <c r="H920" s="42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  <c r="BJ920" s="47"/>
      <c r="BK920" s="47"/>
      <c r="BL920" s="47"/>
      <c r="BM920" s="47"/>
      <c r="BN920" s="47"/>
      <c r="BO920" s="47"/>
      <c r="BP920" s="47"/>
      <c r="BQ920" s="47"/>
      <c r="BR920" s="47"/>
      <c r="BS920" s="47"/>
      <c r="BT920" s="47"/>
      <c r="BU920" s="47"/>
      <c r="BV920" s="47"/>
      <c r="BW920" s="47"/>
      <c r="BX920" s="47"/>
      <c r="BY920" s="47"/>
      <c r="BZ920" s="47"/>
      <c r="CA920" s="47"/>
      <c r="CB920" s="47"/>
      <c r="CC920" s="47"/>
      <c r="CD920" s="47"/>
      <c r="CE920" s="47"/>
      <c r="CF920" s="47"/>
      <c r="CG920" s="47"/>
      <c r="CH920" s="47"/>
      <c r="CI920" s="47"/>
      <c r="CJ920" s="47"/>
      <c r="CK920" s="47"/>
      <c r="CL920" s="47"/>
      <c r="CM920" s="47"/>
      <c r="CN920" s="47"/>
      <c r="CO920" s="47"/>
      <c r="CP920" s="47"/>
      <c r="CQ920" s="47"/>
      <c r="CR920" s="47"/>
      <c r="CS920" s="47"/>
      <c r="CT920" s="47"/>
      <c r="CU920" s="47"/>
      <c r="CV920" s="47"/>
      <c r="CW920" s="47"/>
      <c r="CX920" s="47"/>
      <c r="CY920" s="47"/>
      <c r="CZ920" s="47"/>
      <c r="DA920" s="47"/>
      <c r="DB920" s="47"/>
      <c r="DC920" s="47"/>
      <c r="DD920" s="47"/>
      <c r="DE920" s="47"/>
      <c r="DF920" s="47"/>
      <c r="DG920" s="47"/>
      <c r="DH920" s="47"/>
    </row>
    <row r="921">
      <c r="A921" s="64"/>
      <c r="B921" s="47"/>
      <c r="C921" s="47"/>
      <c r="D921" s="47"/>
      <c r="E921" s="47"/>
      <c r="F921" s="47"/>
      <c r="G921" s="46"/>
      <c r="H921" s="42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  <c r="BJ921" s="47"/>
      <c r="BK921" s="47"/>
      <c r="BL921" s="47"/>
      <c r="BM921" s="47"/>
      <c r="BN921" s="47"/>
      <c r="BO921" s="47"/>
      <c r="BP921" s="47"/>
      <c r="BQ921" s="47"/>
      <c r="BR921" s="47"/>
      <c r="BS921" s="47"/>
      <c r="BT921" s="47"/>
      <c r="BU921" s="47"/>
      <c r="BV921" s="47"/>
      <c r="BW921" s="47"/>
      <c r="BX921" s="47"/>
      <c r="BY921" s="47"/>
      <c r="BZ921" s="47"/>
      <c r="CA921" s="47"/>
      <c r="CB921" s="47"/>
      <c r="CC921" s="47"/>
      <c r="CD921" s="47"/>
      <c r="CE921" s="47"/>
      <c r="CF921" s="47"/>
      <c r="CG921" s="47"/>
      <c r="CH921" s="47"/>
      <c r="CI921" s="47"/>
      <c r="CJ921" s="47"/>
      <c r="CK921" s="47"/>
      <c r="CL921" s="47"/>
      <c r="CM921" s="47"/>
      <c r="CN921" s="47"/>
      <c r="CO921" s="47"/>
      <c r="CP921" s="47"/>
      <c r="CQ921" s="47"/>
      <c r="CR921" s="47"/>
      <c r="CS921" s="47"/>
      <c r="CT921" s="47"/>
      <c r="CU921" s="47"/>
      <c r="CV921" s="47"/>
      <c r="CW921" s="47"/>
      <c r="CX921" s="47"/>
      <c r="CY921" s="47"/>
      <c r="CZ921" s="47"/>
      <c r="DA921" s="47"/>
      <c r="DB921" s="47"/>
      <c r="DC921" s="47"/>
      <c r="DD921" s="47"/>
      <c r="DE921" s="47"/>
      <c r="DF921" s="47"/>
      <c r="DG921" s="47"/>
      <c r="DH921" s="47"/>
    </row>
    <row r="922">
      <c r="A922" s="64"/>
      <c r="B922" s="47"/>
      <c r="C922" s="47"/>
      <c r="D922" s="47"/>
      <c r="E922" s="47"/>
      <c r="F922" s="47"/>
      <c r="G922" s="46"/>
      <c r="H922" s="42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  <c r="BJ922" s="47"/>
      <c r="BK922" s="47"/>
      <c r="BL922" s="47"/>
      <c r="BM922" s="47"/>
      <c r="BN922" s="47"/>
      <c r="BO922" s="47"/>
      <c r="BP922" s="47"/>
      <c r="BQ922" s="47"/>
      <c r="BR922" s="47"/>
      <c r="BS922" s="47"/>
      <c r="BT922" s="47"/>
      <c r="BU922" s="47"/>
      <c r="BV922" s="47"/>
      <c r="BW922" s="47"/>
      <c r="BX922" s="47"/>
      <c r="BY922" s="47"/>
      <c r="BZ922" s="47"/>
      <c r="CA922" s="47"/>
      <c r="CB922" s="47"/>
      <c r="CC922" s="47"/>
      <c r="CD922" s="47"/>
      <c r="CE922" s="47"/>
      <c r="CF922" s="47"/>
      <c r="CG922" s="47"/>
      <c r="CH922" s="47"/>
      <c r="CI922" s="47"/>
      <c r="CJ922" s="47"/>
      <c r="CK922" s="47"/>
      <c r="CL922" s="47"/>
      <c r="CM922" s="47"/>
      <c r="CN922" s="47"/>
      <c r="CO922" s="47"/>
      <c r="CP922" s="47"/>
      <c r="CQ922" s="47"/>
      <c r="CR922" s="47"/>
      <c r="CS922" s="47"/>
      <c r="CT922" s="47"/>
      <c r="CU922" s="47"/>
      <c r="CV922" s="47"/>
      <c r="CW922" s="47"/>
      <c r="CX922" s="47"/>
      <c r="CY922" s="47"/>
      <c r="CZ922" s="47"/>
      <c r="DA922" s="47"/>
      <c r="DB922" s="47"/>
      <c r="DC922" s="47"/>
      <c r="DD922" s="47"/>
      <c r="DE922" s="47"/>
      <c r="DF922" s="47"/>
      <c r="DG922" s="47"/>
      <c r="DH922" s="47"/>
    </row>
    <row r="923">
      <c r="A923" s="64"/>
      <c r="B923" s="47"/>
      <c r="C923" s="47"/>
      <c r="D923" s="47"/>
      <c r="E923" s="47"/>
      <c r="F923" s="47"/>
      <c r="G923" s="46"/>
      <c r="H923" s="42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  <c r="BJ923" s="47"/>
      <c r="BK923" s="47"/>
      <c r="BL923" s="47"/>
      <c r="BM923" s="47"/>
      <c r="BN923" s="47"/>
      <c r="BO923" s="47"/>
      <c r="BP923" s="47"/>
      <c r="BQ923" s="47"/>
      <c r="BR923" s="47"/>
      <c r="BS923" s="47"/>
      <c r="BT923" s="47"/>
      <c r="BU923" s="47"/>
      <c r="BV923" s="47"/>
      <c r="BW923" s="47"/>
      <c r="BX923" s="47"/>
      <c r="BY923" s="47"/>
      <c r="BZ923" s="47"/>
      <c r="CA923" s="47"/>
      <c r="CB923" s="47"/>
      <c r="CC923" s="47"/>
      <c r="CD923" s="47"/>
      <c r="CE923" s="47"/>
      <c r="CF923" s="47"/>
      <c r="CG923" s="47"/>
      <c r="CH923" s="47"/>
      <c r="CI923" s="47"/>
      <c r="CJ923" s="47"/>
      <c r="CK923" s="47"/>
      <c r="CL923" s="47"/>
      <c r="CM923" s="47"/>
      <c r="CN923" s="47"/>
      <c r="CO923" s="47"/>
      <c r="CP923" s="47"/>
      <c r="CQ923" s="47"/>
      <c r="CR923" s="47"/>
      <c r="CS923" s="47"/>
      <c r="CT923" s="47"/>
      <c r="CU923" s="47"/>
      <c r="CV923" s="47"/>
      <c r="CW923" s="47"/>
      <c r="CX923" s="47"/>
      <c r="CY923" s="47"/>
      <c r="CZ923" s="47"/>
      <c r="DA923" s="47"/>
      <c r="DB923" s="47"/>
      <c r="DC923" s="47"/>
      <c r="DD923" s="47"/>
      <c r="DE923" s="47"/>
      <c r="DF923" s="47"/>
      <c r="DG923" s="47"/>
      <c r="DH923" s="47"/>
    </row>
    <row r="924">
      <c r="A924" s="64"/>
      <c r="B924" s="47"/>
      <c r="C924" s="47"/>
      <c r="D924" s="47"/>
      <c r="E924" s="47"/>
      <c r="F924" s="47"/>
      <c r="G924" s="46"/>
      <c r="H924" s="42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  <c r="BJ924" s="47"/>
      <c r="BK924" s="47"/>
      <c r="BL924" s="47"/>
      <c r="BM924" s="47"/>
      <c r="BN924" s="47"/>
      <c r="BO924" s="47"/>
      <c r="BP924" s="47"/>
      <c r="BQ924" s="47"/>
      <c r="BR924" s="47"/>
      <c r="BS924" s="47"/>
      <c r="BT924" s="47"/>
      <c r="BU924" s="47"/>
      <c r="BV924" s="47"/>
      <c r="BW924" s="47"/>
      <c r="BX924" s="47"/>
      <c r="BY924" s="47"/>
      <c r="BZ924" s="47"/>
      <c r="CA924" s="47"/>
      <c r="CB924" s="47"/>
      <c r="CC924" s="47"/>
      <c r="CD924" s="47"/>
      <c r="CE924" s="47"/>
      <c r="CF924" s="47"/>
      <c r="CG924" s="47"/>
      <c r="CH924" s="47"/>
      <c r="CI924" s="47"/>
      <c r="CJ924" s="47"/>
      <c r="CK924" s="47"/>
      <c r="CL924" s="47"/>
      <c r="CM924" s="47"/>
      <c r="CN924" s="47"/>
      <c r="CO924" s="47"/>
      <c r="CP924" s="47"/>
      <c r="CQ924" s="47"/>
      <c r="CR924" s="47"/>
      <c r="CS924" s="47"/>
      <c r="CT924" s="47"/>
      <c r="CU924" s="47"/>
      <c r="CV924" s="47"/>
      <c r="CW924" s="47"/>
      <c r="CX924" s="47"/>
      <c r="CY924" s="47"/>
      <c r="CZ924" s="47"/>
      <c r="DA924" s="47"/>
      <c r="DB924" s="47"/>
      <c r="DC924" s="47"/>
      <c r="DD924" s="47"/>
      <c r="DE924" s="47"/>
      <c r="DF924" s="47"/>
      <c r="DG924" s="47"/>
      <c r="DH924" s="47"/>
    </row>
    <row r="925">
      <c r="A925" s="64"/>
      <c r="B925" s="47"/>
      <c r="C925" s="47"/>
      <c r="D925" s="47"/>
      <c r="E925" s="47"/>
      <c r="F925" s="47"/>
      <c r="G925" s="46"/>
      <c r="H925" s="42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  <c r="BJ925" s="47"/>
      <c r="BK925" s="47"/>
      <c r="BL925" s="47"/>
      <c r="BM925" s="47"/>
      <c r="BN925" s="47"/>
      <c r="BO925" s="47"/>
      <c r="BP925" s="47"/>
      <c r="BQ925" s="47"/>
      <c r="BR925" s="47"/>
      <c r="BS925" s="47"/>
      <c r="BT925" s="47"/>
      <c r="BU925" s="47"/>
      <c r="BV925" s="47"/>
      <c r="BW925" s="47"/>
      <c r="BX925" s="47"/>
      <c r="BY925" s="47"/>
      <c r="BZ925" s="47"/>
      <c r="CA925" s="47"/>
      <c r="CB925" s="47"/>
      <c r="CC925" s="47"/>
      <c r="CD925" s="47"/>
      <c r="CE925" s="47"/>
      <c r="CF925" s="47"/>
      <c r="CG925" s="47"/>
      <c r="CH925" s="47"/>
      <c r="CI925" s="47"/>
      <c r="CJ925" s="47"/>
      <c r="CK925" s="47"/>
      <c r="CL925" s="47"/>
      <c r="CM925" s="47"/>
      <c r="CN925" s="47"/>
      <c r="CO925" s="47"/>
      <c r="CP925" s="47"/>
      <c r="CQ925" s="47"/>
      <c r="CR925" s="47"/>
      <c r="CS925" s="47"/>
      <c r="CT925" s="47"/>
      <c r="CU925" s="47"/>
      <c r="CV925" s="47"/>
      <c r="CW925" s="47"/>
      <c r="CX925" s="47"/>
      <c r="CY925" s="47"/>
      <c r="CZ925" s="47"/>
      <c r="DA925" s="47"/>
      <c r="DB925" s="47"/>
      <c r="DC925" s="47"/>
      <c r="DD925" s="47"/>
      <c r="DE925" s="47"/>
      <c r="DF925" s="47"/>
      <c r="DG925" s="47"/>
      <c r="DH925" s="47"/>
    </row>
    <row r="926">
      <c r="A926" s="64"/>
      <c r="B926" s="47"/>
      <c r="C926" s="47"/>
      <c r="D926" s="47"/>
      <c r="E926" s="47"/>
      <c r="F926" s="47"/>
      <c r="G926" s="46"/>
      <c r="H926" s="42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  <c r="BL926" s="47"/>
      <c r="BM926" s="47"/>
      <c r="BN926" s="47"/>
      <c r="BO926" s="47"/>
      <c r="BP926" s="47"/>
      <c r="BQ926" s="47"/>
      <c r="BR926" s="47"/>
      <c r="BS926" s="47"/>
      <c r="BT926" s="47"/>
      <c r="BU926" s="47"/>
      <c r="BV926" s="47"/>
      <c r="BW926" s="47"/>
      <c r="BX926" s="47"/>
      <c r="BY926" s="47"/>
      <c r="BZ926" s="47"/>
      <c r="CA926" s="47"/>
      <c r="CB926" s="47"/>
      <c r="CC926" s="47"/>
      <c r="CD926" s="47"/>
      <c r="CE926" s="47"/>
      <c r="CF926" s="47"/>
      <c r="CG926" s="47"/>
      <c r="CH926" s="47"/>
      <c r="CI926" s="47"/>
      <c r="CJ926" s="47"/>
      <c r="CK926" s="47"/>
      <c r="CL926" s="47"/>
      <c r="CM926" s="47"/>
      <c r="CN926" s="47"/>
      <c r="CO926" s="47"/>
      <c r="CP926" s="47"/>
      <c r="CQ926" s="47"/>
      <c r="CR926" s="47"/>
      <c r="CS926" s="47"/>
      <c r="CT926" s="47"/>
      <c r="CU926" s="47"/>
      <c r="CV926" s="47"/>
      <c r="CW926" s="47"/>
      <c r="CX926" s="47"/>
      <c r="CY926" s="47"/>
      <c r="CZ926" s="47"/>
      <c r="DA926" s="47"/>
      <c r="DB926" s="47"/>
      <c r="DC926" s="47"/>
      <c r="DD926" s="47"/>
      <c r="DE926" s="47"/>
      <c r="DF926" s="47"/>
      <c r="DG926" s="47"/>
      <c r="DH926" s="47"/>
    </row>
    <row r="927">
      <c r="A927" s="64"/>
      <c r="B927" s="47"/>
      <c r="C927" s="47"/>
      <c r="D927" s="47"/>
      <c r="E927" s="47"/>
      <c r="F927" s="47"/>
      <c r="G927" s="46"/>
      <c r="H927" s="42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  <c r="BJ927" s="47"/>
      <c r="BK927" s="47"/>
      <c r="BL927" s="47"/>
      <c r="BM927" s="47"/>
      <c r="BN927" s="47"/>
      <c r="BO927" s="47"/>
      <c r="BP927" s="47"/>
      <c r="BQ927" s="47"/>
      <c r="BR927" s="47"/>
      <c r="BS927" s="47"/>
      <c r="BT927" s="47"/>
      <c r="BU927" s="47"/>
      <c r="BV927" s="47"/>
      <c r="BW927" s="47"/>
      <c r="BX927" s="47"/>
      <c r="BY927" s="47"/>
      <c r="BZ927" s="47"/>
      <c r="CA927" s="47"/>
      <c r="CB927" s="47"/>
      <c r="CC927" s="47"/>
      <c r="CD927" s="47"/>
      <c r="CE927" s="47"/>
      <c r="CF927" s="47"/>
      <c r="CG927" s="47"/>
      <c r="CH927" s="47"/>
      <c r="CI927" s="47"/>
      <c r="CJ927" s="47"/>
      <c r="CK927" s="47"/>
      <c r="CL927" s="47"/>
      <c r="CM927" s="47"/>
      <c r="CN927" s="47"/>
      <c r="CO927" s="47"/>
      <c r="CP927" s="47"/>
      <c r="CQ927" s="47"/>
      <c r="CR927" s="47"/>
      <c r="CS927" s="47"/>
      <c r="CT927" s="47"/>
      <c r="CU927" s="47"/>
      <c r="CV927" s="47"/>
      <c r="CW927" s="47"/>
      <c r="CX927" s="47"/>
      <c r="CY927" s="47"/>
      <c r="CZ927" s="47"/>
      <c r="DA927" s="47"/>
      <c r="DB927" s="47"/>
      <c r="DC927" s="47"/>
      <c r="DD927" s="47"/>
      <c r="DE927" s="47"/>
      <c r="DF927" s="47"/>
      <c r="DG927" s="47"/>
      <c r="DH927" s="47"/>
    </row>
    <row r="928">
      <c r="A928" s="64"/>
      <c r="B928" s="47"/>
      <c r="C928" s="47"/>
      <c r="D928" s="47"/>
      <c r="E928" s="47"/>
      <c r="F928" s="47"/>
      <c r="G928" s="46"/>
      <c r="H928" s="42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  <c r="BL928" s="47"/>
      <c r="BM928" s="47"/>
      <c r="BN928" s="47"/>
      <c r="BO928" s="47"/>
      <c r="BP928" s="47"/>
      <c r="BQ928" s="47"/>
      <c r="BR928" s="47"/>
      <c r="BS928" s="47"/>
      <c r="BT928" s="47"/>
      <c r="BU928" s="47"/>
      <c r="BV928" s="47"/>
      <c r="BW928" s="47"/>
      <c r="BX928" s="47"/>
      <c r="BY928" s="47"/>
      <c r="BZ928" s="47"/>
      <c r="CA928" s="47"/>
      <c r="CB928" s="47"/>
      <c r="CC928" s="47"/>
      <c r="CD928" s="47"/>
      <c r="CE928" s="47"/>
      <c r="CF928" s="47"/>
      <c r="CG928" s="47"/>
      <c r="CH928" s="47"/>
      <c r="CI928" s="47"/>
      <c r="CJ928" s="47"/>
      <c r="CK928" s="47"/>
      <c r="CL928" s="47"/>
      <c r="CM928" s="47"/>
      <c r="CN928" s="47"/>
      <c r="CO928" s="47"/>
      <c r="CP928" s="47"/>
      <c r="CQ928" s="47"/>
      <c r="CR928" s="47"/>
      <c r="CS928" s="47"/>
      <c r="CT928" s="47"/>
      <c r="CU928" s="47"/>
      <c r="CV928" s="47"/>
      <c r="CW928" s="47"/>
      <c r="CX928" s="47"/>
      <c r="CY928" s="47"/>
      <c r="CZ928" s="47"/>
      <c r="DA928" s="47"/>
      <c r="DB928" s="47"/>
      <c r="DC928" s="47"/>
      <c r="DD928" s="47"/>
      <c r="DE928" s="47"/>
      <c r="DF928" s="47"/>
      <c r="DG928" s="47"/>
      <c r="DH928" s="47"/>
    </row>
    <row r="929">
      <c r="A929" s="64"/>
      <c r="B929" s="47"/>
      <c r="C929" s="47"/>
      <c r="D929" s="47"/>
      <c r="E929" s="47"/>
      <c r="F929" s="47"/>
      <c r="G929" s="46"/>
      <c r="H929" s="42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  <c r="BJ929" s="47"/>
      <c r="BK929" s="47"/>
      <c r="BL929" s="47"/>
      <c r="BM929" s="47"/>
      <c r="BN929" s="47"/>
      <c r="BO929" s="47"/>
      <c r="BP929" s="47"/>
      <c r="BQ929" s="47"/>
      <c r="BR929" s="47"/>
      <c r="BS929" s="47"/>
      <c r="BT929" s="47"/>
      <c r="BU929" s="47"/>
      <c r="BV929" s="47"/>
      <c r="BW929" s="47"/>
      <c r="BX929" s="47"/>
      <c r="BY929" s="47"/>
      <c r="BZ929" s="47"/>
      <c r="CA929" s="47"/>
      <c r="CB929" s="47"/>
      <c r="CC929" s="47"/>
      <c r="CD929" s="47"/>
      <c r="CE929" s="47"/>
      <c r="CF929" s="47"/>
      <c r="CG929" s="47"/>
      <c r="CH929" s="47"/>
      <c r="CI929" s="47"/>
      <c r="CJ929" s="47"/>
      <c r="CK929" s="47"/>
      <c r="CL929" s="47"/>
      <c r="CM929" s="47"/>
      <c r="CN929" s="47"/>
      <c r="CO929" s="47"/>
      <c r="CP929" s="47"/>
      <c r="CQ929" s="47"/>
      <c r="CR929" s="47"/>
      <c r="CS929" s="47"/>
      <c r="CT929" s="47"/>
      <c r="CU929" s="47"/>
      <c r="CV929" s="47"/>
      <c r="CW929" s="47"/>
      <c r="CX929" s="47"/>
      <c r="CY929" s="47"/>
      <c r="CZ929" s="47"/>
      <c r="DA929" s="47"/>
      <c r="DB929" s="47"/>
      <c r="DC929" s="47"/>
      <c r="DD929" s="47"/>
      <c r="DE929" s="47"/>
      <c r="DF929" s="47"/>
      <c r="DG929" s="47"/>
      <c r="DH929" s="47"/>
    </row>
    <row r="930">
      <c r="A930" s="64"/>
      <c r="B930" s="47"/>
      <c r="C930" s="47"/>
      <c r="D930" s="47"/>
      <c r="E930" s="47"/>
      <c r="F930" s="47"/>
      <c r="G930" s="46"/>
      <c r="H930" s="42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  <c r="BJ930" s="47"/>
      <c r="BK930" s="47"/>
      <c r="BL930" s="47"/>
      <c r="BM930" s="47"/>
      <c r="BN930" s="47"/>
      <c r="BO930" s="47"/>
      <c r="BP930" s="47"/>
      <c r="BQ930" s="47"/>
      <c r="BR930" s="47"/>
      <c r="BS930" s="47"/>
      <c r="BT930" s="47"/>
      <c r="BU930" s="47"/>
      <c r="BV930" s="47"/>
      <c r="BW930" s="47"/>
      <c r="BX930" s="47"/>
      <c r="BY930" s="47"/>
      <c r="BZ930" s="47"/>
      <c r="CA930" s="47"/>
      <c r="CB930" s="47"/>
      <c r="CC930" s="47"/>
      <c r="CD930" s="47"/>
      <c r="CE930" s="47"/>
      <c r="CF930" s="47"/>
      <c r="CG930" s="47"/>
      <c r="CH930" s="47"/>
      <c r="CI930" s="47"/>
      <c r="CJ930" s="47"/>
      <c r="CK930" s="47"/>
      <c r="CL930" s="47"/>
      <c r="CM930" s="47"/>
      <c r="CN930" s="47"/>
      <c r="CO930" s="47"/>
      <c r="CP930" s="47"/>
      <c r="CQ930" s="47"/>
      <c r="CR930" s="47"/>
      <c r="CS930" s="47"/>
      <c r="CT930" s="47"/>
      <c r="CU930" s="47"/>
      <c r="CV930" s="47"/>
      <c r="CW930" s="47"/>
      <c r="CX930" s="47"/>
      <c r="CY930" s="47"/>
      <c r="CZ930" s="47"/>
      <c r="DA930" s="47"/>
      <c r="DB930" s="47"/>
      <c r="DC930" s="47"/>
      <c r="DD930" s="47"/>
      <c r="DE930" s="47"/>
      <c r="DF930" s="47"/>
      <c r="DG930" s="47"/>
      <c r="DH930" s="47"/>
    </row>
    <row r="931">
      <c r="A931" s="64"/>
      <c r="B931" s="47"/>
      <c r="C931" s="47"/>
      <c r="D931" s="47"/>
      <c r="E931" s="47"/>
      <c r="F931" s="47"/>
      <c r="G931" s="46"/>
      <c r="H931" s="42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  <c r="BJ931" s="47"/>
      <c r="BK931" s="47"/>
      <c r="BL931" s="47"/>
      <c r="BM931" s="47"/>
      <c r="BN931" s="47"/>
      <c r="BO931" s="47"/>
      <c r="BP931" s="47"/>
      <c r="BQ931" s="47"/>
      <c r="BR931" s="47"/>
      <c r="BS931" s="47"/>
      <c r="BT931" s="47"/>
      <c r="BU931" s="47"/>
      <c r="BV931" s="47"/>
      <c r="BW931" s="47"/>
      <c r="BX931" s="47"/>
      <c r="BY931" s="47"/>
      <c r="BZ931" s="47"/>
      <c r="CA931" s="47"/>
      <c r="CB931" s="47"/>
      <c r="CC931" s="47"/>
      <c r="CD931" s="47"/>
      <c r="CE931" s="47"/>
      <c r="CF931" s="47"/>
      <c r="CG931" s="47"/>
      <c r="CH931" s="47"/>
      <c r="CI931" s="47"/>
      <c r="CJ931" s="47"/>
      <c r="CK931" s="47"/>
      <c r="CL931" s="47"/>
      <c r="CM931" s="47"/>
      <c r="CN931" s="47"/>
      <c r="CO931" s="47"/>
      <c r="CP931" s="47"/>
      <c r="CQ931" s="47"/>
      <c r="CR931" s="47"/>
      <c r="CS931" s="47"/>
      <c r="CT931" s="47"/>
      <c r="CU931" s="47"/>
      <c r="CV931" s="47"/>
      <c r="CW931" s="47"/>
      <c r="CX931" s="47"/>
      <c r="CY931" s="47"/>
      <c r="CZ931" s="47"/>
      <c r="DA931" s="47"/>
      <c r="DB931" s="47"/>
      <c r="DC931" s="47"/>
      <c r="DD931" s="47"/>
      <c r="DE931" s="47"/>
      <c r="DF931" s="47"/>
      <c r="DG931" s="47"/>
      <c r="DH931" s="47"/>
    </row>
    <row r="932">
      <c r="A932" s="64"/>
      <c r="B932" s="47"/>
      <c r="C932" s="47"/>
      <c r="D932" s="47"/>
      <c r="E932" s="47"/>
      <c r="F932" s="47"/>
      <c r="G932" s="46"/>
      <c r="H932" s="42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  <c r="BJ932" s="47"/>
      <c r="BK932" s="47"/>
      <c r="BL932" s="47"/>
      <c r="BM932" s="47"/>
      <c r="BN932" s="47"/>
      <c r="BO932" s="47"/>
      <c r="BP932" s="47"/>
      <c r="BQ932" s="47"/>
      <c r="BR932" s="47"/>
      <c r="BS932" s="47"/>
      <c r="BT932" s="47"/>
      <c r="BU932" s="47"/>
      <c r="BV932" s="47"/>
      <c r="BW932" s="47"/>
      <c r="BX932" s="47"/>
      <c r="BY932" s="47"/>
      <c r="BZ932" s="47"/>
      <c r="CA932" s="47"/>
      <c r="CB932" s="47"/>
      <c r="CC932" s="47"/>
      <c r="CD932" s="47"/>
      <c r="CE932" s="47"/>
      <c r="CF932" s="47"/>
      <c r="CG932" s="47"/>
      <c r="CH932" s="47"/>
      <c r="CI932" s="47"/>
      <c r="CJ932" s="47"/>
      <c r="CK932" s="47"/>
      <c r="CL932" s="47"/>
      <c r="CM932" s="47"/>
      <c r="CN932" s="47"/>
      <c r="CO932" s="47"/>
      <c r="CP932" s="47"/>
      <c r="CQ932" s="47"/>
      <c r="CR932" s="47"/>
      <c r="CS932" s="47"/>
      <c r="CT932" s="47"/>
      <c r="CU932" s="47"/>
      <c r="CV932" s="47"/>
      <c r="CW932" s="47"/>
      <c r="CX932" s="47"/>
      <c r="CY932" s="47"/>
      <c r="CZ932" s="47"/>
      <c r="DA932" s="47"/>
      <c r="DB932" s="47"/>
      <c r="DC932" s="47"/>
      <c r="DD932" s="47"/>
      <c r="DE932" s="47"/>
      <c r="DF932" s="47"/>
      <c r="DG932" s="47"/>
      <c r="DH932" s="47"/>
    </row>
    <row r="933">
      <c r="A933" s="64"/>
      <c r="B933" s="47"/>
      <c r="C933" s="47"/>
      <c r="D933" s="47"/>
      <c r="E933" s="47"/>
      <c r="F933" s="47"/>
      <c r="G933" s="46"/>
      <c r="H933" s="42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  <c r="BJ933" s="47"/>
      <c r="BK933" s="47"/>
      <c r="BL933" s="47"/>
      <c r="BM933" s="47"/>
      <c r="BN933" s="47"/>
      <c r="BO933" s="47"/>
      <c r="BP933" s="47"/>
      <c r="BQ933" s="47"/>
      <c r="BR933" s="47"/>
      <c r="BS933" s="47"/>
      <c r="BT933" s="47"/>
      <c r="BU933" s="47"/>
      <c r="BV933" s="47"/>
      <c r="BW933" s="47"/>
      <c r="BX933" s="47"/>
      <c r="BY933" s="47"/>
      <c r="BZ933" s="47"/>
      <c r="CA933" s="47"/>
      <c r="CB933" s="47"/>
      <c r="CC933" s="47"/>
      <c r="CD933" s="47"/>
      <c r="CE933" s="47"/>
      <c r="CF933" s="47"/>
      <c r="CG933" s="47"/>
      <c r="CH933" s="47"/>
      <c r="CI933" s="47"/>
      <c r="CJ933" s="47"/>
      <c r="CK933" s="47"/>
      <c r="CL933" s="47"/>
      <c r="CM933" s="47"/>
      <c r="CN933" s="47"/>
      <c r="CO933" s="47"/>
      <c r="CP933" s="47"/>
      <c r="CQ933" s="47"/>
      <c r="CR933" s="47"/>
      <c r="CS933" s="47"/>
      <c r="CT933" s="47"/>
      <c r="CU933" s="47"/>
      <c r="CV933" s="47"/>
      <c r="CW933" s="47"/>
      <c r="CX933" s="47"/>
      <c r="CY933" s="47"/>
      <c r="CZ933" s="47"/>
      <c r="DA933" s="47"/>
      <c r="DB933" s="47"/>
      <c r="DC933" s="47"/>
      <c r="DD933" s="47"/>
      <c r="DE933" s="47"/>
      <c r="DF933" s="47"/>
      <c r="DG933" s="47"/>
      <c r="DH933" s="47"/>
    </row>
    <row r="934">
      <c r="A934" s="64"/>
      <c r="B934" s="47"/>
      <c r="C934" s="47"/>
      <c r="D934" s="47"/>
      <c r="E934" s="47"/>
      <c r="F934" s="47"/>
      <c r="G934" s="46"/>
      <c r="H934" s="42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/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47"/>
      <c r="CA934" s="47"/>
      <c r="CB934" s="47"/>
      <c r="CC934" s="47"/>
      <c r="CD934" s="47"/>
      <c r="CE934" s="47"/>
      <c r="CF934" s="47"/>
      <c r="CG934" s="47"/>
      <c r="CH934" s="47"/>
      <c r="CI934" s="47"/>
      <c r="CJ934" s="47"/>
      <c r="CK934" s="47"/>
      <c r="CL934" s="47"/>
      <c r="CM934" s="47"/>
      <c r="CN934" s="47"/>
      <c r="CO934" s="47"/>
      <c r="CP934" s="47"/>
      <c r="CQ934" s="47"/>
      <c r="CR934" s="47"/>
      <c r="CS934" s="47"/>
      <c r="CT934" s="47"/>
      <c r="CU934" s="47"/>
      <c r="CV934" s="47"/>
      <c r="CW934" s="47"/>
      <c r="CX934" s="47"/>
      <c r="CY934" s="47"/>
      <c r="CZ934" s="47"/>
      <c r="DA934" s="47"/>
      <c r="DB934" s="47"/>
      <c r="DC934" s="47"/>
      <c r="DD934" s="47"/>
      <c r="DE934" s="47"/>
      <c r="DF934" s="47"/>
      <c r="DG934" s="47"/>
      <c r="DH934" s="47"/>
    </row>
    <row r="935">
      <c r="A935" s="64"/>
      <c r="B935" s="47"/>
      <c r="C935" s="47"/>
      <c r="D935" s="47"/>
      <c r="E935" s="47"/>
      <c r="F935" s="47"/>
      <c r="G935" s="46"/>
      <c r="H935" s="42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  <c r="BJ935" s="47"/>
      <c r="BK935" s="47"/>
      <c r="BL935" s="47"/>
      <c r="BM935" s="47"/>
      <c r="BN935" s="47"/>
      <c r="BO935" s="47"/>
      <c r="BP935" s="47"/>
      <c r="BQ935" s="47"/>
      <c r="BR935" s="47"/>
      <c r="BS935" s="47"/>
      <c r="BT935" s="47"/>
      <c r="BU935" s="47"/>
      <c r="BV935" s="47"/>
      <c r="BW935" s="47"/>
      <c r="BX935" s="47"/>
      <c r="BY935" s="47"/>
      <c r="BZ935" s="47"/>
      <c r="CA935" s="47"/>
      <c r="CB935" s="47"/>
      <c r="CC935" s="47"/>
      <c r="CD935" s="47"/>
      <c r="CE935" s="47"/>
      <c r="CF935" s="47"/>
      <c r="CG935" s="47"/>
      <c r="CH935" s="47"/>
      <c r="CI935" s="47"/>
      <c r="CJ935" s="47"/>
      <c r="CK935" s="47"/>
      <c r="CL935" s="47"/>
      <c r="CM935" s="47"/>
      <c r="CN935" s="47"/>
      <c r="CO935" s="47"/>
      <c r="CP935" s="47"/>
      <c r="CQ935" s="47"/>
      <c r="CR935" s="47"/>
      <c r="CS935" s="47"/>
      <c r="CT935" s="47"/>
      <c r="CU935" s="47"/>
      <c r="CV935" s="47"/>
      <c r="CW935" s="47"/>
      <c r="CX935" s="47"/>
      <c r="CY935" s="47"/>
      <c r="CZ935" s="47"/>
      <c r="DA935" s="47"/>
      <c r="DB935" s="47"/>
      <c r="DC935" s="47"/>
      <c r="DD935" s="47"/>
      <c r="DE935" s="47"/>
      <c r="DF935" s="47"/>
      <c r="DG935" s="47"/>
      <c r="DH935" s="47"/>
    </row>
    <row r="936">
      <c r="A936" s="64"/>
      <c r="B936" s="47"/>
      <c r="C936" s="47"/>
      <c r="D936" s="47"/>
      <c r="E936" s="47"/>
      <c r="F936" s="47"/>
      <c r="G936" s="46"/>
      <c r="H936" s="42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  <c r="BJ936" s="47"/>
      <c r="BK936" s="47"/>
      <c r="BL936" s="47"/>
      <c r="BM936" s="47"/>
      <c r="BN936" s="47"/>
      <c r="BO936" s="47"/>
      <c r="BP936" s="47"/>
      <c r="BQ936" s="47"/>
      <c r="BR936" s="47"/>
      <c r="BS936" s="47"/>
      <c r="BT936" s="47"/>
      <c r="BU936" s="47"/>
      <c r="BV936" s="47"/>
      <c r="BW936" s="47"/>
      <c r="BX936" s="47"/>
      <c r="BY936" s="47"/>
      <c r="BZ936" s="47"/>
      <c r="CA936" s="47"/>
      <c r="CB936" s="47"/>
      <c r="CC936" s="47"/>
      <c r="CD936" s="47"/>
      <c r="CE936" s="47"/>
      <c r="CF936" s="47"/>
      <c r="CG936" s="47"/>
      <c r="CH936" s="47"/>
      <c r="CI936" s="47"/>
      <c r="CJ936" s="47"/>
      <c r="CK936" s="47"/>
      <c r="CL936" s="47"/>
      <c r="CM936" s="47"/>
      <c r="CN936" s="47"/>
      <c r="CO936" s="47"/>
      <c r="CP936" s="47"/>
      <c r="CQ936" s="47"/>
      <c r="CR936" s="47"/>
      <c r="CS936" s="47"/>
      <c r="CT936" s="47"/>
      <c r="CU936" s="47"/>
      <c r="CV936" s="47"/>
      <c r="CW936" s="47"/>
      <c r="CX936" s="47"/>
      <c r="CY936" s="47"/>
      <c r="CZ936" s="47"/>
      <c r="DA936" s="47"/>
      <c r="DB936" s="47"/>
      <c r="DC936" s="47"/>
      <c r="DD936" s="47"/>
      <c r="DE936" s="47"/>
      <c r="DF936" s="47"/>
      <c r="DG936" s="47"/>
      <c r="DH936" s="47"/>
    </row>
    <row r="937">
      <c r="A937" s="64"/>
      <c r="B937" s="47"/>
      <c r="C937" s="47"/>
      <c r="D937" s="47"/>
      <c r="E937" s="47"/>
      <c r="F937" s="47"/>
      <c r="G937" s="46"/>
      <c r="H937" s="42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  <c r="BJ937" s="47"/>
      <c r="BK937" s="47"/>
      <c r="BL937" s="47"/>
      <c r="BM937" s="47"/>
      <c r="BN937" s="47"/>
      <c r="BO937" s="47"/>
      <c r="BP937" s="47"/>
      <c r="BQ937" s="47"/>
      <c r="BR937" s="47"/>
      <c r="BS937" s="47"/>
      <c r="BT937" s="47"/>
      <c r="BU937" s="47"/>
      <c r="BV937" s="47"/>
      <c r="BW937" s="47"/>
      <c r="BX937" s="47"/>
      <c r="BY937" s="47"/>
      <c r="BZ937" s="47"/>
      <c r="CA937" s="47"/>
      <c r="CB937" s="47"/>
      <c r="CC937" s="47"/>
      <c r="CD937" s="47"/>
      <c r="CE937" s="47"/>
      <c r="CF937" s="47"/>
      <c r="CG937" s="47"/>
      <c r="CH937" s="47"/>
      <c r="CI937" s="47"/>
      <c r="CJ937" s="47"/>
      <c r="CK937" s="47"/>
      <c r="CL937" s="47"/>
      <c r="CM937" s="47"/>
      <c r="CN937" s="47"/>
      <c r="CO937" s="47"/>
      <c r="CP937" s="47"/>
      <c r="CQ937" s="47"/>
      <c r="CR937" s="47"/>
      <c r="CS937" s="47"/>
      <c r="CT937" s="47"/>
      <c r="CU937" s="47"/>
      <c r="CV937" s="47"/>
      <c r="CW937" s="47"/>
      <c r="CX937" s="47"/>
      <c r="CY937" s="47"/>
      <c r="CZ937" s="47"/>
      <c r="DA937" s="47"/>
      <c r="DB937" s="47"/>
      <c r="DC937" s="47"/>
      <c r="DD937" s="47"/>
      <c r="DE937" s="47"/>
      <c r="DF937" s="47"/>
      <c r="DG937" s="47"/>
      <c r="DH937" s="47"/>
    </row>
    <row r="938">
      <c r="A938" s="64"/>
      <c r="B938" s="47"/>
      <c r="C938" s="47"/>
      <c r="D938" s="47"/>
      <c r="E938" s="47"/>
      <c r="F938" s="47"/>
      <c r="G938" s="46"/>
      <c r="H938" s="42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  <c r="BL938" s="47"/>
      <c r="BM938" s="47"/>
      <c r="BN938" s="47"/>
      <c r="BO938" s="47"/>
      <c r="BP938" s="47"/>
      <c r="BQ938" s="47"/>
      <c r="BR938" s="47"/>
      <c r="BS938" s="47"/>
      <c r="BT938" s="47"/>
      <c r="BU938" s="47"/>
      <c r="BV938" s="47"/>
      <c r="BW938" s="47"/>
      <c r="BX938" s="47"/>
      <c r="BY938" s="47"/>
      <c r="BZ938" s="47"/>
      <c r="CA938" s="47"/>
      <c r="CB938" s="47"/>
      <c r="CC938" s="47"/>
      <c r="CD938" s="47"/>
      <c r="CE938" s="47"/>
      <c r="CF938" s="47"/>
      <c r="CG938" s="47"/>
      <c r="CH938" s="47"/>
      <c r="CI938" s="47"/>
      <c r="CJ938" s="47"/>
      <c r="CK938" s="47"/>
      <c r="CL938" s="47"/>
      <c r="CM938" s="47"/>
      <c r="CN938" s="47"/>
      <c r="CO938" s="47"/>
      <c r="CP938" s="47"/>
      <c r="CQ938" s="47"/>
      <c r="CR938" s="47"/>
      <c r="CS938" s="47"/>
      <c r="CT938" s="47"/>
      <c r="CU938" s="47"/>
      <c r="CV938" s="47"/>
      <c r="CW938" s="47"/>
      <c r="CX938" s="47"/>
      <c r="CY938" s="47"/>
      <c r="CZ938" s="47"/>
      <c r="DA938" s="47"/>
      <c r="DB938" s="47"/>
      <c r="DC938" s="47"/>
      <c r="DD938" s="47"/>
      <c r="DE938" s="47"/>
      <c r="DF938" s="47"/>
      <c r="DG938" s="47"/>
      <c r="DH938" s="47"/>
    </row>
    <row r="939">
      <c r="A939" s="64"/>
      <c r="B939" s="47"/>
      <c r="C939" s="47"/>
      <c r="D939" s="47"/>
      <c r="E939" s="47"/>
      <c r="F939" s="47"/>
      <c r="G939" s="46"/>
      <c r="H939" s="42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  <c r="BJ939" s="47"/>
      <c r="BK939" s="47"/>
      <c r="BL939" s="47"/>
      <c r="BM939" s="47"/>
      <c r="BN939" s="47"/>
      <c r="BO939" s="47"/>
      <c r="BP939" s="47"/>
      <c r="BQ939" s="47"/>
      <c r="BR939" s="47"/>
      <c r="BS939" s="47"/>
      <c r="BT939" s="47"/>
      <c r="BU939" s="47"/>
      <c r="BV939" s="47"/>
      <c r="BW939" s="47"/>
      <c r="BX939" s="47"/>
      <c r="BY939" s="47"/>
      <c r="BZ939" s="47"/>
      <c r="CA939" s="47"/>
      <c r="CB939" s="47"/>
      <c r="CC939" s="47"/>
      <c r="CD939" s="47"/>
      <c r="CE939" s="47"/>
      <c r="CF939" s="47"/>
      <c r="CG939" s="47"/>
      <c r="CH939" s="47"/>
      <c r="CI939" s="47"/>
      <c r="CJ939" s="47"/>
      <c r="CK939" s="47"/>
      <c r="CL939" s="47"/>
      <c r="CM939" s="47"/>
      <c r="CN939" s="47"/>
      <c r="CO939" s="47"/>
      <c r="CP939" s="47"/>
      <c r="CQ939" s="47"/>
      <c r="CR939" s="47"/>
      <c r="CS939" s="47"/>
      <c r="CT939" s="47"/>
      <c r="CU939" s="47"/>
      <c r="CV939" s="47"/>
      <c r="CW939" s="47"/>
      <c r="CX939" s="47"/>
      <c r="CY939" s="47"/>
      <c r="CZ939" s="47"/>
      <c r="DA939" s="47"/>
      <c r="DB939" s="47"/>
      <c r="DC939" s="47"/>
      <c r="DD939" s="47"/>
      <c r="DE939" s="47"/>
      <c r="DF939" s="47"/>
      <c r="DG939" s="47"/>
      <c r="DH939" s="47"/>
    </row>
    <row r="940">
      <c r="A940" s="64"/>
      <c r="B940" s="47"/>
      <c r="C940" s="47"/>
      <c r="D940" s="47"/>
      <c r="E940" s="47"/>
      <c r="F940" s="47"/>
      <c r="G940" s="46"/>
      <c r="H940" s="42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  <c r="BJ940" s="47"/>
      <c r="BK940" s="47"/>
      <c r="BL940" s="47"/>
      <c r="BM940" s="47"/>
      <c r="BN940" s="47"/>
      <c r="BO940" s="47"/>
      <c r="BP940" s="47"/>
      <c r="BQ940" s="47"/>
      <c r="BR940" s="47"/>
      <c r="BS940" s="47"/>
      <c r="BT940" s="47"/>
      <c r="BU940" s="47"/>
      <c r="BV940" s="47"/>
      <c r="BW940" s="47"/>
      <c r="BX940" s="47"/>
      <c r="BY940" s="47"/>
      <c r="BZ940" s="47"/>
      <c r="CA940" s="47"/>
      <c r="CB940" s="47"/>
      <c r="CC940" s="47"/>
      <c r="CD940" s="47"/>
      <c r="CE940" s="47"/>
      <c r="CF940" s="47"/>
      <c r="CG940" s="47"/>
      <c r="CH940" s="47"/>
      <c r="CI940" s="47"/>
      <c r="CJ940" s="47"/>
      <c r="CK940" s="47"/>
      <c r="CL940" s="47"/>
      <c r="CM940" s="47"/>
      <c r="CN940" s="47"/>
      <c r="CO940" s="47"/>
      <c r="CP940" s="47"/>
      <c r="CQ940" s="47"/>
      <c r="CR940" s="47"/>
      <c r="CS940" s="47"/>
      <c r="CT940" s="47"/>
      <c r="CU940" s="47"/>
      <c r="CV940" s="47"/>
      <c r="CW940" s="47"/>
      <c r="CX940" s="47"/>
      <c r="CY940" s="47"/>
      <c r="CZ940" s="47"/>
      <c r="DA940" s="47"/>
      <c r="DB940" s="47"/>
      <c r="DC940" s="47"/>
      <c r="DD940" s="47"/>
      <c r="DE940" s="47"/>
      <c r="DF940" s="47"/>
      <c r="DG940" s="47"/>
      <c r="DH940" s="47"/>
    </row>
    <row r="941">
      <c r="A941" s="64"/>
      <c r="B941" s="47"/>
      <c r="C941" s="47"/>
      <c r="D941" s="47"/>
      <c r="E941" s="47"/>
      <c r="F941" s="47"/>
      <c r="G941" s="46"/>
      <c r="H941" s="42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  <c r="BJ941" s="47"/>
      <c r="BK941" s="47"/>
      <c r="BL941" s="47"/>
      <c r="BM941" s="47"/>
      <c r="BN941" s="47"/>
      <c r="BO941" s="47"/>
      <c r="BP941" s="47"/>
      <c r="BQ941" s="47"/>
      <c r="BR941" s="47"/>
      <c r="BS941" s="47"/>
      <c r="BT941" s="47"/>
      <c r="BU941" s="47"/>
      <c r="BV941" s="47"/>
      <c r="BW941" s="47"/>
      <c r="BX941" s="47"/>
      <c r="BY941" s="47"/>
      <c r="BZ941" s="47"/>
      <c r="CA941" s="47"/>
      <c r="CB941" s="47"/>
      <c r="CC941" s="47"/>
      <c r="CD941" s="47"/>
      <c r="CE941" s="47"/>
      <c r="CF941" s="47"/>
      <c r="CG941" s="47"/>
      <c r="CH941" s="47"/>
      <c r="CI941" s="47"/>
      <c r="CJ941" s="47"/>
      <c r="CK941" s="47"/>
      <c r="CL941" s="47"/>
      <c r="CM941" s="47"/>
      <c r="CN941" s="47"/>
      <c r="CO941" s="47"/>
      <c r="CP941" s="47"/>
      <c r="CQ941" s="47"/>
      <c r="CR941" s="47"/>
      <c r="CS941" s="47"/>
      <c r="CT941" s="47"/>
      <c r="CU941" s="47"/>
      <c r="CV941" s="47"/>
      <c r="CW941" s="47"/>
      <c r="CX941" s="47"/>
      <c r="CY941" s="47"/>
      <c r="CZ941" s="47"/>
      <c r="DA941" s="47"/>
      <c r="DB941" s="47"/>
      <c r="DC941" s="47"/>
      <c r="DD941" s="47"/>
      <c r="DE941" s="47"/>
      <c r="DF941" s="47"/>
      <c r="DG941" s="47"/>
      <c r="DH941" s="47"/>
    </row>
    <row r="942">
      <c r="A942" s="64"/>
      <c r="B942" s="47"/>
      <c r="C942" s="47"/>
      <c r="D942" s="47"/>
      <c r="E942" s="47"/>
      <c r="F942" s="47"/>
      <c r="G942" s="46"/>
      <c r="H942" s="42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/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47"/>
      <c r="CA942" s="47"/>
      <c r="CB942" s="47"/>
      <c r="CC942" s="47"/>
      <c r="CD942" s="47"/>
      <c r="CE942" s="47"/>
      <c r="CF942" s="47"/>
      <c r="CG942" s="47"/>
      <c r="CH942" s="47"/>
      <c r="CI942" s="47"/>
      <c r="CJ942" s="47"/>
      <c r="CK942" s="47"/>
      <c r="CL942" s="47"/>
      <c r="CM942" s="47"/>
      <c r="CN942" s="47"/>
      <c r="CO942" s="47"/>
      <c r="CP942" s="47"/>
      <c r="CQ942" s="47"/>
      <c r="CR942" s="47"/>
      <c r="CS942" s="47"/>
      <c r="CT942" s="47"/>
      <c r="CU942" s="47"/>
      <c r="CV942" s="47"/>
      <c r="CW942" s="47"/>
      <c r="CX942" s="47"/>
      <c r="CY942" s="47"/>
      <c r="CZ942" s="47"/>
      <c r="DA942" s="47"/>
      <c r="DB942" s="47"/>
      <c r="DC942" s="47"/>
      <c r="DD942" s="47"/>
      <c r="DE942" s="47"/>
      <c r="DF942" s="47"/>
      <c r="DG942" s="47"/>
      <c r="DH942" s="47"/>
    </row>
    <row r="943">
      <c r="A943" s="64"/>
      <c r="B943" s="47"/>
      <c r="C943" s="47"/>
      <c r="D943" s="47"/>
      <c r="E943" s="47"/>
      <c r="F943" s="47"/>
      <c r="G943" s="46"/>
      <c r="H943" s="42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  <c r="BL943" s="47"/>
      <c r="BM943" s="47"/>
      <c r="BN943" s="47"/>
      <c r="BO943" s="47"/>
      <c r="BP943" s="47"/>
      <c r="BQ943" s="47"/>
      <c r="BR943" s="47"/>
      <c r="BS943" s="47"/>
      <c r="BT943" s="47"/>
      <c r="BU943" s="47"/>
      <c r="BV943" s="47"/>
      <c r="BW943" s="47"/>
      <c r="BX943" s="47"/>
      <c r="BY943" s="47"/>
      <c r="BZ943" s="47"/>
      <c r="CA943" s="47"/>
      <c r="CB943" s="47"/>
      <c r="CC943" s="47"/>
      <c r="CD943" s="47"/>
      <c r="CE943" s="47"/>
      <c r="CF943" s="47"/>
      <c r="CG943" s="47"/>
      <c r="CH943" s="47"/>
      <c r="CI943" s="47"/>
      <c r="CJ943" s="47"/>
      <c r="CK943" s="47"/>
      <c r="CL943" s="47"/>
      <c r="CM943" s="47"/>
      <c r="CN943" s="47"/>
      <c r="CO943" s="47"/>
      <c r="CP943" s="47"/>
      <c r="CQ943" s="47"/>
      <c r="CR943" s="47"/>
      <c r="CS943" s="47"/>
      <c r="CT943" s="47"/>
      <c r="CU943" s="47"/>
      <c r="CV943" s="47"/>
      <c r="CW943" s="47"/>
      <c r="CX943" s="47"/>
      <c r="CY943" s="47"/>
      <c r="CZ943" s="47"/>
      <c r="DA943" s="47"/>
      <c r="DB943" s="47"/>
      <c r="DC943" s="47"/>
      <c r="DD943" s="47"/>
      <c r="DE943" s="47"/>
      <c r="DF943" s="47"/>
      <c r="DG943" s="47"/>
      <c r="DH943" s="47"/>
    </row>
    <row r="944">
      <c r="A944" s="64"/>
      <c r="B944" s="47"/>
      <c r="C944" s="47"/>
      <c r="D944" s="47"/>
      <c r="E944" s="47"/>
      <c r="F944" s="47"/>
      <c r="G944" s="46"/>
      <c r="H944" s="42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  <c r="BL944" s="47"/>
      <c r="BM944" s="47"/>
      <c r="BN944" s="47"/>
      <c r="BO944" s="47"/>
      <c r="BP944" s="47"/>
      <c r="BQ944" s="47"/>
      <c r="BR944" s="47"/>
      <c r="BS944" s="47"/>
      <c r="BT944" s="47"/>
      <c r="BU944" s="47"/>
      <c r="BV944" s="47"/>
      <c r="BW944" s="47"/>
      <c r="BX944" s="47"/>
      <c r="BY944" s="47"/>
      <c r="BZ944" s="47"/>
      <c r="CA944" s="47"/>
      <c r="CB944" s="47"/>
      <c r="CC944" s="47"/>
      <c r="CD944" s="47"/>
      <c r="CE944" s="47"/>
      <c r="CF944" s="47"/>
      <c r="CG944" s="47"/>
      <c r="CH944" s="47"/>
      <c r="CI944" s="47"/>
      <c r="CJ944" s="47"/>
      <c r="CK944" s="47"/>
      <c r="CL944" s="47"/>
      <c r="CM944" s="47"/>
      <c r="CN944" s="47"/>
      <c r="CO944" s="47"/>
      <c r="CP944" s="47"/>
      <c r="CQ944" s="47"/>
      <c r="CR944" s="47"/>
      <c r="CS944" s="47"/>
      <c r="CT944" s="47"/>
      <c r="CU944" s="47"/>
      <c r="CV944" s="47"/>
      <c r="CW944" s="47"/>
      <c r="CX944" s="47"/>
      <c r="CY944" s="47"/>
      <c r="CZ944" s="47"/>
      <c r="DA944" s="47"/>
      <c r="DB944" s="47"/>
      <c r="DC944" s="47"/>
      <c r="DD944" s="47"/>
      <c r="DE944" s="47"/>
      <c r="DF944" s="47"/>
      <c r="DG944" s="47"/>
      <c r="DH944" s="47"/>
    </row>
    <row r="945">
      <c r="A945" s="64"/>
      <c r="B945" s="47"/>
      <c r="C945" s="47"/>
      <c r="D945" s="47"/>
      <c r="E945" s="47"/>
      <c r="F945" s="47"/>
      <c r="G945" s="46"/>
      <c r="H945" s="42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  <c r="BE945" s="47"/>
      <c r="BF945" s="47"/>
      <c r="BG945" s="47"/>
      <c r="BH945" s="47"/>
      <c r="BI945" s="47"/>
      <c r="BJ945" s="47"/>
      <c r="BK945" s="47"/>
      <c r="BL945" s="47"/>
      <c r="BM945" s="47"/>
      <c r="BN945" s="47"/>
      <c r="BO945" s="47"/>
      <c r="BP945" s="47"/>
      <c r="BQ945" s="47"/>
      <c r="BR945" s="47"/>
      <c r="BS945" s="47"/>
      <c r="BT945" s="47"/>
      <c r="BU945" s="47"/>
      <c r="BV945" s="47"/>
      <c r="BW945" s="47"/>
      <c r="BX945" s="47"/>
      <c r="BY945" s="47"/>
      <c r="BZ945" s="47"/>
      <c r="CA945" s="47"/>
      <c r="CB945" s="47"/>
      <c r="CC945" s="47"/>
      <c r="CD945" s="47"/>
      <c r="CE945" s="47"/>
      <c r="CF945" s="47"/>
      <c r="CG945" s="47"/>
      <c r="CH945" s="47"/>
      <c r="CI945" s="47"/>
      <c r="CJ945" s="47"/>
      <c r="CK945" s="47"/>
      <c r="CL945" s="47"/>
      <c r="CM945" s="47"/>
      <c r="CN945" s="47"/>
      <c r="CO945" s="47"/>
      <c r="CP945" s="47"/>
      <c r="CQ945" s="47"/>
      <c r="CR945" s="47"/>
      <c r="CS945" s="47"/>
      <c r="CT945" s="47"/>
      <c r="CU945" s="47"/>
      <c r="CV945" s="47"/>
      <c r="CW945" s="47"/>
      <c r="CX945" s="47"/>
      <c r="CY945" s="47"/>
      <c r="CZ945" s="47"/>
      <c r="DA945" s="47"/>
      <c r="DB945" s="47"/>
      <c r="DC945" s="47"/>
      <c r="DD945" s="47"/>
      <c r="DE945" s="47"/>
      <c r="DF945" s="47"/>
      <c r="DG945" s="47"/>
      <c r="DH945" s="47"/>
    </row>
    <row r="946">
      <c r="A946" s="64"/>
      <c r="B946" s="47"/>
      <c r="C946" s="47"/>
      <c r="D946" s="47"/>
      <c r="E946" s="47"/>
      <c r="F946" s="47"/>
      <c r="G946" s="46"/>
      <c r="H946" s="42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  <c r="BE946" s="47"/>
      <c r="BF946" s="47"/>
      <c r="BG946" s="47"/>
      <c r="BH946" s="47"/>
      <c r="BI946" s="47"/>
      <c r="BJ946" s="47"/>
      <c r="BK946" s="47"/>
      <c r="BL946" s="47"/>
      <c r="BM946" s="47"/>
      <c r="BN946" s="47"/>
      <c r="BO946" s="47"/>
      <c r="BP946" s="47"/>
      <c r="BQ946" s="47"/>
      <c r="BR946" s="47"/>
      <c r="BS946" s="47"/>
      <c r="BT946" s="47"/>
      <c r="BU946" s="47"/>
      <c r="BV946" s="47"/>
      <c r="BW946" s="47"/>
      <c r="BX946" s="47"/>
      <c r="BY946" s="47"/>
      <c r="BZ946" s="47"/>
      <c r="CA946" s="47"/>
      <c r="CB946" s="47"/>
      <c r="CC946" s="47"/>
      <c r="CD946" s="47"/>
      <c r="CE946" s="47"/>
      <c r="CF946" s="47"/>
      <c r="CG946" s="47"/>
      <c r="CH946" s="47"/>
      <c r="CI946" s="47"/>
      <c r="CJ946" s="47"/>
      <c r="CK946" s="47"/>
      <c r="CL946" s="47"/>
      <c r="CM946" s="47"/>
      <c r="CN946" s="47"/>
      <c r="CO946" s="47"/>
      <c r="CP946" s="47"/>
      <c r="CQ946" s="47"/>
      <c r="CR946" s="47"/>
      <c r="CS946" s="47"/>
      <c r="CT946" s="47"/>
      <c r="CU946" s="47"/>
      <c r="CV946" s="47"/>
      <c r="CW946" s="47"/>
      <c r="CX946" s="47"/>
      <c r="CY946" s="47"/>
      <c r="CZ946" s="47"/>
      <c r="DA946" s="47"/>
      <c r="DB946" s="47"/>
      <c r="DC946" s="47"/>
      <c r="DD946" s="47"/>
      <c r="DE946" s="47"/>
      <c r="DF946" s="47"/>
      <c r="DG946" s="47"/>
      <c r="DH946" s="47"/>
    </row>
    <row r="947">
      <c r="A947" s="64"/>
      <c r="B947" s="47"/>
      <c r="C947" s="47"/>
      <c r="D947" s="47"/>
      <c r="E947" s="47"/>
      <c r="F947" s="47"/>
      <c r="G947" s="46"/>
      <c r="H947" s="42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  <c r="BE947" s="47"/>
      <c r="BF947" s="47"/>
      <c r="BG947" s="47"/>
      <c r="BH947" s="47"/>
      <c r="BI947" s="47"/>
      <c r="BJ947" s="47"/>
      <c r="BK947" s="47"/>
      <c r="BL947" s="47"/>
      <c r="BM947" s="47"/>
      <c r="BN947" s="47"/>
      <c r="BO947" s="47"/>
      <c r="BP947" s="47"/>
      <c r="BQ947" s="47"/>
      <c r="BR947" s="47"/>
      <c r="BS947" s="47"/>
      <c r="BT947" s="47"/>
      <c r="BU947" s="47"/>
      <c r="BV947" s="47"/>
      <c r="BW947" s="47"/>
      <c r="BX947" s="47"/>
      <c r="BY947" s="47"/>
      <c r="BZ947" s="47"/>
      <c r="CA947" s="47"/>
      <c r="CB947" s="47"/>
      <c r="CC947" s="47"/>
      <c r="CD947" s="47"/>
      <c r="CE947" s="47"/>
      <c r="CF947" s="47"/>
      <c r="CG947" s="47"/>
      <c r="CH947" s="47"/>
      <c r="CI947" s="47"/>
      <c r="CJ947" s="47"/>
      <c r="CK947" s="47"/>
      <c r="CL947" s="47"/>
      <c r="CM947" s="47"/>
      <c r="CN947" s="47"/>
      <c r="CO947" s="47"/>
      <c r="CP947" s="47"/>
      <c r="CQ947" s="47"/>
      <c r="CR947" s="47"/>
      <c r="CS947" s="47"/>
      <c r="CT947" s="47"/>
      <c r="CU947" s="47"/>
      <c r="CV947" s="47"/>
      <c r="CW947" s="47"/>
      <c r="CX947" s="47"/>
      <c r="CY947" s="47"/>
      <c r="CZ947" s="47"/>
      <c r="DA947" s="47"/>
      <c r="DB947" s="47"/>
      <c r="DC947" s="47"/>
      <c r="DD947" s="47"/>
      <c r="DE947" s="47"/>
      <c r="DF947" s="47"/>
      <c r="DG947" s="47"/>
      <c r="DH947" s="47"/>
    </row>
    <row r="948">
      <c r="A948" s="64"/>
      <c r="B948" s="47"/>
      <c r="C948" s="47"/>
      <c r="D948" s="47"/>
      <c r="E948" s="47"/>
      <c r="F948" s="47"/>
      <c r="G948" s="46"/>
      <c r="H948" s="42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  <c r="BE948" s="47"/>
      <c r="BF948" s="47"/>
      <c r="BG948" s="47"/>
      <c r="BH948" s="47"/>
      <c r="BI948" s="47"/>
      <c r="BJ948" s="47"/>
      <c r="BK948" s="47"/>
      <c r="BL948" s="47"/>
      <c r="BM948" s="47"/>
      <c r="BN948" s="47"/>
      <c r="BO948" s="47"/>
      <c r="BP948" s="47"/>
      <c r="BQ948" s="47"/>
      <c r="BR948" s="47"/>
      <c r="BS948" s="47"/>
      <c r="BT948" s="47"/>
      <c r="BU948" s="47"/>
      <c r="BV948" s="47"/>
      <c r="BW948" s="47"/>
      <c r="BX948" s="47"/>
      <c r="BY948" s="47"/>
      <c r="BZ948" s="47"/>
      <c r="CA948" s="47"/>
      <c r="CB948" s="47"/>
      <c r="CC948" s="47"/>
      <c r="CD948" s="47"/>
      <c r="CE948" s="47"/>
      <c r="CF948" s="47"/>
      <c r="CG948" s="47"/>
      <c r="CH948" s="47"/>
      <c r="CI948" s="47"/>
      <c r="CJ948" s="47"/>
      <c r="CK948" s="47"/>
      <c r="CL948" s="47"/>
      <c r="CM948" s="47"/>
      <c r="CN948" s="47"/>
      <c r="CO948" s="47"/>
      <c r="CP948" s="47"/>
      <c r="CQ948" s="47"/>
      <c r="CR948" s="47"/>
      <c r="CS948" s="47"/>
      <c r="CT948" s="47"/>
      <c r="CU948" s="47"/>
      <c r="CV948" s="47"/>
      <c r="CW948" s="47"/>
      <c r="CX948" s="47"/>
      <c r="CY948" s="47"/>
      <c r="CZ948" s="47"/>
      <c r="DA948" s="47"/>
      <c r="DB948" s="47"/>
      <c r="DC948" s="47"/>
      <c r="DD948" s="47"/>
      <c r="DE948" s="47"/>
      <c r="DF948" s="47"/>
      <c r="DG948" s="47"/>
      <c r="DH948" s="47"/>
    </row>
    <row r="949">
      <c r="A949" s="64"/>
      <c r="B949" s="47"/>
      <c r="C949" s="47"/>
      <c r="D949" s="47"/>
      <c r="E949" s="47"/>
      <c r="F949" s="47"/>
      <c r="G949" s="46"/>
      <c r="H949" s="42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  <c r="BE949" s="47"/>
      <c r="BF949" s="47"/>
      <c r="BG949" s="47"/>
      <c r="BH949" s="47"/>
      <c r="BI949" s="47"/>
      <c r="BJ949" s="47"/>
      <c r="BK949" s="47"/>
      <c r="BL949" s="47"/>
      <c r="BM949" s="47"/>
      <c r="BN949" s="47"/>
      <c r="BO949" s="47"/>
      <c r="BP949" s="47"/>
      <c r="BQ949" s="47"/>
      <c r="BR949" s="47"/>
      <c r="BS949" s="47"/>
      <c r="BT949" s="47"/>
      <c r="BU949" s="47"/>
      <c r="BV949" s="47"/>
      <c r="BW949" s="47"/>
      <c r="BX949" s="47"/>
      <c r="BY949" s="47"/>
      <c r="BZ949" s="47"/>
      <c r="CA949" s="47"/>
      <c r="CB949" s="47"/>
      <c r="CC949" s="47"/>
      <c r="CD949" s="47"/>
      <c r="CE949" s="47"/>
      <c r="CF949" s="47"/>
      <c r="CG949" s="47"/>
      <c r="CH949" s="47"/>
      <c r="CI949" s="47"/>
      <c r="CJ949" s="47"/>
      <c r="CK949" s="47"/>
      <c r="CL949" s="47"/>
      <c r="CM949" s="47"/>
      <c r="CN949" s="47"/>
      <c r="CO949" s="47"/>
      <c r="CP949" s="47"/>
      <c r="CQ949" s="47"/>
      <c r="CR949" s="47"/>
      <c r="CS949" s="47"/>
      <c r="CT949" s="47"/>
      <c r="CU949" s="47"/>
      <c r="CV949" s="47"/>
      <c r="CW949" s="47"/>
      <c r="CX949" s="47"/>
      <c r="CY949" s="47"/>
      <c r="CZ949" s="47"/>
      <c r="DA949" s="47"/>
      <c r="DB949" s="47"/>
      <c r="DC949" s="47"/>
      <c r="DD949" s="47"/>
      <c r="DE949" s="47"/>
      <c r="DF949" s="47"/>
      <c r="DG949" s="47"/>
      <c r="DH949" s="47"/>
    </row>
    <row r="950">
      <c r="A950" s="64"/>
      <c r="B950" s="47"/>
      <c r="C950" s="47"/>
      <c r="D950" s="47"/>
      <c r="E950" s="47"/>
      <c r="F950" s="47"/>
      <c r="G950" s="46"/>
      <c r="H950" s="42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  <c r="BE950" s="47"/>
      <c r="BF950" s="47"/>
      <c r="BG950" s="47"/>
      <c r="BH950" s="47"/>
      <c r="BI950" s="47"/>
      <c r="BJ950" s="47"/>
      <c r="BK950" s="47"/>
      <c r="BL950" s="47"/>
      <c r="BM950" s="47"/>
      <c r="BN950" s="47"/>
      <c r="BO950" s="47"/>
      <c r="BP950" s="47"/>
      <c r="BQ950" s="47"/>
      <c r="BR950" s="47"/>
      <c r="BS950" s="47"/>
      <c r="BT950" s="47"/>
      <c r="BU950" s="47"/>
      <c r="BV950" s="47"/>
      <c r="BW950" s="47"/>
      <c r="BX950" s="47"/>
      <c r="BY950" s="47"/>
      <c r="BZ950" s="47"/>
      <c r="CA950" s="47"/>
      <c r="CB950" s="47"/>
      <c r="CC950" s="47"/>
      <c r="CD950" s="47"/>
      <c r="CE950" s="47"/>
      <c r="CF950" s="47"/>
      <c r="CG950" s="47"/>
      <c r="CH950" s="47"/>
      <c r="CI950" s="47"/>
      <c r="CJ950" s="47"/>
      <c r="CK950" s="47"/>
      <c r="CL950" s="47"/>
      <c r="CM950" s="47"/>
      <c r="CN950" s="47"/>
      <c r="CO950" s="47"/>
      <c r="CP950" s="47"/>
      <c r="CQ950" s="47"/>
      <c r="CR950" s="47"/>
      <c r="CS950" s="47"/>
      <c r="CT950" s="47"/>
      <c r="CU950" s="47"/>
      <c r="CV950" s="47"/>
      <c r="CW950" s="47"/>
      <c r="CX950" s="47"/>
      <c r="CY950" s="47"/>
      <c r="CZ950" s="47"/>
      <c r="DA950" s="47"/>
      <c r="DB950" s="47"/>
      <c r="DC950" s="47"/>
      <c r="DD950" s="47"/>
      <c r="DE950" s="47"/>
      <c r="DF950" s="47"/>
      <c r="DG950" s="47"/>
      <c r="DH950" s="47"/>
    </row>
    <row r="951">
      <c r="A951" s="64"/>
      <c r="B951" s="47"/>
      <c r="C951" s="47"/>
      <c r="D951" s="47"/>
      <c r="E951" s="47"/>
      <c r="F951" s="47"/>
      <c r="G951" s="46"/>
      <c r="H951" s="42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  <c r="BE951" s="47"/>
      <c r="BF951" s="47"/>
      <c r="BG951" s="47"/>
      <c r="BH951" s="47"/>
      <c r="BI951" s="47"/>
      <c r="BJ951" s="47"/>
      <c r="BK951" s="47"/>
      <c r="BL951" s="47"/>
      <c r="BM951" s="47"/>
      <c r="BN951" s="47"/>
      <c r="BO951" s="47"/>
      <c r="BP951" s="47"/>
      <c r="BQ951" s="47"/>
      <c r="BR951" s="47"/>
      <c r="BS951" s="47"/>
      <c r="BT951" s="47"/>
      <c r="BU951" s="47"/>
      <c r="BV951" s="47"/>
      <c r="BW951" s="47"/>
      <c r="BX951" s="47"/>
      <c r="BY951" s="47"/>
      <c r="BZ951" s="47"/>
      <c r="CA951" s="47"/>
      <c r="CB951" s="47"/>
      <c r="CC951" s="47"/>
      <c r="CD951" s="47"/>
      <c r="CE951" s="47"/>
      <c r="CF951" s="47"/>
      <c r="CG951" s="47"/>
      <c r="CH951" s="47"/>
      <c r="CI951" s="47"/>
      <c r="CJ951" s="47"/>
      <c r="CK951" s="47"/>
      <c r="CL951" s="47"/>
      <c r="CM951" s="47"/>
      <c r="CN951" s="47"/>
      <c r="CO951" s="47"/>
      <c r="CP951" s="47"/>
      <c r="CQ951" s="47"/>
      <c r="CR951" s="47"/>
      <c r="CS951" s="47"/>
      <c r="CT951" s="47"/>
      <c r="CU951" s="47"/>
      <c r="CV951" s="47"/>
      <c r="CW951" s="47"/>
      <c r="CX951" s="47"/>
      <c r="CY951" s="47"/>
      <c r="CZ951" s="47"/>
      <c r="DA951" s="47"/>
      <c r="DB951" s="47"/>
      <c r="DC951" s="47"/>
      <c r="DD951" s="47"/>
      <c r="DE951" s="47"/>
      <c r="DF951" s="47"/>
      <c r="DG951" s="47"/>
      <c r="DH951" s="47"/>
    </row>
    <row r="952">
      <c r="A952" s="64"/>
      <c r="B952" s="47"/>
      <c r="C952" s="47"/>
      <c r="D952" s="47"/>
      <c r="E952" s="47"/>
      <c r="F952" s="47"/>
      <c r="G952" s="46"/>
      <c r="H952" s="42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  <c r="BE952" s="47"/>
      <c r="BF952" s="47"/>
      <c r="BG952" s="47"/>
      <c r="BH952" s="47"/>
      <c r="BI952" s="47"/>
      <c r="BJ952" s="47"/>
      <c r="BK952" s="47"/>
      <c r="BL952" s="47"/>
      <c r="BM952" s="47"/>
      <c r="BN952" s="47"/>
      <c r="BO952" s="47"/>
      <c r="BP952" s="47"/>
      <c r="BQ952" s="47"/>
      <c r="BR952" s="47"/>
      <c r="BS952" s="47"/>
      <c r="BT952" s="47"/>
      <c r="BU952" s="47"/>
      <c r="BV952" s="47"/>
      <c r="BW952" s="47"/>
      <c r="BX952" s="47"/>
      <c r="BY952" s="47"/>
      <c r="BZ952" s="47"/>
      <c r="CA952" s="47"/>
      <c r="CB952" s="47"/>
      <c r="CC952" s="47"/>
      <c r="CD952" s="47"/>
      <c r="CE952" s="47"/>
      <c r="CF952" s="47"/>
      <c r="CG952" s="47"/>
      <c r="CH952" s="47"/>
      <c r="CI952" s="47"/>
      <c r="CJ952" s="47"/>
      <c r="CK952" s="47"/>
      <c r="CL952" s="47"/>
      <c r="CM952" s="47"/>
      <c r="CN952" s="47"/>
      <c r="CO952" s="47"/>
      <c r="CP952" s="47"/>
      <c r="CQ952" s="47"/>
      <c r="CR952" s="47"/>
      <c r="CS952" s="47"/>
      <c r="CT952" s="47"/>
      <c r="CU952" s="47"/>
      <c r="CV952" s="47"/>
      <c r="CW952" s="47"/>
      <c r="CX952" s="47"/>
      <c r="CY952" s="47"/>
      <c r="CZ952" s="47"/>
      <c r="DA952" s="47"/>
      <c r="DB952" s="47"/>
      <c r="DC952" s="47"/>
      <c r="DD952" s="47"/>
      <c r="DE952" s="47"/>
      <c r="DF952" s="47"/>
      <c r="DG952" s="47"/>
      <c r="DH952" s="47"/>
    </row>
    <row r="953">
      <c r="A953" s="64"/>
      <c r="B953" s="47"/>
      <c r="C953" s="47"/>
      <c r="D953" s="47"/>
      <c r="E953" s="47"/>
      <c r="F953" s="47"/>
      <c r="G953" s="46"/>
      <c r="H953" s="42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  <c r="BE953" s="47"/>
      <c r="BF953" s="47"/>
      <c r="BG953" s="47"/>
      <c r="BH953" s="47"/>
      <c r="BI953" s="47"/>
      <c r="BJ953" s="47"/>
      <c r="BK953" s="47"/>
      <c r="BL953" s="47"/>
      <c r="BM953" s="47"/>
      <c r="BN953" s="47"/>
      <c r="BO953" s="47"/>
      <c r="BP953" s="47"/>
      <c r="BQ953" s="47"/>
      <c r="BR953" s="47"/>
      <c r="BS953" s="47"/>
      <c r="BT953" s="47"/>
      <c r="BU953" s="47"/>
      <c r="BV953" s="47"/>
      <c r="BW953" s="47"/>
      <c r="BX953" s="47"/>
      <c r="BY953" s="47"/>
      <c r="BZ953" s="47"/>
      <c r="CA953" s="47"/>
      <c r="CB953" s="47"/>
      <c r="CC953" s="47"/>
      <c r="CD953" s="47"/>
      <c r="CE953" s="47"/>
      <c r="CF953" s="47"/>
      <c r="CG953" s="47"/>
      <c r="CH953" s="47"/>
      <c r="CI953" s="47"/>
      <c r="CJ953" s="47"/>
      <c r="CK953" s="47"/>
      <c r="CL953" s="47"/>
      <c r="CM953" s="47"/>
      <c r="CN953" s="47"/>
      <c r="CO953" s="47"/>
      <c r="CP953" s="47"/>
      <c r="CQ953" s="47"/>
      <c r="CR953" s="47"/>
      <c r="CS953" s="47"/>
      <c r="CT953" s="47"/>
      <c r="CU953" s="47"/>
      <c r="CV953" s="47"/>
      <c r="CW953" s="47"/>
      <c r="CX953" s="47"/>
      <c r="CY953" s="47"/>
      <c r="CZ953" s="47"/>
      <c r="DA953" s="47"/>
      <c r="DB953" s="47"/>
      <c r="DC953" s="47"/>
      <c r="DD953" s="47"/>
      <c r="DE953" s="47"/>
      <c r="DF953" s="47"/>
      <c r="DG953" s="47"/>
      <c r="DH953" s="47"/>
    </row>
    <row r="954">
      <c r="A954" s="64"/>
      <c r="B954" s="47"/>
      <c r="C954" s="47"/>
      <c r="D954" s="47"/>
      <c r="E954" s="47"/>
      <c r="F954" s="47"/>
      <c r="G954" s="46"/>
      <c r="H954" s="42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  <c r="BJ954" s="47"/>
      <c r="BK954" s="47"/>
      <c r="BL954" s="47"/>
      <c r="BM954" s="47"/>
      <c r="BN954" s="47"/>
      <c r="BO954" s="47"/>
      <c r="BP954" s="47"/>
      <c r="BQ954" s="47"/>
      <c r="BR954" s="47"/>
      <c r="BS954" s="47"/>
      <c r="BT954" s="47"/>
      <c r="BU954" s="47"/>
      <c r="BV954" s="47"/>
      <c r="BW954" s="47"/>
      <c r="BX954" s="47"/>
      <c r="BY954" s="47"/>
      <c r="BZ954" s="47"/>
      <c r="CA954" s="47"/>
      <c r="CB954" s="47"/>
      <c r="CC954" s="47"/>
      <c r="CD954" s="47"/>
      <c r="CE954" s="47"/>
      <c r="CF954" s="47"/>
      <c r="CG954" s="47"/>
      <c r="CH954" s="47"/>
      <c r="CI954" s="47"/>
      <c r="CJ954" s="47"/>
      <c r="CK954" s="47"/>
      <c r="CL954" s="47"/>
      <c r="CM954" s="47"/>
      <c r="CN954" s="47"/>
      <c r="CO954" s="47"/>
      <c r="CP954" s="47"/>
      <c r="CQ954" s="47"/>
      <c r="CR954" s="47"/>
      <c r="CS954" s="47"/>
      <c r="CT954" s="47"/>
      <c r="CU954" s="47"/>
      <c r="CV954" s="47"/>
      <c r="CW954" s="47"/>
      <c r="CX954" s="47"/>
      <c r="CY954" s="47"/>
      <c r="CZ954" s="47"/>
      <c r="DA954" s="47"/>
      <c r="DB954" s="47"/>
      <c r="DC954" s="47"/>
      <c r="DD954" s="47"/>
      <c r="DE954" s="47"/>
      <c r="DF954" s="47"/>
      <c r="DG954" s="47"/>
      <c r="DH954" s="47"/>
    </row>
    <row r="955">
      <c r="A955" s="64"/>
      <c r="B955" s="47"/>
      <c r="C955" s="47"/>
      <c r="D955" s="47"/>
      <c r="E955" s="47"/>
      <c r="F955" s="47"/>
      <c r="G955" s="46"/>
      <c r="H955" s="42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  <c r="BE955" s="47"/>
      <c r="BF955" s="47"/>
      <c r="BG955" s="47"/>
      <c r="BH955" s="47"/>
      <c r="BI955" s="47"/>
      <c r="BJ955" s="47"/>
      <c r="BK955" s="47"/>
      <c r="BL955" s="47"/>
      <c r="BM955" s="47"/>
      <c r="BN955" s="47"/>
      <c r="BO955" s="47"/>
      <c r="BP955" s="47"/>
      <c r="BQ955" s="47"/>
      <c r="BR955" s="47"/>
      <c r="BS955" s="47"/>
      <c r="BT955" s="47"/>
      <c r="BU955" s="47"/>
      <c r="BV955" s="47"/>
      <c r="BW955" s="47"/>
      <c r="BX955" s="47"/>
      <c r="BY955" s="47"/>
      <c r="BZ955" s="47"/>
      <c r="CA955" s="47"/>
      <c r="CB955" s="47"/>
      <c r="CC955" s="47"/>
      <c r="CD955" s="47"/>
      <c r="CE955" s="47"/>
      <c r="CF955" s="47"/>
      <c r="CG955" s="47"/>
      <c r="CH955" s="47"/>
      <c r="CI955" s="47"/>
      <c r="CJ955" s="47"/>
      <c r="CK955" s="47"/>
      <c r="CL955" s="47"/>
      <c r="CM955" s="47"/>
      <c r="CN955" s="47"/>
      <c r="CO955" s="47"/>
      <c r="CP955" s="47"/>
      <c r="CQ955" s="47"/>
      <c r="CR955" s="47"/>
      <c r="CS955" s="47"/>
      <c r="CT955" s="47"/>
      <c r="CU955" s="47"/>
      <c r="CV955" s="47"/>
      <c r="CW955" s="47"/>
      <c r="CX955" s="47"/>
      <c r="CY955" s="47"/>
      <c r="CZ955" s="47"/>
      <c r="DA955" s="47"/>
      <c r="DB955" s="47"/>
      <c r="DC955" s="47"/>
      <c r="DD955" s="47"/>
      <c r="DE955" s="47"/>
      <c r="DF955" s="47"/>
      <c r="DG955" s="47"/>
      <c r="DH955" s="47"/>
    </row>
    <row r="956">
      <c r="A956" s="64"/>
      <c r="B956" s="47"/>
      <c r="C956" s="47"/>
      <c r="D956" s="47"/>
      <c r="E956" s="47"/>
      <c r="F956" s="47"/>
      <c r="G956" s="46"/>
      <c r="H956" s="42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  <c r="BJ956" s="47"/>
      <c r="BK956" s="47"/>
      <c r="BL956" s="47"/>
      <c r="BM956" s="47"/>
      <c r="BN956" s="47"/>
      <c r="BO956" s="47"/>
      <c r="BP956" s="47"/>
      <c r="BQ956" s="47"/>
      <c r="BR956" s="47"/>
      <c r="BS956" s="47"/>
      <c r="BT956" s="47"/>
      <c r="BU956" s="47"/>
      <c r="BV956" s="47"/>
      <c r="BW956" s="47"/>
      <c r="BX956" s="47"/>
      <c r="BY956" s="47"/>
      <c r="BZ956" s="47"/>
      <c r="CA956" s="47"/>
      <c r="CB956" s="47"/>
      <c r="CC956" s="47"/>
      <c r="CD956" s="47"/>
      <c r="CE956" s="47"/>
      <c r="CF956" s="47"/>
      <c r="CG956" s="47"/>
      <c r="CH956" s="47"/>
      <c r="CI956" s="47"/>
      <c r="CJ956" s="47"/>
      <c r="CK956" s="47"/>
      <c r="CL956" s="47"/>
      <c r="CM956" s="47"/>
      <c r="CN956" s="47"/>
      <c r="CO956" s="47"/>
      <c r="CP956" s="47"/>
      <c r="CQ956" s="47"/>
      <c r="CR956" s="47"/>
      <c r="CS956" s="47"/>
      <c r="CT956" s="47"/>
      <c r="CU956" s="47"/>
      <c r="CV956" s="47"/>
      <c r="CW956" s="47"/>
      <c r="CX956" s="47"/>
      <c r="CY956" s="47"/>
      <c r="CZ956" s="47"/>
      <c r="DA956" s="47"/>
      <c r="DB956" s="47"/>
      <c r="DC956" s="47"/>
      <c r="DD956" s="47"/>
      <c r="DE956" s="47"/>
      <c r="DF956" s="47"/>
      <c r="DG956" s="47"/>
      <c r="DH956" s="47"/>
    </row>
    <row r="957">
      <c r="A957" s="64"/>
      <c r="B957" s="47"/>
      <c r="C957" s="47"/>
      <c r="D957" s="47"/>
      <c r="E957" s="47"/>
      <c r="F957" s="47"/>
      <c r="G957" s="46"/>
      <c r="H957" s="42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  <c r="BE957" s="47"/>
      <c r="BF957" s="47"/>
      <c r="BG957" s="47"/>
      <c r="BH957" s="47"/>
      <c r="BI957" s="47"/>
      <c r="BJ957" s="47"/>
      <c r="BK957" s="47"/>
      <c r="BL957" s="47"/>
      <c r="BM957" s="47"/>
      <c r="BN957" s="47"/>
      <c r="BO957" s="47"/>
      <c r="BP957" s="47"/>
      <c r="BQ957" s="47"/>
      <c r="BR957" s="47"/>
      <c r="BS957" s="47"/>
      <c r="BT957" s="47"/>
      <c r="BU957" s="47"/>
      <c r="BV957" s="47"/>
      <c r="BW957" s="47"/>
      <c r="BX957" s="47"/>
      <c r="BY957" s="47"/>
      <c r="BZ957" s="47"/>
      <c r="CA957" s="47"/>
      <c r="CB957" s="47"/>
      <c r="CC957" s="47"/>
      <c r="CD957" s="47"/>
      <c r="CE957" s="47"/>
      <c r="CF957" s="47"/>
      <c r="CG957" s="47"/>
      <c r="CH957" s="47"/>
      <c r="CI957" s="47"/>
      <c r="CJ957" s="47"/>
      <c r="CK957" s="47"/>
      <c r="CL957" s="47"/>
      <c r="CM957" s="47"/>
      <c r="CN957" s="47"/>
      <c r="CO957" s="47"/>
      <c r="CP957" s="47"/>
      <c r="CQ957" s="47"/>
      <c r="CR957" s="47"/>
      <c r="CS957" s="47"/>
      <c r="CT957" s="47"/>
      <c r="CU957" s="47"/>
      <c r="CV957" s="47"/>
      <c r="CW957" s="47"/>
      <c r="CX957" s="47"/>
      <c r="CY957" s="47"/>
      <c r="CZ957" s="47"/>
      <c r="DA957" s="47"/>
      <c r="DB957" s="47"/>
      <c r="DC957" s="47"/>
      <c r="DD957" s="47"/>
      <c r="DE957" s="47"/>
      <c r="DF957" s="47"/>
      <c r="DG957" s="47"/>
      <c r="DH957" s="47"/>
    </row>
    <row r="958">
      <c r="A958" s="64"/>
      <c r="B958" s="47"/>
      <c r="C958" s="47"/>
      <c r="D958" s="47"/>
      <c r="E958" s="47"/>
      <c r="F958" s="47"/>
      <c r="G958" s="46"/>
      <c r="H958" s="42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  <c r="BE958" s="47"/>
      <c r="BF958" s="47"/>
      <c r="BG958" s="47"/>
      <c r="BH958" s="47"/>
      <c r="BI958" s="47"/>
      <c r="BJ958" s="47"/>
      <c r="BK958" s="47"/>
      <c r="BL958" s="47"/>
      <c r="BM958" s="47"/>
      <c r="BN958" s="47"/>
      <c r="BO958" s="47"/>
      <c r="BP958" s="47"/>
      <c r="BQ958" s="47"/>
      <c r="BR958" s="47"/>
      <c r="BS958" s="47"/>
      <c r="BT958" s="47"/>
      <c r="BU958" s="47"/>
      <c r="BV958" s="47"/>
      <c r="BW958" s="47"/>
      <c r="BX958" s="47"/>
      <c r="BY958" s="47"/>
      <c r="BZ958" s="47"/>
      <c r="CA958" s="47"/>
      <c r="CB958" s="47"/>
      <c r="CC958" s="47"/>
      <c r="CD958" s="47"/>
      <c r="CE958" s="47"/>
      <c r="CF958" s="47"/>
      <c r="CG958" s="47"/>
      <c r="CH958" s="47"/>
      <c r="CI958" s="47"/>
      <c r="CJ958" s="47"/>
      <c r="CK958" s="47"/>
      <c r="CL958" s="47"/>
      <c r="CM958" s="47"/>
      <c r="CN958" s="47"/>
      <c r="CO958" s="47"/>
      <c r="CP958" s="47"/>
      <c r="CQ958" s="47"/>
      <c r="CR958" s="47"/>
      <c r="CS958" s="47"/>
      <c r="CT958" s="47"/>
      <c r="CU958" s="47"/>
      <c r="CV958" s="47"/>
      <c r="CW958" s="47"/>
      <c r="CX958" s="47"/>
      <c r="CY958" s="47"/>
      <c r="CZ958" s="47"/>
      <c r="DA958" s="47"/>
      <c r="DB958" s="47"/>
      <c r="DC958" s="47"/>
      <c r="DD958" s="47"/>
      <c r="DE958" s="47"/>
      <c r="DF958" s="47"/>
      <c r="DG958" s="47"/>
      <c r="DH958" s="47"/>
    </row>
    <row r="959">
      <c r="A959" s="64"/>
      <c r="B959" s="47"/>
      <c r="C959" s="47"/>
      <c r="D959" s="47"/>
      <c r="E959" s="47"/>
      <c r="F959" s="47"/>
      <c r="G959" s="46"/>
      <c r="H959" s="42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  <c r="BE959" s="47"/>
      <c r="BF959" s="47"/>
      <c r="BG959" s="47"/>
      <c r="BH959" s="47"/>
      <c r="BI959" s="47"/>
      <c r="BJ959" s="47"/>
      <c r="BK959" s="47"/>
      <c r="BL959" s="47"/>
      <c r="BM959" s="47"/>
      <c r="BN959" s="47"/>
      <c r="BO959" s="47"/>
      <c r="BP959" s="47"/>
      <c r="BQ959" s="47"/>
      <c r="BR959" s="47"/>
      <c r="BS959" s="47"/>
      <c r="BT959" s="47"/>
      <c r="BU959" s="47"/>
      <c r="BV959" s="47"/>
      <c r="BW959" s="47"/>
      <c r="BX959" s="47"/>
      <c r="BY959" s="47"/>
      <c r="BZ959" s="47"/>
      <c r="CA959" s="47"/>
      <c r="CB959" s="47"/>
      <c r="CC959" s="47"/>
      <c r="CD959" s="47"/>
      <c r="CE959" s="47"/>
      <c r="CF959" s="47"/>
      <c r="CG959" s="47"/>
      <c r="CH959" s="47"/>
      <c r="CI959" s="47"/>
      <c r="CJ959" s="47"/>
      <c r="CK959" s="47"/>
      <c r="CL959" s="47"/>
      <c r="CM959" s="47"/>
      <c r="CN959" s="47"/>
      <c r="CO959" s="47"/>
      <c r="CP959" s="47"/>
      <c r="CQ959" s="47"/>
      <c r="CR959" s="47"/>
      <c r="CS959" s="47"/>
      <c r="CT959" s="47"/>
      <c r="CU959" s="47"/>
      <c r="CV959" s="47"/>
      <c r="CW959" s="47"/>
      <c r="CX959" s="47"/>
      <c r="CY959" s="47"/>
      <c r="CZ959" s="47"/>
      <c r="DA959" s="47"/>
      <c r="DB959" s="47"/>
      <c r="DC959" s="47"/>
      <c r="DD959" s="47"/>
      <c r="DE959" s="47"/>
      <c r="DF959" s="47"/>
      <c r="DG959" s="47"/>
      <c r="DH959" s="47"/>
    </row>
    <row r="960">
      <c r="A960" s="64"/>
      <c r="B960" s="47"/>
      <c r="C960" s="47"/>
      <c r="D960" s="47"/>
      <c r="E960" s="47"/>
      <c r="F960" s="47"/>
      <c r="G960" s="46"/>
      <c r="H960" s="42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  <c r="BE960" s="47"/>
      <c r="BF960" s="47"/>
      <c r="BG960" s="47"/>
      <c r="BH960" s="47"/>
      <c r="BI960" s="47"/>
      <c r="BJ960" s="47"/>
      <c r="BK960" s="47"/>
      <c r="BL960" s="47"/>
      <c r="BM960" s="47"/>
      <c r="BN960" s="47"/>
      <c r="BO960" s="47"/>
      <c r="BP960" s="47"/>
      <c r="BQ960" s="47"/>
      <c r="BR960" s="47"/>
      <c r="BS960" s="47"/>
      <c r="BT960" s="47"/>
      <c r="BU960" s="47"/>
      <c r="BV960" s="47"/>
      <c r="BW960" s="47"/>
      <c r="BX960" s="47"/>
      <c r="BY960" s="47"/>
      <c r="BZ960" s="47"/>
      <c r="CA960" s="47"/>
      <c r="CB960" s="47"/>
      <c r="CC960" s="47"/>
      <c r="CD960" s="47"/>
      <c r="CE960" s="47"/>
      <c r="CF960" s="47"/>
      <c r="CG960" s="47"/>
      <c r="CH960" s="47"/>
      <c r="CI960" s="47"/>
      <c r="CJ960" s="47"/>
      <c r="CK960" s="47"/>
      <c r="CL960" s="47"/>
      <c r="CM960" s="47"/>
      <c r="CN960" s="47"/>
      <c r="CO960" s="47"/>
      <c r="CP960" s="47"/>
      <c r="CQ960" s="47"/>
      <c r="CR960" s="47"/>
      <c r="CS960" s="47"/>
      <c r="CT960" s="47"/>
      <c r="CU960" s="47"/>
      <c r="CV960" s="47"/>
      <c r="CW960" s="47"/>
      <c r="CX960" s="47"/>
      <c r="CY960" s="47"/>
      <c r="CZ960" s="47"/>
      <c r="DA960" s="47"/>
      <c r="DB960" s="47"/>
      <c r="DC960" s="47"/>
      <c r="DD960" s="47"/>
      <c r="DE960" s="47"/>
      <c r="DF960" s="47"/>
      <c r="DG960" s="47"/>
      <c r="DH960" s="47"/>
    </row>
    <row r="961">
      <c r="A961" s="64"/>
      <c r="B961" s="47"/>
      <c r="C961" s="47"/>
      <c r="D961" s="47"/>
      <c r="E961" s="47"/>
      <c r="F961" s="47"/>
      <c r="G961" s="46"/>
      <c r="H961" s="42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  <c r="BE961" s="47"/>
      <c r="BF961" s="47"/>
      <c r="BG961" s="47"/>
      <c r="BH961" s="47"/>
      <c r="BI961" s="47"/>
      <c r="BJ961" s="47"/>
      <c r="BK961" s="47"/>
      <c r="BL961" s="47"/>
      <c r="BM961" s="47"/>
      <c r="BN961" s="47"/>
      <c r="BO961" s="47"/>
      <c r="BP961" s="47"/>
      <c r="BQ961" s="47"/>
      <c r="BR961" s="47"/>
      <c r="BS961" s="47"/>
      <c r="BT961" s="47"/>
      <c r="BU961" s="47"/>
      <c r="BV961" s="47"/>
      <c r="BW961" s="47"/>
      <c r="BX961" s="47"/>
      <c r="BY961" s="47"/>
      <c r="BZ961" s="47"/>
      <c r="CA961" s="47"/>
      <c r="CB961" s="47"/>
      <c r="CC961" s="47"/>
      <c r="CD961" s="47"/>
      <c r="CE961" s="47"/>
      <c r="CF961" s="47"/>
      <c r="CG961" s="47"/>
      <c r="CH961" s="47"/>
      <c r="CI961" s="47"/>
      <c r="CJ961" s="47"/>
      <c r="CK961" s="47"/>
      <c r="CL961" s="47"/>
      <c r="CM961" s="47"/>
      <c r="CN961" s="47"/>
      <c r="CO961" s="47"/>
      <c r="CP961" s="47"/>
      <c r="CQ961" s="47"/>
      <c r="CR961" s="47"/>
      <c r="CS961" s="47"/>
      <c r="CT961" s="47"/>
      <c r="CU961" s="47"/>
      <c r="CV961" s="47"/>
      <c r="CW961" s="47"/>
      <c r="CX961" s="47"/>
      <c r="CY961" s="47"/>
      <c r="CZ961" s="47"/>
      <c r="DA961" s="47"/>
      <c r="DB961" s="47"/>
      <c r="DC961" s="47"/>
      <c r="DD961" s="47"/>
      <c r="DE961" s="47"/>
      <c r="DF961" s="47"/>
      <c r="DG961" s="47"/>
      <c r="DH961" s="47"/>
    </row>
    <row r="962">
      <c r="A962" s="64"/>
      <c r="B962" s="47"/>
      <c r="C962" s="47"/>
      <c r="D962" s="47"/>
      <c r="E962" s="47"/>
      <c r="F962" s="47"/>
      <c r="G962" s="46"/>
      <c r="H962" s="42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  <c r="BJ962" s="47"/>
      <c r="BK962" s="47"/>
      <c r="BL962" s="47"/>
      <c r="BM962" s="47"/>
      <c r="BN962" s="47"/>
      <c r="BO962" s="47"/>
      <c r="BP962" s="47"/>
      <c r="BQ962" s="47"/>
      <c r="BR962" s="47"/>
      <c r="BS962" s="47"/>
      <c r="BT962" s="47"/>
      <c r="BU962" s="47"/>
      <c r="BV962" s="47"/>
      <c r="BW962" s="47"/>
      <c r="BX962" s="47"/>
      <c r="BY962" s="47"/>
      <c r="BZ962" s="47"/>
      <c r="CA962" s="47"/>
      <c r="CB962" s="47"/>
      <c r="CC962" s="47"/>
      <c r="CD962" s="47"/>
      <c r="CE962" s="47"/>
      <c r="CF962" s="47"/>
      <c r="CG962" s="47"/>
      <c r="CH962" s="47"/>
      <c r="CI962" s="47"/>
      <c r="CJ962" s="47"/>
      <c r="CK962" s="47"/>
      <c r="CL962" s="47"/>
      <c r="CM962" s="47"/>
      <c r="CN962" s="47"/>
      <c r="CO962" s="47"/>
      <c r="CP962" s="47"/>
      <c r="CQ962" s="47"/>
      <c r="CR962" s="47"/>
      <c r="CS962" s="47"/>
      <c r="CT962" s="47"/>
      <c r="CU962" s="47"/>
      <c r="CV962" s="47"/>
      <c r="CW962" s="47"/>
      <c r="CX962" s="47"/>
      <c r="CY962" s="47"/>
      <c r="CZ962" s="47"/>
      <c r="DA962" s="47"/>
      <c r="DB962" s="47"/>
      <c r="DC962" s="47"/>
      <c r="DD962" s="47"/>
      <c r="DE962" s="47"/>
      <c r="DF962" s="47"/>
      <c r="DG962" s="47"/>
      <c r="DH962" s="47"/>
    </row>
    <row r="963">
      <c r="A963" s="64"/>
      <c r="B963" s="47"/>
      <c r="C963" s="47"/>
      <c r="D963" s="47"/>
      <c r="E963" s="47"/>
      <c r="F963" s="47"/>
      <c r="G963" s="46"/>
      <c r="H963" s="42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  <c r="BJ963" s="47"/>
      <c r="BK963" s="47"/>
      <c r="BL963" s="47"/>
      <c r="BM963" s="47"/>
      <c r="BN963" s="47"/>
      <c r="BO963" s="47"/>
      <c r="BP963" s="47"/>
      <c r="BQ963" s="47"/>
      <c r="BR963" s="47"/>
      <c r="BS963" s="47"/>
      <c r="BT963" s="47"/>
      <c r="BU963" s="47"/>
      <c r="BV963" s="47"/>
      <c r="BW963" s="47"/>
      <c r="BX963" s="47"/>
      <c r="BY963" s="47"/>
      <c r="BZ963" s="47"/>
      <c r="CA963" s="47"/>
      <c r="CB963" s="47"/>
      <c r="CC963" s="47"/>
      <c r="CD963" s="47"/>
      <c r="CE963" s="47"/>
      <c r="CF963" s="47"/>
      <c r="CG963" s="47"/>
      <c r="CH963" s="47"/>
      <c r="CI963" s="47"/>
      <c r="CJ963" s="47"/>
      <c r="CK963" s="47"/>
      <c r="CL963" s="47"/>
      <c r="CM963" s="47"/>
      <c r="CN963" s="47"/>
      <c r="CO963" s="47"/>
      <c r="CP963" s="47"/>
      <c r="CQ963" s="47"/>
      <c r="CR963" s="47"/>
      <c r="CS963" s="47"/>
      <c r="CT963" s="47"/>
      <c r="CU963" s="47"/>
      <c r="CV963" s="47"/>
      <c r="CW963" s="47"/>
      <c r="CX963" s="47"/>
      <c r="CY963" s="47"/>
      <c r="CZ963" s="47"/>
      <c r="DA963" s="47"/>
      <c r="DB963" s="47"/>
      <c r="DC963" s="47"/>
      <c r="DD963" s="47"/>
      <c r="DE963" s="47"/>
      <c r="DF963" s="47"/>
      <c r="DG963" s="47"/>
      <c r="DH963" s="47"/>
    </row>
    <row r="964">
      <c r="A964" s="64"/>
      <c r="B964" s="47"/>
      <c r="C964" s="47"/>
      <c r="D964" s="47"/>
      <c r="E964" s="47"/>
      <c r="F964" s="47"/>
      <c r="G964" s="46"/>
      <c r="H964" s="42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  <c r="BL964" s="47"/>
      <c r="BM964" s="47"/>
      <c r="BN964" s="47"/>
      <c r="BO964" s="47"/>
      <c r="BP964" s="47"/>
      <c r="BQ964" s="47"/>
      <c r="BR964" s="47"/>
      <c r="BS964" s="47"/>
      <c r="BT964" s="47"/>
      <c r="BU964" s="47"/>
      <c r="BV964" s="47"/>
      <c r="BW964" s="47"/>
      <c r="BX964" s="47"/>
      <c r="BY964" s="47"/>
      <c r="BZ964" s="47"/>
      <c r="CA964" s="47"/>
      <c r="CB964" s="47"/>
      <c r="CC964" s="47"/>
      <c r="CD964" s="47"/>
      <c r="CE964" s="47"/>
      <c r="CF964" s="47"/>
      <c r="CG964" s="47"/>
      <c r="CH964" s="47"/>
      <c r="CI964" s="47"/>
      <c r="CJ964" s="47"/>
      <c r="CK964" s="47"/>
      <c r="CL964" s="47"/>
      <c r="CM964" s="47"/>
      <c r="CN964" s="47"/>
      <c r="CO964" s="47"/>
      <c r="CP964" s="47"/>
      <c r="CQ964" s="47"/>
      <c r="CR964" s="47"/>
      <c r="CS964" s="47"/>
      <c r="CT964" s="47"/>
      <c r="CU964" s="47"/>
      <c r="CV964" s="47"/>
      <c r="CW964" s="47"/>
      <c r="CX964" s="47"/>
      <c r="CY964" s="47"/>
      <c r="CZ964" s="47"/>
      <c r="DA964" s="47"/>
      <c r="DB964" s="47"/>
      <c r="DC964" s="47"/>
      <c r="DD964" s="47"/>
      <c r="DE964" s="47"/>
      <c r="DF964" s="47"/>
      <c r="DG964" s="47"/>
      <c r="DH964" s="47"/>
    </row>
    <row r="965">
      <c r="A965" s="64"/>
      <c r="B965" s="47"/>
      <c r="C965" s="47"/>
      <c r="D965" s="47"/>
      <c r="E965" s="47"/>
      <c r="F965" s="47"/>
      <c r="G965" s="46"/>
      <c r="H965" s="42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  <c r="BJ965" s="47"/>
      <c r="BK965" s="47"/>
      <c r="BL965" s="47"/>
      <c r="BM965" s="47"/>
      <c r="BN965" s="47"/>
      <c r="BO965" s="47"/>
      <c r="BP965" s="47"/>
      <c r="BQ965" s="47"/>
      <c r="BR965" s="47"/>
      <c r="BS965" s="47"/>
      <c r="BT965" s="47"/>
      <c r="BU965" s="47"/>
      <c r="BV965" s="47"/>
      <c r="BW965" s="47"/>
      <c r="BX965" s="47"/>
      <c r="BY965" s="47"/>
      <c r="BZ965" s="47"/>
      <c r="CA965" s="47"/>
      <c r="CB965" s="47"/>
      <c r="CC965" s="47"/>
      <c r="CD965" s="47"/>
      <c r="CE965" s="47"/>
      <c r="CF965" s="47"/>
      <c r="CG965" s="47"/>
      <c r="CH965" s="47"/>
      <c r="CI965" s="47"/>
      <c r="CJ965" s="47"/>
      <c r="CK965" s="47"/>
      <c r="CL965" s="47"/>
      <c r="CM965" s="47"/>
      <c r="CN965" s="47"/>
      <c r="CO965" s="47"/>
      <c r="CP965" s="47"/>
      <c r="CQ965" s="47"/>
      <c r="CR965" s="47"/>
      <c r="CS965" s="47"/>
      <c r="CT965" s="47"/>
      <c r="CU965" s="47"/>
      <c r="CV965" s="47"/>
      <c r="CW965" s="47"/>
      <c r="CX965" s="47"/>
      <c r="CY965" s="47"/>
      <c r="CZ965" s="47"/>
      <c r="DA965" s="47"/>
      <c r="DB965" s="47"/>
      <c r="DC965" s="47"/>
      <c r="DD965" s="47"/>
      <c r="DE965" s="47"/>
      <c r="DF965" s="47"/>
      <c r="DG965" s="47"/>
      <c r="DH965" s="47"/>
    </row>
    <row r="966">
      <c r="A966" s="64"/>
      <c r="B966" s="47"/>
      <c r="C966" s="47"/>
      <c r="D966" s="47"/>
      <c r="E966" s="47"/>
      <c r="F966" s="47"/>
      <c r="G966" s="46"/>
      <c r="H966" s="42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  <c r="BJ966" s="47"/>
      <c r="BK966" s="47"/>
      <c r="BL966" s="47"/>
      <c r="BM966" s="47"/>
      <c r="BN966" s="47"/>
      <c r="BO966" s="47"/>
      <c r="BP966" s="47"/>
      <c r="BQ966" s="47"/>
      <c r="BR966" s="47"/>
      <c r="BS966" s="47"/>
      <c r="BT966" s="47"/>
      <c r="BU966" s="47"/>
      <c r="BV966" s="47"/>
      <c r="BW966" s="47"/>
      <c r="BX966" s="47"/>
      <c r="BY966" s="47"/>
      <c r="BZ966" s="47"/>
      <c r="CA966" s="47"/>
      <c r="CB966" s="47"/>
      <c r="CC966" s="47"/>
      <c r="CD966" s="47"/>
      <c r="CE966" s="47"/>
      <c r="CF966" s="47"/>
      <c r="CG966" s="47"/>
      <c r="CH966" s="47"/>
      <c r="CI966" s="47"/>
      <c r="CJ966" s="47"/>
      <c r="CK966" s="47"/>
      <c r="CL966" s="47"/>
      <c r="CM966" s="47"/>
      <c r="CN966" s="47"/>
      <c r="CO966" s="47"/>
      <c r="CP966" s="47"/>
      <c r="CQ966" s="47"/>
      <c r="CR966" s="47"/>
      <c r="CS966" s="47"/>
      <c r="CT966" s="47"/>
      <c r="CU966" s="47"/>
      <c r="CV966" s="47"/>
      <c r="CW966" s="47"/>
      <c r="CX966" s="47"/>
      <c r="CY966" s="47"/>
      <c r="CZ966" s="47"/>
      <c r="DA966" s="47"/>
      <c r="DB966" s="47"/>
      <c r="DC966" s="47"/>
      <c r="DD966" s="47"/>
      <c r="DE966" s="47"/>
      <c r="DF966" s="47"/>
      <c r="DG966" s="47"/>
      <c r="DH966" s="47"/>
    </row>
    <row r="967">
      <c r="A967" s="64"/>
      <c r="B967" s="47"/>
      <c r="C967" s="47"/>
      <c r="D967" s="47"/>
      <c r="E967" s="47"/>
      <c r="F967" s="47"/>
      <c r="G967" s="46"/>
      <c r="H967" s="42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  <c r="BJ967" s="47"/>
      <c r="BK967" s="47"/>
      <c r="BL967" s="47"/>
      <c r="BM967" s="47"/>
      <c r="BN967" s="47"/>
      <c r="BO967" s="47"/>
      <c r="BP967" s="47"/>
      <c r="BQ967" s="47"/>
      <c r="BR967" s="47"/>
      <c r="BS967" s="47"/>
      <c r="BT967" s="47"/>
      <c r="BU967" s="47"/>
      <c r="BV967" s="47"/>
      <c r="BW967" s="47"/>
      <c r="BX967" s="47"/>
      <c r="BY967" s="47"/>
      <c r="BZ967" s="47"/>
      <c r="CA967" s="47"/>
      <c r="CB967" s="47"/>
      <c r="CC967" s="47"/>
      <c r="CD967" s="47"/>
      <c r="CE967" s="47"/>
      <c r="CF967" s="47"/>
      <c r="CG967" s="47"/>
      <c r="CH967" s="47"/>
      <c r="CI967" s="47"/>
      <c r="CJ967" s="47"/>
      <c r="CK967" s="47"/>
      <c r="CL967" s="47"/>
      <c r="CM967" s="47"/>
      <c r="CN967" s="47"/>
      <c r="CO967" s="47"/>
      <c r="CP967" s="47"/>
      <c r="CQ967" s="47"/>
      <c r="CR967" s="47"/>
      <c r="CS967" s="47"/>
      <c r="CT967" s="47"/>
      <c r="CU967" s="47"/>
      <c r="CV967" s="47"/>
      <c r="CW967" s="47"/>
      <c r="CX967" s="47"/>
      <c r="CY967" s="47"/>
      <c r="CZ967" s="47"/>
      <c r="DA967" s="47"/>
      <c r="DB967" s="47"/>
      <c r="DC967" s="47"/>
      <c r="DD967" s="47"/>
      <c r="DE967" s="47"/>
      <c r="DF967" s="47"/>
      <c r="DG967" s="47"/>
      <c r="DH967" s="47"/>
    </row>
    <row r="968">
      <c r="A968" s="64"/>
      <c r="B968" s="47"/>
      <c r="C968" s="47"/>
      <c r="D968" s="47"/>
      <c r="E968" s="47"/>
      <c r="F968" s="47"/>
      <c r="G968" s="46"/>
      <c r="H968" s="42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  <c r="BJ968" s="47"/>
      <c r="BK968" s="47"/>
      <c r="BL968" s="47"/>
      <c r="BM968" s="47"/>
      <c r="BN968" s="47"/>
      <c r="BO968" s="47"/>
      <c r="BP968" s="47"/>
      <c r="BQ968" s="47"/>
      <c r="BR968" s="47"/>
      <c r="BS968" s="47"/>
      <c r="BT968" s="47"/>
      <c r="BU968" s="47"/>
      <c r="BV968" s="47"/>
      <c r="BW968" s="47"/>
      <c r="BX968" s="47"/>
      <c r="BY968" s="47"/>
      <c r="BZ968" s="47"/>
      <c r="CA968" s="47"/>
      <c r="CB968" s="47"/>
      <c r="CC968" s="47"/>
      <c r="CD968" s="47"/>
      <c r="CE968" s="47"/>
      <c r="CF968" s="47"/>
      <c r="CG968" s="47"/>
      <c r="CH968" s="47"/>
      <c r="CI968" s="47"/>
      <c r="CJ968" s="47"/>
      <c r="CK968" s="47"/>
      <c r="CL968" s="47"/>
      <c r="CM968" s="47"/>
      <c r="CN968" s="47"/>
      <c r="CO968" s="47"/>
      <c r="CP968" s="47"/>
      <c r="CQ968" s="47"/>
      <c r="CR968" s="47"/>
      <c r="CS968" s="47"/>
      <c r="CT968" s="47"/>
      <c r="CU968" s="47"/>
      <c r="CV968" s="47"/>
      <c r="CW968" s="47"/>
      <c r="CX968" s="47"/>
      <c r="CY968" s="47"/>
      <c r="CZ968" s="47"/>
      <c r="DA968" s="47"/>
      <c r="DB968" s="47"/>
      <c r="DC968" s="47"/>
      <c r="DD968" s="47"/>
      <c r="DE968" s="47"/>
      <c r="DF968" s="47"/>
      <c r="DG968" s="47"/>
      <c r="DH968" s="47"/>
    </row>
    <row r="969">
      <c r="A969" s="64"/>
      <c r="B969" s="47"/>
      <c r="C969" s="47"/>
      <c r="D969" s="47"/>
      <c r="E969" s="47"/>
      <c r="F969" s="47"/>
      <c r="G969" s="46"/>
      <c r="H969" s="42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  <c r="BJ969" s="47"/>
      <c r="BK969" s="47"/>
      <c r="BL969" s="47"/>
      <c r="BM969" s="47"/>
      <c r="BN969" s="47"/>
      <c r="BO969" s="47"/>
      <c r="BP969" s="47"/>
      <c r="BQ969" s="47"/>
      <c r="BR969" s="47"/>
      <c r="BS969" s="47"/>
      <c r="BT969" s="47"/>
      <c r="BU969" s="47"/>
      <c r="BV969" s="47"/>
      <c r="BW969" s="47"/>
      <c r="BX969" s="47"/>
      <c r="BY969" s="47"/>
      <c r="BZ969" s="47"/>
      <c r="CA969" s="47"/>
      <c r="CB969" s="47"/>
      <c r="CC969" s="47"/>
      <c r="CD969" s="47"/>
      <c r="CE969" s="47"/>
      <c r="CF969" s="47"/>
      <c r="CG969" s="47"/>
      <c r="CH969" s="47"/>
      <c r="CI969" s="47"/>
      <c r="CJ969" s="47"/>
      <c r="CK969" s="47"/>
      <c r="CL969" s="47"/>
      <c r="CM969" s="47"/>
      <c r="CN969" s="47"/>
      <c r="CO969" s="47"/>
      <c r="CP969" s="47"/>
      <c r="CQ969" s="47"/>
      <c r="CR969" s="47"/>
      <c r="CS969" s="47"/>
      <c r="CT969" s="47"/>
      <c r="CU969" s="47"/>
      <c r="CV969" s="47"/>
      <c r="CW969" s="47"/>
      <c r="CX969" s="47"/>
      <c r="CY969" s="47"/>
      <c r="CZ969" s="47"/>
      <c r="DA969" s="47"/>
      <c r="DB969" s="47"/>
      <c r="DC969" s="47"/>
      <c r="DD969" s="47"/>
      <c r="DE969" s="47"/>
      <c r="DF969" s="47"/>
      <c r="DG969" s="47"/>
      <c r="DH969" s="47"/>
    </row>
    <row r="970">
      <c r="A970" s="64"/>
      <c r="B970" s="47"/>
      <c r="C970" s="47"/>
      <c r="D970" s="47"/>
      <c r="E970" s="47"/>
      <c r="F970" s="47"/>
      <c r="G970" s="46"/>
      <c r="H970" s="42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  <c r="BJ970" s="47"/>
      <c r="BK970" s="47"/>
      <c r="BL970" s="47"/>
      <c r="BM970" s="47"/>
      <c r="BN970" s="47"/>
      <c r="BO970" s="47"/>
      <c r="BP970" s="47"/>
      <c r="BQ970" s="47"/>
      <c r="BR970" s="47"/>
      <c r="BS970" s="47"/>
      <c r="BT970" s="47"/>
      <c r="BU970" s="47"/>
      <c r="BV970" s="47"/>
      <c r="BW970" s="47"/>
      <c r="BX970" s="47"/>
      <c r="BY970" s="47"/>
      <c r="BZ970" s="47"/>
      <c r="CA970" s="47"/>
      <c r="CB970" s="47"/>
      <c r="CC970" s="47"/>
      <c r="CD970" s="47"/>
      <c r="CE970" s="47"/>
      <c r="CF970" s="47"/>
      <c r="CG970" s="47"/>
      <c r="CH970" s="47"/>
      <c r="CI970" s="47"/>
      <c r="CJ970" s="47"/>
      <c r="CK970" s="47"/>
      <c r="CL970" s="47"/>
      <c r="CM970" s="47"/>
      <c r="CN970" s="47"/>
      <c r="CO970" s="47"/>
      <c r="CP970" s="47"/>
      <c r="CQ970" s="47"/>
      <c r="CR970" s="47"/>
      <c r="CS970" s="47"/>
      <c r="CT970" s="47"/>
      <c r="CU970" s="47"/>
      <c r="CV970" s="47"/>
      <c r="CW970" s="47"/>
      <c r="CX970" s="47"/>
      <c r="CY970" s="47"/>
      <c r="CZ970" s="47"/>
      <c r="DA970" s="47"/>
      <c r="DB970" s="47"/>
      <c r="DC970" s="47"/>
      <c r="DD970" s="47"/>
      <c r="DE970" s="47"/>
      <c r="DF970" s="47"/>
      <c r="DG970" s="47"/>
      <c r="DH970" s="47"/>
    </row>
    <row r="971">
      <c r="A971" s="64"/>
      <c r="B971" s="47"/>
      <c r="C971" s="47"/>
      <c r="D971" s="47"/>
      <c r="E971" s="47"/>
      <c r="F971" s="47"/>
      <c r="G971" s="46"/>
      <c r="H971" s="42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  <c r="BJ971" s="47"/>
      <c r="BK971" s="47"/>
      <c r="BL971" s="47"/>
      <c r="BM971" s="47"/>
      <c r="BN971" s="47"/>
      <c r="BO971" s="47"/>
      <c r="BP971" s="47"/>
      <c r="BQ971" s="47"/>
      <c r="BR971" s="47"/>
      <c r="BS971" s="47"/>
      <c r="BT971" s="47"/>
      <c r="BU971" s="47"/>
      <c r="BV971" s="47"/>
      <c r="BW971" s="47"/>
      <c r="BX971" s="47"/>
      <c r="BY971" s="47"/>
      <c r="BZ971" s="47"/>
      <c r="CA971" s="47"/>
      <c r="CB971" s="47"/>
      <c r="CC971" s="47"/>
      <c r="CD971" s="47"/>
      <c r="CE971" s="47"/>
      <c r="CF971" s="47"/>
      <c r="CG971" s="47"/>
      <c r="CH971" s="47"/>
      <c r="CI971" s="47"/>
      <c r="CJ971" s="47"/>
      <c r="CK971" s="47"/>
      <c r="CL971" s="47"/>
      <c r="CM971" s="47"/>
      <c r="CN971" s="47"/>
      <c r="CO971" s="47"/>
      <c r="CP971" s="47"/>
      <c r="CQ971" s="47"/>
      <c r="CR971" s="47"/>
      <c r="CS971" s="47"/>
      <c r="CT971" s="47"/>
      <c r="CU971" s="47"/>
      <c r="CV971" s="47"/>
      <c r="CW971" s="47"/>
      <c r="CX971" s="47"/>
      <c r="CY971" s="47"/>
      <c r="CZ971" s="47"/>
      <c r="DA971" s="47"/>
      <c r="DB971" s="47"/>
      <c r="DC971" s="47"/>
      <c r="DD971" s="47"/>
      <c r="DE971" s="47"/>
      <c r="DF971" s="47"/>
      <c r="DG971" s="47"/>
      <c r="DH971" s="47"/>
    </row>
    <row r="972">
      <c r="A972" s="64"/>
      <c r="B972" s="47"/>
      <c r="C972" s="47"/>
      <c r="D972" s="47"/>
      <c r="E972" s="47"/>
      <c r="F972" s="47"/>
      <c r="G972" s="46"/>
      <c r="H972" s="42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/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47"/>
      <c r="CA972" s="47"/>
      <c r="CB972" s="47"/>
      <c r="CC972" s="47"/>
      <c r="CD972" s="47"/>
      <c r="CE972" s="47"/>
      <c r="CF972" s="47"/>
      <c r="CG972" s="47"/>
      <c r="CH972" s="47"/>
      <c r="CI972" s="47"/>
      <c r="CJ972" s="47"/>
      <c r="CK972" s="47"/>
      <c r="CL972" s="47"/>
      <c r="CM972" s="47"/>
      <c r="CN972" s="47"/>
      <c r="CO972" s="47"/>
      <c r="CP972" s="47"/>
      <c r="CQ972" s="47"/>
      <c r="CR972" s="47"/>
      <c r="CS972" s="47"/>
      <c r="CT972" s="47"/>
      <c r="CU972" s="47"/>
      <c r="CV972" s="47"/>
      <c r="CW972" s="47"/>
      <c r="CX972" s="47"/>
      <c r="CY972" s="47"/>
      <c r="CZ972" s="47"/>
      <c r="DA972" s="47"/>
      <c r="DB972" s="47"/>
      <c r="DC972" s="47"/>
      <c r="DD972" s="47"/>
      <c r="DE972" s="47"/>
      <c r="DF972" s="47"/>
      <c r="DG972" s="47"/>
      <c r="DH972" s="47"/>
    </row>
    <row r="973">
      <c r="A973" s="64"/>
      <c r="B973" s="47"/>
      <c r="C973" s="47"/>
      <c r="D973" s="47"/>
      <c r="E973" s="47"/>
      <c r="F973" s="47"/>
      <c r="G973" s="46"/>
      <c r="H973" s="42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  <c r="BJ973" s="47"/>
      <c r="BK973" s="47"/>
      <c r="BL973" s="47"/>
      <c r="BM973" s="47"/>
      <c r="BN973" s="47"/>
      <c r="BO973" s="47"/>
      <c r="BP973" s="47"/>
      <c r="BQ973" s="47"/>
      <c r="BR973" s="47"/>
      <c r="BS973" s="47"/>
      <c r="BT973" s="47"/>
      <c r="BU973" s="47"/>
      <c r="BV973" s="47"/>
      <c r="BW973" s="47"/>
      <c r="BX973" s="47"/>
      <c r="BY973" s="47"/>
      <c r="BZ973" s="47"/>
      <c r="CA973" s="47"/>
      <c r="CB973" s="47"/>
      <c r="CC973" s="47"/>
      <c r="CD973" s="47"/>
      <c r="CE973" s="47"/>
      <c r="CF973" s="47"/>
      <c r="CG973" s="47"/>
      <c r="CH973" s="47"/>
      <c r="CI973" s="47"/>
      <c r="CJ973" s="47"/>
      <c r="CK973" s="47"/>
      <c r="CL973" s="47"/>
      <c r="CM973" s="47"/>
      <c r="CN973" s="47"/>
      <c r="CO973" s="47"/>
      <c r="CP973" s="47"/>
      <c r="CQ973" s="47"/>
      <c r="CR973" s="47"/>
      <c r="CS973" s="47"/>
      <c r="CT973" s="47"/>
      <c r="CU973" s="47"/>
      <c r="CV973" s="47"/>
      <c r="CW973" s="47"/>
      <c r="CX973" s="47"/>
      <c r="CY973" s="47"/>
      <c r="CZ973" s="47"/>
      <c r="DA973" s="47"/>
      <c r="DB973" s="47"/>
      <c r="DC973" s="47"/>
      <c r="DD973" s="47"/>
      <c r="DE973" s="47"/>
      <c r="DF973" s="47"/>
      <c r="DG973" s="47"/>
      <c r="DH973" s="47"/>
    </row>
    <row r="974">
      <c r="A974" s="64"/>
      <c r="B974" s="47"/>
      <c r="C974" s="47"/>
      <c r="D974" s="47"/>
      <c r="E974" s="47"/>
      <c r="F974" s="47"/>
      <c r="G974" s="46"/>
      <c r="H974" s="42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  <c r="BJ974" s="47"/>
      <c r="BK974" s="47"/>
      <c r="BL974" s="47"/>
      <c r="BM974" s="47"/>
      <c r="BN974" s="47"/>
      <c r="BO974" s="47"/>
      <c r="BP974" s="47"/>
      <c r="BQ974" s="47"/>
      <c r="BR974" s="47"/>
      <c r="BS974" s="47"/>
      <c r="BT974" s="47"/>
      <c r="BU974" s="47"/>
      <c r="BV974" s="47"/>
      <c r="BW974" s="47"/>
      <c r="BX974" s="47"/>
      <c r="BY974" s="47"/>
      <c r="BZ974" s="47"/>
      <c r="CA974" s="47"/>
      <c r="CB974" s="47"/>
      <c r="CC974" s="47"/>
      <c r="CD974" s="47"/>
      <c r="CE974" s="47"/>
      <c r="CF974" s="47"/>
      <c r="CG974" s="47"/>
      <c r="CH974" s="47"/>
      <c r="CI974" s="47"/>
      <c r="CJ974" s="47"/>
      <c r="CK974" s="47"/>
      <c r="CL974" s="47"/>
      <c r="CM974" s="47"/>
      <c r="CN974" s="47"/>
      <c r="CO974" s="47"/>
      <c r="CP974" s="47"/>
      <c r="CQ974" s="47"/>
      <c r="CR974" s="47"/>
      <c r="CS974" s="47"/>
      <c r="CT974" s="47"/>
      <c r="CU974" s="47"/>
      <c r="CV974" s="47"/>
      <c r="CW974" s="47"/>
      <c r="CX974" s="47"/>
      <c r="CY974" s="47"/>
      <c r="CZ974" s="47"/>
      <c r="DA974" s="47"/>
      <c r="DB974" s="47"/>
      <c r="DC974" s="47"/>
      <c r="DD974" s="47"/>
      <c r="DE974" s="47"/>
      <c r="DF974" s="47"/>
      <c r="DG974" s="47"/>
      <c r="DH974" s="47"/>
    </row>
    <row r="975">
      <c r="A975" s="64"/>
      <c r="B975" s="47"/>
      <c r="C975" s="47"/>
      <c r="D975" s="47"/>
      <c r="E975" s="47"/>
      <c r="F975" s="47"/>
      <c r="G975" s="46"/>
      <c r="H975" s="42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  <c r="BJ975" s="47"/>
      <c r="BK975" s="47"/>
      <c r="BL975" s="47"/>
      <c r="BM975" s="47"/>
      <c r="BN975" s="47"/>
      <c r="BO975" s="47"/>
      <c r="BP975" s="47"/>
      <c r="BQ975" s="47"/>
      <c r="BR975" s="47"/>
      <c r="BS975" s="47"/>
      <c r="BT975" s="47"/>
      <c r="BU975" s="47"/>
      <c r="BV975" s="47"/>
      <c r="BW975" s="47"/>
      <c r="BX975" s="47"/>
      <c r="BY975" s="47"/>
      <c r="BZ975" s="47"/>
      <c r="CA975" s="47"/>
      <c r="CB975" s="47"/>
      <c r="CC975" s="47"/>
      <c r="CD975" s="47"/>
      <c r="CE975" s="47"/>
      <c r="CF975" s="47"/>
      <c r="CG975" s="47"/>
      <c r="CH975" s="47"/>
      <c r="CI975" s="47"/>
      <c r="CJ975" s="47"/>
      <c r="CK975" s="47"/>
      <c r="CL975" s="47"/>
      <c r="CM975" s="47"/>
      <c r="CN975" s="47"/>
      <c r="CO975" s="47"/>
      <c r="CP975" s="47"/>
      <c r="CQ975" s="47"/>
      <c r="CR975" s="47"/>
      <c r="CS975" s="47"/>
      <c r="CT975" s="47"/>
      <c r="CU975" s="47"/>
      <c r="CV975" s="47"/>
      <c r="CW975" s="47"/>
      <c r="CX975" s="47"/>
      <c r="CY975" s="47"/>
      <c r="CZ975" s="47"/>
      <c r="DA975" s="47"/>
      <c r="DB975" s="47"/>
      <c r="DC975" s="47"/>
      <c r="DD975" s="47"/>
      <c r="DE975" s="47"/>
      <c r="DF975" s="47"/>
      <c r="DG975" s="47"/>
      <c r="DH975" s="47"/>
    </row>
    <row r="976">
      <c r="A976" s="64"/>
      <c r="B976" s="47"/>
      <c r="C976" s="47"/>
      <c r="D976" s="47"/>
      <c r="E976" s="47"/>
      <c r="F976" s="47"/>
      <c r="G976" s="46"/>
      <c r="H976" s="42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  <c r="BJ976" s="47"/>
      <c r="BK976" s="47"/>
      <c r="BL976" s="47"/>
      <c r="BM976" s="47"/>
      <c r="BN976" s="47"/>
      <c r="BO976" s="47"/>
      <c r="BP976" s="47"/>
      <c r="BQ976" s="47"/>
      <c r="BR976" s="47"/>
      <c r="BS976" s="47"/>
      <c r="BT976" s="47"/>
      <c r="BU976" s="47"/>
      <c r="BV976" s="47"/>
      <c r="BW976" s="47"/>
      <c r="BX976" s="47"/>
      <c r="BY976" s="47"/>
      <c r="BZ976" s="47"/>
      <c r="CA976" s="47"/>
      <c r="CB976" s="47"/>
      <c r="CC976" s="47"/>
      <c r="CD976" s="47"/>
      <c r="CE976" s="47"/>
      <c r="CF976" s="47"/>
      <c r="CG976" s="47"/>
      <c r="CH976" s="47"/>
      <c r="CI976" s="47"/>
      <c r="CJ976" s="47"/>
      <c r="CK976" s="47"/>
      <c r="CL976" s="47"/>
      <c r="CM976" s="47"/>
      <c r="CN976" s="47"/>
      <c r="CO976" s="47"/>
      <c r="CP976" s="47"/>
      <c r="CQ976" s="47"/>
      <c r="CR976" s="47"/>
      <c r="CS976" s="47"/>
      <c r="CT976" s="47"/>
      <c r="CU976" s="47"/>
      <c r="CV976" s="47"/>
      <c r="CW976" s="47"/>
      <c r="CX976" s="47"/>
      <c r="CY976" s="47"/>
      <c r="CZ976" s="47"/>
      <c r="DA976" s="47"/>
      <c r="DB976" s="47"/>
      <c r="DC976" s="47"/>
      <c r="DD976" s="47"/>
      <c r="DE976" s="47"/>
      <c r="DF976" s="47"/>
      <c r="DG976" s="47"/>
      <c r="DH976" s="47"/>
    </row>
    <row r="977">
      <c r="A977" s="64"/>
      <c r="B977" s="47"/>
      <c r="C977" s="47"/>
      <c r="D977" s="47"/>
      <c r="E977" s="47"/>
      <c r="F977" s="47"/>
      <c r="G977" s="46"/>
      <c r="H977" s="42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  <c r="BJ977" s="47"/>
      <c r="BK977" s="47"/>
      <c r="BL977" s="47"/>
      <c r="BM977" s="47"/>
      <c r="BN977" s="47"/>
      <c r="BO977" s="47"/>
      <c r="BP977" s="47"/>
      <c r="BQ977" s="47"/>
      <c r="BR977" s="47"/>
      <c r="BS977" s="47"/>
      <c r="BT977" s="47"/>
      <c r="BU977" s="47"/>
      <c r="BV977" s="47"/>
      <c r="BW977" s="47"/>
      <c r="BX977" s="47"/>
      <c r="BY977" s="47"/>
      <c r="BZ977" s="47"/>
      <c r="CA977" s="47"/>
      <c r="CB977" s="47"/>
      <c r="CC977" s="47"/>
      <c r="CD977" s="47"/>
      <c r="CE977" s="47"/>
      <c r="CF977" s="47"/>
      <c r="CG977" s="47"/>
      <c r="CH977" s="47"/>
      <c r="CI977" s="47"/>
      <c r="CJ977" s="47"/>
      <c r="CK977" s="47"/>
      <c r="CL977" s="47"/>
      <c r="CM977" s="47"/>
      <c r="CN977" s="47"/>
      <c r="CO977" s="47"/>
      <c r="CP977" s="47"/>
      <c r="CQ977" s="47"/>
      <c r="CR977" s="47"/>
      <c r="CS977" s="47"/>
      <c r="CT977" s="47"/>
      <c r="CU977" s="47"/>
      <c r="CV977" s="47"/>
      <c r="CW977" s="47"/>
      <c r="CX977" s="47"/>
      <c r="CY977" s="47"/>
      <c r="CZ977" s="47"/>
      <c r="DA977" s="47"/>
      <c r="DB977" s="47"/>
      <c r="DC977" s="47"/>
      <c r="DD977" s="47"/>
      <c r="DE977" s="47"/>
      <c r="DF977" s="47"/>
      <c r="DG977" s="47"/>
      <c r="DH977" s="47"/>
    </row>
    <row r="978">
      <c r="A978" s="64"/>
      <c r="B978" s="47"/>
      <c r="C978" s="47"/>
      <c r="D978" s="47"/>
      <c r="E978" s="47"/>
      <c r="F978" s="47"/>
      <c r="G978" s="46"/>
      <c r="H978" s="42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  <c r="BL978" s="47"/>
      <c r="BM978" s="47"/>
      <c r="BN978" s="47"/>
      <c r="BO978" s="47"/>
      <c r="BP978" s="47"/>
      <c r="BQ978" s="47"/>
      <c r="BR978" s="47"/>
      <c r="BS978" s="47"/>
      <c r="BT978" s="47"/>
      <c r="BU978" s="47"/>
      <c r="BV978" s="47"/>
      <c r="BW978" s="47"/>
      <c r="BX978" s="47"/>
      <c r="BY978" s="47"/>
      <c r="BZ978" s="47"/>
      <c r="CA978" s="47"/>
      <c r="CB978" s="47"/>
      <c r="CC978" s="47"/>
      <c r="CD978" s="47"/>
      <c r="CE978" s="47"/>
      <c r="CF978" s="47"/>
      <c r="CG978" s="47"/>
      <c r="CH978" s="47"/>
      <c r="CI978" s="47"/>
      <c r="CJ978" s="47"/>
      <c r="CK978" s="47"/>
      <c r="CL978" s="47"/>
      <c r="CM978" s="47"/>
      <c r="CN978" s="47"/>
      <c r="CO978" s="47"/>
      <c r="CP978" s="47"/>
      <c r="CQ978" s="47"/>
      <c r="CR978" s="47"/>
      <c r="CS978" s="47"/>
      <c r="CT978" s="47"/>
      <c r="CU978" s="47"/>
      <c r="CV978" s="47"/>
      <c r="CW978" s="47"/>
      <c r="CX978" s="47"/>
      <c r="CY978" s="47"/>
      <c r="CZ978" s="47"/>
      <c r="DA978" s="47"/>
      <c r="DB978" s="47"/>
      <c r="DC978" s="47"/>
      <c r="DD978" s="47"/>
      <c r="DE978" s="47"/>
      <c r="DF978" s="47"/>
      <c r="DG978" s="47"/>
      <c r="DH978" s="47"/>
    </row>
    <row r="979">
      <c r="A979" s="64"/>
      <c r="B979" s="47"/>
      <c r="C979" s="47"/>
      <c r="D979" s="47"/>
      <c r="E979" s="47"/>
      <c r="F979" s="47"/>
      <c r="G979" s="46"/>
      <c r="H979" s="42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  <c r="BJ979" s="47"/>
      <c r="BK979" s="47"/>
      <c r="BL979" s="47"/>
      <c r="BM979" s="47"/>
      <c r="BN979" s="47"/>
      <c r="BO979" s="47"/>
      <c r="BP979" s="47"/>
      <c r="BQ979" s="47"/>
      <c r="BR979" s="47"/>
      <c r="BS979" s="47"/>
      <c r="BT979" s="47"/>
      <c r="BU979" s="47"/>
      <c r="BV979" s="47"/>
      <c r="BW979" s="47"/>
      <c r="BX979" s="47"/>
      <c r="BY979" s="47"/>
      <c r="BZ979" s="47"/>
      <c r="CA979" s="47"/>
      <c r="CB979" s="47"/>
      <c r="CC979" s="47"/>
      <c r="CD979" s="47"/>
      <c r="CE979" s="47"/>
      <c r="CF979" s="47"/>
      <c r="CG979" s="47"/>
      <c r="CH979" s="47"/>
      <c r="CI979" s="47"/>
      <c r="CJ979" s="47"/>
      <c r="CK979" s="47"/>
      <c r="CL979" s="47"/>
      <c r="CM979" s="47"/>
      <c r="CN979" s="47"/>
      <c r="CO979" s="47"/>
      <c r="CP979" s="47"/>
      <c r="CQ979" s="47"/>
      <c r="CR979" s="47"/>
      <c r="CS979" s="47"/>
      <c r="CT979" s="47"/>
      <c r="CU979" s="47"/>
      <c r="CV979" s="47"/>
      <c r="CW979" s="47"/>
      <c r="CX979" s="47"/>
      <c r="CY979" s="47"/>
      <c r="CZ979" s="47"/>
      <c r="DA979" s="47"/>
      <c r="DB979" s="47"/>
      <c r="DC979" s="47"/>
      <c r="DD979" s="47"/>
      <c r="DE979" s="47"/>
      <c r="DF979" s="47"/>
      <c r="DG979" s="47"/>
      <c r="DH979" s="47"/>
    </row>
    <row r="980">
      <c r="A980" s="64"/>
      <c r="B980" s="47"/>
      <c r="C980" s="47"/>
      <c r="D980" s="47"/>
      <c r="E980" s="47"/>
      <c r="F980" s="47"/>
      <c r="G980" s="46"/>
      <c r="H980" s="42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  <c r="BJ980" s="47"/>
      <c r="BK980" s="47"/>
      <c r="BL980" s="47"/>
      <c r="BM980" s="47"/>
      <c r="BN980" s="47"/>
      <c r="BO980" s="47"/>
      <c r="BP980" s="47"/>
      <c r="BQ980" s="47"/>
      <c r="BR980" s="47"/>
      <c r="BS980" s="47"/>
      <c r="BT980" s="47"/>
      <c r="BU980" s="47"/>
      <c r="BV980" s="47"/>
      <c r="BW980" s="47"/>
      <c r="BX980" s="47"/>
      <c r="BY980" s="47"/>
      <c r="BZ980" s="47"/>
      <c r="CA980" s="47"/>
      <c r="CB980" s="47"/>
      <c r="CC980" s="47"/>
      <c r="CD980" s="47"/>
      <c r="CE980" s="47"/>
      <c r="CF980" s="47"/>
      <c r="CG980" s="47"/>
      <c r="CH980" s="47"/>
      <c r="CI980" s="47"/>
      <c r="CJ980" s="47"/>
      <c r="CK980" s="47"/>
      <c r="CL980" s="47"/>
      <c r="CM980" s="47"/>
      <c r="CN980" s="47"/>
      <c r="CO980" s="47"/>
      <c r="CP980" s="47"/>
      <c r="CQ980" s="47"/>
      <c r="CR980" s="47"/>
      <c r="CS980" s="47"/>
      <c r="CT980" s="47"/>
      <c r="CU980" s="47"/>
      <c r="CV980" s="47"/>
      <c r="CW980" s="47"/>
      <c r="CX980" s="47"/>
      <c r="CY980" s="47"/>
      <c r="CZ980" s="47"/>
      <c r="DA980" s="47"/>
      <c r="DB980" s="47"/>
      <c r="DC980" s="47"/>
      <c r="DD980" s="47"/>
      <c r="DE980" s="47"/>
      <c r="DF980" s="47"/>
      <c r="DG980" s="47"/>
      <c r="DH980" s="47"/>
    </row>
    <row r="981">
      <c r="A981" s="64"/>
      <c r="B981" s="47"/>
      <c r="C981" s="47"/>
      <c r="D981" s="47"/>
      <c r="E981" s="47"/>
      <c r="F981" s="47"/>
      <c r="G981" s="46"/>
      <c r="H981" s="42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  <c r="BJ981" s="47"/>
      <c r="BK981" s="47"/>
      <c r="BL981" s="47"/>
      <c r="BM981" s="47"/>
      <c r="BN981" s="47"/>
      <c r="BO981" s="47"/>
      <c r="BP981" s="47"/>
      <c r="BQ981" s="47"/>
      <c r="BR981" s="47"/>
      <c r="BS981" s="47"/>
      <c r="BT981" s="47"/>
      <c r="BU981" s="47"/>
      <c r="BV981" s="47"/>
      <c r="BW981" s="47"/>
      <c r="BX981" s="47"/>
      <c r="BY981" s="47"/>
      <c r="BZ981" s="47"/>
      <c r="CA981" s="47"/>
      <c r="CB981" s="47"/>
      <c r="CC981" s="47"/>
      <c r="CD981" s="47"/>
      <c r="CE981" s="47"/>
      <c r="CF981" s="47"/>
      <c r="CG981" s="47"/>
      <c r="CH981" s="47"/>
      <c r="CI981" s="47"/>
      <c r="CJ981" s="47"/>
      <c r="CK981" s="47"/>
      <c r="CL981" s="47"/>
      <c r="CM981" s="47"/>
      <c r="CN981" s="47"/>
      <c r="CO981" s="47"/>
      <c r="CP981" s="47"/>
      <c r="CQ981" s="47"/>
      <c r="CR981" s="47"/>
      <c r="CS981" s="47"/>
      <c r="CT981" s="47"/>
      <c r="CU981" s="47"/>
      <c r="CV981" s="47"/>
      <c r="CW981" s="47"/>
      <c r="CX981" s="47"/>
      <c r="CY981" s="47"/>
      <c r="CZ981" s="47"/>
      <c r="DA981" s="47"/>
      <c r="DB981" s="47"/>
      <c r="DC981" s="47"/>
      <c r="DD981" s="47"/>
      <c r="DE981" s="47"/>
      <c r="DF981" s="47"/>
      <c r="DG981" s="47"/>
      <c r="DH981" s="47"/>
    </row>
    <row r="982">
      <c r="A982" s="64"/>
      <c r="B982" s="47"/>
      <c r="C982" s="47"/>
      <c r="D982" s="47"/>
      <c r="E982" s="47"/>
      <c r="F982" s="47"/>
      <c r="G982" s="46"/>
      <c r="H982" s="42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/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47"/>
      <c r="CA982" s="47"/>
      <c r="CB982" s="47"/>
      <c r="CC982" s="47"/>
      <c r="CD982" s="47"/>
      <c r="CE982" s="47"/>
      <c r="CF982" s="47"/>
      <c r="CG982" s="47"/>
      <c r="CH982" s="47"/>
      <c r="CI982" s="47"/>
      <c r="CJ982" s="47"/>
      <c r="CK982" s="47"/>
      <c r="CL982" s="47"/>
      <c r="CM982" s="47"/>
      <c r="CN982" s="47"/>
      <c r="CO982" s="47"/>
      <c r="CP982" s="47"/>
      <c r="CQ982" s="47"/>
      <c r="CR982" s="47"/>
      <c r="CS982" s="47"/>
      <c r="CT982" s="47"/>
      <c r="CU982" s="47"/>
      <c r="CV982" s="47"/>
      <c r="CW982" s="47"/>
      <c r="CX982" s="47"/>
      <c r="CY982" s="47"/>
      <c r="CZ982" s="47"/>
      <c r="DA982" s="47"/>
      <c r="DB982" s="47"/>
      <c r="DC982" s="47"/>
      <c r="DD982" s="47"/>
      <c r="DE982" s="47"/>
      <c r="DF982" s="47"/>
      <c r="DG982" s="47"/>
      <c r="DH982" s="47"/>
    </row>
    <row r="983">
      <c r="A983" s="64"/>
      <c r="B983" s="47"/>
      <c r="C983" s="47"/>
      <c r="D983" s="47"/>
      <c r="E983" s="47"/>
      <c r="F983" s="47"/>
      <c r="G983" s="46"/>
      <c r="H983" s="42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  <c r="BJ983" s="47"/>
      <c r="BK983" s="47"/>
      <c r="BL983" s="47"/>
      <c r="BM983" s="47"/>
      <c r="BN983" s="47"/>
      <c r="BO983" s="47"/>
      <c r="BP983" s="47"/>
      <c r="BQ983" s="47"/>
      <c r="BR983" s="47"/>
      <c r="BS983" s="47"/>
      <c r="BT983" s="47"/>
      <c r="BU983" s="47"/>
      <c r="BV983" s="47"/>
      <c r="BW983" s="47"/>
      <c r="BX983" s="47"/>
      <c r="BY983" s="47"/>
      <c r="BZ983" s="47"/>
      <c r="CA983" s="47"/>
      <c r="CB983" s="47"/>
      <c r="CC983" s="47"/>
      <c r="CD983" s="47"/>
      <c r="CE983" s="47"/>
      <c r="CF983" s="47"/>
      <c r="CG983" s="47"/>
      <c r="CH983" s="47"/>
      <c r="CI983" s="47"/>
      <c r="CJ983" s="47"/>
      <c r="CK983" s="47"/>
      <c r="CL983" s="47"/>
      <c r="CM983" s="47"/>
      <c r="CN983" s="47"/>
      <c r="CO983" s="47"/>
      <c r="CP983" s="47"/>
      <c r="CQ983" s="47"/>
      <c r="CR983" s="47"/>
      <c r="CS983" s="47"/>
      <c r="CT983" s="47"/>
      <c r="CU983" s="47"/>
      <c r="CV983" s="47"/>
      <c r="CW983" s="47"/>
      <c r="CX983" s="47"/>
      <c r="CY983" s="47"/>
      <c r="CZ983" s="47"/>
      <c r="DA983" s="47"/>
      <c r="DB983" s="47"/>
      <c r="DC983" s="47"/>
      <c r="DD983" s="47"/>
      <c r="DE983" s="47"/>
      <c r="DF983" s="47"/>
      <c r="DG983" s="47"/>
      <c r="DH983" s="47"/>
    </row>
    <row r="984">
      <c r="A984" s="64"/>
      <c r="B984" s="47"/>
      <c r="C984" s="47"/>
      <c r="D984" s="47"/>
      <c r="E984" s="47"/>
      <c r="F984" s="47"/>
      <c r="G984" s="46"/>
      <c r="H984" s="42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  <c r="BJ984" s="47"/>
      <c r="BK984" s="47"/>
      <c r="BL984" s="47"/>
      <c r="BM984" s="47"/>
      <c r="BN984" s="47"/>
      <c r="BO984" s="47"/>
      <c r="BP984" s="47"/>
      <c r="BQ984" s="47"/>
      <c r="BR984" s="47"/>
      <c r="BS984" s="47"/>
      <c r="BT984" s="47"/>
      <c r="BU984" s="47"/>
      <c r="BV984" s="47"/>
      <c r="BW984" s="47"/>
      <c r="BX984" s="47"/>
      <c r="BY984" s="47"/>
      <c r="BZ984" s="47"/>
      <c r="CA984" s="47"/>
      <c r="CB984" s="47"/>
      <c r="CC984" s="47"/>
      <c r="CD984" s="47"/>
      <c r="CE984" s="47"/>
      <c r="CF984" s="47"/>
      <c r="CG984" s="47"/>
      <c r="CH984" s="47"/>
      <c r="CI984" s="47"/>
      <c r="CJ984" s="47"/>
      <c r="CK984" s="47"/>
      <c r="CL984" s="47"/>
      <c r="CM984" s="47"/>
      <c r="CN984" s="47"/>
      <c r="CO984" s="47"/>
      <c r="CP984" s="47"/>
      <c r="CQ984" s="47"/>
      <c r="CR984" s="47"/>
      <c r="CS984" s="47"/>
      <c r="CT984" s="47"/>
      <c r="CU984" s="47"/>
      <c r="CV984" s="47"/>
      <c r="CW984" s="47"/>
      <c r="CX984" s="47"/>
      <c r="CY984" s="47"/>
      <c r="CZ984" s="47"/>
      <c r="DA984" s="47"/>
      <c r="DB984" s="47"/>
      <c r="DC984" s="47"/>
      <c r="DD984" s="47"/>
      <c r="DE984" s="47"/>
      <c r="DF984" s="47"/>
      <c r="DG984" s="47"/>
      <c r="DH984" s="47"/>
    </row>
    <row r="985">
      <c r="A985" s="64"/>
      <c r="B985" s="47"/>
      <c r="C985" s="47"/>
      <c r="D985" s="47"/>
      <c r="E985" s="47"/>
      <c r="F985" s="47"/>
      <c r="G985" s="46"/>
      <c r="H985" s="42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  <c r="BJ985" s="47"/>
      <c r="BK985" s="47"/>
      <c r="BL985" s="47"/>
      <c r="BM985" s="47"/>
      <c r="BN985" s="47"/>
      <c r="BO985" s="47"/>
      <c r="BP985" s="47"/>
      <c r="BQ985" s="47"/>
      <c r="BR985" s="47"/>
      <c r="BS985" s="47"/>
      <c r="BT985" s="47"/>
      <c r="BU985" s="47"/>
      <c r="BV985" s="47"/>
      <c r="BW985" s="47"/>
      <c r="BX985" s="47"/>
      <c r="BY985" s="47"/>
      <c r="BZ985" s="47"/>
      <c r="CA985" s="47"/>
      <c r="CB985" s="47"/>
      <c r="CC985" s="47"/>
      <c r="CD985" s="47"/>
      <c r="CE985" s="47"/>
      <c r="CF985" s="47"/>
      <c r="CG985" s="47"/>
      <c r="CH985" s="47"/>
      <c r="CI985" s="47"/>
      <c r="CJ985" s="47"/>
      <c r="CK985" s="47"/>
      <c r="CL985" s="47"/>
      <c r="CM985" s="47"/>
      <c r="CN985" s="47"/>
      <c r="CO985" s="47"/>
      <c r="CP985" s="47"/>
      <c r="CQ985" s="47"/>
      <c r="CR985" s="47"/>
      <c r="CS985" s="47"/>
      <c r="CT985" s="47"/>
      <c r="CU985" s="47"/>
      <c r="CV985" s="47"/>
      <c r="CW985" s="47"/>
      <c r="CX985" s="47"/>
      <c r="CY985" s="47"/>
      <c r="CZ985" s="47"/>
      <c r="DA985" s="47"/>
      <c r="DB985" s="47"/>
      <c r="DC985" s="47"/>
      <c r="DD985" s="47"/>
      <c r="DE985" s="47"/>
      <c r="DF985" s="47"/>
      <c r="DG985" s="47"/>
      <c r="DH985" s="47"/>
    </row>
    <row r="986">
      <c r="A986" s="64"/>
      <c r="B986" s="47"/>
      <c r="C986" s="47"/>
      <c r="D986" s="47"/>
      <c r="E986" s="47"/>
      <c r="F986" s="47"/>
      <c r="G986" s="46"/>
      <c r="H986" s="42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  <c r="BE986" s="47"/>
      <c r="BF986" s="47"/>
      <c r="BG986" s="47"/>
      <c r="BH986" s="47"/>
      <c r="BI986" s="47"/>
      <c r="BJ986" s="47"/>
      <c r="BK986" s="47"/>
      <c r="BL986" s="47"/>
      <c r="BM986" s="47"/>
      <c r="BN986" s="47"/>
      <c r="BO986" s="47"/>
      <c r="BP986" s="47"/>
      <c r="BQ986" s="47"/>
      <c r="BR986" s="47"/>
      <c r="BS986" s="47"/>
      <c r="BT986" s="47"/>
      <c r="BU986" s="47"/>
      <c r="BV986" s="47"/>
      <c r="BW986" s="47"/>
      <c r="BX986" s="47"/>
      <c r="BY986" s="47"/>
      <c r="BZ986" s="47"/>
      <c r="CA986" s="47"/>
      <c r="CB986" s="47"/>
      <c r="CC986" s="47"/>
      <c r="CD986" s="47"/>
      <c r="CE986" s="47"/>
      <c r="CF986" s="47"/>
      <c r="CG986" s="47"/>
      <c r="CH986" s="47"/>
      <c r="CI986" s="47"/>
      <c r="CJ986" s="47"/>
      <c r="CK986" s="47"/>
      <c r="CL986" s="47"/>
      <c r="CM986" s="47"/>
      <c r="CN986" s="47"/>
      <c r="CO986" s="47"/>
      <c r="CP986" s="47"/>
      <c r="CQ986" s="47"/>
      <c r="CR986" s="47"/>
      <c r="CS986" s="47"/>
      <c r="CT986" s="47"/>
      <c r="CU986" s="47"/>
      <c r="CV986" s="47"/>
      <c r="CW986" s="47"/>
      <c r="CX986" s="47"/>
      <c r="CY986" s="47"/>
      <c r="CZ986" s="47"/>
      <c r="DA986" s="47"/>
      <c r="DB986" s="47"/>
      <c r="DC986" s="47"/>
      <c r="DD986" s="47"/>
      <c r="DE986" s="47"/>
      <c r="DF986" s="47"/>
      <c r="DG986" s="47"/>
      <c r="DH986" s="47"/>
    </row>
    <row r="987">
      <c r="A987" s="64"/>
      <c r="B987" s="47"/>
      <c r="C987" s="47"/>
      <c r="D987" s="47"/>
      <c r="E987" s="47"/>
      <c r="F987" s="47"/>
      <c r="G987" s="46"/>
      <c r="H987" s="42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  <c r="BE987" s="47"/>
      <c r="BF987" s="47"/>
      <c r="BG987" s="47"/>
      <c r="BH987" s="47"/>
      <c r="BI987" s="47"/>
      <c r="BJ987" s="47"/>
      <c r="BK987" s="47"/>
      <c r="BL987" s="47"/>
      <c r="BM987" s="47"/>
      <c r="BN987" s="47"/>
      <c r="BO987" s="47"/>
      <c r="BP987" s="47"/>
      <c r="BQ987" s="47"/>
      <c r="BR987" s="47"/>
      <c r="BS987" s="47"/>
      <c r="BT987" s="47"/>
      <c r="BU987" s="47"/>
      <c r="BV987" s="47"/>
      <c r="BW987" s="47"/>
      <c r="BX987" s="47"/>
      <c r="BY987" s="47"/>
      <c r="BZ987" s="47"/>
      <c r="CA987" s="47"/>
      <c r="CB987" s="47"/>
      <c r="CC987" s="47"/>
      <c r="CD987" s="47"/>
      <c r="CE987" s="47"/>
      <c r="CF987" s="47"/>
      <c r="CG987" s="47"/>
      <c r="CH987" s="47"/>
      <c r="CI987" s="47"/>
      <c r="CJ987" s="47"/>
      <c r="CK987" s="47"/>
      <c r="CL987" s="47"/>
      <c r="CM987" s="47"/>
      <c r="CN987" s="47"/>
      <c r="CO987" s="47"/>
      <c r="CP987" s="47"/>
      <c r="CQ987" s="47"/>
      <c r="CR987" s="47"/>
      <c r="CS987" s="47"/>
      <c r="CT987" s="47"/>
      <c r="CU987" s="47"/>
      <c r="CV987" s="47"/>
      <c r="CW987" s="47"/>
      <c r="CX987" s="47"/>
      <c r="CY987" s="47"/>
      <c r="CZ987" s="47"/>
      <c r="DA987" s="47"/>
      <c r="DB987" s="47"/>
      <c r="DC987" s="47"/>
      <c r="DD987" s="47"/>
      <c r="DE987" s="47"/>
      <c r="DF987" s="47"/>
      <c r="DG987" s="47"/>
      <c r="DH987" s="47"/>
    </row>
    <row r="988">
      <c r="A988" s="64"/>
      <c r="B988" s="47"/>
      <c r="C988" s="47"/>
      <c r="D988" s="47"/>
      <c r="E988" s="47"/>
      <c r="F988" s="47"/>
      <c r="G988" s="46"/>
      <c r="H988" s="42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  <c r="BE988" s="47"/>
      <c r="BF988" s="47"/>
      <c r="BG988" s="47"/>
      <c r="BH988" s="47"/>
      <c r="BI988" s="47"/>
      <c r="BJ988" s="47"/>
      <c r="BK988" s="47"/>
      <c r="BL988" s="47"/>
      <c r="BM988" s="47"/>
      <c r="BN988" s="47"/>
      <c r="BO988" s="47"/>
      <c r="BP988" s="47"/>
      <c r="BQ988" s="47"/>
      <c r="BR988" s="47"/>
      <c r="BS988" s="47"/>
      <c r="BT988" s="47"/>
      <c r="BU988" s="47"/>
      <c r="BV988" s="47"/>
      <c r="BW988" s="47"/>
      <c r="BX988" s="47"/>
      <c r="BY988" s="47"/>
      <c r="BZ988" s="47"/>
      <c r="CA988" s="47"/>
      <c r="CB988" s="47"/>
      <c r="CC988" s="47"/>
      <c r="CD988" s="47"/>
      <c r="CE988" s="47"/>
      <c r="CF988" s="47"/>
      <c r="CG988" s="47"/>
      <c r="CH988" s="47"/>
      <c r="CI988" s="47"/>
      <c r="CJ988" s="47"/>
      <c r="CK988" s="47"/>
      <c r="CL988" s="47"/>
      <c r="CM988" s="47"/>
      <c r="CN988" s="47"/>
      <c r="CO988" s="47"/>
      <c r="CP988" s="47"/>
      <c r="CQ988" s="47"/>
      <c r="CR988" s="47"/>
      <c r="CS988" s="47"/>
      <c r="CT988" s="47"/>
      <c r="CU988" s="47"/>
      <c r="CV988" s="47"/>
      <c r="CW988" s="47"/>
      <c r="CX988" s="47"/>
      <c r="CY988" s="47"/>
      <c r="CZ988" s="47"/>
      <c r="DA988" s="47"/>
      <c r="DB988" s="47"/>
      <c r="DC988" s="47"/>
      <c r="DD988" s="47"/>
      <c r="DE988" s="47"/>
      <c r="DF988" s="47"/>
      <c r="DG988" s="47"/>
      <c r="DH988" s="47"/>
    </row>
    <row r="989">
      <c r="A989" s="64"/>
      <c r="B989" s="47"/>
      <c r="C989" s="47"/>
      <c r="D989" s="47"/>
      <c r="E989" s="47"/>
      <c r="F989" s="47"/>
      <c r="G989" s="46"/>
      <c r="H989" s="42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  <c r="BE989" s="47"/>
      <c r="BF989" s="47"/>
      <c r="BG989" s="47"/>
      <c r="BH989" s="47"/>
      <c r="BI989" s="47"/>
      <c r="BJ989" s="47"/>
      <c r="BK989" s="47"/>
      <c r="BL989" s="47"/>
      <c r="BM989" s="47"/>
      <c r="BN989" s="47"/>
      <c r="BO989" s="47"/>
      <c r="BP989" s="47"/>
      <c r="BQ989" s="47"/>
      <c r="BR989" s="47"/>
      <c r="BS989" s="47"/>
      <c r="BT989" s="47"/>
      <c r="BU989" s="47"/>
      <c r="BV989" s="47"/>
      <c r="BW989" s="47"/>
      <c r="BX989" s="47"/>
      <c r="BY989" s="47"/>
      <c r="BZ989" s="47"/>
      <c r="CA989" s="47"/>
      <c r="CB989" s="47"/>
      <c r="CC989" s="47"/>
      <c r="CD989" s="47"/>
      <c r="CE989" s="47"/>
      <c r="CF989" s="47"/>
      <c r="CG989" s="47"/>
      <c r="CH989" s="47"/>
      <c r="CI989" s="47"/>
      <c r="CJ989" s="47"/>
      <c r="CK989" s="47"/>
      <c r="CL989" s="47"/>
      <c r="CM989" s="47"/>
      <c r="CN989" s="47"/>
      <c r="CO989" s="47"/>
      <c r="CP989" s="47"/>
      <c r="CQ989" s="47"/>
      <c r="CR989" s="47"/>
      <c r="CS989" s="47"/>
      <c r="CT989" s="47"/>
      <c r="CU989" s="47"/>
      <c r="CV989" s="47"/>
      <c r="CW989" s="47"/>
      <c r="CX989" s="47"/>
      <c r="CY989" s="47"/>
      <c r="CZ989" s="47"/>
      <c r="DA989" s="47"/>
      <c r="DB989" s="47"/>
      <c r="DC989" s="47"/>
      <c r="DD989" s="47"/>
      <c r="DE989" s="47"/>
      <c r="DF989" s="47"/>
      <c r="DG989" s="47"/>
      <c r="DH989" s="47"/>
    </row>
    <row r="990">
      <c r="A990" s="64"/>
      <c r="B990" s="47"/>
      <c r="C990" s="47"/>
      <c r="D990" s="47"/>
      <c r="E990" s="47"/>
      <c r="F990" s="47"/>
      <c r="G990" s="46"/>
      <c r="H990" s="42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  <c r="BE990" s="47"/>
      <c r="BF990" s="47"/>
      <c r="BG990" s="47"/>
      <c r="BH990" s="47"/>
      <c r="BI990" s="47"/>
      <c r="BJ990" s="47"/>
      <c r="BK990" s="47"/>
      <c r="BL990" s="47"/>
      <c r="BM990" s="47"/>
      <c r="BN990" s="47"/>
      <c r="BO990" s="47"/>
      <c r="BP990" s="47"/>
      <c r="BQ990" s="47"/>
      <c r="BR990" s="47"/>
      <c r="BS990" s="47"/>
      <c r="BT990" s="47"/>
      <c r="BU990" s="47"/>
      <c r="BV990" s="47"/>
      <c r="BW990" s="47"/>
      <c r="BX990" s="47"/>
      <c r="BY990" s="47"/>
      <c r="BZ990" s="47"/>
      <c r="CA990" s="47"/>
      <c r="CB990" s="47"/>
      <c r="CC990" s="47"/>
      <c r="CD990" s="47"/>
      <c r="CE990" s="47"/>
      <c r="CF990" s="47"/>
      <c r="CG990" s="47"/>
      <c r="CH990" s="47"/>
      <c r="CI990" s="47"/>
      <c r="CJ990" s="47"/>
      <c r="CK990" s="47"/>
      <c r="CL990" s="47"/>
      <c r="CM990" s="47"/>
      <c r="CN990" s="47"/>
      <c r="CO990" s="47"/>
      <c r="CP990" s="47"/>
      <c r="CQ990" s="47"/>
      <c r="CR990" s="47"/>
      <c r="CS990" s="47"/>
      <c r="CT990" s="47"/>
      <c r="CU990" s="47"/>
      <c r="CV990" s="47"/>
      <c r="CW990" s="47"/>
      <c r="CX990" s="47"/>
      <c r="CY990" s="47"/>
      <c r="CZ990" s="47"/>
      <c r="DA990" s="47"/>
      <c r="DB990" s="47"/>
      <c r="DC990" s="47"/>
      <c r="DD990" s="47"/>
      <c r="DE990" s="47"/>
      <c r="DF990" s="47"/>
      <c r="DG990" s="47"/>
      <c r="DH990" s="47"/>
    </row>
    <row r="991">
      <c r="A991" s="64"/>
      <c r="B991" s="47"/>
      <c r="C991" s="47"/>
      <c r="D991" s="47"/>
      <c r="E991" s="47"/>
      <c r="F991" s="47"/>
      <c r="G991" s="46"/>
      <c r="H991" s="42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47"/>
      <c r="BE991" s="47"/>
      <c r="BF991" s="47"/>
      <c r="BG991" s="47"/>
      <c r="BH991" s="47"/>
      <c r="BI991" s="47"/>
      <c r="BJ991" s="47"/>
      <c r="BK991" s="47"/>
      <c r="BL991" s="47"/>
      <c r="BM991" s="47"/>
      <c r="BN991" s="47"/>
      <c r="BO991" s="47"/>
      <c r="BP991" s="47"/>
      <c r="BQ991" s="47"/>
      <c r="BR991" s="47"/>
      <c r="BS991" s="47"/>
      <c r="BT991" s="47"/>
      <c r="BU991" s="47"/>
      <c r="BV991" s="47"/>
      <c r="BW991" s="47"/>
      <c r="BX991" s="47"/>
      <c r="BY991" s="47"/>
      <c r="BZ991" s="47"/>
      <c r="CA991" s="47"/>
      <c r="CB991" s="47"/>
      <c r="CC991" s="47"/>
      <c r="CD991" s="47"/>
      <c r="CE991" s="47"/>
      <c r="CF991" s="47"/>
      <c r="CG991" s="47"/>
      <c r="CH991" s="47"/>
      <c r="CI991" s="47"/>
      <c r="CJ991" s="47"/>
      <c r="CK991" s="47"/>
      <c r="CL991" s="47"/>
      <c r="CM991" s="47"/>
      <c r="CN991" s="47"/>
      <c r="CO991" s="47"/>
      <c r="CP991" s="47"/>
      <c r="CQ991" s="47"/>
      <c r="CR991" s="47"/>
      <c r="CS991" s="47"/>
      <c r="CT991" s="47"/>
      <c r="CU991" s="47"/>
      <c r="CV991" s="47"/>
      <c r="CW991" s="47"/>
      <c r="CX991" s="47"/>
      <c r="CY991" s="47"/>
      <c r="CZ991" s="47"/>
      <c r="DA991" s="47"/>
      <c r="DB991" s="47"/>
      <c r="DC991" s="47"/>
      <c r="DD991" s="47"/>
      <c r="DE991" s="47"/>
      <c r="DF991" s="47"/>
      <c r="DG991" s="47"/>
      <c r="DH991" s="47"/>
    </row>
    <row r="992">
      <c r="A992" s="64"/>
      <c r="B992" s="47"/>
      <c r="C992" s="47"/>
      <c r="D992" s="47"/>
      <c r="E992" s="47"/>
      <c r="F992" s="47"/>
      <c r="G992" s="46"/>
      <c r="H992" s="42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47"/>
      <c r="BE992" s="47"/>
      <c r="BF992" s="47"/>
      <c r="BG992" s="47"/>
      <c r="BH992" s="47"/>
      <c r="BI992" s="47"/>
      <c r="BJ992" s="47"/>
      <c r="BK992" s="47"/>
      <c r="BL992" s="47"/>
      <c r="BM992" s="47"/>
      <c r="BN992" s="47"/>
      <c r="BO992" s="47"/>
      <c r="BP992" s="47"/>
      <c r="BQ992" s="47"/>
      <c r="BR992" s="47"/>
      <c r="BS992" s="47"/>
      <c r="BT992" s="47"/>
      <c r="BU992" s="47"/>
      <c r="BV992" s="47"/>
      <c r="BW992" s="47"/>
      <c r="BX992" s="47"/>
      <c r="BY992" s="47"/>
      <c r="BZ992" s="47"/>
      <c r="CA992" s="47"/>
      <c r="CB992" s="47"/>
      <c r="CC992" s="47"/>
      <c r="CD992" s="47"/>
      <c r="CE992" s="47"/>
      <c r="CF992" s="47"/>
      <c r="CG992" s="47"/>
      <c r="CH992" s="47"/>
      <c r="CI992" s="47"/>
      <c r="CJ992" s="47"/>
      <c r="CK992" s="47"/>
      <c r="CL992" s="47"/>
      <c r="CM992" s="47"/>
      <c r="CN992" s="47"/>
      <c r="CO992" s="47"/>
      <c r="CP992" s="47"/>
      <c r="CQ992" s="47"/>
      <c r="CR992" s="47"/>
      <c r="CS992" s="47"/>
      <c r="CT992" s="47"/>
      <c r="CU992" s="47"/>
      <c r="CV992" s="47"/>
      <c r="CW992" s="47"/>
      <c r="CX992" s="47"/>
      <c r="CY992" s="47"/>
      <c r="CZ992" s="47"/>
      <c r="DA992" s="47"/>
      <c r="DB992" s="47"/>
      <c r="DC992" s="47"/>
      <c r="DD992" s="47"/>
      <c r="DE992" s="47"/>
      <c r="DF992" s="47"/>
      <c r="DG992" s="47"/>
      <c r="DH992" s="47"/>
    </row>
    <row r="993">
      <c r="A993" s="64"/>
      <c r="B993" s="47"/>
      <c r="C993" s="47"/>
      <c r="D993" s="47"/>
      <c r="E993" s="47"/>
      <c r="F993" s="47"/>
      <c r="G993" s="46"/>
      <c r="H993" s="42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47"/>
      <c r="BE993" s="47"/>
      <c r="BF993" s="47"/>
      <c r="BG993" s="47"/>
      <c r="BH993" s="47"/>
      <c r="BI993" s="47"/>
      <c r="BJ993" s="47"/>
      <c r="BK993" s="47"/>
      <c r="BL993" s="47"/>
      <c r="BM993" s="47"/>
      <c r="BN993" s="47"/>
      <c r="BO993" s="47"/>
      <c r="BP993" s="47"/>
      <c r="BQ993" s="47"/>
      <c r="BR993" s="47"/>
      <c r="BS993" s="47"/>
      <c r="BT993" s="47"/>
      <c r="BU993" s="47"/>
      <c r="BV993" s="47"/>
      <c r="BW993" s="47"/>
      <c r="BX993" s="47"/>
      <c r="BY993" s="47"/>
      <c r="BZ993" s="47"/>
      <c r="CA993" s="47"/>
      <c r="CB993" s="47"/>
      <c r="CC993" s="47"/>
      <c r="CD993" s="47"/>
      <c r="CE993" s="47"/>
      <c r="CF993" s="47"/>
      <c r="CG993" s="47"/>
      <c r="CH993" s="47"/>
      <c r="CI993" s="47"/>
      <c r="CJ993" s="47"/>
      <c r="CK993" s="47"/>
      <c r="CL993" s="47"/>
      <c r="CM993" s="47"/>
      <c r="CN993" s="47"/>
      <c r="CO993" s="47"/>
      <c r="CP993" s="47"/>
      <c r="CQ993" s="47"/>
      <c r="CR993" s="47"/>
      <c r="CS993" s="47"/>
      <c r="CT993" s="47"/>
      <c r="CU993" s="47"/>
      <c r="CV993" s="47"/>
      <c r="CW993" s="47"/>
      <c r="CX993" s="47"/>
      <c r="CY993" s="47"/>
      <c r="CZ993" s="47"/>
      <c r="DA993" s="47"/>
      <c r="DB993" s="47"/>
      <c r="DC993" s="47"/>
      <c r="DD993" s="47"/>
      <c r="DE993" s="47"/>
      <c r="DF993" s="47"/>
      <c r="DG993" s="47"/>
      <c r="DH993" s="47"/>
    </row>
    <row r="994">
      <c r="A994" s="64"/>
      <c r="B994" s="47"/>
      <c r="C994" s="47"/>
      <c r="D994" s="47"/>
      <c r="E994" s="47"/>
      <c r="F994" s="47"/>
      <c r="G994" s="46"/>
      <c r="H994" s="42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  <c r="BI994" s="47"/>
      <c r="BJ994" s="47"/>
      <c r="BK994" s="47"/>
      <c r="BL994" s="47"/>
      <c r="BM994" s="47"/>
      <c r="BN994" s="47"/>
      <c r="BO994" s="47"/>
      <c r="BP994" s="47"/>
      <c r="BQ994" s="47"/>
      <c r="BR994" s="47"/>
      <c r="BS994" s="47"/>
      <c r="BT994" s="47"/>
      <c r="BU994" s="47"/>
      <c r="BV994" s="47"/>
      <c r="BW994" s="47"/>
      <c r="BX994" s="47"/>
      <c r="BY994" s="47"/>
      <c r="BZ994" s="47"/>
      <c r="CA994" s="47"/>
      <c r="CB994" s="47"/>
      <c r="CC994" s="47"/>
      <c r="CD994" s="47"/>
      <c r="CE994" s="47"/>
      <c r="CF994" s="47"/>
      <c r="CG994" s="47"/>
      <c r="CH994" s="47"/>
      <c r="CI994" s="47"/>
      <c r="CJ994" s="47"/>
      <c r="CK994" s="47"/>
      <c r="CL994" s="47"/>
      <c r="CM994" s="47"/>
      <c r="CN994" s="47"/>
      <c r="CO994" s="47"/>
      <c r="CP994" s="47"/>
      <c r="CQ994" s="47"/>
      <c r="CR994" s="47"/>
      <c r="CS994" s="47"/>
      <c r="CT994" s="47"/>
      <c r="CU994" s="47"/>
      <c r="CV994" s="47"/>
      <c r="CW994" s="47"/>
      <c r="CX994" s="47"/>
      <c r="CY994" s="47"/>
      <c r="CZ994" s="47"/>
      <c r="DA994" s="47"/>
      <c r="DB994" s="47"/>
      <c r="DC994" s="47"/>
      <c r="DD994" s="47"/>
      <c r="DE994" s="47"/>
      <c r="DF994" s="47"/>
      <c r="DG994" s="47"/>
      <c r="DH994" s="47"/>
    </row>
    <row r="995">
      <c r="A995" s="64"/>
      <c r="B995" s="47"/>
      <c r="C995" s="47"/>
      <c r="D995" s="47"/>
      <c r="E995" s="47"/>
      <c r="F995" s="47"/>
      <c r="G995" s="46"/>
      <c r="H995" s="42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  <c r="BD995" s="47"/>
      <c r="BE995" s="47"/>
      <c r="BF995" s="47"/>
      <c r="BG995" s="47"/>
      <c r="BH995" s="47"/>
      <c r="BI995" s="47"/>
      <c r="BJ995" s="47"/>
      <c r="BK995" s="47"/>
      <c r="BL995" s="47"/>
      <c r="BM995" s="47"/>
      <c r="BN995" s="47"/>
      <c r="BO995" s="47"/>
      <c r="BP995" s="47"/>
      <c r="BQ995" s="47"/>
      <c r="BR995" s="47"/>
      <c r="BS995" s="47"/>
      <c r="BT995" s="47"/>
      <c r="BU995" s="47"/>
      <c r="BV995" s="47"/>
      <c r="BW995" s="47"/>
      <c r="BX995" s="47"/>
      <c r="BY995" s="47"/>
      <c r="BZ995" s="47"/>
      <c r="CA995" s="47"/>
      <c r="CB995" s="47"/>
      <c r="CC995" s="47"/>
      <c r="CD995" s="47"/>
      <c r="CE995" s="47"/>
      <c r="CF995" s="47"/>
      <c r="CG995" s="47"/>
      <c r="CH995" s="47"/>
      <c r="CI995" s="47"/>
      <c r="CJ995" s="47"/>
      <c r="CK995" s="47"/>
      <c r="CL995" s="47"/>
      <c r="CM995" s="47"/>
      <c r="CN995" s="47"/>
      <c r="CO995" s="47"/>
      <c r="CP995" s="47"/>
      <c r="CQ995" s="47"/>
      <c r="CR995" s="47"/>
      <c r="CS995" s="47"/>
      <c r="CT995" s="47"/>
      <c r="CU995" s="47"/>
      <c r="CV995" s="47"/>
      <c r="CW995" s="47"/>
      <c r="CX995" s="47"/>
      <c r="CY995" s="47"/>
      <c r="CZ995" s="47"/>
      <c r="DA995" s="47"/>
      <c r="DB995" s="47"/>
      <c r="DC995" s="47"/>
      <c r="DD995" s="47"/>
      <c r="DE995" s="47"/>
      <c r="DF995" s="47"/>
      <c r="DG995" s="47"/>
      <c r="DH995" s="47"/>
    </row>
    <row r="996">
      <c r="A996" s="64"/>
      <c r="B996" s="47"/>
      <c r="C996" s="47"/>
      <c r="D996" s="47"/>
      <c r="E996" s="47"/>
      <c r="F996" s="47"/>
      <c r="G996" s="46"/>
      <c r="H996" s="42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47"/>
      <c r="BE996" s="47"/>
      <c r="BF996" s="47"/>
      <c r="BG996" s="47"/>
      <c r="BH996" s="47"/>
      <c r="BI996" s="47"/>
      <c r="BJ996" s="47"/>
      <c r="BK996" s="47"/>
      <c r="BL996" s="47"/>
      <c r="BM996" s="47"/>
      <c r="BN996" s="47"/>
      <c r="BO996" s="47"/>
      <c r="BP996" s="47"/>
      <c r="BQ996" s="47"/>
      <c r="BR996" s="47"/>
      <c r="BS996" s="47"/>
      <c r="BT996" s="47"/>
      <c r="BU996" s="47"/>
      <c r="BV996" s="47"/>
      <c r="BW996" s="47"/>
      <c r="BX996" s="47"/>
      <c r="BY996" s="47"/>
      <c r="BZ996" s="47"/>
      <c r="CA996" s="47"/>
      <c r="CB996" s="47"/>
      <c r="CC996" s="47"/>
      <c r="CD996" s="47"/>
      <c r="CE996" s="47"/>
      <c r="CF996" s="47"/>
      <c r="CG996" s="47"/>
      <c r="CH996" s="47"/>
      <c r="CI996" s="47"/>
      <c r="CJ996" s="47"/>
      <c r="CK996" s="47"/>
      <c r="CL996" s="47"/>
      <c r="CM996" s="47"/>
      <c r="CN996" s="47"/>
      <c r="CO996" s="47"/>
      <c r="CP996" s="47"/>
      <c r="CQ996" s="47"/>
      <c r="CR996" s="47"/>
      <c r="CS996" s="47"/>
      <c r="CT996" s="47"/>
      <c r="CU996" s="47"/>
      <c r="CV996" s="47"/>
      <c r="CW996" s="47"/>
      <c r="CX996" s="47"/>
      <c r="CY996" s="47"/>
      <c r="CZ996" s="47"/>
      <c r="DA996" s="47"/>
      <c r="DB996" s="47"/>
      <c r="DC996" s="47"/>
      <c r="DD996" s="47"/>
      <c r="DE996" s="47"/>
      <c r="DF996" s="47"/>
      <c r="DG996" s="47"/>
      <c r="DH996" s="47"/>
    </row>
    <row r="997">
      <c r="A997" s="64"/>
      <c r="B997" s="47"/>
      <c r="C997" s="47"/>
      <c r="D997" s="47"/>
      <c r="E997" s="47"/>
      <c r="F997" s="47"/>
      <c r="G997" s="46"/>
      <c r="H997" s="42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  <c r="BD997" s="47"/>
      <c r="BE997" s="47"/>
      <c r="BF997" s="47"/>
      <c r="BG997" s="47"/>
      <c r="BH997" s="47"/>
      <c r="BI997" s="47"/>
      <c r="BJ997" s="47"/>
      <c r="BK997" s="47"/>
      <c r="BL997" s="47"/>
      <c r="BM997" s="47"/>
      <c r="BN997" s="47"/>
      <c r="BO997" s="47"/>
      <c r="BP997" s="47"/>
      <c r="BQ997" s="47"/>
      <c r="BR997" s="47"/>
      <c r="BS997" s="47"/>
      <c r="BT997" s="47"/>
      <c r="BU997" s="47"/>
      <c r="BV997" s="47"/>
      <c r="BW997" s="47"/>
      <c r="BX997" s="47"/>
      <c r="BY997" s="47"/>
      <c r="BZ997" s="47"/>
      <c r="CA997" s="47"/>
      <c r="CB997" s="47"/>
      <c r="CC997" s="47"/>
      <c r="CD997" s="47"/>
      <c r="CE997" s="47"/>
      <c r="CF997" s="47"/>
      <c r="CG997" s="47"/>
      <c r="CH997" s="47"/>
      <c r="CI997" s="47"/>
      <c r="CJ997" s="47"/>
      <c r="CK997" s="47"/>
      <c r="CL997" s="47"/>
      <c r="CM997" s="47"/>
      <c r="CN997" s="47"/>
      <c r="CO997" s="47"/>
      <c r="CP997" s="47"/>
      <c r="CQ997" s="47"/>
      <c r="CR997" s="47"/>
      <c r="CS997" s="47"/>
      <c r="CT997" s="47"/>
      <c r="CU997" s="47"/>
      <c r="CV997" s="47"/>
      <c r="CW997" s="47"/>
      <c r="CX997" s="47"/>
      <c r="CY997" s="47"/>
      <c r="CZ997" s="47"/>
      <c r="DA997" s="47"/>
      <c r="DB997" s="47"/>
      <c r="DC997" s="47"/>
      <c r="DD997" s="47"/>
      <c r="DE997" s="47"/>
      <c r="DF997" s="47"/>
      <c r="DG997" s="47"/>
      <c r="DH997" s="47"/>
    </row>
    <row r="998">
      <c r="A998" s="64"/>
      <c r="B998" s="47"/>
      <c r="C998" s="47"/>
      <c r="D998" s="47"/>
      <c r="E998" s="47"/>
      <c r="F998" s="47"/>
      <c r="G998" s="46"/>
      <c r="H998" s="42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  <c r="BD998" s="47"/>
      <c r="BE998" s="47"/>
      <c r="BF998" s="47"/>
      <c r="BG998" s="47"/>
      <c r="BH998" s="47"/>
      <c r="BI998" s="47"/>
      <c r="BJ998" s="47"/>
      <c r="BK998" s="47"/>
      <c r="BL998" s="47"/>
      <c r="BM998" s="47"/>
      <c r="BN998" s="47"/>
      <c r="BO998" s="47"/>
      <c r="BP998" s="47"/>
      <c r="BQ998" s="47"/>
      <c r="BR998" s="47"/>
      <c r="BS998" s="47"/>
      <c r="BT998" s="47"/>
      <c r="BU998" s="47"/>
      <c r="BV998" s="47"/>
      <c r="BW998" s="47"/>
      <c r="BX998" s="47"/>
      <c r="BY998" s="47"/>
      <c r="BZ998" s="47"/>
      <c r="CA998" s="47"/>
      <c r="CB998" s="47"/>
      <c r="CC998" s="47"/>
      <c r="CD998" s="47"/>
      <c r="CE998" s="47"/>
      <c r="CF998" s="47"/>
      <c r="CG998" s="47"/>
      <c r="CH998" s="47"/>
      <c r="CI998" s="47"/>
      <c r="CJ998" s="47"/>
      <c r="CK998" s="47"/>
      <c r="CL998" s="47"/>
      <c r="CM998" s="47"/>
      <c r="CN998" s="47"/>
      <c r="CO998" s="47"/>
      <c r="CP998" s="47"/>
      <c r="CQ998" s="47"/>
      <c r="CR998" s="47"/>
      <c r="CS998" s="47"/>
      <c r="CT998" s="47"/>
      <c r="CU998" s="47"/>
      <c r="CV998" s="47"/>
      <c r="CW998" s="47"/>
      <c r="CX998" s="47"/>
      <c r="CY998" s="47"/>
      <c r="CZ998" s="47"/>
      <c r="DA998" s="47"/>
      <c r="DB998" s="47"/>
      <c r="DC998" s="47"/>
      <c r="DD998" s="47"/>
      <c r="DE998" s="47"/>
      <c r="DF998" s="47"/>
      <c r="DG998" s="47"/>
      <c r="DH998" s="47"/>
    </row>
    <row r="999">
      <c r="A999" s="64"/>
      <c r="B999" s="47"/>
      <c r="C999" s="47"/>
      <c r="D999" s="47"/>
      <c r="E999" s="47"/>
      <c r="F999" s="47"/>
      <c r="G999" s="46"/>
      <c r="H999" s="42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  <c r="BD999" s="47"/>
      <c r="BE999" s="47"/>
      <c r="BF999" s="47"/>
      <c r="BG999" s="47"/>
      <c r="BH999" s="47"/>
      <c r="BI999" s="47"/>
      <c r="BJ999" s="47"/>
      <c r="BK999" s="47"/>
      <c r="BL999" s="47"/>
      <c r="BM999" s="47"/>
      <c r="BN999" s="47"/>
      <c r="BO999" s="47"/>
      <c r="BP999" s="47"/>
      <c r="BQ999" s="47"/>
      <c r="BR999" s="47"/>
      <c r="BS999" s="47"/>
      <c r="BT999" s="47"/>
      <c r="BU999" s="47"/>
      <c r="BV999" s="47"/>
      <c r="BW999" s="47"/>
      <c r="BX999" s="47"/>
      <c r="BY999" s="47"/>
      <c r="BZ999" s="47"/>
      <c r="CA999" s="47"/>
      <c r="CB999" s="47"/>
      <c r="CC999" s="47"/>
      <c r="CD999" s="47"/>
      <c r="CE999" s="47"/>
      <c r="CF999" s="47"/>
      <c r="CG999" s="47"/>
      <c r="CH999" s="47"/>
      <c r="CI999" s="47"/>
      <c r="CJ999" s="47"/>
      <c r="CK999" s="47"/>
      <c r="CL999" s="47"/>
      <c r="CM999" s="47"/>
      <c r="CN999" s="47"/>
      <c r="CO999" s="47"/>
      <c r="CP999" s="47"/>
      <c r="CQ999" s="47"/>
      <c r="CR999" s="47"/>
      <c r="CS999" s="47"/>
      <c r="CT999" s="47"/>
      <c r="CU999" s="47"/>
      <c r="CV999" s="47"/>
      <c r="CW999" s="47"/>
      <c r="CX999" s="47"/>
      <c r="CY999" s="47"/>
      <c r="CZ999" s="47"/>
      <c r="DA999" s="47"/>
      <c r="DB999" s="47"/>
      <c r="DC999" s="47"/>
      <c r="DD999" s="47"/>
      <c r="DE999" s="47"/>
      <c r="DF999" s="47"/>
      <c r="DG999" s="47"/>
      <c r="DH999" s="47"/>
    </row>
    <row r="1000">
      <c r="A1000" s="64"/>
      <c r="B1000" s="47"/>
      <c r="C1000" s="47"/>
      <c r="D1000" s="47"/>
      <c r="E1000" s="47"/>
      <c r="F1000" s="47"/>
      <c r="G1000" s="46"/>
      <c r="H1000" s="42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  <c r="BD1000" s="47"/>
      <c r="BE1000" s="47"/>
      <c r="BF1000" s="47"/>
      <c r="BG1000" s="47"/>
      <c r="BH1000" s="47"/>
      <c r="BI1000" s="47"/>
      <c r="BJ1000" s="47"/>
      <c r="BK1000" s="47"/>
      <c r="BL1000" s="47"/>
      <c r="BM1000" s="47"/>
      <c r="BN1000" s="47"/>
      <c r="BO1000" s="47"/>
      <c r="BP1000" s="47"/>
      <c r="BQ1000" s="47"/>
      <c r="BR1000" s="47"/>
      <c r="BS1000" s="47"/>
      <c r="BT1000" s="47"/>
      <c r="BU1000" s="47"/>
      <c r="BV1000" s="47"/>
      <c r="BW1000" s="47"/>
      <c r="BX1000" s="47"/>
      <c r="BY1000" s="47"/>
      <c r="BZ1000" s="47"/>
      <c r="CA1000" s="47"/>
      <c r="CB1000" s="47"/>
      <c r="CC1000" s="47"/>
      <c r="CD1000" s="47"/>
      <c r="CE1000" s="47"/>
      <c r="CF1000" s="47"/>
      <c r="CG1000" s="47"/>
      <c r="CH1000" s="47"/>
      <c r="CI1000" s="47"/>
      <c r="CJ1000" s="47"/>
      <c r="CK1000" s="47"/>
      <c r="CL1000" s="47"/>
      <c r="CM1000" s="47"/>
      <c r="CN1000" s="47"/>
      <c r="CO1000" s="47"/>
      <c r="CP1000" s="47"/>
      <c r="CQ1000" s="47"/>
      <c r="CR1000" s="47"/>
      <c r="CS1000" s="47"/>
      <c r="CT1000" s="47"/>
      <c r="CU1000" s="47"/>
      <c r="CV1000" s="47"/>
      <c r="CW1000" s="47"/>
      <c r="CX1000" s="47"/>
      <c r="CY1000" s="47"/>
      <c r="CZ1000" s="47"/>
      <c r="DA1000" s="47"/>
      <c r="DB1000" s="47"/>
      <c r="DC1000" s="47"/>
      <c r="DD1000" s="47"/>
      <c r="DE1000" s="47"/>
      <c r="DF1000" s="47"/>
      <c r="DG1000" s="47"/>
      <c r="DH1000" s="47"/>
    </row>
    <row r="1001">
      <c r="A1001" s="64"/>
      <c r="B1001" s="47"/>
      <c r="C1001" s="47"/>
      <c r="D1001" s="47"/>
      <c r="E1001" s="47"/>
      <c r="F1001" s="47"/>
      <c r="G1001" s="46"/>
      <c r="H1001" s="42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  <c r="BD1001" s="47"/>
      <c r="BE1001" s="47"/>
      <c r="BF1001" s="47"/>
      <c r="BG1001" s="47"/>
      <c r="BH1001" s="47"/>
      <c r="BI1001" s="47"/>
      <c r="BJ1001" s="47"/>
      <c r="BK1001" s="47"/>
      <c r="BL1001" s="47"/>
      <c r="BM1001" s="47"/>
      <c r="BN1001" s="47"/>
      <c r="BO1001" s="47"/>
      <c r="BP1001" s="47"/>
      <c r="BQ1001" s="47"/>
      <c r="BR1001" s="47"/>
      <c r="BS1001" s="47"/>
      <c r="BT1001" s="47"/>
      <c r="BU1001" s="47"/>
      <c r="BV1001" s="47"/>
      <c r="BW1001" s="47"/>
      <c r="BX1001" s="47"/>
      <c r="BY1001" s="47"/>
      <c r="BZ1001" s="47"/>
      <c r="CA1001" s="47"/>
      <c r="CB1001" s="47"/>
      <c r="CC1001" s="47"/>
      <c r="CD1001" s="47"/>
      <c r="CE1001" s="47"/>
      <c r="CF1001" s="47"/>
      <c r="CG1001" s="47"/>
      <c r="CH1001" s="47"/>
      <c r="CI1001" s="47"/>
      <c r="CJ1001" s="47"/>
      <c r="CK1001" s="47"/>
      <c r="CL1001" s="47"/>
      <c r="CM1001" s="47"/>
      <c r="CN1001" s="47"/>
      <c r="CO1001" s="47"/>
      <c r="CP1001" s="47"/>
      <c r="CQ1001" s="47"/>
      <c r="CR1001" s="47"/>
      <c r="CS1001" s="47"/>
      <c r="CT1001" s="47"/>
      <c r="CU1001" s="47"/>
      <c r="CV1001" s="47"/>
      <c r="CW1001" s="47"/>
      <c r="CX1001" s="47"/>
      <c r="CY1001" s="47"/>
      <c r="CZ1001" s="47"/>
      <c r="DA1001" s="47"/>
      <c r="DB1001" s="47"/>
      <c r="DC1001" s="47"/>
      <c r="DD1001" s="47"/>
      <c r="DE1001" s="47"/>
      <c r="DF1001" s="47"/>
      <c r="DG1001" s="47"/>
      <c r="DH1001" s="47"/>
    </row>
  </sheetData>
  <drawing r:id="rId1"/>
</worksheet>
</file>