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chartsheet+xml" PartName="/xl/chartsheets/sheet2.xml"/>
  <Override ContentType="application/vnd.openxmlformats-officedocument.spreadsheetml.chartsheet+xml" PartName="/xl/chartsheets/sheet3.xml"/>
  <Override ContentType="application/vnd.openxmlformats-officedocument.spreadsheetml.chartsheet+xml" PartName="/xl/chartsheets/sheet4.xml"/>
  <Override ContentType="application/vnd.openxmlformats-officedocument.spreadsheetml.chartsheet+xml" PartName="/xl/chartsheets/sheet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tals_NO_Excl" sheetId="1" r:id="rId5"/>
    <sheet state="visible" name="Presence_Absence_NO_Excl" sheetId="2" r:id="rId6"/>
    <sheet state="visible" name="Diversity_Excl_Ts" sheetId="3" r:id="rId7"/>
    <sheet state="visible" name="Presence_Absence_Excl_Ts" sheetId="4" r:id="rId8"/>
    <sheet state="visible" name="Tides_data_2016_20" sheetId="5" r:id="rId9"/>
    <sheet state="visible" name="Edu Stuff to Link to metadata" sheetId="6" r:id="rId10"/>
    <sheet state="visible" name="Metadata" sheetId="7" r:id="rId11"/>
    <sheet state="visible" name="Sheet12" sheetId="8" r:id="rId12"/>
    <sheet state="visible" name="Chart4" sheetId="9" r:id="rId13"/>
    <sheet state="visible" name="Chart3" sheetId="10" r:id="rId14"/>
    <sheet state="visible" name="Chart2" sheetId="11" r:id="rId15"/>
    <sheet state="visible" name="Sheet13" sheetId="12" r:id="rId16"/>
    <sheet state="visible" name="div vs tides" sheetId="13" r:id="rId17"/>
  </sheets>
  <definedNames/>
  <calcPr/>
</workbook>
</file>

<file path=xl/sharedStrings.xml><?xml version="1.0" encoding="utf-8"?>
<sst xmlns="http://schemas.openxmlformats.org/spreadsheetml/2006/main" count="7412" uniqueCount="1017">
  <si>
    <t>EVERYTHING (all FTs, even those with no data, and all database species information)</t>
  </si>
  <si>
    <t>JUST "INCLUDE" FT from: MASTER_OPIHI DATA CLEANING (ALSO excludes individual transects that were crap, "1" = "present", "2" = "present in excluded transects"):</t>
  </si>
  <si>
    <t>JUST "INCLUDE" FT from: MASTER_OPIHI DATA CLEANING (ALSO excludes individual transects that were crap):</t>
  </si>
  <si>
    <t>EVERYTHING (all FTs, even those with no data, and species are delininated by "1" = "present")</t>
  </si>
  <si>
    <t>https://docs.google.com/spreadsheets/d/1hKqULHWJ4k9WGsgo4QkwDRNJa49Nw2uK8WbSAHKes5I/edit#gid=0</t>
  </si>
  <si>
    <t>Green:Whole Field trip was excluded from Diversity calculations (Sheet 1); Orange: Excluded Transect were reinstated from Diversity calculations (Sheet 1); If transects were excluded due to missing transects (no data), they were not highlighted</t>
  </si>
  <si>
    <t>Date</t>
  </si>
  <si>
    <t>Location</t>
  </si>
  <si>
    <t>latitude</t>
  </si>
  <si>
    <t>longitude</t>
  </si>
  <si>
    <t>School</t>
  </si>
  <si>
    <t>Start Time</t>
  </si>
  <si>
    <t>Stop Time</t>
  </si>
  <si>
    <t>Num of T</t>
  </si>
  <si>
    <t>Transect Length</t>
  </si>
  <si>
    <t>Pt Spacing</t>
  </si>
  <si>
    <t>Num of Quad/T</t>
  </si>
  <si>
    <t>Actual Quadrats sampled</t>
  </si>
  <si>
    <t>Actual Q/T if different than stated</t>
  </si>
  <si>
    <t>Excluding transects (not for P/A)</t>
  </si>
  <si>
    <t>Notes</t>
  </si>
  <si>
    <t>Acanthophora spicifera</t>
  </si>
  <si>
    <t>Actinopyga varians</t>
  </si>
  <si>
    <t>Ahnfeltiopsis concinna</t>
  </si>
  <si>
    <t>Ahnfeltiopsis flabelliformis</t>
  </si>
  <si>
    <t>Aiptasia pulchella</t>
  </si>
  <si>
    <t>Red: Field trip has no quadrat/transect species data</t>
  </si>
  <si>
    <t>Excluding Transects/reason</t>
  </si>
  <si>
    <t>Actual Quadrats (after exclusions)</t>
  </si>
  <si>
    <t>Akalaphycus setchelliae</t>
  </si>
  <si>
    <t>Amansia glomerata</t>
  </si>
  <si>
    <t>Amphipod spp</t>
  </si>
  <si>
    <t>Anthopleura nigrescens</t>
  </si>
  <si>
    <t>Aplysia spp</t>
  </si>
  <si>
    <t>Articulated Corallines</t>
  </si>
  <si>
    <t>Asparagopsis taxiformis</t>
  </si>
  <si>
    <t>Asteronema breviarticulatum</t>
  </si>
  <si>
    <t>Avrainvillea amadelpha</t>
  </si>
  <si>
    <t>Barnacles spp</t>
  </si>
  <si>
    <t>Bleached Coral</t>
  </si>
  <si>
    <t>Boodlea composita</t>
  </si>
  <si>
    <t>Bornetella sphaerica</t>
  </si>
  <si>
    <t>Botryocladia skottsbergii</t>
  </si>
  <si>
    <t>Brachidontes crebristriatus</t>
  </si>
  <si>
    <t>Brittle Star</t>
  </si>
  <si>
    <t>Brown Crust</t>
  </si>
  <si>
    <t>Bryopsis spp</t>
  </si>
  <si>
    <t>Calcinus elegans</t>
  </si>
  <si>
    <t>Calcinus laevimanus</t>
  </si>
  <si>
    <t>Calcinus seurati</t>
  </si>
  <si>
    <t>Caulerpa racemosa</t>
  </si>
  <si>
    <t>Caulerpa sertularioides</t>
  </si>
  <si>
    <t>Caulerpa spp</t>
  </si>
  <si>
    <t>Cellana exarata</t>
  </si>
  <si>
    <t>Cellana sandwicensis</t>
  </si>
  <si>
    <t>Centroceras clavulatum</t>
  </si>
  <si>
    <t>Chaetomorpha antennina</t>
  </si>
  <si>
    <t>Champia parvula</t>
  </si>
  <si>
    <t>Chnoospora minima</t>
  </si>
  <si>
    <t>Chondria spp</t>
  </si>
  <si>
    <t>Cladophora or Cladophoropsis spp</t>
  </si>
  <si>
    <t>Codium arabicum</t>
  </si>
  <si>
    <t>Codium edule</t>
  </si>
  <si>
    <t>Codium spp.</t>
  </si>
  <si>
    <t>Coelothrix irregularis</t>
  </si>
  <si>
    <t>Colobocentrotus atratus</t>
  </si>
  <si>
    <t>Colpomenia sinuosa</t>
  </si>
  <si>
    <t>Conus ebraeus</t>
  </si>
  <si>
    <t>Conus spp</t>
  </si>
  <si>
    <t>Coral spp.</t>
  </si>
  <si>
    <t>Crab spp</t>
  </si>
  <si>
    <t>Crustose Coralline Algae</t>
  </si>
  <si>
    <t>df_###</t>
  </si>
  <si>
    <t>Cyanobacteria spp</t>
  </si>
  <si>
    <t>Cypraea tigris</t>
  </si>
  <si>
    <t>Dasya spp</t>
  </si>
  <si>
    <t>Dendropoma gregaria</t>
  </si>
  <si>
    <t>Diadema paucispinum</t>
  </si>
  <si>
    <t>Dichotomaria marginata</t>
  </si>
  <si>
    <t>Dictyopteris spp</t>
  </si>
  <si>
    <t>Dictyosphaeria cavernosa</t>
  </si>
  <si>
    <t>Dictyosphaeria spp</t>
  </si>
  <si>
    <t>Dictyosphaeria versluysii</t>
  </si>
  <si>
    <t>Dictyota acutiloba</t>
  </si>
  <si>
    <t>Dictyota sandvicensis</t>
  </si>
  <si>
    <t>Dictyota spp</t>
  </si>
  <si>
    <t>Drupa morum</t>
  </si>
  <si>
    <t>Echinolittorina hawaiiensis</t>
  </si>
  <si>
    <t>Echinometra mathaei</t>
  </si>
  <si>
    <t>Echinometra oblonga</t>
  </si>
  <si>
    <t>Echinometra sp</t>
  </si>
  <si>
    <t>Echinothrix spp</t>
  </si>
  <si>
    <t>Fireworm spp</t>
  </si>
  <si>
    <t>Galaxaura spp</t>
  </si>
  <si>
    <t>Galaxaura or Liagora sp</t>
  </si>
  <si>
    <t>Gelid spp</t>
  </si>
  <si>
    <t>Gelidiella acerosa</t>
  </si>
  <si>
    <t>Gelidiopsis intricata</t>
  </si>
  <si>
    <t>Gelidiopsis spp</t>
  </si>
  <si>
    <t>Gelidium pusillum</t>
  </si>
  <si>
    <t>Gracilaria salicornia</t>
  </si>
  <si>
    <t>Grapsus tenuicrustatus</t>
  </si>
  <si>
    <t>Grateloupia spp</t>
  </si>
  <si>
    <t>Griffithsia spp</t>
  </si>
  <si>
    <t>Halimeda discoidea</t>
  </si>
  <si>
    <t>Haminoea cymbalum</t>
  </si>
  <si>
    <t>Hermit Crab</t>
  </si>
  <si>
    <t>Holothuria atra</t>
  </si>
  <si>
    <t>Holothuria cinerascens</t>
  </si>
  <si>
    <t>Holothuria difficilis</t>
  </si>
  <si>
    <t>Holothuria hilla</t>
  </si>
  <si>
    <t>Holothuria pardalis</t>
  </si>
  <si>
    <t>Holothuria spp</t>
  </si>
  <si>
    <t>Holothuria whitmaei</t>
  </si>
  <si>
    <t>Hydroclathrus clathratus</t>
  </si>
  <si>
    <t>Hypnea cervicornis</t>
  </si>
  <si>
    <t>Hypnea chordacea</t>
  </si>
  <si>
    <t>Hypnea musciformis</t>
  </si>
  <si>
    <t>Hypnea spp</t>
  </si>
  <si>
    <t>Isognomon californicum</t>
  </si>
  <si>
    <t>Isognomon perna</t>
  </si>
  <si>
    <t>Laurencia dendroidea</t>
  </si>
  <si>
    <t>Laurencia dotyi</t>
  </si>
  <si>
    <t>Laurencia mcdermidiae</t>
  </si>
  <si>
    <t>Laurencia spp</t>
  </si>
  <si>
    <t>Leptolyngbya crosbyana</t>
  </si>
  <si>
    <t>Liagora spp</t>
  </si>
  <si>
    <t>Littoraria pintado</t>
  </si>
  <si>
    <t>Lobophora variegata</t>
  </si>
  <si>
    <t>Loimia medusa</t>
  </si>
  <si>
    <t>Lyngbya majuscula</t>
  </si>
  <si>
    <t>Martensia spp</t>
  </si>
  <si>
    <t>Mauritia mauritiana</t>
  </si>
  <si>
    <t>Microdictyon setchellianum</t>
  </si>
  <si>
    <t>Monetaria caputserpentis</t>
  </si>
  <si>
    <t>Montipora capitata</t>
  </si>
  <si>
    <t>Montipora sp</t>
  </si>
  <si>
    <t>Morula granulata</t>
  </si>
  <si>
    <t>Morula sp</t>
  </si>
  <si>
    <t>Morula uva</t>
  </si>
  <si>
    <t>Neomeris spp</t>
  </si>
  <si>
    <t>Nerita picea</t>
  </si>
  <si>
    <t>Nerita polita</t>
  </si>
  <si>
    <t>Nesochthamalus intertextus</t>
  </si>
  <si>
    <t>Ophiocoma brevipes</t>
  </si>
  <si>
    <t>Ophiocoma erinaceus</t>
  </si>
  <si>
    <t>Onchidium verruculatum</t>
  </si>
  <si>
    <t>Padina spp</t>
  </si>
  <si>
    <t>Palisada parvipapillata</t>
  </si>
  <si>
    <t>Palythoa caesia</t>
  </si>
  <si>
    <t>Parvocaulis parvulus</t>
  </si>
  <si>
    <t>Peasiella tantilla</t>
  </si>
  <si>
    <t>Pennaria disticha</t>
  </si>
  <si>
    <t>Pocillopora damicornis</t>
  </si>
  <si>
    <t>Pocillopora sp</t>
  </si>
  <si>
    <t>Porites lobata</t>
  </si>
  <si>
    <t>Porites sp</t>
  </si>
  <si>
    <t>Portieria hornemannii</t>
  </si>
  <si>
    <t>Protopalythoa spp</t>
  </si>
  <si>
    <t>Pterocladiella caerulescens</t>
  </si>
  <si>
    <t>Pterocladiella capillacea</t>
  </si>
  <si>
    <t>Pterocladiella spp</t>
  </si>
  <si>
    <t>Rhodymenia spp</t>
  </si>
  <si>
    <t>Sargassum aquifolium</t>
  </si>
  <si>
    <t>Sargassum polyphyllum</t>
  </si>
  <si>
    <t>Sargassum spp</t>
  </si>
  <si>
    <t>Siphonaria normalis</t>
  </si>
  <si>
    <t>Smaragdinella calyculata</t>
  </si>
  <si>
    <t>Snail spp</t>
  </si>
  <si>
    <t>Sphacelaria spp</t>
  </si>
  <si>
    <t>Spirobranchus giganteus</t>
  </si>
  <si>
    <t>Sponge spp</t>
  </si>
  <si>
    <t>Spyridia filamentosa</t>
  </si>
  <si>
    <t>Stomatopod spp</t>
  </si>
  <si>
    <t>Stylocheilus striatus</t>
  </si>
  <si>
    <t>Symploca hydnoides</t>
  </si>
  <si>
    <t>Thylacodes variabilis</t>
  </si>
  <si>
    <t>Trichogloea spp</t>
  </si>
  <si>
    <t>Tripneustes gratilla</t>
  </si>
  <si>
    <t>Tube snail</t>
  </si>
  <si>
    <t>Turbinaria ornata</t>
  </si>
  <si>
    <t>Turf spp</t>
  </si>
  <si>
    <t>Ulva fasciata</t>
  </si>
  <si>
    <t>Ulva flexuosa</t>
  </si>
  <si>
    <t>Ulva reticulata</t>
  </si>
  <si>
    <t>Ulva spp</t>
  </si>
  <si>
    <t>Zoanthid spp</t>
  </si>
  <si>
    <t>Unknown Brown</t>
  </si>
  <si>
    <t>Unknown Cyanobacteria</t>
  </si>
  <si>
    <t>Unknown Fuzzy</t>
  </si>
  <si>
    <t>Unknown Green</t>
  </si>
  <si>
    <t>Unknown Polychaete</t>
  </si>
  <si>
    <t>Unknown  Red</t>
  </si>
  <si>
    <t>Unknown species</t>
  </si>
  <si>
    <t>Wrangelia elegantissima</t>
  </si>
  <si>
    <t>Species count:</t>
  </si>
  <si>
    <t>Kahana Bay</t>
  </si>
  <si>
    <t>OPIHI Coordinator</t>
  </si>
  <si>
    <t>1 meter</t>
  </si>
  <si>
    <t>5,1,2,4,7,3</t>
  </si>
  <si>
    <t>Snail spp.</t>
  </si>
  <si>
    <t>Diamond Head</t>
  </si>
  <si>
    <t>9,9,12,12,9,7</t>
  </si>
  <si>
    <t>Trochus intextus</t>
  </si>
  <si>
    <t>4,1,6,6,10,6</t>
  </si>
  <si>
    <t>Valonia spp</t>
  </si>
  <si>
    <t>5,2,3,3,6,6,6</t>
  </si>
  <si>
    <t>Species Count (&gt;=2)</t>
  </si>
  <si>
    <t>Species count (&gt;=5)</t>
  </si>
  <si>
    <t>Simpson's Diversity Index:</t>
  </si>
  <si>
    <t>Number of tallies recorded_species only</t>
  </si>
  <si>
    <t>Total number of tallies</t>
  </si>
  <si>
    <t>7,10,10,10,10,9</t>
  </si>
  <si>
    <t>Difference = substrate tallies</t>
  </si>
  <si>
    <t>5,0,2,7,5,5,5</t>
  </si>
  <si>
    <t>9,10,7,6,5,9,10</t>
  </si>
  <si>
    <t>Sand Island</t>
  </si>
  <si>
    <t>2 meters</t>
  </si>
  <si>
    <t>9,6,5,6</t>
  </si>
  <si>
    <t>Barbers Point</t>
  </si>
  <si>
    <t>7,6,7,6,4</t>
  </si>
  <si>
    <t>8,9,9,10,9</t>
  </si>
  <si>
    <t>9,8,5,7</t>
  </si>
  <si>
    <t>5,9,7,10.5</t>
  </si>
  <si>
    <t>7,5,4,6,7,5</t>
  </si>
  <si>
    <t>9,9,10,10</t>
  </si>
  <si>
    <t>Turtle Bay</t>
  </si>
  <si>
    <t>3 meters</t>
  </si>
  <si>
    <t>8,7,7</t>
  </si>
  <si>
    <t>6,5</t>
  </si>
  <si>
    <t>Waipuilani</t>
  </si>
  <si>
    <t>8,6,8,8,6</t>
  </si>
  <si>
    <t>5,8,7</t>
  </si>
  <si>
    <t>Mapulehu</t>
  </si>
  <si>
    <t>10.10,9</t>
  </si>
  <si>
    <t>9,10,8,10,8,8</t>
  </si>
  <si>
    <t>5,10,11,7,9</t>
  </si>
  <si>
    <t>5 meters</t>
  </si>
  <si>
    <t>5,4,3,4</t>
  </si>
  <si>
    <t>2,4,4</t>
  </si>
  <si>
    <t>Morris Point</t>
  </si>
  <si>
    <t>9,9,9</t>
  </si>
  <si>
    <t>3,3,4,4</t>
  </si>
  <si>
    <t>4,4,2,3,4,2,4</t>
  </si>
  <si>
    <t>Ewa Beach</t>
  </si>
  <si>
    <t>4 meters</t>
  </si>
  <si>
    <t>Sandy Beach</t>
  </si>
  <si>
    <t>Waiopae</t>
  </si>
  <si>
    <t>4,5,4</t>
  </si>
  <si>
    <t>12,9,11,10,11,10.11</t>
  </si>
  <si>
    <t>Maili Beach</t>
  </si>
  <si>
    <t>3,6,6</t>
  </si>
  <si>
    <t>11,11,11,8,8,9.8,</t>
  </si>
  <si>
    <t>10,9,9,8</t>
  </si>
  <si>
    <t>4,2,4,5</t>
  </si>
  <si>
    <t>7,9,9,9,9</t>
  </si>
  <si>
    <t>8,7,6,8,7</t>
  </si>
  <si>
    <t>3,3,5,5,6</t>
  </si>
  <si>
    <t>5,5,4,6</t>
  </si>
  <si>
    <t>Hilo Yacht Club</t>
  </si>
  <si>
    <t>2,4,6,6,4</t>
  </si>
  <si>
    <t>4,3,3,5</t>
  </si>
  <si>
    <t>10,10,10,9,10</t>
  </si>
  <si>
    <t>6,5,6,6,5</t>
  </si>
  <si>
    <t>11,11,8,11</t>
  </si>
  <si>
    <t>13,12,11,10,9,11,9</t>
  </si>
  <si>
    <t>Waipouli</t>
  </si>
  <si>
    <t>12,13,15</t>
  </si>
  <si>
    <t>15,14,14</t>
  </si>
  <si>
    <t xml:space="preserve">OPIHI  </t>
  </si>
  <si>
    <t>7,7,5,6,6,6,7</t>
  </si>
  <si>
    <t>T2; species richness</t>
  </si>
  <si>
    <t>Mary Star of the Sea</t>
  </si>
  <si>
    <t>6,3,6,5,6,5,5</t>
  </si>
  <si>
    <t>OPIHI</t>
  </si>
  <si>
    <t>8,2,8,5</t>
  </si>
  <si>
    <t>2,4,4,4,4</t>
  </si>
  <si>
    <t>1.5 meters</t>
  </si>
  <si>
    <t>Highlands Intermediate School</t>
  </si>
  <si>
    <t>5,5,5,5,6</t>
  </si>
  <si>
    <t>Keiki Ponds</t>
  </si>
  <si>
    <t>12,11,11,11,10,8,8,10</t>
  </si>
  <si>
    <t>T6; species richness</t>
  </si>
  <si>
    <t>10,7,8,6,5,7,8</t>
  </si>
  <si>
    <t>6,6,6,5,6</t>
  </si>
  <si>
    <t>6,6,6,6,6,6,5</t>
  </si>
  <si>
    <t>Molokai High School</t>
  </si>
  <si>
    <t>14,6,0.5</t>
  </si>
  <si>
    <t>T3; no data</t>
  </si>
  <si>
    <t>Pahoa High and Intermediate School</t>
  </si>
  <si>
    <t>4,4,5,5,5</t>
  </si>
  <si>
    <t>Richardsons</t>
  </si>
  <si>
    <t>5,5,5,4</t>
  </si>
  <si>
    <t>Onekahakaha</t>
  </si>
  <si>
    <t>10,0,5,5</t>
  </si>
  <si>
    <t>T2; no data</t>
  </si>
  <si>
    <t>7,10,9,9</t>
  </si>
  <si>
    <t>Kilauea School</t>
  </si>
  <si>
    <t>5,4,5,5,5</t>
  </si>
  <si>
    <t>Hawaii Baptist Academy</t>
  </si>
  <si>
    <t>8,7,8,6</t>
  </si>
  <si>
    <t>Fuji</t>
  </si>
  <si>
    <t xml:space="preserve">Kilauea  </t>
  </si>
  <si>
    <t>Napili Bay</t>
  </si>
  <si>
    <t>7,6,5,6,5</t>
  </si>
  <si>
    <t>9,5,9,11</t>
  </si>
  <si>
    <t>10,10,10,9</t>
  </si>
  <si>
    <t>Kaupo</t>
  </si>
  <si>
    <t>Ka Umeke Kaeo PCS</t>
  </si>
  <si>
    <t>9,10,9,7,10,10,9</t>
  </si>
  <si>
    <t>Keei</t>
  </si>
  <si>
    <t>11,11,13,6</t>
  </si>
  <si>
    <t>Kiholo Bay</t>
  </si>
  <si>
    <t>Kohala High School</t>
  </si>
  <si>
    <t>1/2 meter</t>
  </si>
  <si>
    <t>7,9,9</t>
  </si>
  <si>
    <t>10,0,10,0</t>
  </si>
  <si>
    <t>T2,T4; no data</t>
  </si>
  <si>
    <t>0.5 meter</t>
  </si>
  <si>
    <t>5,5,6,5,5,5,4,5,7</t>
  </si>
  <si>
    <t>Nukolii</t>
  </si>
  <si>
    <t>Kawaikini New Century Public Charter School</t>
  </si>
  <si>
    <t>7,5</t>
  </si>
  <si>
    <t>5,5,6,7,5,6,6,7,7</t>
  </si>
  <si>
    <t>15,16,12</t>
  </si>
  <si>
    <t>Radford High School</t>
  </si>
  <si>
    <t>Waipahu High School</t>
  </si>
  <si>
    <t>5,5,2,5,5,2,2</t>
  </si>
  <si>
    <t>T1,T3,T7; species richness</t>
  </si>
  <si>
    <t>Kapukahehu Kaluakoʻi</t>
  </si>
  <si>
    <t>Kualapuu School</t>
  </si>
  <si>
    <t>4,4,5,4,5,5</t>
  </si>
  <si>
    <t>5,5,0,5,4,5</t>
  </si>
  <si>
    <t>Mililani High School</t>
  </si>
  <si>
    <t>5,5,5,5,1,5,5</t>
  </si>
  <si>
    <t>T2; teacher comments</t>
  </si>
  <si>
    <t>5,5,5,6,5,6</t>
  </si>
  <si>
    <t>Holoholokai</t>
  </si>
  <si>
    <t>5,3,5,4,5,4</t>
  </si>
  <si>
    <t>10,7,3</t>
  </si>
  <si>
    <t>Old Airport</t>
  </si>
  <si>
    <t>10,8,10</t>
  </si>
  <si>
    <t>10,8,10,9,8,10</t>
  </si>
  <si>
    <t>5,10,0,11</t>
  </si>
  <si>
    <t>University of Hawaii</t>
  </si>
  <si>
    <t>5,8,5,7</t>
  </si>
  <si>
    <t>3,5,5,5,5,5,5</t>
  </si>
  <si>
    <t>Kilauea</t>
  </si>
  <si>
    <t>5,6,6,5,6,5</t>
  </si>
  <si>
    <t>6,7,5,8,6,5,</t>
  </si>
  <si>
    <t>Kauai High School</t>
  </si>
  <si>
    <t>5,5,5,5,4,4</t>
  </si>
  <si>
    <t>Keiki Bay</t>
  </si>
  <si>
    <t>Kailua Intermediate</t>
  </si>
  <si>
    <t>4,6,6,6,5</t>
  </si>
  <si>
    <t>Sandy Beach West</t>
  </si>
  <si>
    <t>Stevenson Middle School</t>
  </si>
  <si>
    <t>3,4,4,2,4,3,3</t>
  </si>
  <si>
    <t>Hilo Union School</t>
  </si>
  <si>
    <t>Moomomi</t>
  </si>
  <si>
    <t>3 meter</t>
  </si>
  <si>
    <t>9,5,5,8</t>
  </si>
  <si>
    <t>10,5,12,9</t>
  </si>
  <si>
    <t>7,0,7,6,5,5,4,0,6</t>
  </si>
  <si>
    <t>T2,T8; no data</t>
  </si>
  <si>
    <t>5,0,5,5,5,4</t>
  </si>
  <si>
    <t>Wawaloli</t>
  </si>
  <si>
    <t>Hawaii Technology Academy</t>
  </si>
  <si>
    <t>8,10,10.10</t>
  </si>
  <si>
    <t>Mahaulepu</t>
  </si>
  <si>
    <t>5,0,4,5,5</t>
  </si>
  <si>
    <t>5,5,5,4,5,5,5</t>
  </si>
  <si>
    <t>Ilima Intermediate School</t>
  </si>
  <si>
    <t>2,5,4,4,4,4</t>
  </si>
  <si>
    <t>Hulopo'e Bay</t>
  </si>
  <si>
    <t>Lanai High and Elementary</t>
  </si>
  <si>
    <t>5,2,5,3,5</t>
  </si>
  <si>
    <t>Keawakapu</t>
  </si>
  <si>
    <t>St. Anthony High School</t>
  </si>
  <si>
    <t>1,0,1,0,1,0,0,3,2</t>
  </si>
  <si>
    <t>5,5,5,4,4</t>
  </si>
  <si>
    <t>Kealakehe High School</t>
  </si>
  <si>
    <t>11,11,11,10,11,11,10</t>
  </si>
  <si>
    <t>Volcano School of Arts and Sciences</t>
  </si>
  <si>
    <t>6,6,5,6,5</t>
  </si>
  <si>
    <t>Farrington High School</t>
  </si>
  <si>
    <t>3,5,5,5,0,5,5</t>
  </si>
  <si>
    <t>T5; no data</t>
  </si>
  <si>
    <t>5,0,3</t>
  </si>
  <si>
    <t>Iolani School</t>
  </si>
  <si>
    <t>6,5,5,5,5,5</t>
  </si>
  <si>
    <t>Kula Kaiapuni o Lahainaluna</t>
  </si>
  <si>
    <t>5,6</t>
  </si>
  <si>
    <t>4,3,4,4,5,5</t>
  </si>
  <si>
    <t>Oneo Bay</t>
  </si>
  <si>
    <t>10,10,9,7,8</t>
  </si>
  <si>
    <t>T6; no data</t>
  </si>
  <si>
    <t>Lokelani</t>
  </si>
  <si>
    <t>0.25 meter</t>
  </si>
  <si>
    <t>6,6,6,6</t>
  </si>
  <si>
    <t>Salt Pond</t>
  </si>
  <si>
    <t>Waimea Canyon Middle School</t>
  </si>
  <si>
    <t>3,5,5,4,4,4</t>
  </si>
  <si>
    <t>4,5,5,5,5</t>
  </si>
  <si>
    <t>10,5,8,9</t>
  </si>
  <si>
    <t>8,10,8</t>
  </si>
  <si>
    <t>8,7,6,6</t>
  </si>
  <si>
    <t>11,11,4</t>
  </si>
  <si>
    <t>11,12,12</t>
  </si>
  <si>
    <t>9,10,10</t>
  </si>
  <si>
    <t>5,5,5,5,5,4,3,5,4,5</t>
  </si>
  <si>
    <t>T6,T7; species richness</t>
  </si>
  <si>
    <t>4,9,9,6</t>
  </si>
  <si>
    <t>Hongwanji Mission School</t>
  </si>
  <si>
    <t>5,5,0,3,5,1</t>
  </si>
  <si>
    <t>1.5 meter</t>
  </si>
  <si>
    <t>7,7,11</t>
  </si>
  <si>
    <t>3,4,4,4,5,0,4,1,5</t>
  </si>
  <si>
    <t>UH Manoa</t>
  </si>
  <si>
    <t>4,9,10</t>
  </si>
  <si>
    <t>5,0,3,1</t>
  </si>
  <si>
    <t>4,2,4,3,3,4</t>
  </si>
  <si>
    <t>Kamehameha Schools</t>
  </si>
  <si>
    <t>5,5,5,5,5</t>
  </si>
  <si>
    <t>T6,T7; no data</t>
  </si>
  <si>
    <t>8,10,11,10,11</t>
  </si>
  <si>
    <t>5,5,4,5,4</t>
  </si>
  <si>
    <t>4,5,4,6,6</t>
  </si>
  <si>
    <t>Ka Waihona I Ka Naauao PCS</t>
  </si>
  <si>
    <t>5,5,5,0</t>
  </si>
  <si>
    <t>6,6,4,6,4</t>
  </si>
  <si>
    <t>5,5,5,2,5,5</t>
  </si>
  <si>
    <t>T4; species richness</t>
  </si>
  <si>
    <t>7,8,7,8,6,6,8,5,7,7</t>
  </si>
  <si>
    <t>4,6,9,6,11,10,6</t>
  </si>
  <si>
    <t>T7; species richness</t>
  </si>
  <si>
    <t>5,0,6,4,5,6</t>
  </si>
  <si>
    <t>T2,T5;no data, species richness</t>
  </si>
  <si>
    <t>10,9,8,5,10,10</t>
  </si>
  <si>
    <t>1,3,0,3,0</t>
  </si>
  <si>
    <t>Mokauea Island</t>
  </si>
  <si>
    <t>5,4,5,5</t>
  </si>
  <si>
    <t>0,0,10</t>
  </si>
  <si>
    <t>T1,T2; no data</t>
  </si>
  <si>
    <t>5,10,10</t>
  </si>
  <si>
    <t>5,3,4,5,5,5,0,5</t>
  </si>
  <si>
    <t>T3</t>
  </si>
  <si>
    <t>8,13,5,10,7,0</t>
  </si>
  <si>
    <t>T2, T6</t>
  </si>
  <si>
    <t>If see "2" means that species was only found in excluded transect</t>
  </si>
  <si>
    <t>7,9,8,7,7,8,10</t>
  </si>
  <si>
    <t>9,9,2,5</t>
  </si>
  <si>
    <t>T3; Low species richness</t>
  </si>
  <si>
    <t>Mililani Middle</t>
  </si>
  <si>
    <t>5,0,5,0,0,0</t>
  </si>
  <si>
    <t>8,9,9.5</t>
  </si>
  <si>
    <t>Baby Makapuu</t>
  </si>
  <si>
    <t>4,5,4,4,3,3,5</t>
  </si>
  <si>
    <t>T4; quadrats did not add up to 25</t>
  </si>
  <si>
    <t>Paauilo Elementary and Intermediate School</t>
  </si>
  <si>
    <t>1/4 meter</t>
  </si>
  <si>
    <t>7,8,6,8</t>
  </si>
  <si>
    <t>5,5,5,3,5,4,4</t>
  </si>
  <si>
    <t xml:space="preserve">T6;  T6--&gt;group did not specify species of algae, only as "algae" </t>
  </si>
  <si>
    <t>4,5,4,5,4</t>
  </si>
  <si>
    <t>Waimea High School</t>
  </si>
  <si>
    <t>4,5,5,5,5,5</t>
  </si>
  <si>
    <t>Haneo'o Fishpond</t>
  </si>
  <si>
    <t>Hana School</t>
  </si>
  <si>
    <t>Waimanalo School</t>
  </si>
  <si>
    <t>2.5 meters</t>
  </si>
  <si>
    <t>1,4,2,3</t>
  </si>
  <si>
    <t>4,5,3,5,4,5,2</t>
  </si>
  <si>
    <t>Lanikai Point</t>
  </si>
  <si>
    <t>6,4,9,9,5,7</t>
  </si>
  <si>
    <t>T1,T5--&gt;low species richness</t>
  </si>
  <si>
    <t>3,4,4,4,5</t>
  </si>
  <si>
    <t>Saint Louis School</t>
  </si>
  <si>
    <t>4,4,5,5,5,5</t>
  </si>
  <si>
    <t>Our Savior Lutheran School</t>
  </si>
  <si>
    <t>1,1,1,0,1,1,1</t>
  </si>
  <si>
    <t>10,10,10,8,8</t>
  </si>
  <si>
    <t>Hilo Union Elementary</t>
  </si>
  <si>
    <t>5,5,5,3,2,5,4</t>
  </si>
  <si>
    <t>T3,T5; low species richness (&lt;3/transect)</t>
  </si>
  <si>
    <t>1,0,1,0,1,1,1,1,0,0,1</t>
  </si>
  <si>
    <t>6,8,5,7</t>
  </si>
  <si>
    <t>5,4,4,5,5,5,5</t>
  </si>
  <si>
    <t>T7; low species richness</t>
  </si>
  <si>
    <t>Kona Bay Estates</t>
  </si>
  <si>
    <t>4,2,2,5,4,5</t>
  </si>
  <si>
    <t>10,9,9,10,8</t>
  </si>
  <si>
    <t>Waiʻanae High School Reef</t>
  </si>
  <si>
    <t>Waianae High School</t>
  </si>
  <si>
    <t>7,9,7,9,8</t>
  </si>
  <si>
    <t>T4,T5; low species richness and strange zonation</t>
  </si>
  <si>
    <t>Hawaii Academy of Arts and Sciences</t>
  </si>
  <si>
    <t>5,2,5,5,5,5</t>
  </si>
  <si>
    <t>3,3,4,3,3,2</t>
  </si>
  <si>
    <t>Kamaole 2&amp;3 Beach Parks</t>
  </si>
  <si>
    <t>0,1,3,3,0,3,3,3,5,4</t>
  </si>
  <si>
    <t>T1,T2,T3, T5, T6; low species richness, lack of data</t>
  </si>
  <si>
    <t>3,2,5,6,3</t>
  </si>
  <si>
    <t xml:space="preserve">Highlands Intermediate  </t>
  </si>
  <si>
    <t>6,6,3</t>
  </si>
  <si>
    <t>T2,T3; low species richness</t>
  </si>
  <si>
    <t>8,9,7,1,6,11</t>
  </si>
  <si>
    <t>T2,T3,T4,T5; low species richness</t>
  </si>
  <si>
    <t>West Hawaii Explorations Academy PCS</t>
  </si>
  <si>
    <t>5,5,0,5,5</t>
  </si>
  <si>
    <t>No results displayed for 3rd transect</t>
  </si>
  <si>
    <t xml:space="preserve">Kahalu'u Bay </t>
  </si>
  <si>
    <t>5,5,4,5,5</t>
  </si>
  <si>
    <t>Hawaii Technology Academy PCS</t>
  </si>
  <si>
    <t>2,3,0,0,0</t>
  </si>
  <si>
    <t>Punalu'u Beach Park</t>
  </si>
  <si>
    <t>7,6,4,5,6</t>
  </si>
  <si>
    <t>5 Transects, all different #'s of quadrats/ transect</t>
  </si>
  <si>
    <t>4,1,4</t>
  </si>
  <si>
    <t>In database only 3 transects (note the 2nd transect consisted of only 1 quadrat). Transects 1 and 3 had only 4 quadrats (not stated 5).</t>
  </si>
  <si>
    <t>University of Hawaii at Manoa</t>
  </si>
  <si>
    <t>Actually 5 (vs. 3) transects and 5 quads/T (vs. 10) in datasheet</t>
  </si>
  <si>
    <t>1,0,0,0</t>
  </si>
  <si>
    <t>5,5,5,5,5,0,0</t>
  </si>
  <si>
    <t>0,4,1,3,3,3,3</t>
  </si>
  <si>
    <t>4,3,4,4,4</t>
  </si>
  <si>
    <t>5,5,3,5</t>
  </si>
  <si>
    <t>5,5,2,5,5,5</t>
  </si>
  <si>
    <t>5,8,5</t>
  </si>
  <si>
    <t>5,5,3,5,5,3</t>
  </si>
  <si>
    <t>3,2,2,2,4,2,1</t>
  </si>
  <si>
    <t>4,4,5,3,4,5,1</t>
  </si>
  <si>
    <t>4,5,0</t>
  </si>
  <si>
    <t>2,5,3,2,7</t>
  </si>
  <si>
    <t>Farrington High school</t>
  </si>
  <si>
    <t>5,0,0,0.0</t>
  </si>
  <si>
    <t>Mare Ike</t>
  </si>
  <si>
    <t>0,1,1</t>
  </si>
  <si>
    <t>4,5,5,0,5,5</t>
  </si>
  <si>
    <t>3,1,3,3</t>
  </si>
  <si>
    <t>0,0,6</t>
  </si>
  <si>
    <t>6,5,0,3,6</t>
  </si>
  <si>
    <t>Hongwanji MIssion School</t>
  </si>
  <si>
    <t>5,0,3,1,3</t>
  </si>
  <si>
    <t>Kahalu'u Bay</t>
  </si>
  <si>
    <t>5,6,6,6,6</t>
  </si>
  <si>
    <t>5,5</t>
  </si>
  <si>
    <t>10,10,9,7,8,0</t>
  </si>
  <si>
    <t>Voyager Public Charter School</t>
  </si>
  <si>
    <t>4,4,3,4,3,2</t>
  </si>
  <si>
    <t>3,3,3,2</t>
  </si>
  <si>
    <t>5,0,0,4,0</t>
  </si>
  <si>
    <t>1,0,0,0,0,0</t>
  </si>
  <si>
    <t>0,0,2,0,2,1,0</t>
  </si>
  <si>
    <t>5,4,6,7,3,5,2,3</t>
  </si>
  <si>
    <t>7,0,7,7,8,7,0,7</t>
  </si>
  <si>
    <t>This list leaves out field trips without any field trip time data (coded as 0:00--&gt;1:00 in Metadata). Oneo Bay field trip on 5/5/2017 time was changed from 12:15--&gt;12:15 to 12:15--&gt;13:15 and 2/9/2019 (Waipouli) field trip  (st:0:00:01, end:0:00:02) was excluded</t>
  </si>
  <si>
    <t>Start time</t>
  </si>
  <si>
    <t>End Time</t>
  </si>
  <si>
    <t>Nearest Prov. Tide Loc(s)</t>
  </si>
  <si>
    <t>Station ID(s)</t>
  </si>
  <si>
    <t>Wts(for 2 or more sts)</t>
  </si>
  <si>
    <t>Ref St.</t>
  </si>
  <si>
    <t>Ref St. ID</t>
  </si>
  <si>
    <t>Ref Tide Adj.</t>
  </si>
  <si>
    <t>Pred.Low Height (during FT)</t>
  </si>
  <si>
    <t>Actual L tide time during FT</t>
  </si>
  <si>
    <t>Actual L tide Ht (during FT)</t>
  </si>
  <si>
    <t>Avg. Tide over Field Trip (unweighted)</t>
  </si>
  <si>
    <t>Honolulu</t>
  </si>
  <si>
    <t>Nawiliwili offset to Hanamulu Bay</t>
  </si>
  <si>
    <t>Nawiliwili</t>
  </si>
  <si>
    <t>Honolulu offset to Waianae; Pearl Harbor Entrance, Bishop Point</t>
  </si>
  <si>
    <t>1612340;1612366</t>
  </si>
  <si>
    <t>0.42;0.58</t>
  </si>
  <si>
    <t>Honolulu offset to Hanuama Bay</t>
  </si>
  <si>
    <t>Kahului offset to Kihei, Maalaea Bay; Kahului offset to Makena</t>
  </si>
  <si>
    <t>1615680;1615680</t>
  </si>
  <si>
    <t>0.7; 0.21</t>
  </si>
  <si>
    <t>Kahului</t>
  </si>
  <si>
    <t>Pearl Harbor Entrance Bishop Point</t>
  </si>
  <si>
    <t>Hilo offset to Kailua-Kona</t>
  </si>
  <si>
    <t>Kawaihae</t>
  </si>
  <si>
    <t>Kawaihae; Hilo offset to Kailua-Kona</t>
  </si>
  <si>
    <t>1617433;1617760</t>
  </si>
  <si>
    <t>0.51; 0.49</t>
  </si>
  <si>
    <t>Honolulu offset to Pukoo Harbor</t>
  </si>
  <si>
    <t>Hilo; Hilo offset to Honuapo</t>
  </si>
  <si>
    <t>1617760;1617760</t>
  </si>
  <si>
    <t>0.71;0.29</t>
  </si>
  <si>
    <t>Hilo</t>
  </si>
  <si>
    <t>Mokuoloe offset to Laie Bay; Mokuoloe offset to Waikane, Kaneohe Bay</t>
  </si>
  <si>
    <t>1612480;1612480</t>
  </si>
  <si>
    <t>0.37;0.63</t>
  </si>
  <si>
    <t>Mokuoloe</t>
  </si>
  <si>
    <t>Kahului; Kahului offset to Lahaina; Honolulu offset to Pukoo Harbor</t>
  </si>
  <si>
    <t>1615680;1615680;1612340</t>
  </si>
  <si>
    <t>0.23;0.43;0.34</t>
  </si>
  <si>
    <t xml:space="preserve"> Mokuoloe offset to Laie Bay; Honolulu offset to Haleiwa</t>
  </si>
  <si>
    <t>1612480; 1612340</t>
  </si>
  <si>
    <t>0.65; 0.35</t>
  </si>
  <si>
    <t>Honolulu offset to Kolo; Mokuoloe offset to Waimanalo</t>
  </si>
  <si>
    <t>1612340;1612480</t>
  </si>
  <si>
    <t>0.82;0.18</t>
  </si>
  <si>
    <t>0.79;0.21</t>
  </si>
  <si>
    <t>0.38;0.62</t>
  </si>
  <si>
    <t>Hilo offset to NapoopooKealakekua Bay</t>
  </si>
  <si>
    <t>Hawaii School for the Deaf and the Blind</t>
  </si>
  <si>
    <t>Honolulu offset to Kolo</t>
  </si>
  <si>
    <t>Honolulu offset to Waianae</t>
  </si>
  <si>
    <t>Mokuoloe offset to Laie Bay; Honolulu offset to Haleiwa</t>
  </si>
  <si>
    <t>1612480;1612340</t>
  </si>
  <si>
    <t>0.65;0.35</t>
  </si>
  <si>
    <t>Port Allen, Hanapepe Bay; Nawiliwili</t>
  </si>
  <si>
    <t>1611347;1611400</t>
  </si>
  <si>
    <t>0.33;0.67</t>
  </si>
  <si>
    <t>Honolulu offset to Kaumalapau Harbor</t>
  </si>
  <si>
    <t>Kahului offset to Hana</t>
  </si>
  <si>
    <t>Port Allen Hanapepe Bay</t>
  </si>
  <si>
    <t>0.71; 0.29</t>
  </si>
  <si>
    <t>Hilo offset to Honuapo</t>
  </si>
  <si>
    <t>Mokuoloe offset to Waimanalo</t>
  </si>
  <si>
    <t>Hilo offset to Kailua-Kona; Hilo offset to Napoopoo,Kealakekua Bay</t>
  </si>
  <si>
    <t>0.60;0.40</t>
  </si>
  <si>
    <t>0.43;0.57</t>
  </si>
  <si>
    <t>Hilo offset to Kailua-Kona; Hilo offset to Napoopoo, Kealakekua Bay</t>
  </si>
  <si>
    <t>Age of students</t>
  </si>
  <si>
    <t>Discipline of class</t>
  </si>
  <si>
    <t>Number of years teachers participated in project</t>
  </si>
  <si>
    <t>Number of field trips techers have done PRIOR to field trip</t>
  </si>
  <si>
    <t>Time spent prepping for OPIHI field trip - # of hours on ID skills, sampling skills</t>
  </si>
  <si>
    <t>Number of times same students went on a field trip</t>
  </si>
  <si>
    <t>Post-PD content - teachers</t>
  </si>
  <si>
    <t>Post FT content. - students</t>
  </si>
  <si>
    <t>Teacher perceptions of data quality</t>
  </si>
  <si>
    <t>Student perceptions of data quality</t>
  </si>
  <si>
    <t>TAKE OUT OPIHI COORDINATOR FIELD TRIPS!! :)</t>
  </si>
  <si>
    <t xml:space="preserve">Then just comparing teacher to teacher - much more accurate </t>
  </si>
  <si>
    <t>EVERYTHING IN WEBSITE NOT PART OF SPECIES DATA ON PREVIOUS SHEETS (does not include red ones on "totals_no_excl" as... those did not have data!)</t>
  </si>
  <si>
    <t>Environmental Stress?(Y/N)</t>
  </si>
  <si>
    <t>If ES, selections</t>
  </si>
  <si>
    <t>Low Tide time</t>
  </si>
  <si>
    <t>Low tide height</t>
  </si>
  <si>
    <t>Tide ref. Location</t>
  </si>
  <si>
    <t># of students</t>
  </si>
  <si>
    <t>Weather Conditions</t>
  </si>
  <si>
    <t>Rain in past 3 days(Y/N)</t>
  </si>
  <si>
    <t>If Y, rain amount</t>
  </si>
  <si>
    <t>Rainfall ref Loc</t>
  </si>
  <si>
    <t># of visitors</t>
  </si>
  <si>
    <t>Avg. wave height (ft)</t>
  </si>
  <si>
    <t>Wave height ref</t>
  </si>
  <si>
    <t>Wind speed (mph)</t>
  </si>
  <si>
    <t>Wind speed ref.</t>
  </si>
  <si>
    <t># fishing</t>
  </si>
  <si>
    <t># collecting</t>
  </si>
  <si>
    <t>Collecting..what/</t>
  </si>
  <si>
    <t>Private Comments</t>
  </si>
  <si>
    <t>Public Comments</t>
  </si>
  <si>
    <t>HNL</t>
  </si>
  <si>
    <t>S</t>
  </si>
  <si>
    <t>N</t>
  </si>
  <si>
    <t>0-1</t>
  </si>
  <si>
    <t>s</t>
  </si>
  <si>
    <t>Y</t>
  </si>
  <si>
    <t>Oahu Immersion Workshop</t>
  </si>
  <si>
    <t>Kauai Immersion Workshop</t>
  </si>
  <si>
    <t>Facilitators Research Day</t>
  </si>
  <si>
    <t>PC</t>
  </si>
  <si>
    <t>13-18</t>
  </si>
  <si>
    <t>Teacher: Michelle Bradley</t>
  </si>
  <si>
    <t>Hanamaulu</t>
  </si>
  <si>
    <t>25-31</t>
  </si>
  <si>
    <t>Teacher: Kevin Johnson</t>
  </si>
  <si>
    <t>Hanauma Bay</t>
  </si>
  <si>
    <t>Teacher: Alison Ashford</t>
  </si>
  <si>
    <t>Kihei</t>
  </si>
  <si>
    <t>Facilitator Research Day</t>
  </si>
  <si>
    <t>Kailua-Kona</t>
  </si>
  <si>
    <t>Teachers:Shari Jumalon &amp; Cheryl Cotten</t>
  </si>
  <si>
    <t>21-25</t>
  </si>
  <si>
    <t>One other OPIHI class at the site</t>
  </si>
  <si>
    <t>Teacher: Sara Larson</t>
  </si>
  <si>
    <t>shell</t>
  </si>
  <si>
    <t>26-30</t>
  </si>
  <si>
    <t>Teacher: Jennifer Seki</t>
  </si>
  <si>
    <t>Kaunakakai</t>
  </si>
  <si>
    <t>R</t>
  </si>
  <si>
    <t>Hilo Bay</t>
  </si>
  <si>
    <t>C</t>
  </si>
  <si>
    <t>Teacher: Charlotte Godfrey-Romo</t>
  </si>
  <si>
    <t>Kaneohe</t>
  </si>
  <si>
    <t>Big Island Immersion Workshop</t>
  </si>
  <si>
    <t>fish</t>
  </si>
  <si>
    <t>Lahaina</t>
  </si>
  <si>
    <t>HNl</t>
  </si>
  <si>
    <t>Teacher: Holly Church</t>
  </si>
  <si>
    <t xml:space="preserve">Hilo  </t>
  </si>
  <si>
    <t>16-20</t>
  </si>
  <si>
    <t>Teacher: Maud Gooch</t>
  </si>
  <si>
    <t>Haleiwa</t>
  </si>
  <si>
    <t>19-24</t>
  </si>
  <si>
    <t>Teacher: Karen Roberts</t>
  </si>
  <si>
    <t>Bleached Algae</t>
  </si>
  <si>
    <t>Saint Anthony High School</t>
  </si>
  <si>
    <t>Maalaea Bay</t>
  </si>
  <si>
    <t>Ke'ei</t>
  </si>
  <si>
    <t>Missing data for transects #2 and 4; teacher had concerns with data integrity (students did not start or finish transects)- CG</t>
  </si>
  <si>
    <t>Flash flood warnings yesterday; brown water; trash and debris</t>
  </si>
  <si>
    <t>rocka</t>
  </si>
  <si>
    <t>seagl</t>
  </si>
  <si>
    <t>Oahu Followup Workshop</t>
  </si>
  <si>
    <t>lots of people running up and down the beach; broken glass, pipes, and a battery</t>
  </si>
  <si>
    <t>y</t>
  </si>
  <si>
    <t>Maui Immersion Workshop</t>
  </si>
  <si>
    <t>We saw wind jellies</t>
  </si>
  <si>
    <r>
      <rPr>
        <color rgb="FF1155CC"/>
        <u/>
      </rPr>
      <t>http://www</t>
    </r>
    <r>
      <rPr/>
      <t>.hawaiitides.com/Waikiki/Month</t>
    </r>
  </si>
  <si>
    <r>
      <rPr>
        <color rgb="FF1155CC"/>
        <u/>
      </rPr>
      <t>http://www</t>
    </r>
    <r>
      <rPr/>
      <t>.prh.noaa.gov/hnl/hydro/daily_</t>
    </r>
  </si>
  <si>
    <r>
      <rPr>
        <color rgb="FF1155CC"/>
        <u/>
      </rPr>
      <t>http://www</t>
    </r>
    <r>
      <rPr/>
      <t>.prh.noaa.gov/hnl/pages/SRF.ph</t>
    </r>
  </si>
  <si>
    <t>http://www.prh.noaa.gov/hnl/pages/SRF.ph</t>
  </si>
  <si>
    <t>could</t>
  </si>
  <si>
    <t>transect 2 MAY have invalid data (a lot of "turf" and "crustose coralline algae"-&gt;they called that "coral").</t>
  </si>
  <si>
    <t>Although it was low tide (-0.5), the water level was still high over the intertidal area which made it difficult for the students to accurately take data. They kept loosing their quadrant to the waves.</t>
  </si>
  <si>
    <t>Kolo, Molokai</t>
  </si>
  <si>
    <t>Molokai Airport</t>
  </si>
  <si>
    <t>Kolo Whart</t>
  </si>
  <si>
    <t>Waikiki</t>
  </si>
  <si>
    <t>Waikiki Zoo</t>
  </si>
  <si>
    <t>Diamond Head Beach</t>
  </si>
  <si>
    <t>partly overcast- mostly due to vog and not rain clouds</t>
  </si>
  <si>
    <t>Transect 2 data are unreliable. Kids were "swimming" in the tide pool and really rushed through it. Transect 7 data are likely more reliable than 2 but they did not get as much support as the other groups.</t>
  </si>
  <si>
    <t>There may have been more rain in other areas of the watershed (for example, a lot of thunder within the last three days).</t>
  </si>
  <si>
    <r>
      <rPr>
        <color rgb="FF1155CC"/>
        <u/>
      </rPr>
      <t>https://tidesandcurrents</t>
    </r>
    <r>
      <rPr/>
      <t>.noaa.gov/tide_p</t>
    </r>
  </si>
  <si>
    <r>
      <rPr>
        <color rgb="FF1155CC"/>
        <u/>
      </rPr>
      <t>http://prh</t>
    </r>
    <r>
      <rPr/>
      <t>.noaa.gov/hnl/pages/obs.p</t>
    </r>
  </si>
  <si>
    <r>
      <rPr>
        <color rgb="FF1155CC"/>
        <u/>
      </rPr>
      <t>https://tidesandcurrents</t>
    </r>
    <r>
      <rPr/>
      <t>.noaa.gov/tide_p</t>
    </r>
  </si>
  <si>
    <r>
      <rPr>
        <color rgb="FF1155CC"/>
        <u/>
      </rPr>
      <t>https://www</t>
    </r>
    <r>
      <rPr/>
      <t>.ndbc.noaa.gov</t>
    </r>
  </si>
  <si>
    <t>Great day. Kids took excellent data. tehy took their time and really hit the mark for quality data collection. They say to say thank you to you for the opportunity to do this awesome trip to the intertidal. They were stunned by what they learned.</t>
  </si>
  <si>
    <t>Bleached Coral; Dead Urchins</t>
  </si>
  <si>
    <t>Honolulu Harbor</t>
  </si>
  <si>
    <t>Aloha Tower</t>
  </si>
  <si>
    <t>Sand Island Beach Park</t>
  </si>
  <si>
    <t>http://www.hawaiitides.com/Waikiki/Month</t>
  </si>
  <si>
    <t>http://www.prh.noaa.gov/hnl/hydro/daily_</t>
  </si>
  <si>
    <t>http://www.ndbc.noaa.gov/</t>
  </si>
  <si>
    <t>Sandt Beacg</t>
  </si>
  <si>
    <t>Maui Followup Workshop. Transect 2 couldn't finish transect--waves too big. (Note--per Anuschka and Caroline, transect Nick on [Transect #1] might have suspicious data)</t>
  </si>
  <si>
    <t>Marin</t>
  </si>
  <si>
    <t>Big Island Followup Workshop</t>
  </si>
  <si>
    <t>Beach clean-up, homeless camp; transect 3 collected first 20m of 40 m long transect</t>
  </si>
  <si>
    <t>Waianae</t>
  </si>
  <si>
    <t>Northwest Waianae</t>
  </si>
  <si>
    <t>Kapaa</t>
  </si>
  <si>
    <t>Kealia</t>
  </si>
  <si>
    <t>Lihue</t>
  </si>
  <si>
    <t>Kauai Followup Workshop</t>
  </si>
  <si>
    <t>Honolulu, Hawaii</t>
  </si>
  <si>
    <t>Honolulu International Airport</t>
  </si>
  <si>
    <t>Honolulu, Hawaii--Leeward Shores-Sout</t>
  </si>
  <si>
    <t>Shell</t>
  </si>
  <si>
    <t>Bleached Algae; Bleached Coral; Dead Urchins</t>
  </si>
  <si>
    <t>phli</t>
  </si>
  <si>
    <t>no on</t>
  </si>
  <si>
    <t>none</t>
  </si>
  <si>
    <t>Hanamaulu Bay</t>
  </si>
  <si>
    <t>LR</t>
  </si>
  <si>
    <t>Lihue Airport</t>
  </si>
  <si>
    <t>Waipouli Beach</t>
  </si>
  <si>
    <t>Weather changed throughout the field trip. Heavy rainfall about an hour and a half into data collection. Shower last about 10 minutes.</t>
  </si>
  <si>
    <t>Dead Urchins</t>
  </si>
  <si>
    <t>Waimanalo</t>
  </si>
  <si>
    <t>South shore</t>
  </si>
  <si>
    <t>Station 51202</t>
  </si>
  <si>
    <t>Not s</t>
  </si>
  <si>
    <t>Transect 2 and 5 may be need a bit more scrutiny. Both of those groups filled out the Transect data well but got a little confused with the quadrats and so while they tried to fix their data upon returning to school it was done after the fact.</t>
  </si>
  <si>
    <t>NOAA</t>
  </si>
  <si>
    <t>zero</t>
  </si>
  <si>
    <t>Changed field trip site from Onekahakaha to Hilo Yacht Club Changed transect line length to 60 m (maximum length) ~ JS 5/31/17. Changed all Cladophora spp to Ulva spp (according to CG, Cladophora on algae voucher should be  Ulva fasciata) ~JS 12/1/17</t>
  </si>
  <si>
    <t>Laie Bay</t>
  </si>
  <si>
    <t>Kahuku</t>
  </si>
  <si>
    <t>Waimea Bay</t>
  </si>
  <si>
    <t>Visual Observation at site</t>
  </si>
  <si>
    <t>http://www.prh.noaa.gov/hnl/pages/obs.ph</t>
  </si>
  <si>
    <t>http://www.prh.noaa.gov/hnl/pages/marine</t>
  </si>
  <si>
    <t>transect line 2 is incomplete. Transect line 4: unknown red 1 (with 2 data points) is centroceras clavulatum (fixed in database on 7/31/17 ~ CG) Transect line 4: unknown red 2 (with 4 data points) is cpyridlaf? Transect line 1, quadrat 5: position entered in database was 50m; changed to 5m on 11/26/17 ~JS</t>
  </si>
  <si>
    <t>Y.B. tide calendar</t>
  </si>
  <si>
    <t>Poipu</t>
  </si>
  <si>
    <t>observation</t>
  </si>
  <si>
    <t>observation using OPIHI Meta data sheet</t>
  </si>
  <si>
    <t>NOAA website</t>
  </si>
  <si>
    <t>algae</t>
  </si>
  <si>
    <t>There was another group from UH who were observing the algae at Ewa Beach</t>
  </si>
  <si>
    <t>Hawaiitides.com</t>
  </si>
  <si>
    <t>prhnoaa.gov</t>
  </si>
  <si>
    <t>ndbc.noaa.gov</t>
  </si>
  <si>
    <t>Vario</t>
  </si>
  <si>
    <t>Kaumalapau Harbor</t>
  </si>
  <si>
    <t>Lanai City</t>
  </si>
  <si>
    <t>Marine Life Conservation District (MLCD)</t>
  </si>
  <si>
    <t>La Crosse Anemometer</t>
  </si>
  <si>
    <t>Asked homeless that lived in the area</t>
  </si>
  <si>
    <t>No close spot</t>
  </si>
  <si>
    <t xml:space="preserve">noaa  </t>
  </si>
  <si>
    <t>noaa website</t>
  </si>
  <si>
    <t>myself</t>
  </si>
  <si>
    <t>It rained a little at the beach, but noaa website said it has only a "trace" amount with no number shown</t>
  </si>
  <si>
    <t xml:space="preserve">Honolulu. </t>
  </si>
  <si>
    <t>Visual estimate (no buoy nearby)</t>
  </si>
  <si>
    <t xml:space="preserve">Honolulu  </t>
  </si>
  <si>
    <t>Teach</t>
  </si>
  <si>
    <t>Hilo Harbour</t>
  </si>
  <si>
    <t>Hilo Airport</t>
  </si>
  <si>
    <t>Hilo airport</t>
  </si>
  <si>
    <t xml:space="preserve">Mililani Middle </t>
  </si>
  <si>
    <t>Lanai</t>
  </si>
  <si>
    <t xml:space="preserve">Lanai  </t>
  </si>
  <si>
    <t>Lanau</t>
  </si>
  <si>
    <t>Napilipili, Kauai</t>
  </si>
  <si>
    <t>Napilipili</t>
  </si>
  <si>
    <t>I am not super confident that Transect #4 was very accurate. The students there were not as focused, and it was the first time doing this, so I'm not confident they knew their IDs. They did have a student that was familiar with the process and ID's with them assisting them (and me).</t>
  </si>
  <si>
    <t>Hilon Airport</t>
  </si>
  <si>
    <t>Honolii</t>
  </si>
  <si>
    <t>Couldn't Find This Information!!</t>
  </si>
  <si>
    <t>don't</t>
  </si>
  <si>
    <t>I am not super confident on Transect #1</t>
  </si>
  <si>
    <t>Bleached Algae, Dead Urchins</t>
  </si>
  <si>
    <t>Maalaea</t>
  </si>
  <si>
    <t>It was FUN!!! :)</t>
  </si>
  <si>
    <t>We found a starfish, sea urchins and sea cucumbers!</t>
  </si>
  <si>
    <t>Haneo'o Fish Pond</t>
  </si>
  <si>
    <t>Hana, Maui</t>
  </si>
  <si>
    <t>Hana</t>
  </si>
  <si>
    <t>Alenuihana Channel</t>
  </si>
  <si>
    <t>Hana Airport</t>
  </si>
  <si>
    <t>The loko is shaped like a bowl and we were on the outer rim on the left side. Some areas have a short intertidal zone because of a sudden drop-off. Because of the location we chose, we were parallel to the waves while being perpendicular to the shore (see pictures). After we had finished we did a little beach cleanup because we noticed a lot of broken plastic and trash.After walking a little ways down there was a much better site for the survey (perpendicular to both the shore and waves) and I would like to include the biology class or have groups do two transect lines each to cover a bit more area.</t>
  </si>
  <si>
    <t>Observed but not captured in transect points: Nerita picea (pipipi), Actinopyga varians, Colpomenia sinusoa (puha), Porites lobata, Zoanthids (colonial anemones), unknown snail (spotting looks like Mitra stictica [mitter] but without toothed edge of whorl but the size of eulimid - see photo), unknown black organism (found on plastic debris not on transect point--see photo).</t>
  </si>
  <si>
    <t>Port Allen</t>
  </si>
  <si>
    <t>Hanapepe Bay</t>
  </si>
  <si>
    <t>transect line 6 didn't complete survey. Reassigned Coral Sp. to Unknown on 7/31/2017 ~CG, JS, FLV</t>
  </si>
  <si>
    <t>Ewa</t>
  </si>
  <si>
    <t>ewa</t>
  </si>
  <si>
    <t>Station 51200</t>
  </si>
  <si>
    <t>*lots of foot traffic in the area-because their is a footpath above the area surveyed. *We had a couple of data collection problems and I had to make adjustments to the field trip information page to get the data input. So here are the adjustments: *the students collected information from 11 transects (we called them T0 to T10- but we adjusted this to T1 to T11), *the distance between the transect lines was 3 meters (so we had transects at 0 meters(m), 3 m, 6 m, 9 m, 12 m, 15 m, 18 m, 21 m, 24 m, 27 m, 30 m), *the distance between points for the transect point intercept was every two meters, we had one group who collected data from the transect 1 &amp; 2-not collect transect intercept data), *the distance between points for the quadrat point intercept was every five meters (so each transect had 5 quadrats), but we had  one group-who did transects 1 &amp;2-they collected quadrat data every 3 meters). ** NOTE: changed distance between transect pointsfrom 1.5 m to 3 m (Received error message when tried to select 5 m) ~JS 2/11/18</t>
  </si>
  <si>
    <t>N/A</t>
  </si>
  <si>
    <t>NOAA (0.5-3.6 kts)</t>
  </si>
  <si>
    <t>We had some miscommunication on number of quadrats per transect. #1 placed every 1m and then every 2m about halfway through. #2 placed every 5m. #3 &amp; #4 placed every 2m.</t>
  </si>
  <si>
    <t>hilo</t>
  </si>
  <si>
    <t xml:space="preserve">Visual estimate  </t>
  </si>
  <si>
    <t>N/A (Beaufort scale)</t>
  </si>
  <si>
    <t>This was an OPIHI workshop for continuing teachers. Data entered by JP (as ran out of time during workshop).  There is a glitch in the transect save. On transect 2, transect points 13 and 14 should be "rock." But, even if I change them to rock, and save the sheet it changes it to acanthophora. So, the two acanthophora points are incorrect.</t>
  </si>
  <si>
    <t>Palolo Fire Station</t>
  </si>
  <si>
    <t>Visual estimate</t>
  </si>
  <si>
    <t>Data entered by JP as ran out of time at workshop</t>
  </si>
  <si>
    <t>OPIHI Teacher Workshop</t>
  </si>
  <si>
    <t>South Shore Forecast NOAA</t>
  </si>
  <si>
    <t>Transect 4 and 10 were done incorrectly. The Kupu intern was not trained properly and did not allow her students to collect data the way they were trained (per students from her group). So, she had them do a quadrat at each .5m mark, identify the species seen, but not tally how many were seen. I should have checked on them. Sorry. So I had them only enter transect data, not quadrat data. I would say the best data come from transects 3,5,8,9 since my coteacher and I were with the groups the entire times. The other groups had less involved adults and/or ones that overrode what the students were trained to do and the students were too shy to speak up. I apologize, I should have monitored all of them better.   (Jo comment-Transect 6 has suspiciously low diversity) (Becca comment re Jo- For all of Transect 1: the numbers on the sheet do not match the entered data [dendropoma entered but not on sheet for 3m, padina entered but not o sheet for 5m, neomeris and padina entered but not on sheet for 9m], disregard all data form Transect 6, Transect 7 had 30 data points for both 1m and 3m, {Transect 9 has actinopyga listed when it should be dendropoma at 1m, missing 8 pts of turf at 3m, and listed as 20 pts sand with no other data at 9m. M9 has been corrected})</t>
  </si>
  <si>
    <t>Kaunakakai, HI</t>
  </si>
  <si>
    <t>Visual estimate (Beaufort scale)</t>
  </si>
  <si>
    <t>JP entered data as ran out of time in workshop. The two shorter transects have less species--the participants seemed more competent but we should have checked in on them more.</t>
  </si>
  <si>
    <t>OPIHI Teacher Workshop Field Trip. Transect #3 was twice as long with 14 quadrats, other 2 transects where shorter and only had 7 quadrats. The "0" point is towards the land, but on land as we surveyed the inner edge of the large tidepool (so, the reel was on land but towards the ocean)</t>
  </si>
  <si>
    <t>None</t>
  </si>
  <si>
    <t>Kihei, Maui</t>
  </si>
  <si>
    <t>touri</t>
  </si>
  <si>
    <t>(Jo comment on data -- Transects look good, but would not use quadrat data).</t>
  </si>
  <si>
    <t>Bishop Point, Pearl Harbor</t>
  </si>
  <si>
    <t>Kalaeloa Airport</t>
  </si>
  <si>
    <t>Pearl Harbor Entrance</t>
  </si>
  <si>
    <t>People who visited the beach were there to exercise either by running or walking along the beach</t>
  </si>
  <si>
    <t>Pahala, HI</t>
  </si>
  <si>
    <t>Punalu'u</t>
  </si>
  <si>
    <t>Phoenix-issues with data collection</t>
  </si>
  <si>
    <t>The student who recorded this metadata did not write down much</t>
  </si>
  <si>
    <t>Two people were seen walking/running on the beach. One person was there to fish by casting a net. He didn't cast his net while we were there, but he was watching the ocean.</t>
  </si>
  <si>
    <t>Honolulu Airport</t>
  </si>
  <si>
    <t>Honolulu, HI</t>
  </si>
  <si>
    <t>The tide was higher than we expected</t>
  </si>
  <si>
    <t>Kailua Kona</t>
  </si>
  <si>
    <t>Kona Airport</t>
  </si>
  <si>
    <t>Kolo Wharf</t>
  </si>
  <si>
    <t>Rainy season brought the most runoff we've seen in years. Intertidal covered in red dirt sediment.</t>
  </si>
  <si>
    <t>Maalaea Harbor</t>
  </si>
  <si>
    <t>Kahului Harbor</t>
  </si>
  <si>
    <t>(Becca-Would not use transect data from transect 4)</t>
  </si>
  <si>
    <t>Manele Bay</t>
  </si>
  <si>
    <t>Mokapu Point</t>
  </si>
  <si>
    <t>Wana</t>
  </si>
  <si>
    <t>Kamehameha schools had an elementary field trip, so there were about 100 visitors for the first hour.</t>
  </si>
  <si>
    <t>NOAA, Honolulu</t>
  </si>
  <si>
    <t>(Becca-transects and quadrats start either at 0 or 2 m, it changes between transects, also both field trips have different parameters for transect points)</t>
  </si>
  <si>
    <t>(Becca-Would not use any data (transect or quadrats) from Transect 5)</t>
  </si>
  <si>
    <t xml:space="preserve">Kaumalapau  </t>
  </si>
  <si>
    <t>Kaumalapau</t>
  </si>
  <si>
    <t>n/a</t>
  </si>
  <si>
    <t>Sand,</t>
  </si>
  <si>
    <t>(Becca- Would not use transect 3 and 6 as is on site, they cannot be corrected for some reason)</t>
  </si>
  <si>
    <t>(Becca- transects 4,5 not entered correctly, cannot change it either for some earson [same problem as other field trip])</t>
  </si>
  <si>
    <t>(Becca- overall, would not use field trip. The only useable data seems to be from the transect line of 5 6 6, but overall all 3 looks okay. Wouldn't use anything else.)</t>
  </si>
  <si>
    <t>Hanama'ulu</t>
  </si>
  <si>
    <t>NNWH1</t>
  </si>
  <si>
    <t>I laid out our transects with 1 on the right instead of on the left, so when you look at my data sheets, you'll see where we renumbered them in red pen for correct data entry.  (Becca- Wouldn't use quadrats 6 or 8 from transect two, would not use transect data from transect 7, would not use anything from transect 8, quadrats 7 and 8 on transect3 are both 25/25 lyngbya which matches the data sheet but is this likely?)</t>
  </si>
  <si>
    <t>Transect Line #3 needed to be repositioned in the middle of transect point-intersect count.    Becca-(Wouldn't use transects data, or data from transect 7)</t>
  </si>
  <si>
    <t>Niu Valley</t>
  </si>
  <si>
    <t>waikiki</t>
  </si>
  <si>
    <t>bait</t>
  </si>
  <si>
    <t>hilo bay</t>
  </si>
  <si>
    <t>1 to 3</t>
  </si>
  <si>
    <t>https://tidesandcurrents.noaa.gov/tide_p</t>
  </si>
  <si>
    <t>https://www.ndbc.noaa.gov/</t>
  </si>
  <si>
    <t>https://www.ndbc.noaa.gov/station_page.p</t>
  </si>
  <si>
    <t>Horse trail rides occurring and leaving scat on the beach. Public Bacterial warning sign posted next to where the stream enters the ocean. Stream enters the ocean 86.5 meters SW from our survey site.</t>
  </si>
  <si>
    <t>maalaea</t>
  </si>
  <si>
    <t>(Becca-Would not use transect 4 transect data)</t>
  </si>
  <si>
    <t>Crabs were present, sea urchins were present. Little sand was present. The site overall was filled with dead coral and very little life.</t>
  </si>
  <si>
    <t>Species Count</t>
  </si>
  <si>
    <t>Simpson's Diversity</t>
  </si>
  <si>
    <t>Hanauma</t>
  </si>
  <si>
    <t>(Becca-Emily Bayne is Emily Willis, Transect 6: Quadrat 2 has more than 25 pts and Qua. 4 has three points of "fish," Do not use any Transect 4 data, Do not use any Transect 1 data)</t>
  </si>
  <si>
    <t>personal</t>
  </si>
  <si>
    <t>crazy weather conditions, high surf and high winds, low temperature, small group, therefore limited data; full day... (OPIHI immersion workshop day 1); due to storm and logisitics limited internet, therefore could not look up pages.</t>
  </si>
  <si>
    <t>crazy weather conditions, not ideal field work</t>
  </si>
  <si>
    <t>honolulu</t>
  </si>
  <si>
    <t>Rainy day. Had to work quickly for safety. please double check our data.</t>
  </si>
  <si>
    <t>Seal was sunbathing at the entry to location. abundant sea hares, sea urchins, shrimp, sea cucumbers, hydroids, sponge!</t>
  </si>
  <si>
    <t>0 ft</t>
  </si>
  <si>
    <t>This site is at the last Oahu Fishing Village. This data was collected in hopes of maintaining this site to allow future generations to continue their cultural fishing practices including restoration of it's fishponds. Continued dredging and development of this site would further damage this large coral reef/intertidal bench.</t>
  </si>
  <si>
    <t>this is a fake entry for teaching purposes</t>
  </si>
  <si>
    <t>PD class</t>
  </si>
  <si>
    <t>crab</t>
  </si>
  <si>
    <t>Kekaha Barking Sands</t>
  </si>
  <si>
    <t>Did not use Transect 6 data. I am including the data sheet, but not entering it as it is not anywhere near accurate</t>
  </si>
  <si>
    <t>Corrected misidentified species according to voucher specimens. (ZJD)</t>
  </si>
  <si>
    <t>Kaunakakai Harbor</t>
  </si>
  <si>
    <t>Kaunakakai, Molokai Airport</t>
  </si>
  <si>
    <t>Station 51205</t>
  </si>
  <si>
    <t>Mapulehu OPIHI site</t>
  </si>
  <si>
    <t>Pearl Harbor, Barber Point</t>
  </si>
  <si>
    <t>Kalaeloa</t>
  </si>
  <si>
    <t>Data entered incorrectly. All edits were made in the database corresponding to original datasheets except for point transect data. (ZJD)</t>
  </si>
  <si>
    <t>waimanalo</t>
  </si>
  <si>
    <t>Makapu'u</t>
  </si>
  <si>
    <t>Centered in the pool area, groups 6 and 7 were mostly sand, so they might have pretty minimal data</t>
  </si>
  <si>
    <t>Water Quality: 8.5ppm DO, 80 degrees F, 37 PPT Salinity, 0-5 turbidity. Low species richness is true to this site, I attended this field trip. (ZJD)</t>
  </si>
  <si>
    <t>Shifted slightly towards Waimanalo, so that transect lines covered more of the rocky area, versus 4/1/19 location. Transect 6: group did not specify the species of algae, just tallied each specimen as "algae".</t>
  </si>
  <si>
    <t>Water Quality: 4.5 ppm DO, 80 degrees F, 35 PPT Salinity, 0-5 turbidity. Excluded transects 2 &amp; 6 due to quality of data. (ZJD)</t>
  </si>
  <si>
    <t xml:space="preserve">Group 4 data may be unreliable, they had a challenging time in the field and had to collect their point intercept data twice. Group 5 quadrat data did not add up to 25, data was unreliable. </t>
  </si>
  <si>
    <t>Water Quality: 3 ppm DO, 27 degrees C, 38 PPT Salinity, 0-5 turbidity. Checked/edited data for groups 4 &amp;5 against datasheets. (ZJD)</t>
  </si>
  <si>
    <t>There were a lot of families at the beach today, and everyone was SO interested in our field trips. We had several families with small children join in our field trip and help students look for different organisms. It was a great day, my students were thrilled to get to share their knowledge with the community. Can't thank you all enough for such a wonderful experience!</t>
  </si>
  <si>
    <t>Water Quality: 6ppm DO, 80 degrees F, 35 PPT Salinity, 0-5 turbidity. Thanks!</t>
  </si>
  <si>
    <t>Regarding rain events in prior 3 days, closest reference location is 10+ miles away at Kona Airport. There may have been more rainfall at this site. Regarding number of visitors at the site, I'm not sure how to define the site. Specifically where we collecting data, there were 1-2 people. At the beach behind the site and in the water nearby snorkeling, there were more than 50 people.</t>
  </si>
  <si>
    <t>HILO</t>
  </si>
  <si>
    <t>Fish</t>
  </si>
  <si>
    <t>Very Calm, Super beautiful Transect #2 went backwards.</t>
  </si>
  <si>
    <t>Estimated by observation; see comments</t>
  </si>
  <si>
    <t>METADATA: I forgot to collect the wave height and wind speed metadata and now I can't find data from April 8. Also it seems Nawiliwili was the closest reference location, which is not that close to Salt Pond, but maybe I'm not looking in the correct place. TRANSECTS/QUADRATS DATA:</t>
  </si>
  <si>
    <t>Mokapu pt</t>
  </si>
  <si>
    <t>Transcent 2, Point-Intercept 35m, Unknown sample is Chiton. Transcent 4 (All girl group), Point-intercept 10m label Dasya, mention Jessica help ID it, but there is no sample for algae press</t>
  </si>
  <si>
    <t>Pearl City</t>
  </si>
  <si>
    <t>Kunia</t>
  </si>
  <si>
    <t>Lots of trash and broken glass spotted on shore.</t>
  </si>
  <si>
    <t>HOno</t>
  </si>
  <si>
    <t>There was a lot more algae in the survey area than was actually collected on the data sheets. Most collected on the data sheets was turn algae. I included additional algae on voucher because I thought groups misidentified turf algae; after speaking with groups they explained they colelcted the extra algae near their survey area, but only recorded what their pointer touched during identification. Note: Transect Line 1 quadrat 3 is missing 5 data points.</t>
  </si>
  <si>
    <t xml:space="preserve">Kailua. </t>
  </si>
  <si>
    <t xml:space="preserve">Kailua </t>
  </si>
  <si>
    <t>Kailua Beach</t>
  </si>
  <si>
    <t>Kailua</t>
  </si>
  <si>
    <t>Data entered incorrectly. Adjustments made (ZJD)</t>
  </si>
  <si>
    <t>Tide Times Honolulu</t>
  </si>
  <si>
    <t>Entered all data. ZJD</t>
  </si>
  <si>
    <t>Rubbi</t>
  </si>
  <si>
    <t>Transect and Quadrat readings were only done for the first 10 m, primarily in the lower intertidal, upper intertidal area was left largely unsurveyed.</t>
  </si>
  <si>
    <t>hanamaulu</t>
  </si>
  <si>
    <t>Transect 3 - accidently opened an extra quadrat, but no data entered b/c they did not do the last placement Transect 4 - quatrats 1 &amp;2 don't add up to 25 ... that's all the tally marks they had   Transect 5 has no transect point intercept data</t>
  </si>
  <si>
    <t>Entered data for Transects 1 &amp;2. (ZJD)</t>
  </si>
  <si>
    <t>NA</t>
  </si>
  <si>
    <t>Travis Rose joined us Individual on drugs throwing rocks and potentially dangerous</t>
  </si>
  <si>
    <t>Maalaea Bay, Maui</t>
  </si>
  <si>
    <t xml:space="preserve">1st time conducting observation. Data is erratic. Not sure if data is usable. Students did well during mock data collection but needed more help in the field even though we had a lot of volunteers. </t>
  </si>
  <si>
    <t>1st time conducting observation in this location with 4th/5th graders. Changed Unknown green to Pterocladiella caerulescens after checking voucher. (ZJD).</t>
  </si>
  <si>
    <t>Waiane</t>
  </si>
  <si>
    <t>Could not select more than one organism: Acanthophora spicifera, articulated coralines, Dendropoma gregaria, Dictyota spp, Hypnea spp, Laurencia spp,</t>
  </si>
  <si>
    <t>Bleached Algae; Dead Fish</t>
  </si>
  <si>
    <t>Maha'ulepu</t>
  </si>
  <si>
    <t>Hanapepe</t>
  </si>
  <si>
    <t>Not c</t>
  </si>
  <si>
    <t>Sampling errors and incomplete data, so don't recommend counting this data! This is more for practice.</t>
  </si>
  <si>
    <t>Not using data per comment above by Sayles. (ZJD)</t>
  </si>
  <si>
    <t>Entered all data according to datasheets (ZJD)</t>
  </si>
  <si>
    <t>While the tide was low the surf was a little big on the day and so i did not allow the students to go all the way to the 0 m mark. Instead I had the students extend their transect line a little closer to shore and take an additional measurement inland.</t>
  </si>
  <si>
    <t>First run, not fully confident w/ data. Data entered by ZJD</t>
  </si>
  <si>
    <t xml:space="preserve">Pearl Harbor. </t>
  </si>
  <si>
    <t xml:space="preserve">Ewa  </t>
  </si>
  <si>
    <t>limu</t>
  </si>
  <si>
    <t>Kihei, Maalaea Bay, Maui</t>
  </si>
  <si>
    <t>Kihei #2</t>
  </si>
  <si>
    <t>Shifted data collection location toward the south end of the location. The wind speed and wave height were based on visual observations at the site.</t>
  </si>
  <si>
    <t>Kolo, HI</t>
  </si>
  <si>
    <t>Kapukahehu, Kaluakoi</t>
  </si>
  <si>
    <t>Bleached Algae; Bleached Coral</t>
  </si>
  <si>
    <t>Emilio Macalalad Field Trip- Molokai High School</t>
  </si>
  <si>
    <t>Entered by ZJD</t>
  </si>
  <si>
    <t>Dead Fish</t>
  </si>
  <si>
    <t>The dead fish were found on the shore in a fish hole.</t>
  </si>
  <si>
    <t>Kaneohe, Marine Corps Air Station</t>
  </si>
  <si>
    <t>Mokapu Point, HI (098)</t>
  </si>
  <si>
    <t>Rainfall reference location (e.g. Honolulu), Wave height reference location (e.g. Honolulu):, and Wind speed reference location (e.g. Honolulu):: is invalid--All NOAA links for these fields do not work so could not determine closest correct location to Baby Makapuu.  Rainfall amount is a guess-- it also rained heavily on us twice during the field trip.</t>
  </si>
  <si>
    <t>SUM STudents</t>
  </si>
  <si>
    <t>Count of field trips:</t>
  </si>
  <si>
    <t>Avg. students/trip</t>
  </si>
  <si>
    <t>Field trips w/o student data</t>
  </si>
  <si>
    <t>Grand total (possible)</t>
  </si>
  <si>
    <t>species count</t>
  </si>
  <si>
    <t>quadrats sampled</t>
  </si>
  <si>
    <t>species/quadrat</t>
  </si>
  <si>
    <t>Count (# non-zero)</t>
  </si>
  <si>
    <t>Total #</t>
  </si>
  <si>
    <t>3; low species riches (&lt;3 species)</t>
  </si>
  <si>
    <t>T2,T6;T2--&gt;only transect with lyngbya present (weird), T6--&gt;not included</t>
  </si>
  <si>
    <t>Avg</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</si>
</sst>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numFmt numFmtId="165" formatCode="m/d/yy"/>
    <numFmt numFmtId="166" formatCode="H:MM:SS"/>
    <numFmt numFmtId="167" formatCode="m-d"/>
    <numFmt numFmtId="168" formatCode="#,##0.000"/>
  </numFmts>
  <fonts count="15">
    <font>
      <sz val="10.0"/>
      <color rgb="FF000000"/>
      <name val="Arial"/>
      <scheme val="minor"/>
    </font>
    <font>
      <b/>
      <color theme="1"/>
      <name val="Arial"/>
      <scheme val="minor"/>
    </font>
    <font>
      <b/>
      <sz val="12.0"/>
      <color rgb="FF000000"/>
      <name val="Calibri"/>
    </font>
    <font>
      <color theme="1"/>
      <name val="Arial"/>
      <scheme val="minor"/>
    </font>
    <font>
      <sz val="12.0"/>
      <color rgb="FF000000"/>
      <name val="Calibri"/>
    </font>
    <font>
      <u/>
      <sz val="10.0"/>
      <color rgb="FF0000FF"/>
      <name val="Calibri"/>
    </font>
    <font>
      <u/>
      <color rgb="FF0000FF"/>
      <name val="Roboto"/>
    </font>
    <font>
      <color theme="1"/>
      <name val="Arial"/>
    </font>
    <font>
      <sz val="12.0"/>
      <color theme="1"/>
      <name val="Calibri"/>
    </font>
    <font>
      <b/>
      <color theme="1"/>
      <name val="Arial"/>
    </font>
    <font>
      <u/>
      <color rgb="FF0000FF"/>
    </font>
    <font>
      <u/>
      <color rgb="FF1155CC"/>
    </font>
    <font>
      <u/>
      <color rgb="FF1155CC"/>
      <name val="Arial"/>
      <scheme val="minor"/>
    </font>
    <font>
      <u/>
      <color rgb="FF0000FF"/>
    </font>
    <font>
      <color rgb="FF000000"/>
      <name val="Arial"/>
    </font>
  </fonts>
  <fills count="6">
    <fill>
      <patternFill patternType="none"/>
    </fill>
    <fill>
      <patternFill patternType="lightGray"/>
    </fill>
    <fill>
      <patternFill patternType="solid">
        <fgColor rgb="FFFF0000"/>
        <bgColor rgb="FFFF0000"/>
      </patternFill>
    </fill>
    <fill>
      <patternFill patternType="solid">
        <fgColor rgb="FFFF9900"/>
        <bgColor rgb="FFFF9900"/>
      </patternFill>
    </fill>
    <fill>
      <patternFill patternType="solid">
        <fgColor rgb="FF00FF00"/>
        <bgColor rgb="FF00FF00"/>
      </patternFill>
    </fill>
    <fill>
      <patternFill patternType="solid">
        <fgColor rgb="FFFFFF00"/>
        <bgColor rgb="FFFFFF00"/>
      </patternFill>
    </fill>
  </fills>
  <borders count="4">
    <border/>
    <border>
      <left style="thick">
        <color rgb="FF000000"/>
      </left>
    </border>
    <border>
      <left style="thin">
        <color rgb="FF000000"/>
      </left>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13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2" numFmtId="0" xfId="0" applyAlignment="1" applyFont="1">
      <alignment shrinkToFit="0" vertical="bottom" wrapText="0"/>
    </xf>
    <xf borderId="0" fillId="0" fontId="3" numFmtId="0" xfId="0" applyAlignment="1" applyFont="1">
      <alignment readingOrder="0"/>
    </xf>
    <xf borderId="0" fillId="0" fontId="4" numFmtId="0" xfId="0" applyAlignment="1" applyFont="1">
      <alignment readingOrder="0" shrinkToFit="0" vertical="bottom" wrapText="0"/>
    </xf>
    <xf borderId="0" fillId="0" fontId="2" numFmtId="0" xfId="0" applyAlignment="1" applyFont="1">
      <alignment readingOrder="0" shrinkToFit="0" vertical="bottom" wrapText="0"/>
    </xf>
    <xf borderId="0" fillId="0" fontId="4" numFmtId="0" xfId="0" applyAlignment="1" applyFont="1">
      <alignment shrinkToFit="0" vertical="bottom" wrapText="0"/>
    </xf>
    <xf borderId="0" fillId="0" fontId="4" numFmtId="0" xfId="0" applyAlignment="1" applyFont="1">
      <alignment readingOrder="0" vertical="bottom"/>
    </xf>
    <xf borderId="0" fillId="0" fontId="5" numFmtId="0" xfId="0" applyAlignment="1" applyFont="1">
      <alignment readingOrder="0" vertical="bottom"/>
    </xf>
    <xf borderId="0" fillId="0" fontId="2" numFmtId="0" xfId="0" applyAlignment="1" applyFont="1">
      <alignment readingOrder="0" vertical="bottom"/>
    </xf>
    <xf borderId="0" fillId="0" fontId="6" numFmtId="0" xfId="0" applyAlignment="1" applyFont="1">
      <alignment readingOrder="0"/>
    </xf>
    <xf borderId="0" fillId="0" fontId="4" numFmtId="0" xfId="0" applyAlignment="1" applyFont="1">
      <alignment vertical="bottom"/>
    </xf>
    <xf borderId="0" fillId="0" fontId="7" numFmtId="0" xfId="0" applyAlignment="1" applyFont="1">
      <alignment shrinkToFit="0" vertical="bottom" wrapText="0"/>
    </xf>
    <xf borderId="0" fillId="0" fontId="4"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readingOrder="0"/>
    </xf>
    <xf borderId="0" fillId="0" fontId="1" numFmtId="0" xfId="0" applyFont="1"/>
    <xf borderId="1" fillId="0" fontId="3" numFmtId="0" xfId="0" applyAlignment="1" applyBorder="1" applyFont="1">
      <alignment readingOrder="0"/>
    </xf>
    <xf borderId="1" fillId="0" fontId="7" numFmtId="0" xfId="0" applyAlignment="1" applyBorder="1" applyFont="1">
      <alignment shrinkToFit="0" vertical="bottom" wrapText="0"/>
    </xf>
    <xf borderId="1" fillId="0" fontId="1" numFmtId="0" xfId="0" applyAlignment="1" applyBorder="1" applyFont="1">
      <alignment readingOrder="0"/>
    </xf>
    <xf borderId="2" fillId="0" fontId="2" numFmtId="0" xfId="0" applyAlignment="1" applyBorder="1" applyFont="1">
      <alignment shrinkToFit="0" vertical="bottom" wrapText="0"/>
    </xf>
    <xf borderId="2" fillId="0" fontId="4" numFmtId="0" xfId="0" applyAlignment="1" applyBorder="1" applyFont="1">
      <alignment shrinkToFit="0" vertical="bottom" wrapText="0"/>
    </xf>
    <xf borderId="0" fillId="0" fontId="3" numFmtId="164" xfId="0" applyAlignment="1" applyFont="1" applyNumberFormat="1">
      <alignment readingOrder="0"/>
    </xf>
    <xf borderId="0" fillId="0" fontId="3" numFmtId="21" xfId="0" applyAlignment="1" applyFont="1" applyNumberFormat="1">
      <alignment readingOrder="0"/>
    </xf>
    <xf borderId="0" fillId="0" fontId="3" numFmtId="0" xfId="0" applyFont="1"/>
    <xf borderId="3" fillId="0" fontId="3" numFmtId="0" xfId="0" applyBorder="1" applyFont="1"/>
    <xf borderId="3" fillId="0" fontId="3" numFmtId="0" xfId="0" applyAlignment="1" applyBorder="1" applyFont="1">
      <alignment readingOrder="0"/>
    </xf>
    <xf borderId="0" fillId="0" fontId="3" numFmtId="3" xfId="0" applyAlignment="1" applyFont="1" applyNumberFormat="1">
      <alignment readingOrder="0"/>
    </xf>
    <xf borderId="3" fillId="0" fontId="3" numFmtId="164" xfId="0" applyAlignment="1" applyBorder="1" applyFont="1" applyNumberFormat="1">
      <alignment readingOrder="0"/>
    </xf>
    <xf borderId="3" fillId="0" fontId="3" numFmtId="21" xfId="0" applyAlignment="1" applyBorder="1" applyFont="1" applyNumberFormat="1">
      <alignment readingOrder="0"/>
    </xf>
    <xf borderId="0" fillId="2" fontId="3" numFmtId="164" xfId="0" applyAlignment="1" applyFill="1" applyFont="1" applyNumberFormat="1">
      <alignment readingOrder="0"/>
    </xf>
    <xf borderId="0" fillId="2" fontId="3" numFmtId="0" xfId="0" applyAlignment="1" applyFill="1" applyFont="1">
      <alignment readingOrder="0"/>
    </xf>
    <xf borderId="0" fillId="2" fontId="3" numFmtId="21" xfId="0" applyAlignment="1" applyFill="1" applyFont="1" applyNumberFormat="1">
      <alignment readingOrder="0"/>
    </xf>
    <xf borderId="0" fillId="2" fontId="3" numFmtId="0" xfId="0" applyFill="1" applyFont="1"/>
    <xf borderId="0" fillId="0" fontId="8" numFmtId="0" xfId="0" applyAlignment="1" applyFont="1">
      <alignment vertical="bottom"/>
    </xf>
    <xf borderId="0" fillId="0" fontId="7" numFmtId="0" xfId="0" applyAlignment="1" applyFont="1">
      <alignment horizontal="right" vertical="bottom"/>
    </xf>
    <xf borderId="0" fillId="3" fontId="3" numFmtId="164" xfId="0" applyAlignment="1" applyFill="1" applyFont="1" applyNumberFormat="1">
      <alignment readingOrder="0"/>
    </xf>
    <xf borderId="0" fillId="3" fontId="3" numFmtId="0" xfId="0" applyAlignment="1" applyFill="1" applyFont="1">
      <alignment readingOrder="0"/>
    </xf>
    <xf borderId="0" fillId="3" fontId="3" numFmtId="21" xfId="0" applyAlignment="1" applyFill="1" applyFont="1" applyNumberFormat="1">
      <alignment readingOrder="0"/>
    </xf>
    <xf borderId="0" fillId="3" fontId="3" numFmtId="0" xfId="0" applyFill="1" applyFont="1"/>
    <xf borderId="0" fillId="4" fontId="3" numFmtId="164" xfId="0" applyAlignment="1" applyFill="1" applyFont="1" applyNumberFormat="1">
      <alignment readingOrder="0"/>
    </xf>
    <xf borderId="0" fillId="4" fontId="3" numFmtId="0" xfId="0" applyAlignment="1" applyFill="1" applyFont="1">
      <alignment readingOrder="0"/>
    </xf>
    <xf borderId="0" fillId="4" fontId="3" numFmtId="21" xfId="0" applyAlignment="1" applyFill="1" applyFont="1" applyNumberFormat="1">
      <alignment readingOrder="0"/>
    </xf>
    <xf borderId="0" fillId="4" fontId="3" numFmtId="0" xfId="0" applyFill="1" applyFont="1"/>
    <xf borderId="0" fillId="0" fontId="4" numFmtId="0" xfId="0" applyAlignment="1" applyFont="1">
      <alignment horizontal="right" vertical="bottom"/>
    </xf>
    <xf borderId="0" fillId="2" fontId="8" numFmtId="0" xfId="0" applyAlignment="1" applyFill="1" applyFont="1">
      <alignment vertical="bottom"/>
    </xf>
    <xf borderId="3" fillId="0" fontId="8" numFmtId="0" xfId="0" applyAlignment="1" applyBorder="1" applyFont="1">
      <alignment vertical="bottom"/>
    </xf>
    <xf borderId="0" fillId="0" fontId="4" numFmtId="164" xfId="0" applyAlignment="1" applyFont="1" applyNumberFormat="1">
      <alignment readingOrder="0" vertical="bottom"/>
    </xf>
    <xf borderId="0" fillId="0" fontId="8" numFmtId="0" xfId="0" applyAlignment="1" applyFont="1">
      <alignment readingOrder="0" vertical="bottom"/>
    </xf>
    <xf borderId="0" fillId="0" fontId="4" numFmtId="21" xfId="0" applyAlignment="1" applyFont="1" applyNumberFormat="1">
      <alignment readingOrder="0" vertical="bottom"/>
    </xf>
    <xf borderId="0" fillId="0" fontId="4" numFmtId="165" xfId="0" applyAlignment="1" applyFont="1" applyNumberFormat="1">
      <alignment readingOrder="0" vertical="bottom"/>
    </xf>
    <xf borderId="0" fillId="0" fontId="4" numFmtId="21" xfId="0" applyAlignment="1" applyFont="1" applyNumberFormat="1">
      <alignment readingOrder="0" shrinkToFit="0" vertical="bottom" wrapText="0"/>
    </xf>
    <xf borderId="0" fillId="0" fontId="8" numFmtId="21" xfId="0" applyAlignment="1" applyFont="1" applyNumberFormat="1">
      <alignment readingOrder="0" vertical="bottom"/>
    </xf>
    <xf borderId="0" fillId="0" fontId="4" numFmtId="166" xfId="0" applyAlignment="1" applyFont="1" applyNumberFormat="1">
      <alignment shrinkToFit="0" vertical="bottom" wrapText="0"/>
    </xf>
    <xf borderId="0" fillId="0" fontId="4" numFmtId="14" xfId="0" applyAlignment="1" applyFont="1" applyNumberFormat="1">
      <alignment readingOrder="0" shrinkToFit="0" vertical="bottom" wrapText="0"/>
    </xf>
    <xf borderId="0" fillId="0" fontId="4" numFmtId="14" xfId="0" applyAlignment="1" applyFont="1" applyNumberFormat="1">
      <alignment shrinkToFit="0" vertical="bottom" wrapText="0"/>
    </xf>
    <xf borderId="0" fillId="0" fontId="4" numFmtId="166" xfId="0" applyAlignment="1" applyFont="1" applyNumberFormat="1">
      <alignment readingOrder="0" shrinkToFit="0" vertical="bottom" wrapText="0"/>
    </xf>
    <xf borderId="0" fillId="0" fontId="4" numFmtId="14" xfId="0" applyAlignment="1" applyFont="1" applyNumberFormat="1">
      <alignment horizontal="right" vertical="bottom"/>
    </xf>
    <xf borderId="0" fillId="0" fontId="4" numFmtId="166" xfId="0" applyAlignment="1" applyFont="1" applyNumberFormat="1">
      <alignment horizontal="right" vertical="bottom"/>
    </xf>
    <xf borderId="0" fillId="4" fontId="8" numFmtId="0" xfId="0" applyAlignment="1" applyFill="1" applyFont="1">
      <alignment readingOrder="0" vertical="bottom"/>
    </xf>
    <xf borderId="0" fillId="4" fontId="8" numFmtId="21" xfId="0" applyAlignment="1" applyFill="1" applyFont="1" applyNumberFormat="1">
      <alignment readingOrder="0" vertical="bottom"/>
    </xf>
    <xf borderId="0" fillId="4" fontId="8" numFmtId="0" xfId="0" applyAlignment="1" applyFill="1" applyFont="1">
      <alignment vertical="bottom"/>
    </xf>
    <xf borderId="0" fillId="3" fontId="8" numFmtId="0" xfId="0" applyAlignment="1" applyFill="1" applyFont="1">
      <alignment readingOrder="0" vertical="bottom"/>
    </xf>
    <xf borderId="0" fillId="3" fontId="8" numFmtId="21" xfId="0" applyAlignment="1" applyFill="1" applyFont="1" applyNumberFormat="1">
      <alignment readingOrder="0" vertical="bottom"/>
    </xf>
    <xf borderId="0" fillId="3" fontId="8" numFmtId="0" xfId="0" applyAlignment="1" applyFill="1" applyFont="1">
      <alignment vertical="bottom"/>
    </xf>
    <xf borderId="0" fillId="0" fontId="9" numFmtId="0" xfId="0" applyAlignment="1" applyFont="1">
      <alignment readingOrder="0" vertical="bottom"/>
    </xf>
    <xf borderId="0" fillId="0" fontId="9" numFmtId="0" xfId="0" applyAlignment="1" applyFont="1">
      <alignment vertical="bottom"/>
    </xf>
    <xf borderId="0" fillId="0" fontId="9" numFmtId="21" xfId="0" applyAlignment="1" applyFont="1" applyNumberFormat="1">
      <alignment vertical="bottom"/>
    </xf>
    <xf borderId="0" fillId="0" fontId="9" numFmtId="0" xfId="0" applyAlignment="1" applyFont="1">
      <alignment vertical="bottom"/>
    </xf>
    <xf borderId="0" fillId="0" fontId="9" numFmtId="4" xfId="0" applyAlignment="1" applyFont="1" applyNumberFormat="1">
      <alignment vertical="bottom"/>
    </xf>
    <xf borderId="0" fillId="0" fontId="9" numFmtId="20" xfId="0" applyAlignment="1" applyFont="1" applyNumberFormat="1">
      <alignment vertical="bottom"/>
    </xf>
    <xf borderId="0" fillId="0" fontId="9" numFmtId="4" xfId="0" applyAlignment="1" applyFont="1" applyNumberFormat="1">
      <alignment shrinkToFit="0" vertical="bottom" wrapText="0"/>
    </xf>
    <xf borderId="0" fillId="0" fontId="7" numFmtId="0" xfId="0" applyAlignment="1" applyFont="1">
      <alignment vertical="bottom"/>
    </xf>
    <xf borderId="0" fillId="0" fontId="9" numFmtId="164" xfId="0" applyAlignment="1" applyFont="1" applyNumberFormat="1">
      <alignment vertical="bottom"/>
    </xf>
    <xf borderId="2" fillId="0" fontId="9" numFmtId="4" xfId="0" applyAlignment="1" applyBorder="1" applyFont="1" applyNumberFormat="1">
      <alignment shrinkToFit="0" vertical="bottom" wrapText="0"/>
    </xf>
    <xf borderId="2" fillId="0" fontId="7" numFmtId="0" xfId="0" applyAlignment="1" applyBorder="1" applyFont="1">
      <alignment vertical="bottom"/>
    </xf>
    <xf borderId="0" fillId="0" fontId="7" numFmtId="164" xfId="0" applyAlignment="1" applyFont="1" applyNumberFormat="1">
      <alignment horizontal="right" vertical="bottom"/>
    </xf>
    <xf borderId="0" fillId="0" fontId="7" numFmtId="0" xfId="0" applyAlignment="1" applyFont="1">
      <alignment vertical="bottom"/>
    </xf>
    <xf borderId="0" fillId="0" fontId="7" numFmtId="21" xfId="0" applyAlignment="1" applyFont="1" applyNumberFormat="1">
      <alignment horizontal="right" vertical="bottom"/>
    </xf>
    <xf quotePrefix="1" borderId="0" fillId="0" fontId="7" numFmtId="0" xfId="0" applyAlignment="1" applyFont="1">
      <alignment vertical="bottom"/>
    </xf>
    <xf borderId="0" fillId="0" fontId="7" numFmtId="0" xfId="0" applyAlignment="1" applyFont="1">
      <alignment horizontal="right" vertical="bottom"/>
    </xf>
    <xf borderId="0" fillId="0" fontId="7" numFmtId="4" xfId="0" applyAlignment="1" applyFont="1" applyNumberFormat="1">
      <alignment horizontal="right" vertical="bottom"/>
    </xf>
    <xf borderId="0" fillId="0" fontId="7" numFmtId="20" xfId="0" applyAlignment="1" applyFont="1" applyNumberFormat="1">
      <alignment horizontal="right" vertical="bottom"/>
    </xf>
    <xf borderId="0" fillId="3" fontId="7" numFmtId="164" xfId="0" applyAlignment="1" applyFill="1" applyFont="1" applyNumberFormat="1">
      <alignment horizontal="right" vertical="bottom"/>
    </xf>
    <xf borderId="0" fillId="3" fontId="7" numFmtId="0" xfId="0" applyAlignment="1" applyFill="1" applyFont="1">
      <alignment vertical="bottom"/>
    </xf>
    <xf borderId="0" fillId="3" fontId="7" numFmtId="21" xfId="0" applyAlignment="1" applyFill="1" applyFont="1" applyNumberFormat="1">
      <alignment horizontal="right" vertical="bottom"/>
    </xf>
    <xf borderId="0" fillId="4" fontId="7" numFmtId="164" xfId="0" applyAlignment="1" applyFill="1" applyFont="1" applyNumberFormat="1">
      <alignment horizontal="right" vertical="bottom"/>
    </xf>
    <xf borderId="0" fillId="4" fontId="7" numFmtId="0" xfId="0" applyAlignment="1" applyFill="1" applyFont="1">
      <alignment vertical="bottom"/>
    </xf>
    <xf borderId="0" fillId="4" fontId="7" numFmtId="21" xfId="0" applyAlignment="1" applyFill="1" applyFont="1" applyNumberFormat="1">
      <alignment horizontal="right" vertical="bottom"/>
    </xf>
    <xf borderId="0" fillId="2" fontId="7" numFmtId="164" xfId="0" applyAlignment="1" applyFill="1" applyFont="1" applyNumberFormat="1">
      <alignment horizontal="right" vertical="bottom"/>
    </xf>
    <xf borderId="0" fillId="2" fontId="7" numFmtId="0" xfId="0" applyAlignment="1" applyFill="1" applyFont="1">
      <alignment vertical="bottom"/>
    </xf>
    <xf borderId="0" fillId="2" fontId="7" numFmtId="21" xfId="0" applyAlignment="1" applyFill="1" applyFont="1" applyNumberFormat="1">
      <alignment horizontal="right" vertical="bottom"/>
    </xf>
    <xf borderId="0" fillId="4" fontId="7" numFmtId="21" xfId="0" applyAlignment="1" applyFill="1" applyFont="1" applyNumberFormat="1">
      <alignment horizontal="right" readingOrder="0" vertical="bottom"/>
    </xf>
    <xf borderId="0" fillId="0" fontId="7" numFmtId="0" xfId="0" applyAlignment="1" applyFont="1">
      <alignment vertical="bottom"/>
    </xf>
    <xf borderId="0" fillId="0" fontId="7" numFmtId="11" xfId="0" applyAlignment="1" applyFont="1" applyNumberFormat="1">
      <alignment horizontal="right" vertical="bottom"/>
    </xf>
    <xf borderId="0" fillId="3" fontId="7" numFmtId="0" xfId="0" applyAlignment="1" applyFill="1" applyFont="1">
      <alignment vertical="bottom"/>
    </xf>
    <xf borderId="0" fillId="0" fontId="4" numFmtId="164" xfId="0" applyAlignment="1" applyFont="1" applyNumberFormat="1">
      <alignment horizontal="right" vertical="bottom"/>
    </xf>
    <xf borderId="0" fillId="0" fontId="4" numFmtId="21" xfId="0" applyAlignment="1" applyFont="1" applyNumberFormat="1">
      <alignment horizontal="right" vertical="bottom"/>
    </xf>
    <xf borderId="0" fillId="0" fontId="8" numFmtId="21" xfId="0" applyAlignment="1" applyFont="1" applyNumberFormat="1">
      <alignment horizontal="right" vertical="bottom"/>
    </xf>
    <xf borderId="0" fillId="4" fontId="8" numFmtId="21" xfId="0" applyAlignment="1" applyFill="1" applyFont="1" applyNumberFormat="1">
      <alignment horizontal="right" vertical="bottom"/>
    </xf>
    <xf borderId="0" fillId="3" fontId="8" numFmtId="21" xfId="0" applyAlignment="1" applyFill="1" applyFont="1" applyNumberFormat="1">
      <alignment horizontal="right" vertical="bottom"/>
    </xf>
    <xf borderId="0" fillId="4" fontId="7" numFmtId="0" xfId="0" applyAlignment="1" applyFill="1" applyFont="1">
      <alignment vertical="bottom"/>
    </xf>
    <xf borderId="0" fillId="2" fontId="7" numFmtId="0" xfId="0" applyAlignment="1" applyFill="1" applyFont="1">
      <alignment vertical="bottom"/>
    </xf>
    <xf borderId="0" fillId="0" fontId="3" numFmtId="167" xfId="0" applyAlignment="1" applyFont="1" applyNumberFormat="1">
      <alignment readingOrder="0"/>
    </xf>
    <xf borderId="0" fillId="0" fontId="3" numFmtId="20" xfId="0" applyAlignment="1" applyFont="1" applyNumberFormat="1">
      <alignment readingOrder="0"/>
    </xf>
    <xf borderId="0" fillId="0" fontId="10" numFmtId="0" xfId="0" applyAlignment="1" applyFont="1">
      <alignment readingOrder="0"/>
    </xf>
    <xf borderId="0" fillId="0" fontId="11" numFmtId="0" xfId="0" applyAlignment="1" applyFont="1">
      <alignment readingOrder="0"/>
    </xf>
    <xf borderId="0" fillId="0" fontId="12" numFmtId="0" xfId="0" applyAlignment="1" applyFont="1">
      <alignment readingOrder="0"/>
    </xf>
    <xf borderId="0" fillId="0" fontId="13" numFmtId="0" xfId="0" applyAlignment="1" applyFont="1">
      <alignment readingOrder="0"/>
    </xf>
    <xf borderId="0" fillId="0" fontId="14" numFmtId="0" xfId="0" applyAlignment="1" applyFont="1">
      <alignment vertical="bottom"/>
    </xf>
    <xf borderId="0" fillId="0" fontId="3" numFmtId="4" xfId="0" applyAlignment="1" applyFont="1" applyNumberFormat="1">
      <alignment readingOrder="0"/>
    </xf>
    <xf borderId="0" fillId="5" fontId="3" numFmtId="164" xfId="0" applyAlignment="1" applyFill="1" applyFont="1" applyNumberFormat="1">
      <alignment readingOrder="0"/>
    </xf>
    <xf borderId="0" fillId="5" fontId="3" numFmtId="0" xfId="0" applyAlignment="1" applyFill="1" applyFont="1">
      <alignment readingOrder="0"/>
    </xf>
    <xf borderId="0" fillId="5" fontId="3" numFmtId="0" xfId="0" applyFill="1" applyFont="1"/>
    <xf borderId="0" fillId="5" fontId="7" numFmtId="4" xfId="0" applyAlignment="1" applyFill="1" applyFont="1" applyNumberFormat="1">
      <alignment horizontal="right" vertical="bottom"/>
    </xf>
    <xf borderId="0" fillId="5" fontId="7" numFmtId="0" xfId="0" applyAlignment="1" applyFill="1" applyFont="1">
      <alignment horizontal="right" vertical="bottom"/>
    </xf>
    <xf borderId="0" fillId="0" fontId="3" numFmtId="2" xfId="0" applyFont="1" applyNumberFormat="1"/>
    <xf borderId="0" fillId="4" fontId="7" numFmtId="0" xfId="0" applyAlignment="1" applyFill="1" applyFont="1">
      <alignment horizontal="right" vertical="bottom"/>
    </xf>
    <xf borderId="0" fillId="4" fontId="7" numFmtId="4" xfId="0" applyAlignment="1" applyFill="1" applyFont="1" applyNumberFormat="1">
      <alignment horizontal="right" vertical="bottom"/>
    </xf>
    <xf borderId="0" fillId="4" fontId="4" numFmtId="14" xfId="0" applyAlignment="1" applyFill="1" applyFont="1" applyNumberFormat="1">
      <alignment horizontal="right" vertical="bottom"/>
    </xf>
    <xf borderId="0" fillId="4" fontId="4" numFmtId="0" xfId="0" applyAlignment="1" applyFill="1" applyFont="1">
      <alignment vertical="bottom"/>
    </xf>
    <xf borderId="0" fillId="4" fontId="4" numFmtId="0" xfId="0" applyAlignment="1" applyFill="1" applyFont="1">
      <alignment shrinkToFit="0" vertical="bottom" wrapText="0"/>
    </xf>
    <xf borderId="0" fillId="0" fontId="3" numFmtId="164" xfId="0" applyFont="1" applyNumberFormat="1"/>
    <xf borderId="0" fillId="0" fontId="3" numFmtId="0" xfId="0" applyFont="1"/>
    <xf borderId="0" fillId="5" fontId="4" numFmtId="165" xfId="0" applyAlignment="1" applyFill="1" applyFont="1" applyNumberFormat="1">
      <alignment readingOrder="0" vertical="bottom"/>
    </xf>
    <xf borderId="0" fillId="5" fontId="8" numFmtId="0" xfId="0" applyAlignment="1" applyFill="1" applyFont="1">
      <alignment readingOrder="0" vertical="bottom"/>
    </xf>
    <xf borderId="0" fillId="0" fontId="4" numFmtId="166" xfId="0" applyAlignment="1" applyFont="1" applyNumberFormat="1">
      <alignment horizontal="right" readingOrder="0" vertical="bottom"/>
    </xf>
    <xf borderId="0" fillId="4" fontId="4" numFmtId="164" xfId="0" applyAlignment="1" applyFill="1" applyFont="1" applyNumberFormat="1">
      <alignment readingOrder="0" vertical="bottom"/>
    </xf>
    <xf borderId="0" fillId="0" fontId="3" numFmtId="168" xfId="0" applyFont="1" applyNumberFormat="1"/>
  </cellXfs>
  <cellStyles count="1">
    <cellStyle xfId="0" name="Normal" builtinId="0"/>
  </cellStyles>
  <dxfs count="1">
    <dxf>
      <font/>
      <fill>
        <patternFill patternType="solid">
          <fgColor rgb="FF00FFFF"/>
          <bgColor rgb="FF00FFF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chartsheet" Target="chartsheets/sheet1.xml"/><Relationship Id="rId12" Type="http://schemas.openxmlformats.org/officeDocument/2006/relationships/worksheet" Target="worksheets/sheet8.xml"/><Relationship Id="rId15" Type="http://schemas.openxmlformats.org/officeDocument/2006/relationships/chartsheet" Target="chartsheets/sheet3.xml"/><Relationship Id="rId14" Type="http://schemas.openxmlformats.org/officeDocument/2006/relationships/chartsheet" Target="chartsheets/sheet2.xml"/><Relationship Id="rId17" Type="http://schemas.openxmlformats.org/officeDocument/2006/relationships/chartsheet" Target="chartsheets/sheet4.xml"/><Relationship Id="rId16" Type="http://schemas.openxmlformats.org/officeDocument/2006/relationships/worksheet" Target="worksheets/sheet9.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Richenss vs. tides</a:t>
            </a:r>
          </a:p>
        </c:rich>
      </c:tx>
      <c:overlay val="0"/>
    </c:title>
    <c:plotArea>
      <c:layout/>
      <c:scatterChart>
        <c:scatterStyle val="lineMarker"/>
        <c:varyColors val="0"/>
        <c:dLbls>
          <c:showLegendKey val="0"/>
          <c:showVal val="0"/>
          <c:showCatName val="0"/>
          <c:showSerName val="0"/>
          <c:showPercent val="0"/>
          <c:showBubbleSize val="0"/>
        </c:dLbls>
        <c:axId val="1358915081"/>
        <c:axId val="1037050433"/>
      </c:scatterChart>
      <c:valAx>
        <c:axId val="135891508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37050433"/>
      </c:valAx>
      <c:valAx>
        <c:axId val="1037050433"/>
        <c:scaling>
          <c:orientation val="minMax"/>
        </c:scaling>
        <c:delete val="0"/>
        <c:axPos val="l"/>
        <c:tickLblPos val="nextTo"/>
        <c:spPr>
          <a:ln>
            <a:noFill/>
          </a:ln>
        </c:spPr>
        <c:crossAx val="1358915081"/>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Species richness vs. tides</a:t>
            </a:r>
          </a:p>
        </c:rich>
      </c:tx>
      <c:overlay val="0"/>
    </c:title>
    <c:plotArea>
      <c:layout/>
      <c:scatterChart>
        <c:scatterStyle val="lineMarker"/>
        <c:varyColors val="0"/>
        <c:dLbls>
          <c:showLegendKey val="0"/>
          <c:showVal val="0"/>
          <c:showCatName val="0"/>
          <c:showSerName val="0"/>
          <c:showPercent val="0"/>
          <c:showBubbleSize val="0"/>
        </c:dLbls>
        <c:axId val="1530647983"/>
        <c:axId val="666637945"/>
      </c:scatterChart>
      <c:valAx>
        <c:axId val="153064798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Tides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66637945"/>
      </c:valAx>
      <c:valAx>
        <c:axId val="666637945"/>
        <c:scaling>
          <c:orientation val="minMax"/>
        </c:scaling>
        <c:delete val="0"/>
        <c:axPos val="l"/>
        <c:tickLblPos val="nextTo"/>
        <c:spPr>
          <a:ln>
            <a:noFill/>
          </a:ln>
        </c:spPr>
        <c:crossAx val="1530647983"/>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Tides vs. species/quadrat</a:t>
            </a:r>
          </a:p>
        </c:rich>
      </c:tx>
      <c:layout>
        <c:manualLayout>
          <c:xMode val="edge"/>
          <c:yMode val="edge"/>
          <c:x val="0.029525862068965517"/>
          <c:y val="0.05"/>
        </c:manualLayout>
      </c:layout>
      <c:overlay val="0"/>
    </c:title>
    <c:plotArea>
      <c:layout/>
      <c:scatterChart>
        <c:scatterStyle val="lineMarker"/>
        <c:varyColors val="0"/>
        <c:dLbls>
          <c:showLegendKey val="0"/>
          <c:showVal val="0"/>
          <c:showCatName val="0"/>
          <c:showSerName val="0"/>
          <c:showPercent val="0"/>
          <c:showBubbleSize val="0"/>
        </c:dLbls>
        <c:axId val="2083304314"/>
        <c:axId val="1182741400"/>
      </c:scatterChart>
      <c:valAx>
        <c:axId val="208330431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Tides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82741400"/>
      </c:valAx>
      <c:valAx>
        <c:axId val="1182741400"/>
        <c:scaling>
          <c:orientation val="minMax"/>
        </c:scaling>
        <c:delete val="0"/>
        <c:axPos val="l"/>
        <c:tickLblPos val="nextTo"/>
        <c:spPr>
          <a:ln>
            <a:noFill/>
          </a:ln>
        </c:spPr>
        <c:crossAx val="2083304314"/>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Simpson's Diversity vs. Avg. Tide height (ft)</a:t>
            </a:r>
          </a:p>
        </c:rich>
      </c:tx>
      <c:overlay val="0"/>
    </c:title>
    <c:plotArea>
      <c:layout/>
      <c:scatterChart>
        <c:scatterStyle val="lineMarker"/>
        <c:varyColors val="0"/>
        <c:ser>
          <c:idx val="0"/>
          <c:order val="0"/>
          <c:spPr>
            <a:ln>
              <a:noFill/>
            </a:ln>
          </c:spPr>
          <c:marker>
            <c:symbol val="circle"/>
            <c:size val="7"/>
            <c:spPr>
              <a:solidFill>
                <a:schemeClr val="accent1"/>
              </a:solidFill>
              <a:ln cmpd="sng">
                <a:solidFill>
                  <a:schemeClr val="accent1"/>
                </a:solidFill>
              </a:ln>
            </c:spPr>
          </c:marker>
          <c:trendline>
            <c:name/>
            <c:spPr>
              <a:ln w="19050">
                <a:solidFill>
                  <a:srgbClr val="000000"/>
                </a:solidFill>
              </a:ln>
            </c:spPr>
            <c:trendlineType val="linear"/>
            <c:dispRSqr val="1"/>
            <c:dispEq val="1"/>
          </c:trendline>
          <c:xVal>
            <c:numRef>
              <c:f>Sheet12!$E$4:$E$137</c:f>
            </c:numRef>
          </c:xVal>
          <c:yVal>
            <c:numRef>
              <c:f>Sheet12!$D$4:$D$137</c:f>
              <c:numCache/>
            </c:numRef>
          </c:yVal>
        </c:ser>
        <c:dLbls>
          <c:showLegendKey val="0"/>
          <c:showVal val="0"/>
          <c:showCatName val="0"/>
          <c:showSerName val="0"/>
          <c:showPercent val="0"/>
          <c:showBubbleSize val="0"/>
        </c:dLbls>
        <c:axId val="1897033848"/>
        <c:axId val="240814127"/>
      </c:scatterChart>
      <c:valAx>
        <c:axId val="189703384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Avg. Tide Height (ft)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40814127"/>
      </c:valAx>
      <c:valAx>
        <c:axId val="24081412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Simpson's Diversity</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97033848"/>
      </c:valAx>
    </c:plotArea>
    <c:legend>
      <c:legendPos val="r"/>
      <c:overlay val="0"/>
      <c:txPr>
        <a:bodyPr/>
        <a:lstStyle/>
        <a:p>
          <a:pPr lvl="0">
            <a:defRPr b="0">
              <a:solidFill>
                <a:srgbClr val="1A1A1A"/>
              </a:solidFill>
              <a:latin typeface="+mn-lt"/>
            </a:defRPr>
          </a:pPr>
        </a:p>
      </c:txPr>
    </c:legend>
    <c:plotVisOnly val="1"/>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9.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10.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11.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13.xml"/></Relationships>
</file>

<file path=xl/chartsheets/sheet1.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2.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3.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4.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3.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hKqULHWJ4k9WGsgo4QkwDRNJa49Nw2uK8WbSAHKes5I/edit"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d/1hKqULHWJ4k9WGsgo4QkwDRNJa49Nw2uK8WbSAHKes5I/edit"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0" Type="http://schemas.openxmlformats.org/officeDocument/2006/relationships/hyperlink" Target="http://ndbc.noaa.gov/" TargetMode="External"/><Relationship Id="rId22" Type="http://schemas.openxmlformats.org/officeDocument/2006/relationships/hyperlink" Target="http://www.ndbc.noaa.gov/" TargetMode="External"/><Relationship Id="rId21" Type="http://schemas.openxmlformats.org/officeDocument/2006/relationships/hyperlink" Target="http://www.hawaiitides.com/Waikiki/Month" TargetMode="External"/><Relationship Id="rId24" Type="http://schemas.openxmlformats.org/officeDocument/2006/relationships/hyperlink" Target="http://www.ndbc.noaa.gov/" TargetMode="External"/><Relationship Id="rId23" Type="http://schemas.openxmlformats.org/officeDocument/2006/relationships/hyperlink" Target="http://www.ndbc.noaa.gov/" TargetMode="External"/><Relationship Id="rId1" Type="http://schemas.openxmlformats.org/officeDocument/2006/relationships/hyperlink" Target="http://www/" TargetMode="External"/><Relationship Id="rId2" Type="http://schemas.openxmlformats.org/officeDocument/2006/relationships/hyperlink" Target="http://www/" TargetMode="External"/><Relationship Id="rId3" Type="http://schemas.openxmlformats.org/officeDocument/2006/relationships/hyperlink" Target="http://www/" TargetMode="External"/><Relationship Id="rId4" Type="http://schemas.openxmlformats.org/officeDocument/2006/relationships/hyperlink" Target="http://ww/" TargetMode="External"/><Relationship Id="rId9" Type="http://schemas.openxmlformats.org/officeDocument/2006/relationships/hyperlink" Target="http://www.hawaiitides.com/Waikiki/Month" TargetMode="External"/><Relationship Id="rId26" Type="http://schemas.openxmlformats.org/officeDocument/2006/relationships/hyperlink" Target="http://www.prh.noaa.gov/hnl/pages/obs.ph" TargetMode="External"/><Relationship Id="rId25" Type="http://schemas.openxmlformats.org/officeDocument/2006/relationships/hyperlink" Target="http://www.hawaiitides.com/Waikiki/Month" TargetMode="External"/><Relationship Id="rId28" Type="http://schemas.openxmlformats.org/officeDocument/2006/relationships/hyperlink" Target="http://www.ndbc.noaa.gov/" TargetMode="External"/><Relationship Id="rId27" Type="http://schemas.openxmlformats.org/officeDocument/2006/relationships/hyperlink" Target="http://www.ndbc.noaa.gov/" TargetMode="External"/><Relationship Id="rId5" Type="http://schemas.openxmlformats.org/officeDocument/2006/relationships/hyperlink" Target="https://tidesandcurrents/" TargetMode="External"/><Relationship Id="rId6" Type="http://schemas.openxmlformats.org/officeDocument/2006/relationships/hyperlink" Target="http://prh/" TargetMode="External"/><Relationship Id="rId29" Type="http://schemas.openxmlformats.org/officeDocument/2006/relationships/hyperlink" Target="https://tidesandcurrents.noaa.gov/tide_p" TargetMode="External"/><Relationship Id="rId7" Type="http://schemas.openxmlformats.org/officeDocument/2006/relationships/hyperlink" Target="https://tidesandcurrents/" TargetMode="External"/><Relationship Id="rId8" Type="http://schemas.openxmlformats.org/officeDocument/2006/relationships/hyperlink" Target="https://www/" TargetMode="External"/><Relationship Id="rId31" Type="http://schemas.openxmlformats.org/officeDocument/2006/relationships/hyperlink" Target="https://www.ndbc.noaa.gov/" TargetMode="External"/><Relationship Id="rId30" Type="http://schemas.openxmlformats.org/officeDocument/2006/relationships/hyperlink" Target="http://www.prh.noaa.gov/hnl/pages/obs.ph" TargetMode="External"/><Relationship Id="rId11" Type="http://schemas.openxmlformats.org/officeDocument/2006/relationships/hyperlink" Target="http://www.ndbc.noaa.gov/" TargetMode="External"/><Relationship Id="rId33" Type="http://schemas.openxmlformats.org/officeDocument/2006/relationships/drawing" Target="../drawings/drawing7.xml"/><Relationship Id="rId10" Type="http://schemas.openxmlformats.org/officeDocument/2006/relationships/hyperlink" Target="http://www.prh.noaa.gov/hnl/hydro/daily_" TargetMode="External"/><Relationship Id="rId32" Type="http://schemas.openxmlformats.org/officeDocument/2006/relationships/hyperlink" Target="https://www.ndbc.noaa.gov/station_page.p" TargetMode="External"/><Relationship Id="rId13" Type="http://schemas.openxmlformats.org/officeDocument/2006/relationships/hyperlink" Target="http://www.hawaiitides.com/Waikiki/Month" TargetMode="External"/><Relationship Id="rId12" Type="http://schemas.openxmlformats.org/officeDocument/2006/relationships/hyperlink" Target="http://www.prh.noaa.gov/hnl/pages/SRF.ph" TargetMode="External"/><Relationship Id="rId15" Type="http://schemas.openxmlformats.org/officeDocument/2006/relationships/hyperlink" Target="http://www.prh.noaa.gov/hnl/pages/marine" TargetMode="External"/><Relationship Id="rId14" Type="http://schemas.openxmlformats.org/officeDocument/2006/relationships/hyperlink" Target="http://www.prh.noaa.gov/hnl/pages/obs.ph" TargetMode="External"/><Relationship Id="rId17" Type="http://schemas.openxmlformats.org/officeDocument/2006/relationships/hyperlink" Target="http://hawaiitides.com/" TargetMode="External"/><Relationship Id="rId16" Type="http://schemas.openxmlformats.org/officeDocument/2006/relationships/hyperlink" Target="http://www.ndbc.noaa.gov/" TargetMode="External"/><Relationship Id="rId19" Type="http://schemas.openxmlformats.org/officeDocument/2006/relationships/hyperlink" Target="http://ndbc.noaa.gov/" TargetMode="External"/><Relationship Id="rId18" Type="http://schemas.openxmlformats.org/officeDocument/2006/relationships/hyperlink" Target="http://prhnoaa.gov/"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75"/>
  <cols>
    <col customWidth="1" min="18" max="18" width="20.13"/>
    <col customWidth="1" min="20" max="20" width="20.5"/>
    <col customWidth="1" min="26" max="26" width="18.63"/>
    <col customWidth="1" min="28" max="28" width="19.5"/>
    <col customWidth="1" min="29" max="29" width="19.0"/>
    <col customWidth="1" min="30" max="30" width="25.75"/>
    <col customWidth="1" min="31" max="31" width="22.13"/>
    <col customWidth="1" min="35" max="35" width="17.75"/>
    <col customWidth="1" min="44" max="44" width="16.88"/>
    <col customWidth="1" min="50" max="50" width="21.5"/>
    <col customWidth="1" min="52" max="52" width="16.25"/>
    <col customWidth="1" min="54" max="54" width="28.63"/>
    <col customWidth="1" min="60" max="60" width="16.88"/>
    <col customWidth="1" min="65" max="65" width="21.75"/>
    <col customWidth="1" min="66" max="66" width="16.38"/>
    <col customWidth="1" min="69" max="69" width="17.38"/>
    <col customWidth="1" min="70" max="70" width="18.75"/>
    <col customWidth="1" min="73" max="73" width="21.25"/>
    <col customWidth="1" min="74" max="74" width="16.38"/>
    <col customWidth="1" min="75" max="75" width="21.75"/>
    <col customWidth="1" min="77" max="77" width="16.38"/>
    <col customWidth="1" min="80" max="80" width="20.63"/>
    <col customWidth="1" min="81" max="81" width="19.88"/>
    <col customWidth="1" min="82" max="82" width="17.88"/>
    <col customWidth="1" min="87" max="87" width="19.75"/>
    <col customWidth="1" min="89" max="89" width="15.88"/>
    <col customWidth="1" min="92" max="92" width="16.0"/>
    <col customWidth="1" min="93" max="93" width="17.5"/>
    <col customWidth="1" min="97" max="97" width="17.38"/>
    <col customWidth="1" min="101" max="101" width="19.0"/>
    <col customWidth="1" min="112" max="112" width="20.88"/>
    <col customWidth="1" min="114" max="114" width="20.38"/>
    <col customWidth="1" min="116" max="116" width="21.5"/>
    <col customWidth="1" min="118" max="118" width="19.0"/>
    <col customWidth="1" min="120" max="120" width="15.25"/>
    <col customWidth="1" min="123" max="123" width="17.0"/>
    <col customWidth="1" min="126" max="126" width="21.5"/>
    <col customWidth="1" min="130" max="130" width="15.5"/>
    <col customWidth="1" min="136" max="136" width="21.75"/>
    <col customWidth="1" min="139" max="139" width="17.0"/>
    <col customWidth="1" min="141" max="141" width="17.63"/>
    <col customWidth="1" min="145" max="145" width="15.25"/>
    <col customWidth="1" min="151" max="151" width="15.5"/>
    <col customWidth="1" min="152" max="152" width="21.5"/>
    <col customWidth="1" min="153" max="153" width="20.25"/>
    <col customWidth="1" min="154" max="154" width="15.63"/>
    <col customWidth="1" min="156" max="156" width="17.25"/>
    <col customWidth="1" min="159" max="159" width="16.75"/>
    <col customWidth="1" min="165" max="165" width="16.88"/>
    <col customWidth="1" min="167" max="167" width="16.88"/>
    <col customWidth="1" min="168" max="169" width="18.63"/>
    <col customWidth="1" min="172" max="172" width="17.88"/>
    <col customWidth="1" min="174" max="174" width="17.38"/>
    <col customWidth="1" min="195" max="217" width="20.13"/>
  </cols>
  <sheetData>
    <row r="1">
      <c r="A1" s="1" t="s">
        <v>0</v>
      </c>
      <c r="B1" s="2"/>
      <c r="C1" s="1"/>
      <c r="D1" s="2"/>
      <c r="E1" s="2"/>
      <c r="F1" s="2"/>
      <c r="G1" s="1"/>
      <c r="H1" s="1"/>
      <c r="I1" s="1"/>
      <c r="J1" s="1"/>
      <c r="K1" s="1"/>
      <c r="L1" s="1"/>
      <c r="M1" s="1"/>
      <c r="N1" s="1"/>
      <c r="O1" s="1"/>
      <c r="P1" s="1"/>
      <c r="Q1" s="1"/>
      <c r="R1" s="3"/>
      <c r="S1" s="4"/>
      <c r="T1" s="5"/>
      <c r="U1" s="4"/>
      <c r="V1" s="4"/>
      <c r="W1" s="4"/>
      <c r="X1" s="4"/>
      <c r="Y1" s="4"/>
      <c r="Z1" s="4"/>
      <c r="AA1" s="4"/>
      <c r="AB1" s="6"/>
      <c r="AC1" s="4"/>
      <c r="AD1" s="7"/>
      <c r="AE1" s="3"/>
      <c r="AF1" s="8"/>
      <c r="AG1" s="8"/>
      <c r="AH1" s="4"/>
      <c r="AI1" s="1"/>
      <c r="AJ1" s="4"/>
      <c r="AK1" s="4"/>
      <c r="AL1" s="4"/>
      <c r="AM1" s="10"/>
      <c r="AN1" s="12"/>
      <c r="AO1" s="4"/>
      <c r="AP1" s="7"/>
      <c r="AQ1" s="4"/>
      <c r="AR1" s="4"/>
      <c r="AS1" s="4"/>
      <c r="AT1" s="4"/>
      <c r="AU1" s="4"/>
      <c r="AV1" s="4"/>
      <c r="AW1" s="4"/>
      <c r="AX1" s="13"/>
      <c r="AY1" s="4"/>
      <c r="AZ1" s="4"/>
      <c r="BA1" s="1"/>
      <c r="BB1" s="1"/>
      <c r="BC1" s="5"/>
      <c r="BD1" s="5"/>
      <c r="BE1" s="6"/>
      <c r="BF1" s="4"/>
      <c r="BG1" s="4"/>
      <c r="BH1" s="4"/>
      <c r="BI1" s="4"/>
      <c r="BJ1" s="4"/>
      <c r="BK1" s="6"/>
      <c r="BL1" s="5"/>
      <c r="BM1" s="3"/>
      <c r="BN1" s="5"/>
      <c r="BO1" s="4"/>
      <c r="BP1" s="5"/>
      <c r="BQ1" s="4"/>
      <c r="BR1" s="5"/>
      <c r="BS1" s="4"/>
      <c r="BT1" s="4"/>
      <c r="BU1" s="4"/>
      <c r="BV1" s="3"/>
      <c r="BW1" s="8"/>
      <c r="BX1" s="4"/>
      <c r="BY1" s="4"/>
      <c r="BZ1" s="2"/>
      <c r="CA1" s="4"/>
      <c r="CB1" s="4"/>
      <c r="CC1" s="2"/>
      <c r="CD1" s="4"/>
      <c r="CE1" s="4"/>
      <c r="CF1" s="4"/>
      <c r="CG1" s="4"/>
      <c r="CH1" s="12"/>
      <c r="CI1" s="4"/>
      <c r="CJ1" s="4"/>
      <c r="CK1" s="4"/>
      <c r="CL1" s="4"/>
      <c r="CM1" s="4"/>
      <c r="CN1" s="4"/>
      <c r="CO1" s="1"/>
      <c r="CP1" s="4"/>
      <c r="CQ1" s="4"/>
      <c r="CR1" s="4"/>
      <c r="CS1" s="1"/>
      <c r="CT1" s="8"/>
      <c r="CU1" s="8"/>
      <c r="CV1" s="4"/>
      <c r="CW1" s="4"/>
      <c r="CX1" s="4"/>
      <c r="CY1" s="4"/>
      <c r="CZ1" s="4"/>
      <c r="DA1" s="7"/>
      <c r="DB1" s="4"/>
      <c r="DC1" s="4"/>
      <c r="DD1" s="4"/>
      <c r="DE1" s="4"/>
      <c r="DF1" s="4"/>
      <c r="DG1" s="2"/>
      <c r="DH1" s="7"/>
      <c r="DI1" s="4"/>
      <c r="DJ1" s="8"/>
      <c r="DK1" s="4"/>
      <c r="DL1" s="8"/>
      <c r="DM1" s="2"/>
      <c r="DN1" s="4"/>
      <c r="DO1" s="4"/>
      <c r="DP1" s="7"/>
      <c r="DQ1" s="4"/>
      <c r="DR1" s="4"/>
      <c r="DS1" s="1"/>
      <c r="DT1" s="4"/>
      <c r="DU1" s="4"/>
      <c r="DV1" s="4"/>
      <c r="DW1" s="4"/>
      <c r="DX1" s="4"/>
      <c r="DY1" s="4"/>
      <c r="DZ1" s="8"/>
      <c r="EA1" s="10"/>
      <c r="EB1" s="4"/>
      <c r="EC1" s="4"/>
      <c r="ED1" s="4"/>
      <c r="EE1" s="4"/>
      <c r="EF1" s="4"/>
      <c r="EG1" s="4"/>
      <c r="EH1" s="4"/>
      <c r="EI1" s="4"/>
      <c r="EJ1" s="2"/>
      <c r="EK1" s="4"/>
      <c r="EL1" s="4"/>
      <c r="EM1" s="4"/>
      <c r="EN1" s="4"/>
      <c r="EO1" s="4"/>
      <c r="EP1" s="4"/>
      <c r="EQ1" s="4"/>
      <c r="ER1" s="4"/>
      <c r="ES1" s="4"/>
      <c r="ET1" s="4"/>
      <c r="EU1" s="4"/>
      <c r="EV1" s="4"/>
      <c r="EW1" s="4"/>
      <c r="EX1" s="4"/>
      <c r="EY1" s="4"/>
      <c r="EZ1" s="4"/>
      <c r="FA1" s="4"/>
      <c r="FB1" s="1"/>
      <c r="FC1" s="4"/>
      <c r="FD1" s="4"/>
      <c r="FE1" s="5"/>
      <c r="FF1" s="14"/>
      <c r="FG1" s="4"/>
      <c r="FH1" s="4"/>
      <c r="FI1" s="1"/>
      <c r="FJ1" s="4"/>
      <c r="FK1" s="5"/>
      <c r="FL1" s="5"/>
      <c r="FM1" s="15"/>
      <c r="FN1" s="4"/>
      <c r="FO1" s="4"/>
      <c r="FP1" s="4"/>
      <c r="FQ1" s="4"/>
      <c r="FR1" s="15"/>
      <c r="FS1" s="2"/>
      <c r="FT1" s="4"/>
      <c r="FU1" s="4"/>
      <c r="FV1" s="4"/>
      <c r="FW1" s="7"/>
      <c r="FX1" s="4"/>
      <c r="FY1" s="4"/>
      <c r="FZ1" s="4"/>
      <c r="GA1" s="4"/>
      <c r="GB1" s="4"/>
      <c r="GC1" s="4"/>
      <c r="GD1" s="4"/>
      <c r="GE1" s="4"/>
      <c r="GF1" s="5"/>
      <c r="GG1" s="14"/>
      <c r="GH1" s="8"/>
      <c r="GI1" s="8"/>
      <c r="GJ1" s="8"/>
      <c r="GK1" s="8"/>
      <c r="GL1" s="16"/>
      <c r="GM1" s="4"/>
      <c r="GN1" s="4"/>
      <c r="GO1" s="4"/>
      <c r="GP1" s="4"/>
      <c r="GQ1" s="4"/>
      <c r="GR1" s="4"/>
      <c r="GS1" s="4"/>
      <c r="GT1" s="4"/>
      <c r="GU1" s="4"/>
      <c r="GV1" s="4"/>
      <c r="GW1" s="4"/>
      <c r="GX1" s="4"/>
      <c r="GY1" s="4"/>
      <c r="GZ1" s="4"/>
      <c r="HA1" s="4"/>
      <c r="HB1" s="4"/>
      <c r="HC1" s="4"/>
      <c r="HD1" s="4"/>
      <c r="HE1" s="4"/>
      <c r="HF1" s="4"/>
      <c r="HG1" s="4"/>
      <c r="HH1" s="4"/>
      <c r="HI1" s="4"/>
    </row>
    <row r="2">
      <c r="A2" s="1" t="s">
        <v>5</v>
      </c>
      <c r="B2" s="2"/>
      <c r="C2" s="1"/>
      <c r="D2" s="2"/>
      <c r="E2" s="2"/>
      <c r="F2" s="2"/>
      <c r="G2" s="1"/>
      <c r="H2" s="1"/>
      <c r="I2" s="1"/>
      <c r="J2" s="1"/>
      <c r="K2" s="1"/>
      <c r="L2" s="1"/>
      <c r="M2" s="1"/>
      <c r="N2" s="1"/>
      <c r="O2" s="1"/>
      <c r="P2" s="1"/>
      <c r="Q2" s="1"/>
      <c r="R2" s="3"/>
      <c r="S2" s="4"/>
      <c r="T2" s="5"/>
      <c r="U2" s="4"/>
      <c r="V2" s="4"/>
      <c r="W2" s="4"/>
      <c r="X2" s="4"/>
      <c r="Y2" s="4"/>
      <c r="Z2" s="4"/>
      <c r="AA2" s="4"/>
      <c r="AB2" s="6"/>
      <c r="AC2" s="4"/>
      <c r="AD2" s="7"/>
      <c r="AE2" s="3"/>
      <c r="AF2" s="8"/>
      <c r="AG2" s="8"/>
      <c r="AH2" s="4"/>
      <c r="AI2" s="1"/>
      <c r="AJ2" s="4"/>
      <c r="AK2" s="4"/>
      <c r="AL2" s="4"/>
      <c r="AM2" s="10"/>
      <c r="AN2" s="12"/>
      <c r="AO2" s="4"/>
      <c r="AP2" s="7"/>
      <c r="AQ2" s="4"/>
      <c r="AR2" s="4"/>
      <c r="AS2" s="4"/>
      <c r="AT2" s="4"/>
      <c r="AU2" s="4"/>
      <c r="AV2" s="4"/>
      <c r="AW2" s="4"/>
      <c r="AX2" s="13"/>
      <c r="AY2" s="4"/>
      <c r="AZ2" s="4"/>
      <c r="BA2" s="1"/>
      <c r="BB2" s="1"/>
      <c r="BC2" s="5"/>
      <c r="BD2" s="5"/>
      <c r="BE2" s="6"/>
      <c r="BF2" s="4"/>
      <c r="BG2" s="4"/>
      <c r="BH2" s="4"/>
      <c r="BI2" s="4"/>
      <c r="BJ2" s="4"/>
      <c r="BK2" s="6"/>
      <c r="BL2" s="5"/>
      <c r="BM2" s="3"/>
      <c r="BN2" s="5"/>
      <c r="BO2" s="4"/>
      <c r="BP2" s="5"/>
      <c r="BQ2" s="4"/>
      <c r="BR2" s="5"/>
      <c r="BS2" s="4"/>
      <c r="BT2" s="4"/>
      <c r="BU2" s="4"/>
      <c r="BV2" s="3"/>
      <c r="BW2" s="8"/>
      <c r="BX2" s="4"/>
      <c r="BY2" s="4"/>
      <c r="BZ2" s="2"/>
      <c r="CA2" s="4"/>
      <c r="CB2" s="4"/>
      <c r="CC2" s="2"/>
      <c r="CD2" s="4"/>
      <c r="CE2" s="4"/>
      <c r="CF2" s="4"/>
      <c r="CG2" s="4"/>
      <c r="CH2" s="12"/>
      <c r="CI2" s="4"/>
      <c r="CJ2" s="4"/>
      <c r="CK2" s="4"/>
      <c r="CL2" s="4"/>
      <c r="CM2" s="4"/>
      <c r="CN2" s="4"/>
      <c r="CO2" s="1"/>
      <c r="CP2" s="4"/>
      <c r="CQ2" s="4"/>
      <c r="CR2" s="4"/>
      <c r="CS2" s="1"/>
      <c r="CT2" s="8"/>
      <c r="CU2" s="8"/>
      <c r="CV2" s="4"/>
      <c r="CW2" s="4"/>
      <c r="CX2" s="4"/>
      <c r="CY2" s="4"/>
      <c r="CZ2" s="4"/>
      <c r="DA2" s="7"/>
      <c r="DB2" s="4"/>
      <c r="DC2" s="4"/>
      <c r="DD2" s="4"/>
      <c r="DE2" s="4"/>
      <c r="DF2" s="4"/>
      <c r="DG2" s="2"/>
      <c r="DH2" s="7"/>
      <c r="DI2" s="4"/>
      <c r="DJ2" s="8"/>
      <c r="DK2" s="4"/>
      <c r="DL2" s="8"/>
      <c r="DM2" s="2"/>
      <c r="DN2" s="4"/>
      <c r="DO2" s="4"/>
      <c r="DP2" s="7"/>
      <c r="DQ2" s="4"/>
      <c r="DR2" s="4"/>
      <c r="DS2" s="1"/>
      <c r="DT2" s="4"/>
      <c r="DU2" s="4"/>
      <c r="DV2" s="4"/>
      <c r="DW2" s="4"/>
      <c r="DX2" s="4"/>
      <c r="DY2" s="4"/>
      <c r="DZ2" s="8"/>
      <c r="EA2" s="10"/>
      <c r="EB2" s="4"/>
      <c r="EC2" s="4"/>
      <c r="ED2" s="4"/>
      <c r="EE2" s="4"/>
      <c r="EF2" s="4"/>
      <c r="EG2" s="4"/>
      <c r="EH2" s="4"/>
      <c r="EI2" s="4"/>
      <c r="EJ2" s="2"/>
      <c r="EK2" s="4"/>
      <c r="EL2" s="4"/>
      <c r="EM2" s="4"/>
      <c r="EN2" s="4"/>
      <c r="EO2" s="4"/>
      <c r="EP2" s="4"/>
      <c r="EQ2" s="4"/>
      <c r="ER2" s="4"/>
      <c r="ES2" s="4"/>
      <c r="ET2" s="4"/>
      <c r="EU2" s="4"/>
      <c r="EV2" s="4"/>
      <c r="EW2" s="4"/>
      <c r="EX2" s="4"/>
      <c r="EY2" s="4"/>
      <c r="EZ2" s="4"/>
      <c r="FA2" s="4"/>
      <c r="FB2" s="1"/>
      <c r="FC2" s="4"/>
      <c r="FD2" s="4"/>
      <c r="FE2" s="5"/>
      <c r="FF2" s="14"/>
      <c r="FG2" s="4"/>
      <c r="FH2" s="4"/>
      <c r="FI2" s="1"/>
      <c r="FJ2" s="4"/>
      <c r="FK2" s="5"/>
      <c r="FL2" s="5"/>
      <c r="FM2" s="15"/>
      <c r="FN2" s="4"/>
      <c r="FO2" s="4"/>
      <c r="FP2" s="4"/>
      <c r="FQ2" s="4"/>
      <c r="FR2" s="15"/>
      <c r="FS2" s="2"/>
      <c r="FT2" s="4"/>
      <c r="FU2" s="4"/>
      <c r="FV2" s="4"/>
      <c r="FW2" s="7"/>
      <c r="FX2" s="4"/>
      <c r="FY2" s="4"/>
      <c r="FZ2" s="4"/>
      <c r="GA2" s="4"/>
      <c r="GB2" s="4"/>
      <c r="GC2" s="4"/>
      <c r="GD2" s="4"/>
      <c r="GE2" s="4"/>
      <c r="GF2" s="5"/>
      <c r="GG2" s="14"/>
      <c r="GH2" s="8"/>
      <c r="GI2" s="8"/>
      <c r="GJ2" s="8"/>
      <c r="GK2" s="8"/>
      <c r="GL2" s="16"/>
      <c r="GM2" s="4"/>
      <c r="GN2" s="4"/>
      <c r="GO2" s="4"/>
      <c r="GP2" s="4"/>
      <c r="GQ2" s="4"/>
      <c r="GR2" s="4"/>
      <c r="GS2" s="4"/>
      <c r="GT2" s="4"/>
      <c r="GU2" s="4"/>
      <c r="GV2" s="4"/>
      <c r="GW2" s="4"/>
      <c r="GX2" s="4"/>
      <c r="GY2" s="4"/>
      <c r="GZ2" s="4"/>
      <c r="HA2" s="4"/>
      <c r="HB2" s="4"/>
      <c r="HC2" s="4"/>
      <c r="HD2" s="4"/>
      <c r="HE2" s="4"/>
      <c r="HF2" s="4"/>
      <c r="HG2" s="4"/>
      <c r="HH2" s="4"/>
      <c r="HI2" s="4"/>
    </row>
    <row r="3">
      <c r="A3" s="1" t="s">
        <v>26</v>
      </c>
      <c r="B3" s="2"/>
      <c r="C3" s="1"/>
      <c r="D3" s="2"/>
      <c r="E3" s="2"/>
      <c r="F3" s="2"/>
      <c r="G3" s="1"/>
      <c r="H3" s="1"/>
      <c r="I3" s="1"/>
      <c r="J3" s="1"/>
      <c r="K3" s="1"/>
      <c r="L3" s="1"/>
      <c r="M3" s="1"/>
      <c r="N3" s="1"/>
      <c r="O3" s="1"/>
      <c r="P3" s="1"/>
      <c r="Q3" s="1"/>
      <c r="R3" s="3"/>
      <c r="S3" s="4"/>
      <c r="T3" s="5"/>
      <c r="U3" s="4"/>
      <c r="V3" s="4"/>
      <c r="W3" s="4"/>
      <c r="X3" s="4"/>
      <c r="Y3" s="4"/>
      <c r="Z3" s="4"/>
      <c r="AA3" s="4"/>
      <c r="AB3" s="6"/>
      <c r="AC3" s="4"/>
      <c r="AD3" s="7"/>
      <c r="AE3" s="3"/>
      <c r="AF3" s="8"/>
      <c r="AG3" s="8"/>
      <c r="AH3" s="4"/>
      <c r="AI3" s="1"/>
      <c r="AJ3" s="4"/>
      <c r="AK3" s="4"/>
      <c r="AL3" s="4"/>
      <c r="AM3" s="10"/>
      <c r="AN3" s="12"/>
      <c r="AO3" s="4"/>
      <c r="AP3" s="7"/>
      <c r="AQ3" s="4"/>
      <c r="AR3" s="4"/>
      <c r="AS3" s="4"/>
      <c r="AT3" s="4"/>
      <c r="AU3" s="4"/>
      <c r="AV3" s="4"/>
      <c r="AW3" s="4"/>
      <c r="AX3" s="13"/>
      <c r="AY3" s="4"/>
      <c r="AZ3" s="4"/>
      <c r="BA3" s="1"/>
      <c r="BB3" s="1"/>
      <c r="BC3" s="5"/>
      <c r="BD3" s="5"/>
      <c r="BE3" s="6"/>
      <c r="BF3" s="4"/>
      <c r="BG3" s="4"/>
      <c r="BH3" s="4"/>
      <c r="BI3" s="4"/>
      <c r="BJ3" s="4"/>
      <c r="BK3" s="6"/>
      <c r="BL3" s="5"/>
      <c r="BM3" s="3"/>
      <c r="BN3" s="5"/>
      <c r="BO3" s="4"/>
      <c r="BP3" s="5"/>
      <c r="BQ3" s="4"/>
      <c r="BR3" s="5"/>
      <c r="BS3" s="4"/>
      <c r="BT3" s="4"/>
      <c r="BU3" s="4"/>
      <c r="BV3" s="3"/>
      <c r="BW3" s="8"/>
      <c r="BX3" s="4"/>
      <c r="BY3" s="4"/>
      <c r="BZ3" s="2"/>
      <c r="CA3" s="4"/>
      <c r="CB3" s="4"/>
      <c r="CC3" s="2"/>
      <c r="CD3" s="4"/>
      <c r="CE3" s="4"/>
      <c r="CF3" s="4"/>
      <c r="CG3" s="4"/>
      <c r="CH3" s="12"/>
      <c r="CI3" s="4"/>
      <c r="CJ3" s="4"/>
      <c r="CK3" s="4"/>
      <c r="CL3" s="4"/>
      <c r="CM3" s="4"/>
      <c r="CN3" s="4"/>
      <c r="CO3" s="1"/>
      <c r="CP3" s="4"/>
      <c r="CQ3" s="4"/>
      <c r="CR3" s="4"/>
      <c r="CS3" s="1"/>
      <c r="CT3" s="8"/>
      <c r="CU3" s="8"/>
      <c r="CV3" s="4"/>
      <c r="CW3" s="4"/>
      <c r="CX3" s="4"/>
      <c r="CY3" s="4"/>
      <c r="CZ3" s="4"/>
      <c r="DA3" s="7"/>
      <c r="DB3" s="4"/>
      <c r="DC3" s="4"/>
      <c r="DD3" s="4"/>
      <c r="DE3" s="4"/>
      <c r="DF3" s="4"/>
      <c r="DG3" s="2"/>
      <c r="DH3" s="7"/>
      <c r="DI3" s="4"/>
      <c r="DJ3" s="8"/>
      <c r="DK3" s="4"/>
      <c r="DL3" s="8"/>
      <c r="DM3" s="2"/>
      <c r="DN3" s="4"/>
      <c r="DO3" s="4"/>
      <c r="DP3" s="7"/>
      <c r="DQ3" s="4"/>
      <c r="DR3" s="4"/>
      <c r="DS3" s="1"/>
      <c r="DT3" s="4"/>
      <c r="DU3" s="4"/>
      <c r="DV3" s="4"/>
      <c r="DW3" s="4"/>
      <c r="DX3" s="4"/>
      <c r="DY3" s="4"/>
      <c r="DZ3" s="8"/>
      <c r="EA3" s="10"/>
      <c r="EB3" s="4"/>
      <c r="EC3" s="4"/>
      <c r="ED3" s="4"/>
      <c r="EE3" s="4"/>
      <c r="EF3" s="4"/>
      <c r="EG3" s="4"/>
      <c r="EH3" s="4"/>
      <c r="EI3" s="4"/>
      <c r="EJ3" s="2"/>
      <c r="EK3" s="4"/>
      <c r="EL3" s="4"/>
      <c r="EM3" s="4"/>
      <c r="EN3" s="4"/>
      <c r="EO3" s="4"/>
      <c r="EP3" s="4"/>
      <c r="EQ3" s="4"/>
      <c r="ER3" s="4"/>
      <c r="ES3" s="4"/>
      <c r="ET3" s="4"/>
      <c r="EU3" s="4"/>
      <c r="EV3" s="4"/>
      <c r="EW3" s="4"/>
      <c r="EX3" s="4"/>
      <c r="EY3" s="4"/>
      <c r="EZ3" s="4"/>
      <c r="FA3" s="4"/>
      <c r="FB3" s="1"/>
      <c r="FC3" s="4"/>
      <c r="FD3" s="4"/>
      <c r="FE3" s="5"/>
      <c r="FF3" s="14"/>
      <c r="FG3" s="4"/>
      <c r="FH3" s="4"/>
      <c r="FI3" s="1"/>
      <c r="FJ3" s="4"/>
      <c r="FK3" s="5"/>
      <c r="FL3" s="5"/>
      <c r="FM3" s="15"/>
      <c r="FN3" s="4"/>
      <c r="FO3" s="4"/>
      <c r="FP3" s="4"/>
      <c r="FQ3" s="4"/>
      <c r="FR3" s="15"/>
      <c r="FS3" s="2"/>
      <c r="FT3" s="4"/>
      <c r="FU3" s="4"/>
      <c r="FV3" s="4"/>
      <c r="FW3" s="7"/>
      <c r="FX3" s="4"/>
      <c r="FY3" s="4"/>
      <c r="FZ3" s="4"/>
      <c r="GA3" s="4"/>
      <c r="GB3" s="4"/>
      <c r="GC3" s="4"/>
      <c r="GD3" s="4"/>
      <c r="GE3" s="4"/>
      <c r="GF3" s="5"/>
      <c r="GG3" s="14"/>
      <c r="GH3" s="8"/>
      <c r="GI3" s="8"/>
      <c r="GJ3" s="8"/>
      <c r="GK3" s="8"/>
      <c r="GL3" s="16"/>
      <c r="GM3" s="4"/>
      <c r="GN3" s="4"/>
      <c r="GO3" s="4"/>
      <c r="GP3" s="4"/>
      <c r="GQ3" s="4"/>
      <c r="GR3" s="4"/>
      <c r="GS3" s="4"/>
      <c r="GT3" s="4"/>
      <c r="GU3" s="4"/>
      <c r="GV3" s="4"/>
      <c r="GW3" s="4"/>
      <c r="GX3" s="4"/>
      <c r="GY3" s="4"/>
      <c r="GZ3" s="4"/>
      <c r="HA3" s="4"/>
      <c r="HB3" s="4"/>
      <c r="HC3" s="4"/>
      <c r="HD3" s="4"/>
      <c r="HE3" s="4"/>
      <c r="HF3" s="4"/>
      <c r="HG3" s="4"/>
      <c r="HH3" s="4"/>
      <c r="HI3" s="4"/>
    </row>
    <row r="4">
      <c r="A4" s="1" t="s">
        <v>6</v>
      </c>
      <c r="B4" s="2" t="s">
        <v>7</v>
      </c>
      <c r="C4" s="1" t="s">
        <v>72</v>
      </c>
      <c r="D4" s="2" t="s">
        <v>8</v>
      </c>
      <c r="E4" s="2" t="s">
        <v>9</v>
      </c>
      <c r="F4" s="2" t="s">
        <v>10</v>
      </c>
      <c r="G4" s="1" t="s">
        <v>11</v>
      </c>
      <c r="H4" s="1" t="s">
        <v>12</v>
      </c>
      <c r="I4" s="1" t="s">
        <v>13</v>
      </c>
      <c r="J4" s="1" t="s">
        <v>14</v>
      </c>
      <c r="K4" s="1" t="s">
        <v>15</v>
      </c>
      <c r="L4" s="1" t="s">
        <v>16</v>
      </c>
      <c r="M4" s="1" t="s">
        <v>17</v>
      </c>
      <c r="N4" s="1" t="s">
        <v>18</v>
      </c>
      <c r="O4" s="1" t="s">
        <v>27</v>
      </c>
      <c r="P4" s="1" t="s">
        <v>28</v>
      </c>
      <c r="Q4" s="1" t="s">
        <v>20</v>
      </c>
      <c r="R4" s="3" t="s">
        <v>21</v>
      </c>
      <c r="S4" s="4" t="s">
        <v>22</v>
      </c>
      <c r="T4" s="5" t="s">
        <v>23</v>
      </c>
      <c r="U4" s="4" t="s">
        <v>24</v>
      </c>
      <c r="V4" s="18" t="s">
        <v>25</v>
      </c>
      <c r="W4" s="18" t="s">
        <v>29</v>
      </c>
      <c r="X4" s="18" t="s">
        <v>30</v>
      </c>
      <c r="Y4" s="4" t="s">
        <v>31</v>
      </c>
      <c r="Z4" s="4" t="s">
        <v>32</v>
      </c>
      <c r="AA4" s="18" t="s">
        <v>33</v>
      </c>
      <c r="AB4" s="6" t="s">
        <v>34</v>
      </c>
      <c r="AC4" s="4" t="s">
        <v>35</v>
      </c>
      <c r="AD4" s="7" t="s">
        <v>36</v>
      </c>
      <c r="AE4" s="3" t="s">
        <v>37</v>
      </c>
      <c r="AF4" s="8" t="s">
        <v>38</v>
      </c>
      <c r="AG4" s="8" t="s">
        <v>39</v>
      </c>
      <c r="AH4" s="18" t="s">
        <v>40</v>
      </c>
      <c r="AI4" s="1" t="s">
        <v>41</v>
      </c>
      <c r="AJ4" s="4" t="s">
        <v>42</v>
      </c>
      <c r="AK4" s="18" t="s">
        <v>43</v>
      </c>
      <c r="AL4" s="4" t="s">
        <v>44</v>
      </c>
      <c r="AM4" s="10" t="s">
        <v>45</v>
      </c>
      <c r="AN4" s="12" t="s">
        <v>46</v>
      </c>
      <c r="AO4" s="18" t="s">
        <v>47</v>
      </c>
      <c r="AP4" s="7" t="s">
        <v>48</v>
      </c>
      <c r="AQ4" s="4" t="s">
        <v>49</v>
      </c>
      <c r="AR4" s="4" t="s">
        <v>50</v>
      </c>
      <c r="AS4" s="4" t="s">
        <v>51</v>
      </c>
      <c r="AT4" s="4" t="s">
        <v>52</v>
      </c>
      <c r="AU4" s="18" t="s">
        <v>53</v>
      </c>
      <c r="AV4" s="18" t="s">
        <v>54</v>
      </c>
      <c r="AW4" s="18" t="s">
        <v>55</v>
      </c>
      <c r="AX4" s="19" t="s">
        <v>56</v>
      </c>
      <c r="AY4" s="18" t="s">
        <v>57</v>
      </c>
      <c r="AZ4" s="18" t="s">
        <v>58</v>
      </c>
      <c r="BA4" s="20" t="s">
        <v>59</v>
      </c>
      <c r="BB4" s="20" t="s">
        <v>60</v>
      </c>
      <c r="BC4" s="5" t="s">
        <v>61</v>
      </c>
      <c r="BD4" s="5" t="s">
        <v>62</v>
      </c>
      <c r="BE4" s="6" t="s">
        <v>63</v>
      </c>
      <c r="BF4" s="4" t="s">
        <v>64</v>
      </c>
      <c r="BG4" s="18" t="s">
        <v>65</v>
      </c>
      <c r="BH4" s="4" t="s">
        <v>66</v>
      </c>
      <c r="BI4" s="18" t="s">
        <v>67</v>
      </c>
      <c r="BJ4" s="18" t="s">
        <v>68</v>
      </c>
      <c r="BK4" s="6" t="s">
        <v>69</v>
      </c>
      <c r="BL4" s="5" t="s">
        <v>70</v>
      </c>
      <c r="BM4" s="3" t="s">
        <v>71</v>
      </c>
      <c r="BN4" s="5" t="s">
        <v>73</v>
      </c>
      <c r="BO4" s="18" t="s">
        <v>74</v>
      </c>
      <c r="BP4" s="5" t="s">
        <v>75</v>
      </c>
      <c r="BQ4" s="4" t="s">
        <v>76</v>
      </c>
      <c r="BR4" s="5" t="s">
        <v>77</v>
      </c>
      <c r="BS4" s="4" t="s">
        <v>78</v>
      </c>
      <c r="BT4" s="18" t="s">
        <v>79</v>
      </c>
      <c r="BU4" s="4" t="s">
        <v>80</v>
      </c>
      <c r="BV4" s="21" t="s">
        <v>81</v>
      </c>
      <c r="BW4" s="8" t="s">
        <v>82</v>
      </c>
      <c r="BX4" s="4" t="s">
        <v>83</v>
      </c>
      <c r="BY4" s="4" t="s">
        <v>84</v>
      </c>
      <c r="BZ4" s="2" t="s">
        <v>85</v>
      </c>
      <c r="CA4" s="4" t="s">
        <v>86</v>
      </c>
      <c r="CB4" s="4" t="s">
        <v>87</v>
      </c>
      <c r="CC4" s="2" t="s">
        <v>88</v>
      </c>
      <c r="CD4" s="18" t="s">
        <v>89</v>
      </c>
      <c r="CE4" s="18" t="s">
        <v>90</v>
      </c>
      <c r="CF4" s="4" t="s">
        <v>91</v>
      </c>
      <c r="CG4" s="18" t="s">
        <v>92</v>
      </c>
      <c r="CH4" s="12" t="s">
        <v>93</v>
      </c>
      <c r="CI4" s="4" t="s">
        <v>94</v>
      </c>
      <c r="CJ4" s="18" t="s">
        <v>95</v>
      </c>
      <c r="CK4" s="4" t="s">
        <v>96</v>
      </c>
      <c r="CL4" s="4" t="s">
        <v>97</v>
      </c>
      <c r="CM4" s="18" t="s">
        <v>98</v>
      </c>
      <c r="CN4" s="4" t="s">
        <v>99</v>
      </c>
      <c r="CO4" s="1" t="s">
        <v>100</v>
      </c>
      <c r="CP4" s="18" t="s">
        <v>101</v>
      </c>
      <c r="CQ4" s="18" t="s">
        <v>102</v>
      </c>
      <c r="CR4" s="4" t="s">
        <v>103</v>
      </c>
      <c r="CS4" s="1" t="s">
        <v>104</v>
      </c>
      <c r="CT4" s="8" t="s">
        <v>105</v>
      </c>
      <c r="CU4" s="8" t="s">
        <v>106</v>
      </c>
      <c r="CV4" s="18" t="s">
        <v>107</v>
      </c>
      <c r="CW4" s="18" t="s">
        <v>108</v>
      </c>
      <c r="CX4" s="18" t="s">
        <v>109</v>
      </c>
      <c r="CY4" s="18" t="s">
        <v>110</v>
      </c>
      <c r="CZ4" s="18" t="s">
        <v>111</v>
      </c>
      <c r="DA4" s="7" t="s">
        <v>112</v>
      </c>
      <c r="DB4" s="18" t="s">
        <v>113</v>
      </c>
      <c r="DC4" s="4" t="s">
        <v>114</v>
      </c>
      <c r="DD4" s="18" t="s">
        <v>115</v>
      </c>
      <c r="DE4" s="18" t="s">
        <v>116</v>
      </c>
      <c r="DF4" s="4" t="s">
        <v>117</v>
      </c>
      <c r="DG4" s="2" t="s">
        <v>118</v>
      </c>
      <c r="DH4" s="7" t="s">
        <v>119</v>
      </c>
      <c r="DI4" s="4" t="s">
        <v>120</v>
      </c>
      <c r="DJ4" s="8" t="s">
        <v>121</v>
      </c>
      <c r="DK4" s="18" t="s">
        <v>122</v>
      </c>
      <c r="DL4" s="8" t="s">
        <v>123</v>
      </c>
      <c r="DM4" s="2" t="s">
        <v>124</v>
      </c>
      <c r="DN4" s="4" t="s">
        <v>125</v>
      </c>
      <c r="DO4" s="4" t="s">
        <v>126</v>
      </c>
      <c r="DP4" s="7" t="s">
        <v>127</v>
      </c>
      <c r="DQ4" s="4" t="s">
        <v>128</v>
      </c>
      <c r="DR4" s="4" t="s">
        <v>129</v>
      </c>
      <c r="DS4" s="1" t="s">
        <v>130</v>
      </c>
      <c r="DT4" s="18" t="s">
        <v>131</v>
      </c>
      <c r="DU4" s="18" t="s">
        <v>132</v>
      </c>
      <c r="DV4" s="4" t="s">
        <v>133</v>
      </c>
      <c r="DW4" s="18" t="s">
        <v>134</v>
      </c>
      <c r="DX4" s="4" t="s">
        <v>135</v>
      </c>
      <c r="DY4" s="4" t="s">
        <v>136</v>
      </c>
      <c r="DZ4" s="8" t="s">
        <v>137</v>
      </c>
      <c r="EA4" s="10" t="s">
        <v>138</v>
      </c>
      <c r="EB4" s="18" t="s">
        <v>139</v>
      </c>
      <c r="EC4" s="18" t="s">
        <v>140</v>
      </c>
      <c r="ED4" s="4" t="s">
        <v>141</v>
      </c>
      <c r="EE4" s="18" t="s">
        <v>142</v>
      </c>
      <c r="EF4" s="18" t="s">
        <v>143</v>
      </c>
      <c r="EG4" s="18" t="s">
        <v>146</v>
      </c>
      <c r="EH4" s="18" t="s">
        <v>144</v>
      </c>
      <c r="EI4" s="4" t="s">
        <v>145</v>
      </c>
      <c r="EJ4" s="2" t="s">
        <v>147</v>
      </c>
      <c r="EK4" s="18" t="s">
        <v>148</v>
      </c>
      <c r="EL4" s="18" t="s">
        <v>149</v>
      </c>
      <c r="EM4" s="4" t="s">
        <v>150</v>
      </c>
      <c r="EN4" s="4" t="s">
        <v>151</v>
      </c>
      <c r="EO4" s="18" t="s">
        <v>152</v>
      </c>
      <c r="EP4" s="4" t="s">
        <v>153</v>
      </c>
      <c r="EQ4" s="4" t="s">
        <v>154</v>
      </c>
      <c r="ER4" s="4" t="s">
        <v>155</v>
      </c>
      <c r="ES4" s="18" t="s">
        <v>156</v>
      </c>
      <c r="ET4" s="18" t="s">
        <v>157</v>
      </c>
      <c r="EU4" s="18" t="s">
        <v>158</v>
      </c>
      <c r="EV4" s="4" t="s">
        <v>159</v>
      </c>
      <c r="EW4" s="4" t="s">
        <v>160</v>
      </c>
      <c r="EX4" s="4" t="s">
        <v>161</v>
      </c>
      <c r="EY4" s="18" t="s">
        <v>162</v>
      </c>
      <c r="EZ4" s="4" t="s">
        <v>163</v>
      </c>
      <c r="FA4" s="4" t="s">
        <v>164</v>
      </c>
      <c r="FB4" s="1" t="s">
        <v>165</v>
      </c>
      <c r="FC4" s="4" t="s">
        <v>166</v>
      </c>
      <c r="FD4" s="18" t="s">
        <v>167</v>
      </c>
      <c r="FE4" s="5" t="s">
        <v>200</v>
      </c>
      <c r="FF4" s="22" t="s">
        <v>169</v>
      </c>
      <c r="FG4" s="4" t="s">
        <v>170</v>
      </c>
      <c r="FH4" s="4" t="s">
        <v>171</v>
      </c>
      <c r="FI4" s="1" t="s">
        <v>172</v>
      </c>
      <c r="FJ4" s="18" t="s">
        <v>173</v>
      </c>
      <c r="FK4" s="5" t="s">
        <v>174</v>
      </c>
      <c r="FL4" s="5" t="s">
        <v>175</v>
      </c>
      <c r="FM4" s="15" t="s">
        <v>176</v>
      </c>
      <c r="FN4" s="4" t="s">
        <v>177</v>
      </c>
      <c r="FO4" s="4" t="s">
        <v>203</v>
      </c>
      <c r="FP4" s="4" t="s">
        <v>178</v>
      </c>
      <c r="FQ4" s="18" t="s">
        <v>179</v>
      </c>
      <c r="FR4" s="15" t="s">
        <v>180</v>
      </c>
      <c r="FS4" s="2" t="s">
        <v>181</v>
      </c>
      <c r="FT4" s="4" t="s">
        <v>182</v>
      </c>
      <c r="FU4" s="4" t="s">
        <v>183</v>
      </c>
      <c r="FV4" s="18" t="s">
        <v>184</v>
      </c>
      <c r="FW4" s="7" t="s">
        <v>185</v>
      </c>
      <c r="FX4" s="4" t="s">
        <v>205</v>
      </c>
      <c r="FY4" s="4" t="s">
        <v>194</v>
      </c>
      <c r="FZ4" s="4" t="s">
        <v>186</v>
      </c>
      <c r="GA4" s="4" t="s">
        <v>187</v>
      </c>
      <c r="GB4" s="18" t="s">
        <v>188</v>
      </c>
      <c r="GC4" s="4" t="s">
        <v>189</v>
      </c>
      <c r="GD4" s="4" t="s">
        <v>190</v>
      </c>
      <c r="GE4" s="18" t="s">
        <v>191</v>
      </c>
      <c r="GF4" s="5" t="s">
        <v>192</v>
      </c>
      <c r="GG4" s="22" t="s">
        <v>193</v>
      </c>
      <c r="GH4" s="8" t="s">
        <v>195</v>
      </c>
      <c r="GI4" s="8" t="s">
        <v>207</v>
      </c>
      <c r="GJ4" s="8" t="s">
        <v>208</v>
      </c>
      <c r="GK4" s="8" t="s">
        <v>210</v>
      </c>
      <c r="GL4" s="16" t="s">
        <v>211</v>
      </c>
      <c r="GM4" s="4" t="s">
        <v>213</v>
      </c>
      <c r="GN4" s="4"/>
      <c r="GO4" s="4"/>
      <c r="GP4" s="4"/>
      <c r="GQ4" s="4"/>
      <c r="GR4" s="4"/>
      <c r="GS4" s="4"/>
      <c r="GT4" s="4"/>
      <c r="GU4" s="4"/>
      <c r="GV4" s="4"/>
      <c r="GW4" s="4"/>
      <c r="GX4" s="4"/>
      <c r="GY4" s="4"/>
      <c r="GZ4" s="4"/>
      <c r="HA4" s="4"/>
      <c r="HB4" s="4"/>
      <c r="HC4" s="4"/>
      <c r="HD4" s="4"/>
      <c r="HE4" s="4"/>
      <c r="HF4" s="4"/>
      <c r="HG4" s="4"/>
      <c r="HH4" s="4"/>
      <c r="HI4" s="4"/>
    </row>
    <row r="5">
      <c r="A5" s="23">
        <v>38018.0</v>
      </c>
      <c r="B5" s="4" t="s">
        <v>196</v>
      </c>
      <c r="C5" s="4">
        <v>1.0</v>
      </c>
      <c r="D5" s="4">
        <v>21.559278</v>
      </c>
      <c r="E5" s="4">
        <v>-157.871902</v>
      </c>
      <c r="F5" s="4" t="s">
        <v>197</v>
      </c>
      <c r="G5" s="24">
        <v>0.0</v>
      </c>
      <c r="H5" s="24">
        <v>0.041666666666666664</v>
      </c>
      <c r="I5" s="4">
        <v>6.0</v>
      </c>
      <c r="J5" s="4">
        <v>10.0</v>
      </c>
      <c r="K5" s="4" t="s">
        <v>198</v>
      </c>
      <c r="L5" s="4">
        <v>11.0</v>
      </c>
      <c r="M5" s="4">
        <v>22.0</v>
      </c>
      <c r="N5" s="4" t="s">
        <v>199</v>
      </c>
      <c r="P5" s="4">
        <v>22.0</v>
      </c>
      <c r="R5" s="4">
        <v>23.0</v>
      </c>
      <c r="AD5" s="4">
        <v>15.0</v>
      </c>
      <c r="AF5" s="4">
        <v>15.0</v>
      </c>
      <c r="AK5" s="4">
        <v>11.0</v>
      </c>
      <c r="BM5" s="4">
        <v>6.0</v>
      </c>
      <c r="DP5" s="4">
        <v>1.0</v>
      </c>
      <c r="ED5" s="4">
        <v>8.0</v>
      </c>
      <c r="FB5" s="4">
        <v>15.0</v>
      </c>
      <c r="FS5" s="4">
        <v>54.0</v>
      </c>
      <c r="FT5" s="4">
        <v>1.0</v>
      </c>
      <c r="GF5" s="4">
        <v>17.0</v>
      </c>
      <c r="GH5" s="25">
        <f t="shared" ref="GH5:GH51" si="1">count(R5:GG5)</f>
        <v>11</v>
      </c>
      <c r="GI5" s="25">
        <f t="shared" ref="GI5:GI51" si="2">countif(R5:GG5,"&gt;=2")</f>
        <v>9</v>
      </c>
      <c r="GJ5" s="25">
        <f t="shared" ref="GJ5:GJ51" si="3">countif(R5:GG5,"&gt;=5")</f>
        <v>9</v>
      </c>
      <c r="GK5" s="25">
        <f t="shared" ref="GK5:GK51" si="4">sum(R5:GG5)</f>
        <v>166</v>
      </c>
      <c r="GL5" s="25">
        <f t="shared" ref="GL5:GL51" si="5">25*P5</f>
        <v>550</v>
      </c>
      <c r="GM5" s="25">
        <f t="shared" ref="GM5:GM51" si="6">GL5-GK5</f>
        <v>384</v>
      </c>
    </row>
    <row r="6">
      <c r="A6" s="23">
        <v>38041.0</v>
      </c>
      <c r="B6" s="4" t="s">
        <v>201</v>
      </c>
      <c r="C6" s="28">
        <f t="shared" ref="C6:C51" si="7">C5+1</f>
        <v>2</v>
      </c>
      <c r="D6" s="4">
        <v>21.25544</v>
      </c>
      <c r="E6" s="4">
        <v>-157.810303</v>
      </c>
      <c r="F6" s="4" t="s">
        <v>197</v>
      </c>
      <c r="G6" s="24">
        <v>0.0</v>
      </c>
      <c r="H6" s="24">
        <v>0.041666666666666664</v>
      </c>
      <c r="I6" s="4">
        <v>6.0</v>
      </c>
      <c r="J6" s="4">
        <v>11.0</v>
      </c>
      <c r="K6" s="4" t="s">
        <v>198</v>
      </c>
      <c r="L6" s="4">
        <v>12.0</v>
      </c>
      <c r="M6" s="4">
        <v>58.0</v>
      </c>
      <c r="N6" s="4" t="s">
        <v>202</v>
      </c>
      <c r="P6" s="4">
        <v>58.0</v>
      </c>
      <c r="R6" s="4">
        <v>3.0</v>
      </c>
      <c r="AF6" s="4">
        <v>3.0</v>
      </c>
      <c r="AO6" s="4">
        <v>1.0</v>
      </c>
      <c r="BB6" s="4">
        <v>5.0</v>
      </c>
      <c r="BM6" s="4">
        <v>4.0</v>
      </c>
      <c r="BQ6" s="4">
        <v>10.0</v>
      </c>
      <c r="BZ6" s="4">
        <v>102.0</v>
      </c>
      <c r="CB6" s="4">
        <v>3.0</v>
      </c>
      <c r="CS6" s="4">
        <v>2.0</v>
      </c>
      <c r="DM6" s="4">
        <v>51.0</v>
      </c>
      <c r="DP6" s="4">
        <v>3.0</v>
      </c>
      <c r="DS6" s="4">
        <v>27.0</v>
      </c>
      <c r="DV6" s="4">
        <v>4.0</v>
      </c>
      <c r="ED6" s="4">
        <v>2.0</v>
      </c>
      <c r="EJ6" s="4">
        <v>332.0</v>
      </c>
      <c r="FB6" s="4">
        <v>81.0</v>
      </c>
      <c r="FC6" s="4">
        <v>3.0</v>
      </c>
      <c r="FR6" s="4">
        <v>15.0</v>
      </c>
      <c r="FS6" s="4">
        <v>308.0</v>
      </c>
      <c r="GE6" s="4">
        <v>1.0</v>
      </c>
      <c r="GF6" s="4">
        <v>3.0</v>
      </c>
      <c r="GH6" s="25">
        <f t="shared" si="1"/>
        <v>21</v>
      </c>
      <c r="GI6" s="25">
        <f t="shared" si="2"/>
        <v>19</v>
      </c>
      <c r="GJ6" s="25">
        <f t="shared" si="3"/>
        <v>9</v>
      </c>
      <c r="GK6" s="25">
        <f t="shared" si="4"/>
        <v>963</v>
      </c>
      <c r="GL6" s="25">
        <f t="shared" si="5"/>
        <v>1450</v>
      </c>
      <c r="GM6" s="25">
        <f t="shared" si="6"/>
        <v>487</v>
      </c>
    </row>
    <row r="7">
      <c r="A7" s="23">
        <v>38050.0</v>
      </c>
      <c r="B7" s="4" t="s">
        <v>196</v>
      </c>
      <c r="C7" s="28">
        <f t="shared" si="7"/>
        <v>3</v>
      </c>
      <c r="D7" s="4">
        <v>21.559278</v>
      </c>
      <c r="E7" s="4">
        <v>-157.871902</v>
      </c>
      <c r="F7" s="4" t="s">
        <v>197</v>
      </c>
      <c r="G7" s="24">
        <v>0.0</v>
      </c>
      <c r="H7" s="24">
        <v>0.041666666666666664</v>
      </c>
      <c r="I7" s="4">
        <v>6.0</v>
      </c>
      <c r="J7" s="4">
        <v>10.0</v>
      </c>
      <c r="K7" s="4" t="s">
        <v>198</v>
      </c>
      <c r="L7" s="4">
        <v>11.0</v>
      </c>
      <c r="M7" s="4">
        <v>33.0</v>
      </c>
      <c r="N7" s="4" t="s">
        <v>204</v>
      </c>
      <c r="P7" s="4">
        <v>33.0</v>
      </c>
      <c r="R7" s="4">
        <v>30.0</v>
      </c>
      <c r="AD7" s="4">
        <v>13.0</v>
      </c>
      <c r="AF7" s="4">
        <v>28.0</v>
      </c>
      <c r="AK7" s="4">
        <v>13.0</v>
      </c>
      <c r="BM7" s="4">
        <v>6.0</v>
      </c>
      <c r="ED7" s="4">
        <v>4.0</v>
      </c>
      <c r="FB7" s="4">
        <v>15.0</v>
      </c>
      <c r="FC7" s="4">
        <v>8.0</v>
      </c>
      <c r="FS7" s="4">
        <v>73.0</v>
      </c>
      <c r="FT7" s="4">
        <v>2.0</v>
      </c>
      <c r="GF7" s="4">
        <v>103.0</v>
      </c>
      <c r="GH7" s="25">
        <f t="shared" si="1"/>
        <v>11</v>
      </c>
      <c r="GI7" s="25">
        <f t="shared" si="2"/>
        <v>11</v>
      </c>
      <c r="GJ7" s="25">
        <f t="shared" si="3"/>
        <v>9</v>
      </c>
      <c r="GK7" s="25">
        <f t="shared" si="4"/>
        <v>295</v>
      </c>
      <c r="GL7" s="25">
        <f t="shared" si="5"/>
        <v>825</v>
      </c>
      <c r="GM7" s="25">
        <f t="shared" si="6"/>
        <v>530</v>
      </c>
    </row>
    <row r="8">
      <c r="A8" s="23">
        <v>38384.0</v>
      </c>
      <c r="B8" s="4" t="s">
        <v>196</v>
      </c>
      <c r="C8" s="28">
        <f t="shared" si="7"/>
        <v>4</v>
      </c>
      <c r="D8" s="4">
        <v>21.559278</v>
      </c>
      <c r="E8" s="4">
        <v>-157.871902</v>
      </c>
      <c r="F8" s="4" t="s">
        <v>197</v>
      </c>
      <c r="G8" s="24">
        <v>0.0</v>
      </c>
      <c r="H8" s="24">
        <v>0.041666666666666664</v>
      </c>
      <c r="I8" s="4">
        <v>7.0</v>
      </c>
      <c r="J8" s="4">
        <v>9.0</v>
      </c>
      <c r="K8" s="4" t="s">
        <v>198</v>
      </c>
      <c r="L8" s="4">
        <v>10.0</v>
      </c>
      <c r="M8" s="4">
        <v>31.0</v>
      </c>
      <c r="N8" s="4" t="s">
        <v>206</v>
      </c>
      <c r="P8" s="4">
        <v>31.0</v>
      </c>
      <c r="R8" s="4">
        <v>85.0</v>
      </c>
      <c r="AD8" s="4">
        <v>14.0</v>
      </c>
      <c r="AF8" s="4">
        <v>37.0</v>
      </c>
      <c r="AK8" s="4">
        <v>4.0</v>
      </c>
      <c r="DH8" s="4">
        <v>4.0</v>
      </c>
      <c r="DI8" s="4">
        <v>1.0</v>
      </c>
      <c r="ED8" s="4">
        <v>21.0</v>
      </c>
      <c r="FC8" s="4">
        <v>2.0</v>
      </c>
      <c r="FT8" s="4">
        <v>1.0</v>
      </c>
      <c r="GE8" s="4">
        <v>15.0</v>
      </c>
      <c r="GF8" s="4">
        <v>5.0</v>
      </c>
      <c r="GH8" s="25">
        <f t="shared" si="1"/>
        <v>11</v>
      </c>
      <c r="GI8" s="25">
        <f t="shared" si="2"/>
        <v>9</v>
      </c>
      <c r="GJ8" s="25">
        <f t="shared" si="3"/>
        <v>6</v>
      </c>
      <c r="GK8" s="25">
        <f t="shared" si="4"/>
        <v>189</v>
      </c>
      <c r="GL8" s="25">
        <f t="shared" si="5"/>
        <v>775</v>
      </c>
      <c r="GM8" s="25">
        <f t="shared" si="6"/>
        <v>586</v>
      </c>
    </row>
    <row r="9">
      <c r="A9" s="23">
        <v>38401.0</v>
      </c>
      <c r="B9" s="4" t="s">
        <v>201</v>
      </c>
      <c r="C9" s="28">
        <f t="shared" si="7"/>
        <v>5</v>
      </c>
      <c r="D9" s="4">
        <v>21.25544</v>
      </c>
      <c r="E9" s="4">
        <v>-157.810303</v>
      </c>
      <c r="F9" s="4" t="s">
        <v>197</v>
      </c>
      <c r="G9" s="24">
        <v>0.0</v>
      </c>
      <c r="H9" s="24">
        <v>0.041666666666666664</v>
      </c>
      <c r="I9" s="4">
        <v>6.0</v>
      </c>
      <c r="J9" s="4">
        <v>9.0</v>
      </c>
      <c r="K9" s="4" t="s">
        <v>198</v>
      </c>
      <c r="L9" s="4">
        <v>10.0</v>
      </c>
      <c r="M9" s="4">
        <v>56.0</v>
      </c>
      <c r="N9" s="4"/>
      <c r="P9" s="4">
        <v>56.0</v>
      </c>
      <c r="R9" s="4">
        <v>6.0</v>
      </c>
      <c r="AF9" s="4">
        <v>3.0</v>
      </c>
      <c r="BQ9" s="4">
        <v>3.0</v>
      </c>
      <c r="BW9" s="4">
        <v>15.0</v>
      </c>
      <c r="CB9" s="4">
        <v>3.0</v>
      </c>
      <c r="CV9" s="4">
        <v>1.0</v>
      </c>
      <c r="DM9" s="4">
        <v>132.0</v>
      </c>
      <c r="DP9" s="4">
        <v>1.0</v>
      </c>
      <c r="DW9" s="4">
        <v>1.0</v>
      </c>
      <c r="ED9" s="4">
        <v>6.0</v>
      </c>
      <c r="EJ9" s="4">
        <v>332.0</v>
      </c>
      <c r="FB9" s="4">
        <v>99.0</v>
      </c>
      <c r="FC9" s="4">
        <v>1.0</v>
      </c>
      <c r="FS9" s="4">
        <v>208.0</v>
      </c>
      <c r="GF9" s="4">
        <v>12.0</v>
      </c>
      <c r="GH9" s="25">
        <f t="shared" si="1"/>
        <v>15</v>
      </c>
      <c r="GI9" s="25">
        <f t="shared" si="2"/>
        <v>11</v>
      </c>
      <c r="GJ9" s="25">
        <f t="shared" si="3"/>
        <v>8</v>
      </c>
      <c r="GK9" s="25">
        <f t="shared" si="4"/>
        <v>823</v>
      </c>
      <c r="GL9" s="25">
        <f t="shared" si="5"/>
        <v>1400</v>
      </c>
      <c r="GM9" s="25">
        <f t="shared" si="6"/>
        <v>577</v>
      </c>
    </row>
    <row r="10">
      <c r="A10" s="23">
        <v>38416.0</v>
      </c>
      <c r="B10" s="4" t="s">
        <v>196</v>
      </c>
      <c r="C10" s="28">
        <f t="shared" si="7"/>
        <v>6</v>
      </c>
      <c r="D10" s="4">
        <v>21.559278</v>
      </c>
      <c r="E10" s="4">
        <v>-157.871902</v>
      </c>
      <c r="F10" s="4" t="s">
        <v>197</v>
      </c>
      <c r="G10" s="24">
        <v>0.0</v>
      </c>
      <c r="H10" s="24">
        <v>0.041666666666666664</v>
      </c>
      <c r="I10" s="4">
        <v>7.0</v>
      </c>
      <c r="J10" s="4">
        <v>9.0</v>
      </c>
      <c r="K10" s="4" t="s">
        <v>198</v>
      </c>
      <c r="L10" s="4">
        <v>10.0</v>
      </c>
      <c r="M10" s="4">
        <v>29.0</v>
      </c>
      <c r="N10" s="4" t="s">
        <v>214</v>
      </c>
      <c r="P10" s="4">
        <v>29.0</v>
      </c>
      <c r="R10" s="4">
        <v>57.0</v>
      </c>
      <c r="AD10" s="4">
        <v>15.0</v>
      </c>
      <c r="AF10" s="4">
        <v>28.0</v>
      </c>
      <c r="AK10" s="4">
        <v>1.0</v>
      </c>
      <c r="DH10" s="4">
        <v>2.0</v>
      </c>
      <c r="DP10" s="4">
        <v>1.0</v>
      </c>
      <c r="ED10" s="4">
        <v>14.0</v>
      </c>
      <c r="EJ10" s="4">
        <v>10.0</v>
      </c>
      <c r="FC10" s="4">
        <v>1.0</v>
      </c>
      <c r="GF10" s="4">
        <v>8.0</v>
      </c>
      <c r="GH10" s="25">
        <f t="shared" si="1"/>
        <v>10</v>
      </c>
      <c r="GI10" s="25">
        <f t="shared" si="2"/>
        <v>7</v>
      </c>
      <c r="GJ10" s="25">
        <f t="shared" si="3"/>
        <v>6</v>
      </c>
      <c r="GK10" s="25">
        <f t="shared" si="4"/>
        <v>137</v>
      </c>
      <c r="GL10" s="25">
        <f t="shared" si="5"/>
        <v>725</v>
      </c>
      <c r="GM10" s="25">
        <f t="shared" si="6"/>
        <v>588</v>
      </c>
    </row>
    <row r="11">
      <c r="A11" s="29">
        <v>38416.0</v>
      </c>
      <c r="B11" s="27" t="s">
        <v>201</v>
      </c>
      <c r="C11" s="28">
        <f t="shared" si="7"/>
        <v>7</v>
      </c>
      <c r="D11" s="27">
        <v>21.25544</v>
      </c>
      <c r="E11" s="27">
        <v>-157.810303</v>
      </c>
      <c r="F11" s="27" t="s">
        <v>197</v>
      </c>
      <c r="G11" s="30">
        <v>0.0</v>
      </c>
      <c r="H11" s="30">
        <v>0.041666666666666664</v>
      </c>
      <c r="I11" s="27">
        <v>7.0</v>
      </c>
      <c r="J11" s="27">
        <v>9.0</v>
      </c>
      <c r="K11" s="27" t="s">
        <v>198</v>
      </c>
      <c r="L11" s="27">
        <v>10.0</v>
      </c>
      <c r="M11" s="27">
        <v>56.0</v>
      </c>
      <c r="N11" s="27" t="s">
        <v>215</v>
      </c>
      <c r="O11" s="26"/>
      <c r="P11" s="27">
        <v>56.0</v>
      </c>
      <c r="Q11" s="26"/>
      <c r="R11" s="27">
        <v>23.0</v>
      </c>
      <c r="S11" s="26"/>
      <c r="T11" s="26"/>
      <c r="U11" s="26"/>
      <c r="V11" s="26"/>
      <c r="W11" s="26"/>
      <c r="X11" s="26"/>
      <c r="Y11" s="26"/>
      <c r="Z11" s="26"/>
      <c r="AA11" s="26"/>
      <c r="AB11" s="26"/>
      <c r="AC11" s="26"/>
      <c r="AD11" s="26"/>
      <c r="AE11" s="26"/>
      <c r="AF11" s="27">
        <v>1.0</v>
      </c>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6"/>
      <c r="BM11" s="26"/>
      <c r="BN11" s="26"/>
      <c r="BO11" s="26"/>
      <c r="BP11" s="26"/>
      <c r="BQ11" s="27">
        <v>3.0</v>
      </c>
      <c r="BR11" s="26"/>
      <c r="BS11" s="26"/>
      <c r="BT11" s="26"/>
      <c r="BU11" s="26"/>
      <c r="BV11" s="26"/>
      <c r="BW11" s="27">
        <v>8.0</v>
      </c>
      <c r="BX11" s="26"/>
      <c r="BY11" s="26"/>
      <c r="BZ11" s="27">
        <v>6.0</v>
      </c>
      <c r="CA11" s="26"/>
      <c r="CB11" s="27">
        <v>4.0</v>
      </c>
      <c r="CC11" s="26"/>
      <c r="CD11" s="27">
        <v>1.0</v>
      </c>
      <c r="CE11" s="26"/>
      <c r="CF11" s="26"/>
      <c r="CG11" s="26"/>
      <c r="CH11" s="26"/>
      <c r="CI11" s="26"/>
      <c r="CJ11" s="26"/>
      <c r="CK11" s="26"/>
      <c r="CL11" s="26"/>
      <c r="CM11" s="26"/>
      <c r="CN11" s="26"/>
      <c r="CO11" s="26"/>
      <c r="CP11" s="26"/>
      <c r="CQ11" s="26"/>
      <c r="CR11" s="26"/>
      <c r="CS11" s="27">
        <v>3.0</v>
      </c>
      <c r="CT11" s="26"/>
      <c r="CU11" s="26"/>
      <c r="CV11" s="27">
        <v>1.0</v>
      </c>
      <c r="CW11" s="26"/>
      <c r="CX11" s="26"/>
      <c r="CY11" s="26"/>
      <c r="CZ11" s="26"/>
      <c r="DA11" s="26"/>
      <c r="DB11" s="26"/>
      <c r="DC11" s="26"/>
      <c r="DD11" s="26"/>
      <c r="DE11" s="26"/>
      <c r="DF11" s="26"/>
      <c r="DG11" s="26"/>
      <c r="DH11" s="26"/>
      <c r="DI11" s="26"/>
      <c r="DJ11" s="26"/>
      <c r="DK11" s="26"/>
      <c r="DL11" s="26"/>
      <c r="DM11" s="27">
        <v>122.0</v>
      </c>
      <c r="DN11" s="26"/>
      <c r="DO11" s="26"/>
      <c r="DP11" s="27">
        <v>1.0</v>
      </c>
      <c r="DQ11" s="26"/>
      <c r="DR11" s="26"/>
      <c r="DS11" s="26"/>
      <c r="DT11" s="26"/>
      <c r="DU11" s="26"/>
      <c r="DV11" s="26"/>
      <c r="DW11" s="26"/>
      <c r="DX11" s="26"/>
      <c r="DY11" s="26"/>
      <c r="DZ11" s="26"/>
      <c r="EA11" s="26"/>
      <c r="EB11" s="26"/>
      <c r="EC11" s="26"/>
      <c r="ED11" s="27">
        <v>1.0</v>
      </c>
      <c r="EE11" s="26"/>
      <c r="EF11" s="26"/>
      <c r="EG11" s="26"/>
      <c r="EH11" s="26"/>
      <c r="EI11" s="26"/>
      <c r="EJ11" s="27">
        <v>301.0</v>
      </c>
      <c r="EK11" s="26"/>
      <c r="EL11" s="26"/>
      <c r="EM11" s="26"/>
      <c r="EN11" s="26"/>
      <c r="EO11" s="26"/>
      <c r="EP11" s="26"/>
      <c r="EQ11" s="26"/>
      <c r="ER11" s="26"/>
      <c r="ES11" s="26"/>
      <c r="ET11" s="26"/>
      <c r="EU11" s="26"/>
      <c r="EV11" s="26"/>
      <c r="EW11" s="26"/>
      <c r="EX11" s="26"/>
      <c r="EY11" s="26"/>
      <c r="EZ11" s="26"/>
      <c r="FA11" s="26"/>
      <c r="FB11" s="27">
        <v>130.0</v>
      </c>
      <c r="FC11" s="26"/>
      <c r="FD11" s="26"/>
      <c r="FE11" s="26"/>
      <c r="FF11" s="26"/>
      <c r="FG11" s="26"/>
      <c r="FH11" s="26"/>
      <c r="FI11" s="26"/>
      <c r="FJ11" s="26"/>
      <c r="FK11" s="26"/>
      <c r="FL11" s="26"/>
      <c r="FM11" s="26"/>
      <c r="FN11" s="26"/>
      <c r="FO11" s="26"/>
      <c r="FP11" s="26"/>
      <c r="FQ11" s="26"/>
      <c r="FR11" s="27">
        <v>1.0</v>
      </c>
      <c r="FS11" s="27">
        <v>91.0</v>
      </c>
      <c r="FT11" s="26"/>
      <c r="FU11" s="26"/>
      <c r="FV11" s="26"/>
      <c r="FW11" s="26"/>
      <c r="FX11" s="26"/>
      <c r="FY11" s="26"/>
      <c r="FZ11" s="26"/>
      <c r="GA11" s="26"/>
      <c r="GB11" s="26"/>
      <c r="GC11" s="26"/>
      <c r="GD11" s="26"/>
      <c r="GE11" s="26"/>
      <c r="GF11" s="27">
        <v>257.0</v>
      </c>
      <c r="GG11" s="26"/>
      <c r="GH11" s="25">
        <f t="shared" si="1"/>
        <v>17</v>
      </c>
      <c r="GI11" s="25">
        <f t="shared" si="2"/>
        <v>11</v>
      </c>
      <c r="GJ11" s="25">
        <f t="shared" si="3"/>
        <v>8</v>
      </c>
      <c r="GK11" s="25">
        <f t="shared" si="4"/>
        <v>954</v>
      </c>
      <c r="GL11" s="25">
        <f t="shared" si="5"/>
        <v>1400</v>
      </c>
      <c r="GM11" s="25">
        <f t="shared" si="6"/>
        <v>446</v>
      </c>
    </row>
    <row r="12">
      <c r="A12" s="23">
        <v>38440.0</v>
      </c>
      <c r="B12" s="4" t="s">
        <v>216</v>
      </c>
      <c r="C12" s="28">
        <f t="shared" si="7"/>
        <v>8</v>
      </c>
      <c r="D12" s="4">
        <v>21.3002</v>
      </c>
      <c r="E12" s="4">
        <v>-157.882599</v>
      </c>
      <c r="F12" s="4" t="s">
        <v>197</v>
      </c>
      <c r="G12" s="24">
        <v>0.0</v>
      </c>
      <c r="H12" s="24">
        <v>0.041666666666666664</v>
      </c>
      <c r="I12" s="4">
        <v>4.0</v>
      </c>
      <c r="J12" s="4">
        <v>22.0</v>
      </c>
      <c r="K12" s="4" t="s">
        <v>217</v>
      </c>
      <c r="L12" s="4">
        <v>10.0</v>
      </c>
      <c r="M12" s="4">
        <v>26.0</v>
      </c>
      <c r="N12" s="4" t="s">
        <v>218</v>
      </c>
      <c r="P12" s="4">
        <v>26.0</v>
      </c>
      <c r="BZ12" s="4">
        <v>6.0</v>
      </c>
      <c r="EJ12" s="4">
        <v>181.0</v>
      </c>
      <c r="FB12" s="4">
        <v>3.0</v>
      </c>
      <c r="FM12" s="4">
        <v>4.0</v>
      </c>
      <c r="FS12" s="4">
        <v>2.0</v>
      </c>
      <c r="GF12" s="4">
        <v>5.0</v>
      </c>
      <c r="GH12" s="25">
        <f t="shared" si="1"/>
        <v>6</v>
      </c>
      <c r="GI12" s="25">
        <f t="shared" si="2"/>
        <v>6</v>
      </c>
      <c r="GJ12" s="25">
        <f t="shared" si="3"/>
        <v>3</v>
      </c>
      <c r="GK12" s="25">
        <f t="shared" si="4"/>
        <v>201</v>
      </c>
      <c r="GL12" s="25">
        <f t="shared" si="5"/>
        <v>650</v>
      </c>
      <c r="GM12" s="25">
        <f t="shared" si="6"/>
        <v>449</v>
      </c>
    </row>
    <row r="13">
      <c r="A13" s="23">
        <v>38441.0</v>
      </c>
      <c r="B13" s="4" t="s">
        <v>219</v>
      </c>
      <c r="C13" s="28">
        <f t="shared" si="7"/>
        <v>9</v>
      </c>
      <c r="D13" s="4">
        <v>21.295799</v>
      </c>
      <c r="E13" s="4">
        <v>-158.103699</v>
      </c>
      <c r="F13" s="4" t="s">
        <v>197</v>
      </c>
      <c r="G13" s="24">
        <v>0.0</v>
      </c>
      <c r="H13" s="24">
        <v>0.041666666666666664</v>
      </c>
      <c r="I13" s="4">
        <v>5.0</v>
      </c>
      <c r="J13" s="4">
        <v>20.0</v>
      </c>
      <c r="K13" s="4" t="s">
        <v>217</v>
      </c>
      <c r="L13" s="4">
        <v>10.0</v>
      </c>
      <c r="M13" s="4">
        <v>30.0</v>
      </c>
      <c r="N13" s="4" t="s">
        <v>220</v>
      </c>
      <c r="P13" s="4">
        <v>30.0</v>
      </c>
      <c r="R13" s="4">
        <v>57.0</v>
      </c>
      <c r="AI13" s="4">
        <v>5.0</v>
      </c>
      <c r="AM13" s="4">
        <v>3.0</v>
      </c>
      <c r="BE13" s="4">
        <v>1.0</v>
      </c>
      <c r="BM13" s="4">
        <v>1.0</v>
      </c>
      <c r="BQ13" s="4">
        <v>18.0</v>
      </c>
      <c r="BW13" s="4">
        <v>14.0</v>
      </c>
      <c r="BZ13" s="4">
        <v>18.0</v>
      </c>
      <c r="CC13" s="4">
        <v>1.0</v>
      </c>
      <c r="DM13" s="4">
        <v>71.0</v>
      </c>
      <c r="DQ13" s="4">
        <v>1.0</v>
      </c>
      <c r="DZ13" s="4">
        <v>8.0</v>
      </c>
      <c r="ED13" s="4">
        <v>1.0</v>
      </c>
      <c r="EJ13" s="4">
        <v>171.0</v>
      </c>
      <c r="FB13" s="4">
        <v>24.0</v>
      </c>
      <c r="FC13" s="4">
        <v>2.0</v>
      </c>
      <c r="FS13" s="4">
        <v>48.0</v>
      </c>
      <c r="GF13" s="4">
        <v>9.0</v>
      </c>
      <c r="GH13" s="25">
        <f t="shared" si="1"/>
        <v>18</v>
      </c>
      <c r="GI13" s="25">
        <f t="shared" si="2"/>
        <v>13</v>
      </c>
      <c r="GJ13" s="25">
        <f t="shared" si="3"/>
        <v>11</v>
      </c>
      <c r="GK13" s="25">
        <f t="shared" si="4"/>
        <v>453</v>
      </c>
      <c r="GL13" s="25">
        <f t="shared" si="5"/>
        <v>750</v>
      </c>
      <c r="GM13" s="25">
        <f t="shared" si="6"/>
        <v>297</v>
      </c>
    </row>
    <row r="14">
      <c r="A14" s="23">
        <v>38464.0</v>
      </c>
      <c r="B14" s="4" t="s">
        <v>201</v>
      </c>
      <c r="C14" s="28">
        <f t="shared" si="7"/>
        <v>10</v>
      </c>
      <c r="D14" s="4">
        <v>21.25544</v>
      </c>
      <c r="E14" s="4">
        <v>-157.810303</v>
      </c>
      <c r="F14" s="4" t="s">
        <v>197</v>
      </c>
      <c r="G14" s="24">
        <v>0.0</v>
      </c>
      <c r="H14" s="24">
        <v>0.041666666666666664</v>
      </c>
      <c r="I14" s="4">
        <v>5.0</v>
      </c>
      <c r="J14" s="4">
        <v>9.0</v>
      </c>
      <c r="K14" s="4" t="s">
        <v>198</v>
      </c>
      <c r="L14" s="4">
        <v>10.0</v>
      </c>
      <c r="M14" s="4">
        <v>45.0</v>
      </c>
      <c r="N14" s="4" t="s">
        <v>221</v>
      </c>
      <c r="P14" s="4">
        <v>45.0</v>
      </c>
      <c r="R14" s="4">
        <v>5.0</v>
      </c>
      <c r="AF14" s="4">
        <v>1.0</v>
      </c>
      <c r="BQ14" s="4">
        <v>1.0</v>
      </c>
      <c r="BW14" s="4">
        <v>11.0</v>
      </c>
      <c r="BZ14" s="4">
        <v>9.0</v>
      </c>
      <c r="CB14" s="4">
        <v>5.0</v>
      </c>
      <c r="CJ14" s="4">
        <v>6.0</v>
      </c>
      <c r="CS14" s="4">
        <v>2.0</v>
      </c>
      <c r="DM14" s="4">
        <v>35.0</v>
      </c>
      <c r="DP14" s="4">
        <v>1.0</v>
      </c>
      <c r="DS14" s="4">
        <v>9.0</v>
      </c>
      <c r="DT14" s="4">
        <v>7.0</v>
      </c>
      <c r="DU14" s="4">
        <v>1.0</v>
      </c>
      <c r="EC14" s="4">
        <v>1.0</v>
      </c>
      <c r="EJ14" s="4">
        <v>151.0</v>
      </c>
      <c r="FB14" s="4">
        <v>50.0</v>
      </c>
      <c r="FS14" s="4">
        <v>425.0</v>
      </c>
      <c r="GF14" s="4">
        <v>117.0</v>
      </c>
      <c r="GH14" s="25">
        <f t="shared" si="1"/>
        <v>18</v>
      </c>
      <c r="GI14" s="25">
        <f t="shared" si="2"/>
        <v>13</v>
      </c>
      <c r="GJ14" s="25">
        <f t="shared" si="3"/>
        <v>12</v>
      </c>
      <c r="GK14" s="25">
        <f t="shared" si="4"/>
        <v>837</v>
      </c>
      <c r="GL14" s="25">
        <f t="shared" si="5"/>
        <v>1125</v>
      </c>
      <c r="GM14" s="25">
        <f t="shared" si="6"/>
        <v>288</v>
      </c>
    </row>
    <row r="15">
      <c r="A15" s="23">
        <v>38469.0</v>
      </c>
      <c r="B15" s="4" t="s">
        <v>219</v>
      </c>
      <c r="C15" s="28">
        <f t="shared" si="7"/>
        <v>11</v>
      </c>
      <c r="D15" s="4">
        <v>21.295799</v>
      </c>
      <c r="E15" s="4">
        <v>-158.103699</v>
      </c>
      <c r="F15" s="4" t="s">
        <v>197</v>
      </c>
      <c r="G15" s="24">
        <v>0.0</v>
      </c>
      <c r="H15" s="24">
        <v>0.041666666666666664</v>
      </c>
      <c r="I15" s="4">
        <v>4.0</v>
      </c>
      <c r="J15" s="4">
        <v>20.0</v>
      </c>
      <c r="K15" s="4" t="s">
        <v>217</v>
      </c>
      <c r="L15" s="4">
        <v>10.0</v>
      </c>
      <c r="M15" s="4">
        <v>29.0</v>
      </c>
      <c r="N15" s="4" t="s">
        <v>222</v>
      </c>
      <c r="P15" s="4">
        <v>29.0</v>
      </c>
      <c r="R15" s="4">
        <v>112.0</v>
      </c>
      <c r="AQ15" s="4">
        <v>1.0</v>
      </c>
      <c r="BQ15" s="4">
        <v>31.0</v>
      </c>
      <c r="BW15" s="4">
        <v>1.0</v>
      </c>
      <c r="BZ15" s="4">
        <v>17.0</v>
      </c>
      <c r="DH15" s="4">
        <v>2.0</v>
      </c>
      <c r="DM15" s="4">
        <v>9.0</v>
      </c>
      <c r="DZ15" s="4">
        <v>1.0</v>
      </c>
      <c r="ED15" s="4">
        <v>2.0</v>
      </c>
      <c r="EJ15" s="4">
        <v>111.0</v>
      </c>
      <c r="FB15" s="4">
        <v>10.0</v>
      </c>
      <c r="FS15" s="4">
        <v>44.0</v>
      </c>
      <c r="GF15" s="4">
        <v>9.0</v>
      </c>
      <c r="GH15" s="25">
        <f t="shared" si="1"/>
        <v>13</v>
      </c>
      <c r="GI15" s="25">
        <f t="shared" si="2"/>
        <v>10</v>
      </c>
      <c r="GJ15" s="25">
        <f t="shared" si="3"/>
        <v>8</v>
      </c>
      <c r="GK15" s="25">
        <f t="shared" si="4"/>
        <v>350</v>
      </c>
      <c r="GL15" s="25">
        <f t="shared" si="5"/>
        <v>725</v>
      </c>
      <c r="GM15" s="25">
        <f t="shared" si="6"/>
        <v>375</v>
      </c>
    </row>
    <row r="16">
      <c r="A16" s="23">
        <v>38471.0</v>
      </c>
      <c r="B16" s="4" t="s">
        <v>216</v>
      </c>
      <c r="C16" s="28">
        <f t="shared" si="7"/>
        <v>12</v>
      </c>
      <c r="D16" s="4">
        <v>21.3002</v>
      </c>
      <c r="E16" s="4">
        <v>-157.882599</v>
      </c>
      <c r="F16" s="4" t="s">
        <v>197</v>
      </c>
      <c r="G16" s="24">
        <v>0.0</v>
      </c>
      <c r="H16" s="24">
        <v>0.041666666666666664</v>
      </c>
      <c r="I16" s="4">
        <v>6.0</v>
      </c>
      <c r="J16" s="4">
        <v>22.0</v>
      </c>
      <c r="K16" s="4" t="s">
        <v>217</v>
      </c>
      <c r="L16" s="4">
        <v>10.0</v>
      </c>
      <c r="M16" s="4">
        <v>36.0</v>
      </c>
      <c r="N16" s="4" t="s">
        <v>223</v>
      </c>
      <c r="P16" s="4">
        <v>36.0</v>
      </c>
      <c r="R16" s="4">
        <v>13.0</v>
      </c>
      <c r="AC16" s="4">
        <v>10.0</v>
      </c>
      <c r="BM16" s="4">
        <v>8.0</v>
      </c>
      <c r="CC16" s="4">
        <v>2.0</v>
      </c>
      <c r="CV16" s="4">
        <v>2.0</v>
      </c>
      <c r="DS16" s="4">
        <v>4.0</v>
      </c>
      <c r="DZ16" s="4">
        <v>1.0</v>
      </c>
      <c r="EC16" s="4">
        <v>1.0</v>
      </c>
      <c r="EJ16" s="4">
        <v>106.0</v>
      </c>
      <c r="FC16" s="4">
        <v>1.0</v>
      </c>
      <c r="FE16" s="4">
        <v>1.0</v>
      </c>
      <c r="FJ16" s="4">
        <v>1.0</v>
      </c>
      <c r="FS16" s="4">
        <v>204.0</v>
      </c>
      <c r="GF16" s="4">
        <v>26.0</v>
      </c>
      <c r="GH16" s="25">
        <f t="shared" si="1"/>
        <v>14</v>
      </c>
      <c r="GI16" s="25">
        <f t="shared" si="2"/>
        <v>9</v>
      </c>
      <c r="GJ16" s="25">
        <f t="shared" si="3"/>
        <v>6</v>
      </c>
      <c r="GK16" s="25">
        <f t="shared" si="4"/>
        <v>380</v>
      </c>
      <c r="GL16" s="25">
        <f t="shared" si="5"/>
        <v>900</v>
      </c>
      <c r="GM16" s="25">
        <f t="shared" si="6"/>
        <v>520</v>
      </c>
    </row>
    <row r="17">
      <c r="A17" s="23">
        <v>38473.0</v>
      </c>
      <c r="B17" s="4" t="s">
        <v>201</v>
      </c>
      <c r="C17" s="28">
        <f t="shared" si="7"/>
        <v>13</v>
      </c>
      <c r="D17" s="4">
        <v>21.25544</v>
      </c>
      <c r="E17" s="4">
        <v>-157.810303</v>
      </c>
      <c r="F17" s="4" t="s">
        <v>197</v>
      </c>
      <c r="G17" s="24">
        <v>0.0</v>
      </c>
      <c r="H17" s="24">
        <v>0.041666666666666664</v>
      </c>
      <c r="I17" s="4">
        <v>3.0</v>
      </c>
      <c r="J17" s="4">
        <v>9.0</v>
      </c>
      <c r="K17" s="4" t="s">
        <v>198</v>
      </c>
      <c r="L17" s="4">
        <v>10.0</v>
      </c>
      <c r="M17" s="4">
        <v>27.0</v>
      </c>
      <c r="P17" s="4">
        <v>27.0</v>
      </c>
      <c r="R17" s="4">
        <v>12.0</v>
      </c>
      <c r="BB17" s="4">
        <v>6.0</v>
      </c>
      <c r="BQ17" s="4">
        <v>9.0</v>
      </c>
      <c r="BZ17" s="4">
        <v>26.0</v>
      </c>
      <c r="DM17" s="4">
        <v>19.0</v>
      </c>
      <c r="DS17" s="4">
        <v>15.0</v>
      </c>
      <c r="EJ17" s="4">
        <v>168.0</v>
      </c>
      <c r="FB17" s="4">
        <v>67.0</v>
      </c>
      <c r="FS17" s="4">
        <v>122.0</v>
      </c>
      <c r="GF17" s="4">
        <v>36.0</v>
      </c>
      <c r="GH17" s="25">
        <f t="shared" si="1"/>
        <v>10</v>
      </c>
      <c r="GI17" s="25">
        <f t="shared" si="2"/>
        <v>10</v>
      </c>
      <c r="GJ17" s="25">
        <f t="shared" si="3"/>
        <v>10</v>
      </c>
      <c r="GK17" s="25">
        <f t="shared" si="4"/>
        <v>480</v>
      </c>
      <c r="GL17" s="25">
        <f t="shared" si="5"/>
        <v>675</v>
      </c>
      <c r="GM17" s="25">
        <f t="shared" si="6"/>
        <v>195</v>
      </c>
    </row>
    <row r="18">
      <c r="A18" s="23">
        <v>38473.0</v>
      </c>
      <c r="B18" s="4" t="s">
        <v>219</v>
      </c>
      <c r="C18" s="28">
        <f t="shared" si="7"/>
        <v>14</v>
      </c>
      <c r="D18" s="4">
        <v>21.295799</v>
      </c>
      <c r="E18" s="4">
        <v>-158.103699</v>
      </c>
      <c r="F18" s="4" t="s">
        <v>197</v>
      </c>
      <c r="G18" s="24">
        <v>0.0</v>
      </c>
      <c r="H18" s="24">
        <v>0.041666666666666664</v>
      </c>
      <c r="I18" s="4">
        <v>6.0</v>
      </c>
      <c r="J18" s="4">
        <v>20.0</v>
      </c>
      <c r="K18" s="4" t="s">
        <v>217</v>
      </c>
      <c r="L18" s="4">
        <v>10.0</v>
      </c>
      <c r="M18" s="4">
        <v>34.0</v>
      </c>
      <c r="N18" s="4" t="s">
        <v>224</v>
      </c>
      <c r="P18" s="4">
        <v>34.0</v>
      </c>
      <c r="R18" s="4">
        <v>134.0</v>
      </c>
      <c r="BQ18" s="4">
        <v>10.0</v>
      </c>
      <c r="BW18" s="4">
        <v>22.0</v>
      </c>
      <c r="BZ18" s="4">
        <v>2.0</v>
      </c>
      <c r="CS18" s="4">
        <v>2.0</v>
      </c>
      <c r="DM18" s="4">
        <v>15.0</v>
      </c>
      <c r="DZ18" s="4">
        <v>1.0</v>
      </c>
      <c r="ED18" s="4">
        <v>1.0</v>
      </c>
      <c r="EJ18" s="4">
        <v>147.0</v>
      </c>
      <c r="FB18" s="4">
        <v>53.0</v>
      </c>
      <c r="FC18" s="4">
        <v>20.0</v>
      </c>
      <c r="FS18" s="4">
        <v>35.0</v>
      </c>
      <c r="GF18" s="4">
        <v>1.0</v>
      </c>
      <c r="GH18" s="25">
        <f t="shared" si="1"/>
        <v>13</v>
      </c>
      <c r="GI18" s="25">
        <f t="shared" si="2"/>
        <v>10</v>
      </c>
      <c r="GJ18" s="25">
        <f t="shared" si="3"/>
        <v>8</v>
      </c>
      <c r="GK18" s="25">
        <f t="shared" si="4"/>
        <v>443</v>
      </c>
      <c r="GL18" s="25">
        <f t="shared" si="5"/>
        <v>850</v>
      </c>
      <c r="GM18" s="25">
        <f t="shared" si="6"/>
        <v>407</v>
      </c>
    </row>
    <row r="19">
      <c r="A19" s="23">
        <v>38478.0</v>
      </c>
      <c r="B19" s="4" t="s">
        <v>216</v>
      </c>
      <c r="C19" s="28">
        <f t="shared" si="7"/>
        <v>15</v>
      </c>
      <c r="D19" s="4">
        <v>21.3002</v>
      </c>
      <c r="E19" s="4">
        <v>-157.882599</v>
      </c>
      <c r="F19" s="4" t="s">
        <v>197</v>
      </c>
      <c r="G19" s="24">
        <v>0.0</v>
      </c>
      <c r="H19" s="24">
        <v>0.041666666666666664</v>
      </c>
      <c r="I19" s="4">
        <v>4.0</v>
      </c>
      <c r="J19" s="4">
        <v>22.0</v>
      </c>
      <c r="K19" s="4" t="s">
        <v>217</v>
      </c>
      <c r="L19" s="4">
        <v>10.0</v>
      </c>
      <c r="M19" s="4">
        <v>38.0</v>
      </c>
      <c r="N19" s="4" t="s">
        <v>225</v>
      </c>
      <c r="P19" s="4">
        <v>38.0</v>
      </c>
      <c r="R19" s="4">
        <v>30.0</v>
      </c>
      <c r="BZ19" s="4">
        <v>1.0</v>
      </c>
      <c r="CV19" s="4">
        <v>2.0</v>
      </c>
      <c r="DS19" s="4">
        <v>1.0</v>
      </c>
      <c r="EJ19" s="4">
        <v>45.0</v>
      </c>
      <c r="FS19" s="4">
        <v>223.0</v>
      </c>
      <c r="GF19" s="4">
        <v>52.0</v>
      </c>
      <c r="GH19" s="25">
        <f t="shared" si="1"/>
        <v>7</v>
      </c>
      <c r="GI19" s="25">
        <f t="shared" si="2"/>
        <v>5</v>
      </c>
      <c r="GJ19" s="25">
        <f t="shared" si="3"/>
        <v>4</v>
      </c>
      <c r="GK19" s="25">
        <f t="shared" si="4"/>
        <v>354</v>
      </c>
      <c r="GL19" s="25">
        <f t="shared" si="5"/>
        <v>950</v>
      </c>
      <c r="GM19" s="25">
        <f t="shared" si="6"/>
        <v>596</v>
      </c>
    </row>
    <row r="20">
      <c r="A20" s="23">
        <v>38479.0</v>
      </c>
      <c r="B20" s="4" t="s">
        <v>226</v>
      </c>
      <c r="C20" s="28">
        <f t="shared" si="7"/>
        <v>16</v>
      </c>
      <c r="D20" s="4">
        <v>21.706499</v>
      </c>
      <c r="E20" s="4">
        <v>-157.998505</v>
      </c>
      <c r="F20" s="4" t="s">
        <v>197</v>
      </c>
      <c r="G20" s="24">
        <v>0.0</v>
      </c>
      <c r="H20" s="24">
        <v>0.041666666666666664</v>
      </c>
      <c r="I20" s="4">
        <v>3.0</v>
      </c>
      <c r="J20" s="4">
        <v>27.0</v>
      </c>
      <c r="K20" s="4" t="s">
        <v>227</v>
      </c>
      <c r="L20" s="4">
        <v>10.0</v>
      </c>
      <c r="M20" s="4">
        <v>22.0</v>
      </c>
      <c r="N20" s="4" t="s">
        <v>228</v>
      </c>
      <c r="P20" s="4">
        <v>22.0</v>
      </c>
      <c r="AC20" s="4">
        <v>3.0</v>
      </c>
      <c r="BH20" s="4">
        <v>4.0</v>
      </c>
      <c r="BW20" s="4">
        <v>12.0</v>
      </c>
      <c r="BZ20" s="4">
        <v>5.0</v>
      </c>
      <c r="CC20" s="4">
        <v>13.0</v>
      </c>
      <c r="CS20" s="4">
        <v>1.0</v>
      </c>
      <c r="DC20" s="4">
        <v>4.0</v>
      </c>
      <c r="DM20" s="4">
        <v>116.0</v>
      </c>
      <c r="DV20" s="4">
        <v>62.0</v>
      </c>
      <c r="EJ20" s="4">
        <v>93.0</v>
      </c>
      <c r="FB20" s="4">
        <v>29.0</v>
      </c>
      <c r="FR20" s="4">
        <v>14.0</v>
      </c>
      <c r="FS20" s="4">
        <v>118.0</v>
      </c>
      <c r="FX20" s="4"/>
      <c r="FY20" s="4">
        <v>14.0</v>
      </c>
      <c r="GF20" s="4">
        <v>16.0</v>
      </c>
      <c r="GH20" s="25">
        <f t="shared" si="1"/>
        <v>15</v>
      </c>
      <c r="GI20" s="25">
        <f t="shared" si="2"/>
        <v>14</v>
      </c>
      <c r="GJ20" s="25">
        <f t="shared" si="3"/>
        <v>11</v>
      </c>
      <c r="GK20" s="25">
        <f t="shared" si="4"/>
        <v>504</v>
      </c>
      <c r="GL20" s="25">
        <f t="shared" si="5"/>
        <v>550</v>
      </c>
      <c r="GM20" s="25">
        <f t="shared" si="6"/>
        <v>46</v>
      </c>
    </row>
    <row r="21">
      <c r="A21" s="23">
        <v>38493.0</v>
      </c>
      <c r="B21" s="4" t="s">
        <v>226</v>
      </c>
      <c r="C21" s="28">
        <f t="shared" si="7"/>
        <v>17</v>
      </c>
      <c r="D21" s="4">
        <v>21.706499</v>
      </c>
      <c r="E21" s="4">
        <v>-157.998505</v>
      </c>
      <c r="F21" s="4" t="s">
        <v>197</v>
      </c>
      <c r="G21" s="24">
        <v>0.0</v>
      </c>
      <c r="H21" s="24">
        <v>0.041666666666666664</v>
      </c>
      <c r="I21" s="4">
        <v>2.0</v>
      </c>
      <c r="J21" s="4">
        <v>27.0</v>
      </c>
      <c r="K21" s="4" t="s">
        <v>227</v>
      </c>
      <c r="L21" s="4">
        <v>10.0</v>
      </c>
      <c r="M21" s="4">
        <v>11.0</v>
      </c>
      <c r="N21" s="4" t="s">
        <v>229</v>
      </c>
      <c r="P21" s="4">
        <v>11.0</v>
      </c>
      <c r="BH21" s="4">
        <v>1.0</v>
      </c>
      <c r="BW21" s="4">
        <v>3.0</v>
      </c>
      <c r="BZ21" s="4">
        <v>1.0</v>
      </c>
      <c r="DV21" s="4">
        <v>32.0</v>
      </c>
      <c r="ED21" s="4">
        <v>1.0</v>
      </c>
      <c r="EJ21" s="4">
        <v>55.0</v>
      </c>
      <c r="FB21" s="4">
        <v>13.0</v>
      </c>
      <c r="FR21" s="4">
        <v>1.0</v>
      </c>
      <c r="FS21" s="4">
        <v>103.0</v>
      </c>
      <c r="GF21" s="4">
        <v>4.0</v>
      </c>
      <c r="GH21" s="25">
        <f t="shared" si="1"/>
        <v>10</v>
      </c>
      <c r="GI21" s="25">
        <f t="shared" si="2"/>
        <v>6</v>
      </c>
      <c r="GJ21" s="25">
        <f t="shared" si="3"/>
        <v>4</v>
      </c>
      <c r="GK21" s="25">
        <f t="shared" si="4"/>
        <v>214</v>
      </c>
      <c r="GL21" s="25">
        <f t="shared" si="5"/>
        <v>275</v>
      </c>
      <c r="GM21" s="25">
        <f t="shared" si="6"/>
        <v>61</v>
      </c>
    </row>
    <row r="22">
      <c r="A22" s="23">
        <v>38496.0</v>
      </c>
      <c r="B22" s="4" t="s">
        <v>230</v>
      </c>
      <c r="C22" s="28">
        <f t="shared" si="7"/>
        <v>18</v>
      </c>
      <c r="D22" s="4">
        <v>20.7537</v>
      </c>
      <c r="E22" s="4">
        <v>-156.460907</v>
      </c>
      <c r="F22" s="4" t="s">
        <v>197</v>
      </c>
      <c r="G22" s="24">
        <v>0.0</v>
      </c>
      <c r="H22" s="24">
        <v>0.041666666666666664</v>
      </c>
      <c r="I22" s="4">
        <v>5.0</v>
      </c>
      <c r="J22" s="4">
        <v>15.0</v>
      </c>
      <c r="K22" s="4" t="s">
        <v>217</v>
      </c>
      <c r="L22" s="4">
        <v>8.0</v>
      </c>
      <c r="M22" s="4">
        <v>36.0</v>
      </c>
      <c r="N22" s="4" t="s">
        <v>231</v>
      </c>
      <c r="P22" s="4">
        <v>36.0</v>
      </c>
      <c r="R22" s="4">
        <v>12.0</v>
      </c>
      <c r="BH22" s="4">
        <v>8.0</v>
      </c>
      <c r="BM22" s="4">
        <v>67.0</v>
      </c>
      <c r="DF22" s="4">
        <v>60.0</v>
      </c>
      <c r="DM22" s="4">
        <v>15.0</v>
      </c>
      <c r="EI22" s="4">
        <v>1.0</v>
      </c>
      <c r="EJ22" s="4">
        <v>8.0</v>
      </c>
      <c r="FB22" s="4">
        <v>31.0</v>
      </c>
      <c r="FS22" s="4">
        <v>23.0</v>
      </c>
      <c r="FT22" s="4">
        <v>59.0</v>
      </c>
      <c r="FV22" s="4">
        <v>1.0</v>
      </c>
      <c r="GF22" s="4">
        <v>2.0</v>
      </c>
      <c r="GH22" s="25">
        <f t="shared" si="1"/>
        <v>12</v>
      </c>
      <c r="GI22" s="25">
        <f t="shared" si="2"/>
        <v>10</v>
      </c>
      <c r="GJ22" s="25">
        <f t="shared" si="3"/>
        <v>9</v>
      </c>
      <c r="GK22" s="25">
        <f t="shared" si="4"/>
        <v>287</v>
      </c>
      <c r="GL22" s="25">
        <f t="shared" si="5"/>
        <v>900</v>
      </c>
      <c r="GM22" s="25">
        <f t="shared" si="6"/>
        <v>613</v>
      </c>
    </row>
    <row r="23">
      <c r="A23" s="23">
        <v>38507.0</v>
      </c>
      <c r="B23" s="4" t="s">
        <v>226</v>
      </c>
      <c r="C23" s="28">
        <f t="shared" si="7"/>
        <v>19</v>
      </c>
      <c r="D23" s="4">
        <v>21.706499</v>
      </c>
      <c r="E23" s="4">
        <v>-157.998505</v>
      </c>
      <c r="F23" s="4" t="s">
        <v>197</v>
      </c>
      <c r="G23" s="24">
        <v>0.0</v>
      </c>
      <c r="H23" s="24">
        <v>0.041666666666666664</v>
      </c>
      <c r="I23" s="4">
        <v>3.0</v>
      </c>
      <c r="J23" s="4">
        <v>27.0</v>
      </c>
      <c r="K23" s="4" t="s">
        <v>227</v>
      </c>
      <c r="L23" s="4">
        <v>10.0</v>
      </c>
      <c r="M23" s="4">
        <v>20.0</v>
      </c>
      <c r="N23" s="4" t="s">
        <v>232</v>
      </c>
      <c r="P23" s="4">
        <v>20.0</v>
      </c>
      <c r="R23" s="4">
        <v>7.0</v>
      </c>
      <c r="S23" s="4">
        <v>1.0</v>
      </c>
      <c r="BB23" s="4">
        <v>11.0</v>
      </c>
      <c r="BH23" s="4">
        <v>1.0</v>
      </c>
      <c r="BM23" s="4">
        <v>3.0</v>
      </c>
      <c r="BW23" s="4">
        <v>7.0</v>
      </c>
      <c r="BZ23" s="4">
        <v>10.0</v>
      </c>
      <c r="CC23" s="4">
        <v>7.0</v>
      </c>
      <c r="CD23" s="4">
        <v>4.0</v>
      </c>
      <c r="CS23" s="4">
        <v>1.0</v>
      </c>
      <c r="CW23" s="4">
        <v>7.0</v>
      </c>
      <c r="DC23" s="4">
        <v>1.0</v>
      </c>
      <c r="DM23" s="4">
        <v>46.0</v>
      </c>
      <c r="DV23" s="4">
        <v>53.0</v>
      </c>
      <c r="EJ23" s="4">
        <v>33.0</v>
      </c>
      <c r="FB23" s="4">
        <v>7.0</v>
      </c>
      <c r="FR23" s="4">
        <v>8.0</v>
      </c>
      <c r="FS23" s="4">
        <v>146.0</v>
      </c>
      <c r="GF23" s="4">
        <v>53.0</v>
      </c>
      <c r="GH23" s="25">
        <f t="shared" si="1"/>
        <v>19</v>
      </c>
      <c r="GI23" s="25">
        <f t="shared" si="2"/>
        <v>15</v>
      </c>
      <c r="GJ23" s="25">
        <f t="shared" si="3"/>
        <v>13</v>
      </c>
      <c r="GK23" s="25">
        <f t="shared" si="4"/>
        <v>406</v>
      </c>
      <c r="GL23" s="25">
        <f t="shared" si="5"/>
        <v>500</v>
      </c>
      <c r="GM23" s="25">
        <f t="shared" si="6"/>
        <v>94</v>
      </c>
    </row>
    <row r="24">
      <c r="A24" s="23">
        <v>38824.0</v>
      </c>
      <c r="B24" s="4" t="s">
        <v>233</v>
      </c>
      <c r="C24" s="28">
        <f t="shared" si="7"/>
        <v>20</v>
      </c>
      <c r="D24" s="4">
        <v>21.066799</v>
      </c>
      <c r="E24" s="4">
        <v>-156.804993</v>
      </c>
      <c r="F24" s="4" t="s">
        <v>197</v>
      </c>
      <c r="G24" s="24">
        <v>0.0</v>
      </c>
      <c r="H24" s="24">
        <v>0.041666666666666664</v>
      </c>
      <c r="I24" s="4">
        <v>3.0</v>
      </c>
      <c r="J24" s="4">
        <v>27.0</v>
      </c>
      <c r="K24" s="4" t="s">
        <v>227</v>
      </c>
      <c r="L24" s="4">
        <v>10.0</v>
      </c>
      <c r="M24" s="4">
        <v>29.0</v>
      </c>
      <c r="N24" s="4" t="s">
        <v>234</v>
      </c>
      <c r="P24" s="4">
        <v>29.0</v>
      </c>
      <c r="R24" s="4">
        <v>97.0</v>
      </c>
      <c r="BB24" s="4">
        <v>102.0</v>
      </c>
      <c r="BM24" s="4">
        <v>4.0</v>
      </c>
      <c r="BY24" s="4">
        <v>3.0</v>
      </c>
      <c r="CG24" s="4">
        <v>1.0</v>
      </c>
      <c r="CO24" s="4">
        <v>1.0</v>
      </c>
      <c r="DD24" s="4">
        <v>5.0</v>
      </c>
      <c r="DM24" s="4">
        <v>18.0</v>
      </c>
      <c r="DS24" s="4">
        <v>129.0</v>
      </c>
      <c r="EJ24" s="4">
        <v>1.0</v>
      </c>
      <c r="FB24" s="4">
        <v>17.0</v>
      </c>
      <c r="FR24" s="4">
        <v>2.0</v>
      </c>
      <c r="GH24" s="25">
        <f t="shared" si="1"/>
        <v>12</v>
      </c>
      <c r="GI24" s="25">
        <f t="shared" si="2"/>
        <v>9</v>
      </c>
      <c r="GJ24" s="25">
        <f t="shared" si="3"/>
        <v>6</v>
      </c>
      <c r="GK24" s="25">
        <f t="shared" si="4"/>
        <v>380</v>
      </c>
      <c r="GL24" s="25">
        <f t="shared" si="5"/>
        <v>725</v>
      </c>
      <c r="GM24" s="25">
        <f t="shared" si="6"/>
        <v>345</v>
      </c>
    </row>
    <row r="25">
      <c r="A25" s="23">
        <v>38824.0</v>
      </c>
      <c r="B25" s="4" t="s">
        <v>201</v>
      </c>
      <c r="C25" s="28">
        <f t="shared" si="7"/>
        <v>21</v>
      </c>
      <c r="D25" s="4">
        <v>21.25544</v>
      </c>
      <c r="E25" s="4">
        <v>-157.810303</v>
      </c>
      <c r="F25" s="4" t="s">
        <v>197</v>
      </c>
      <c r="G25" s="24">
        <v>0.0</v>
      </c>
      <c r="H25" s="24">
        <v>0.041666666666666664</v>
      </c>
      <c r="I25" s="4">
        <v>6.0</v>
      </c>
      <c r="J25" s="4">
        <v>11.0</v>
      </c>
      <c r="K25" s="4" t="s">
        <v>198</v>
      </c>
      <c r="L25" s="4">
        <v>12.0</v>
      </c>
      <c r="M25" s="4">
        <v>53.0</v>
      </c>
      <c r="N25" s="4" t="s">
        <v>235</v>
      </c>
      <c r="P25" s="4">
        <v>53.0</v>
      </c>
      <c r="R25" s="4">
        <v>4.0</v>
      </c>
      <c r="AE25" s="4">
        <v>2.0</v>
      </c>
      <c r="AF25" s="4">
        <v>1.0</v>
      </c>
      <c r="BH25" s="4">
        <v>2.0</v>
      </c>
      <c r="BQ25" s="4">
        <v>10.0</v>
      </c>
      <c r="BW25" s="4">
        <v>7.0</v>
      </c>
      <c r="BZ25" s="4">
        <v>31.0</v>
      </c>
      <c r="CS25" s="4">
        <v>22.0</v>
      </c>
      <c r="DM25" s="4">
        <v>248.0</v>
      </c>
      <c r="DP25" s="4">
        <v>3.0</v>
      </c>
      <c r="DZ25" s="4">
        <v>2.0</v>
      </c>
      <c r="EJ25" s="4">
        <v>188.0</v>
      </c>
      <c r="FB25" s="4">
        <v>193.0</v>
      </c>
      <c r="FC25" s="4">
        <v>6.0</v>
      </c>
      <c r="FR25" s="4">
        <v>3.0</v>
      </c>
      <c r="FS25" s="4">
        <v>86.0</v>
      </c>
      <c r="FU25" s="4">
        <v>15.0</v>
      </c>
      <c r="GF25" s="4">
        <v>25.0</v>
      </c>
      <c r="GH25" s="25">
        <f t="shared" si="1"/>
        <v>18</v>
      </c>
      <c r="GI25" s="25">
        <f t="shared" si="2"/>
        <v>17</v>
      </c>
      <c r="GJ25" s="25">
        <f t="shared" si="3"/>
        <v>11</v>
      </c>
      <c r="GK25" s="25">
        <f t="shared" si="4"/>
        <v>848</v>
      </c>
      <c r="GL25" s="25">
        <f t="shared" si="5"/>
        <v>1325</v>
      </c>
      <c r="GM25" s="25">
        <f t="shared" si="6"/>
        <v>477</v>
      </c>
    </row>
    <row r="26">
      <c r="A26" s="23">
        <v>38825.0</v>
      </c>
      <c r="B26" s="4" t="s">
        <v>230</v>
      </c>
      <c r="C26" s="28">
        <f t="shared" si="7"/>
        <v>22</v>
      </c>
      <c r="D26" s="4">
        <v>20.7537</v>
      </c>
      <c r="E26" s="4">
        <v>-156.460907</v>
      </c>
      <c r="F26" s="4" t="s">
        <v>197</v>
      </c>
      <c r="G26" s="24">
        <v>0.0</v>
      </c>
      <c r="H26" s="24">
        <v>0.041666666666666664</v>
      </c>
      <c r="I26" s="4">
        <v>5.0</v>
      </c>
      <c r="J26" s="4">
        <v>22.0</v>
      </c>
      <c r="K26" s="4" t="s">
        <v>217</v>
      </c>
      <c r="L26" s="4">
        <v>14.0</v>
      </c>
      <c r="M26" s="4">
        <v>42.0</v>
      </c>
      <c r="N26" s="4" t="s">
        <v>236</v>
      </c>
      <c r="P26" s="4">
        <v>42.0</v>
      </c>
      <c r="R26" s="4">
        <v>31.0</v>
      </c>
      <c r="BK26" s="4">
        <v>24.0</v>
      </c>
      <c r="BM26" s="4">
        <v>109.0</v>
      </c>
      <c r="BX26" s="4">
        <v>1.0</v>
      </c>
      <c r="DF26" s="4">
        <v>23.0</v>
      </c>
      <c r="DM26" s="4">
        <v>2.0</v>
      </c>
      <c r="ED26" s="4">
        <v>2.0</v>
      </c>
      <c r="EJ26" s="4">
        <v>9.0</v>
      </c>
      <c r="FB26" s="4">
        <v>14.0</v>
      </c>
      <c r="FN26" s="4">
        <v>3.0</v>
      </c>
      <c r="FS26" s="4">
        <v>12.0</v>
      </c>
      <c r="FT26" s="4">
        <v>57.0</v>
      </c>
      <c r="FV26" s="4">
        <v>2.0</v>
      </c>
      <c r="GH26" s="25">
        <f t="shared" si="1"/>
        <v>13</v>
      </c>
      <c r="GI26" s="25">
        <f t="shared" si="2"/>
        <v>12</v>
      </c>
      <c r="GJ26" s="25">
        <f t="shared" si="3"/>
        <v>8</v>
      </c>
      <c r="GK26" s="25">
        <f t="shared" si="4"/>
        <v>289</v>
      </c>
      <c r="GL26" s="25">
        <f t="shared" si="5"/>
        <v>1050</v>
      </c>
      <c r="GM26" s="25">
        <f t="shared" si="6"/>
        <v>761</v>
      </c>
    </row>
    <row r="27">
      <c r="A27" s="23">
        <v>38834.0</v>
      </c>
      <c r="B27" s="4" t="s">
        <v>219</v>
      </c>
      <c r="C27" s="28">
        <f t="shared" si="7"/>
        <v>23</v>
      </c>
      <c r="D27" s="4">
        <v>21.295799</v>
      </c>
      <c r="E27" s="4">
        <v>-158.103699</v>
      </c>
      <c r="F27" s="4" t="s">
        <v>197</v>
      </c>
      <c r="G27" s="24">
        <v>0.0</v>
      </c>
      <c r="H27" s="24">
        <v>0.041666666666666664</v>
      </c>
      <c r="I27" s="4">
        <v>4.0</v>
      </c>
      <c r="J27" s="4">
        <v>25.0</v>
      </c>
      <c r="K27" s="4" t="s">
        <v>237</v>
      </c>
      <c r="L27" s="4">
        <v>5.0</v>
      </c>
      <c r="M27" s="4">
        <v>16.0</v>
      </c>
      <c r="N27" s="4" t="s">
        <v>238</v>
      </c>
      <c r="P27" s="4">
        <v>16.0</v>
      </c>
      <c r="R27" s="4">
        <v>5.0</v>
      </c>
      <c r="BD27" s="4">
        <v>1.0</v>
      </c>
      <c r="BM27" s="4">
        <v>1.0</v>
      </c>
      <c r="BQ27" s="4">
        <v>25.0</v>
      </c>
      <c r="BU27" s="4">
        <v>8.0</v>
      </c>
      <c r="BW27" s="4">
        <v>3.0</v>
      </c>
      <c r="DM27" s="4">
        <v>2.0</v>
      </c>
      <c r="EC27" s="4">
        <v>1.0</v>
      </c>
      <c r="ED27" s="4">
        <v>1.0</v>
      </c>
      <c r="EJ27" s="4">
        <v>134.0</v>
      </c>
      <c r="FB27" s="4">
        <v>1.0</v>
      </c>
      <c r="FS27" s="4">
        <v>8.0</v>
      </c>
      <c r="GH27" s="25">
        <f t="shared" si="1"/>
        <v>12</v>
      </c>
      <c r="GI27" s="25">
        <f t="shared" si="2"/>
        <v>7</v>
      </c>
      <c r="GJ27" s="25">
        <f t="shared" si="3"/>
        <v>5</v>
      </c>
      <c r="GK27" s="25">
        <f t="shared" si="4"/>
        <v>190</v>
      </c>
      <c r="GL27" s="25">
        <f t="shared" si="5"/>
        <v>400</v>
      </c>
      <c r="GM27" s="25">
        <f t="shared" si="6"/>
        <v>210</v>
      </c>
    </row>
    <row r="28">
      <c r="A28" s="23">
        <v>38835.0</v>
      </c>
      <c r="B28" s="4" t="s">
        <v>216</v>
      </c>
      <c r="C28" s="28">
        <f t="shared" si="7"/>
        <v>24</v>
      </c>
      <c r="D28" s="4">
        <v>21.3002</v>
      </c>
      <c r="E28" s="4">
        <v>-157.882599</v>
      </c>
      <c r="F28" s="4" t="s">
        <v>197</v>
      </c>
      <c r="G28" s="24">
        <v>0.0</v>
      </c>
      <c r="H28" s="24">
        <v>0.041666666666666664</v>
      </c>
      <c r="I28" s="4">
        <v>3.0</v>
      </c>
      <c r="J28" s="4">
        <v>25.0</v>
      </c>
      <c r="K28" s="4" t="s">
        <v>237</v>
      </c>
      <c r="L28" s="4">
        <v>5.0</v>
      </c>
      <c r="M28" s="4">
        <v>10.0</v>
      </c>
      <c r="N28" s="4" t="s">
        <v>239</v>
      </c>
      <c r="P28" s="4">
        <v>10.0</v>
      </c>
      <c r="R28" s="4">
        <v>1.0</v>
      </c>
      <c r="BE28" s="4">
        <v>1.0</v>
      </c>
      <c r="BV28" s="4">
        <v>1.0</v>
      </c>
      <c r="DM28" s="4">
        <v>7.0</v>
      </c>
      <c r="EJ28" s="4">
        <v>21.0</v>
      </c>
      <c r="FB28" s="4">
        <v>1.0</v>
      </c>
      <c r="GF28" s="4">
        <v>2.0</v>
      </c>
      <c r="GH28" s="25">
        <f t="shared" si="1"/>
        <v>7</v>
      </c>
      <c r="GI28" s="25">
        <f t="shared" si="2"/>
        <v>3</v>
      </c>
      <c r="GJ28" s="25">
        <f t="shared" si="3"/>
        <v>2</v>
      </c>
      <c r="GK28" s="25">
        <f t="shared" si="4"/>
        <v>34</v>
      </c>
      <c r="GL28" s="25">
        <f t="shared" si="5"/>
        <v>250</v>
      </c>
      <c r="GM28" s="25">
        <f t="shared" si="6"/>
        <v>216</v>
      </c>
    </row>
    <row r="29">
      <c r="A29" s="23">
        <v>38838.0</v>
      </c>
      <c r="B29" s="4" t="s">
        <v>240</v>
      </c>
      <c r="C29" s="28">
        <f t="shared" si="7"/>
        <v>25</v>
      </c>
      <c r="D29" s="4">
        <v>21.1059</v>
      </c>
      <c r="E29" s="4">
        <v>-156.746094</v>
      </c>
      <c r="F29" s="4" t="s">
        <v>197</v>
      </c>
      <c r="G29" s="24">
        <v>0.0</v>
      </c>
      <c r="H29" s="24">
        <v>0.041666666666666664</v>
      </c>
      <c r="I29" s="4">
        <v>3.0</v>
      </c>
      <c r="J29" s="4">
        <v>27.0</v>
      </c>
      <c r="K29" s="4" t="s">
        <v>227</v>
      </c>
      <c r="L29" s="4">
        <v>10.0</v>
      </c>
      <c r="M29" s="4">
        <v>27.0</v>
      </c>
      <c r="N29" s="4" t="s">
        <v>241</v>
      </c>
      <c r="P29" s="4">
        <v>27.0</v>
      </c>
      <c r="AM29" s="4">
        <v>22.0</v>
      </c>
      <c r="BB29" s="4">
        <v>12.0</v>
      </c>
      <c r="BM29" s="4">
        <v>9.0</v>
      </c>
      <c r="CS29" s="4">
        <v>1.0</v>
      </c>
      <c r="EJ29" s="4">
        <v>40.0</v>
      </c>
      <c r="FS29" s="4">
        <v>322.0</v>
      </c>
      <c r="GH29" s="25">
        <f t="shared" si="1"/>
        <v>6</v>
      </c>
      <c r="GI29" s="25">
        <f t="shared" si="2"/>
        <v>5</v>
      </c>
      <c r="GJ29" s="25">
        <f t="shared" si="3"/>
        <v>5</v>
      </c>
      <c r="GK29" s="25">
        <f t="shared" si="4"/>
        <v>406</v>
      </c>
      <c r="GL29" s="25">
        <f t="shared" si="5"/>
        <v>675</v>
      </c>
      <c r="GM29" s="25">
        <f t="shared" si="6"/>
        <v>269</v>
      </c>
    </row>
    <row r="30">
      <c r="A30" s="23">
        <v>38849.0</v>
      </c>
      <c r="B30" s="4" t="s">
        <v>219</v>
      </c>
      <c r="C30" s="28">
        <f t="shared" si="7"/>
        <v>26</v>
      </c>
      <c r="D30" s="4">
        <v>21.295799</v>
      </c>
      <c r="E30" s="4">
        <v>-158.103699</v>
      </c>
      <c r="F30" s="4" t="s">
        <v>197</v>
      </c>
      <c r="G30" s="24">
        <v>0.0</v>
      </c>
      <c r="H30" s="24">
        <v>0.041666666666666664</v>
      </c>
      <c r="I30" s="4">
        <v>4.0</v>
      </c>
      <c r="J30" s="4">
        <v>25.0</v>
      </c>
      <c r="K30" s="4" t="s">
        <v>237</v>
      </c>
      <c r="L30" s="4">
        <v>5.0</v>
      </c>
      <c r="M30" s="4">
        <v>14.0</v>
      </c>
      <c r="N30" s="4" t="s">
        <v>242</v>
      </c>
      <c r="P30" s="4">
        <v>14.0</v>
      </c>
      <c r="AD30" s="4">
        <v>3.0</v>
      </c>
      <c r="AM30" s="4">
        <v>6.0</v>
      </c>
      <c r="BQ30" s="4">
        <v>5.0</v>
      </c>
      <c r="BW30" s="4">
        <v>13.0</v>
      </c>
      <c r="DH30" s="4">
        <v>1.0</v>
      </c>
      <c r="DM30" s="4">
        <v>20.0</v>
      </c>
      <c r="EC30" s="4">
        <v>1.0</v>
      </c>
      <c r="EJ30" s="4">
        <v>216.0</v>
      </c>
      <c r="EV30" s="4">
        <v>1.0</v>
      </c>
      <c r="FB30" s="4">
        <v>27.0</v>
      </c>
      <c r="FC30" s="4">
        <v>1.0</v>
      </c>
      <c r="FM30" s="4">
        <v>8.0</v>
      </c>
      <c r="FS30" s="4">
        <v>38.0</v>
      </c>
      <c r="GF30" s="4">
        <v>1.0</v>
      </c>
      <c r="GH30" s="25">
        <f t="shared" si="1"/>
        <v>14</v>
      </c>
      <c r="GI30" s="25">
        <f t="shared" si="2"/>
        <v>9</v>
      </c>
      <c r="GJ30" s="25">
        <f t="shared" si="3"/>
        <v>8</v>
      </c>
      <c r="GK30" s="25">
        <f t="shared" si="4"/>
        <v>341</v>
      </c>
      <c r="GL30" s="25">
        <f t="shared" si="5"/>
        <v>350</v>
      </c>
      <c r="GM30" s="25">
        <f t="shared" si="6"/>
        <v>9</v>
      </c>
    </row>
    <row r="31">
      <c r="A31" s="23">
        <v>38852.0</v>
      </c>
      <c r="B31" s="4" t="s">
        <v>216</v>
      </c>
      <c r="C31" s="28">
        <f t="shared" si="7"/>
        <v>27</v>
      </c>
      <c r="D31" s="4">
        <v>21.3002</v>
      </c>
      <c r="E31" s="4">
        <v>-157.882599</v>
      </c>
      <c r="F31" s="4" t="s">
        <v>197</v>
      </c>
      <c r="G31" s="24">
        <v>0.0</v>
      </c>
      <c r="H31" s="24">
        <v>0.041666666666666664</v>
      </c>
      <c r="I31" s="4">
        <v>7.0</v>
      </c>
      <c r="J31" s="4">
        <v>25.0</v>
      </c>
      <c r="K31" s="4" t="s">
        <v>237</v>
      </c>
      <c r="L31" s="4">
        <v>5.0</v>
      </c>
      <c r="M31" s="4">
        <v>23.0</v>
      </c>
      <c r="N31" s="4" t="s">
        <v>243</v>
      </c>
      <c r="P31" s="4">
        <v>23.0</v>
      </c>
      <c r="R31" s="4">
        <v>4.0</v>
      </c>
      <c r="AI31" s="4">
        <v>3.0</v>
      </c>
      <c r="BD31" s="4">
        <v>1.0</v>
      </c>
      <c r="BQ31" s="4">
        <v>11.0</v>
      </c>
      <c r="BW31" s="4">
        <v>1.0</v>
      </c>
      <c r="CD31" s="4">
        <v>2.0</v>
      </c>
      <c r="DM31" s="4">
        <v>3.0</v>
      </c>
      <c r="DO31" s="4">
        <v>2.0</v>
      </c>
      <c r="DS31" s="4">
        <v>6.0</v>
      </c>
      <c r="EJ31" s="4">
        <v>60.0</v>
      </c>
      <c r="FB31" s="4">
        <v>11.0</v>
      </c>
      <c r="FS31" s="4">
        <v>46.0</v>
      </c>
      <c r="GH31" s="25">
        <f t="shared" si="1"/>
        <v>12</v>
      </c>
      <c r="GI31" s="25">
        <f t="shared" si="2"/>
        <v>10</v>
      </c>
      <c r="GJ31" s="25">
        <f t="shared" si="3"/>
        <v>5</v>
      </c>
      <c r="GK31" s="25">
        <f t="shared" si="4"/>
        <v>150</v>
      </c>
      <c r="GL31" s="25">
        <f t="shared" si="5"/>
        <v>575</v>
      </c>
      <c r="GM31" s="25">
        <f t="shared" si="6"/>
        <v>425</v>
      </c>
    </row>
    <row r="32">
      <c r="A32" s="23">
        <v>38853.0</v>
      </c>
      <c r="B32" s="4" t="s">
        <v>244</v>
      </c>
      <c r="C32" s="28">
        <f t="shared" si="7"/>
        <v>28</v>
      </c>
      <c r="D32" s="4">
        <v>21.310612</v>
      </c>
      <c r="E32" s="4">
        <v>-158.00441</v>
      </c>
      <c r="F32" s="4" t="s">
        <v>197</v>
      </c>
      <c r="G32" s="24">
        <v>0.0</v>
      </c>
      <c r="H32" s="24">
        <v>0.041666666666666664</v>
      </c>
      <c r="I32" s="4">
        <v>4.0</v>
      </c>
      <c r="J32" s="4">
        <v>20.0</v>
      </c>
      <c r="K32" s="4" t="s">
        <v>245</v>
      </c>
      <c r="L32" s="4">
        <v>5.0</v>
      </c>
      <c r="M32" s="4">
        <v>4.0</v>
      </c>
      <c r="N32" s="4">
        <v>4.0</v>
      </c>
      <c r="P32" s="4">
        <v>4.0</v>
      </c>
      <c r="R32" s="4">
        <v>12.0</v>
      </c>
      <c r="AX32" s="4">
        <v>1.0</v>
      </c>
      <c r="BM32" s="4">
        <v>2.0</v>
      </c>
      <c r="BQ32" s="4">
        <v>14.0</v>
      </c>
      <c r="BU32" s="4">
        <v>20.0</v>
      </c>
      <c r="BX32" s="4">
        <v>27.0</v>
      </c>
      <c r="CS32" s="4">
        <v>4.0</v>
      </c>
      <c r="DD32" s="4">
        <v>4.0</v>
      </c>
      <c r="DM32" s="4">
        <v>14.0</v>
      </c>
      <c r="DU32" s="4"/>
      <c r="DV32" s="4">
        <v>5.0</v>
      </c>
      <c r="EJ32" s="4">
        <v>4.0</v>
      </c>
      <c r="FB32" s="4">
        <v>7.0</v>
      </c>
      <c r="FR32" s="4">
        <v>6.0</v>
      </c>
      <c r="FS32" s="4">
        <v>18.0</v>
      </c>
      <c r="GH32" s="25">
        <f t="shared" si="1"/>
        <v>14</v>
      </c>
      <c r="GI32" s="25">
        <f t="shared" si="2"/>
        <v>13</v>
      </c>
      <c r="GJ32" s="25">
        <f t="shared" si="3"/>
        <v>9</v>
      </c>
      <c r="GK32" s="25">
        <f t="shared" si="4"/>
        <v>138</v>
      </c>
      <c r="GL32" s="25">
        <f t="shared" si="5"/>
        <v>100</v>
      </c>
      <c r="GM32" s="25">
        <f t="shared" si="6"/>
        <v>-38</v>
      </c>
    </row>
    <row r="33">
      <c r="A33" s="23">
        <v>38854.0</v>
      </c>
      <c r="B33" s="4" t="s">
        <v>246</v>
      </c>
      <c r="C33" s="28">
        <f t="shared" si="7"/>
        <v>29</v>
      </c>
      <c r="D33" s="4">
        <v>21.2882</v>
      </c>
      <c r="E33" s="4">
        <v>-157.667999</v>
      </c>
      <c r="F33" s="4" t="s">
        <v>197</v>
      </c>
      <c r="G33" s="24">
        <v>0.0</v>
      </c>
      <c r="H33" s="24">
        <v>0.041666666666666664</v>
      </c>
      <c r="I33" s="4">
        <v>3.0</v>
      </c>
      <c r="J33" s="4">
        <v>20.0</v>
      </c>
      <c r="K33" s="4" t="s">
        <v>245</v>
      </c>
      <c r="L33" s="4">
        <v>5.0</v>
      </c>
      <c r="M33" s="4">
        <v>4.0</v>
      </c>
      <c r="N33" s="4">
        <v>4.0</v>
      </c>
      <c r="P33" s="4">
        <v>4.0</v>
      </c>
      <c r="R33" s="4">
        <v>1.0</v>
      </c>
      <c r="BH33" s="4">
        <v>1.0</v>
      </c>
      <c r="BK33" s="4">
        <v>2.0</v>
      </c>
      <c r="BW33" s="4">
        <v>3.0</v>
      </c>
      <c r="CJ33" s="4">
        <v>6.0</v>
      </c>
      <c r="CO33" s="4">
        <v>3.0</v>
      </c>
      <c r="DM33" s="4">
        <v>6.0</v>
      </c>
      <c r="DO33" s="4">
        <v>3.0</v>
      </c>
      <c r="DZ33" s="4">
        <v>1.0</v>
      </c>
      <c r="EJ33" s="4">
        <v>8.0</v>
      </c>
      <c r="FB33" s="4">
        <v>10.0</v>
      </c>
      <c r="FR33" s="4">
        <v>1.0</v>
      </c>
      <c r="FS33" s="4">
        <v>34.0</v>
      </c>
      <c r="GH33" s="25">
        <f t="shared" si="1"/>
        <v>13</v>
      </c>
      <c r="GI33" s="25">
        <f t="shared" si="2"/>
        <v>9</v>
      </c>
      <c r="GJ33" s="25">
        <f t="shared" si="3"/>
        <v>5</v>
      </c>
      <c r="GK33" s="25">
        <f t="shared" si="4"/>
        <v>79</v>
      </c>
      <c r="GL33" s="25">
        <f t="shared" si="5"/>
        <v>100</v>
      </c>
      <c r="GM33" s="25">
        <f t="shared" si="6"/>
        <v>21</v>
      </c>
    </row>
    <row r="34">
      <c r="A34" s="23">
        <v>39177.0</v>
      </c>
      <c r="B34" s="4" t="s">
        <v>247</v>
      </c>
      <c r="C34" s="28">
        <f t="shared" si="7"/>
        <v>30</v>
      </c>
      <c r="D34" s="4">
        <v>19.488199</v>
      </c>
      <c r="E34" s="4">
        <v>-154.819305</v>
      </c>
      <c r="F34" s="4" t="s">
        <v>197</v>
      </c>
      <c r="G34" s="24">
        <v>0.0</v>
      </c>
      <c r="H34" s="24">
        <v>0.041666666666666664</v>
      </c>
      <c r="I34" s="4">
        <v>4.0</v>
      </c>
      <c r="J34" s="4">
        <v>20.0</v>
      </c>
      <c r="K34" s="4" t="s">
        <v>245</v>
      </c>
      <c r="L34" s="4">
        <v>5.0</v>
      </c>
      <c r="M34" s="4">
        <v>13.0</v>
      </c>
      <c r="N34" s="4" t="s">
        <v>248</v>
      </c>
      <c r="P34" s="4">
        <v>13.0</v>
      </c>
      <c r="AM34" s="4">
        <v>10.0</v>
      </c>
      <c r="CC34" s="4">
        <v>1.0</v>
      </c>
      <c r="DM34" s="4">
        <v>9.0</v>
      </c>
      <c r="DX34" s="4">
        <v>94.0</v>
      </c>
      <c r="FM34" s="4">
        <v>1.0</v>
      </c>
      <c r="FS34" s="4">
        <v>131.0</v>
      </c>
      <c r="GF34" s="4">
        <v>1.0</v>
      </c>
      <c r="GH34" s="25">
        <f t="shared" si="1"/>
        <v>7</v>
      </c>
      <c r="GI34" s="25">
        <f t="shared" si="2"/>
        <v>4</v>
      </c>
      <c r="GJ34" s="25">
        <f t="shared" si="3"/>
        <v>4</v>
      </c>
      <c r="GK34" s="25">
        <f t="shared" si="4"/>
        <v>247</v>
      </c>
      <c r="GL34" s="25">
        <f t="shared" si="5"/>
        <v>325</v>
      </c>
      <c r="GM34" s="25">
        <f t="shared" si="6"/>
        <v>78</v>
      </c>
    </row>
    <row r="35">
      <c r="A35" s="23">
        <v>39190.0</v>
      </c>
      <c r="B35" s="4" t="s">
        <v>201</v>
      </c>
      <c r="C35" s="28">
        <f t="shared" si="7"/>
        <v>31</v>
      </c>
      <c r="D35" s="4">
        <v>21.25544</v>
      </c>
      <c r="E35" s="4">
        <v>-157.810303</v>
      </c>
      <c r="F35" s="4" t="s">
        <v>197</v>
      </c>
      <c r="G35" s="24">
        <v>0.0</v>
      </c>
      <c r="H35" s="24">
        <v>0.041666666666666664</v>
      </c>
      <c r="I35" s="4">
        <v>7.0</v>
      </c>
      <c r="J35" s="4">
        <v>11.0</v>
      </c>
      <c r="K35" s="4" t="s">
        <v>198</v>
      </c>
      <c r="L35" s="4">
        <v>12.0</v>
      </c>
      <c r="M35" s="4">
        <v>74.0</v>
      </c>
      <c r="N35" s="4" t="s">
        <v>249</v>
      </c>
      <c r="P35" s="4">
        <v>74.0</v>
      </c>
      <c r="R35" s="4">
        <v>175.0</v>
      </c>
      <c r="Y35" s="4">
        <v>1.0</v>
      </c>
      <c r="AF35" s="4">
        <v>1.0</v>
      </c>
      <c r="AM35" s="4">
        <v>9.0</v>
      </c>
      <c r="AZ35" s="4">
        <v>25.0</v>
      </c>
      <c r="BB35" s="4">
        <v>18.0</v>
      </c>
      <c r="BF35" s="4">
        <v>1.0</v>
      </c>
      <c r="BM35" s="4">
        <v>16.0</v>
      </c>
      <c r="BQ35" s="4">
        <v>58.0</v>
      </c>
      <c r="BT35" s="4">
        <v>7.0</v>
      </c>
      <c r="BU35" s="4">
        <v>3.0</v>
      </c>
      <c r="BW35" s="4">
        <v>4.0</v>
      </c>
      <c r="BX35" s="4">
        <v>10.0</v>
      </c>
      <c r="BY35" s="4">
        <v>1.0</v>
      </c>
      <c r="CB35" s="4">
        <v>9.0</v>
      </c>
      <c r="CJ35" s="4">
        <v>4.0</v>
      </c>
      <c r="CO35" s="4">
        <v>38.0</v>
      </c>
      <c r="CS35" s="4">
        <v>6.0</v>
      </c>
      <c r="CV35" s="4">
        <v>2.0</v>
      </c>
      <c r="DD35" s="4">
        <v>1.0</v>
      </c>
      <c r="DF35" s="4">
        <v>33.0</v>
      </c>
      <c r="DL35" s="4">
        <v>71.0</v>
      </c>
      <c r="DM35" s="4">
        <v>140.0</v>
      </c>
      <c r="DP35" s="4">
        <v>3.0</v>
      </c>
      <c r="DS35" s="4">
        <v>72.0</v>
      </c>
      <c r="DU35" s="4"/>
      <c r="DV35" s="4">
        <v>5.0</v>
      </c>
      <c r="ED35" s="4">
        <v>4.0</v>
      </c>
      <c r="EJ35" s="4">
        <v>220.0</v>
      </c>
      <c r="EW35" s="4">
        <v>2.0</v>
      </c>
      <c r="FB35" s="4">
        <v>221.0</v>
      </c>
      <c r="FC35" s="4">
        <v>36.0</v>
      </c>
      <c r="FI35" s="4">
        <v>1.0</v>
      </c>
      <c r="FR35" s="4">
        <v>2.0</v>
      </c>
      <c r="FS35" s="4">
        <v>142.0</v>
      </c>
      <c r="FX35" s="4"/>
      <c r="FY35" s="4">
        <v>20.0</v>
      </c>
      <c r="GE35" s="4">
        <v>11.0</v>
      </c>
      <c r="GF35" s="4">
        <v>21.0</v>
      </c>
      <c r="GH35" s="25">
        <f t="shared" si="1"/>
        <v>37</v>
      </c>
      <c r="GI35" s="25">
        <f t="shared" si="2"/>
        <v>31</v>
      </c>
      <c r="GJ35" s="25">
        <f t="shared" si="3"/>
        <v>23</v>
      </c>
      <c r="GK35" s="25">
        <f t="shared" si="4"/>
        <v>1393</v>
      </c>
      <c r="GL35" s="25">
        <f t="shared" si="5"/>
        <v>1850</v>
      </c>
      <c r="GM35" s="25">
        <f t="shared" si="6"/>
        <v>457</v>
      </c>
    </row>
    <row r="36">
      <c r="A36" s="23">
        <v>39191.0</v>
      </c>
      <c r="B36" s="4" t="s">
        <v>250</v>
      </c>
      <c r="C36" s="28">
        <f t="shared" si="7"/>
        <v>32</v>
      </c>
      <c r="D36" s="4">
        <v>21.4104</v>
      </c>
      <c r="E36" s="4">
        <v>-158.177704</v>
      </c>
      <c r="F36" s="4" t="s">
        <v>197</v>
      </c>
      <c r="G36" s="24">
        <v>0.0</v>
      </c>
      <c r="H36" s="24">
        <v>0.041666666666666664</v>
      </c>
      <c r="I36" s="4">
        <v>10.0</v>
      </c>
      <c r="J36" s="4">
        <v>20.0</v>
      </c>
      <c r="K36" s="4" t="s">
        <v>245</v>
      </c>
      <c r="L36" s="4">
        <v>6.0</v>
      </c>
      <c r="M36" s="4">
        <v>15.0</v>
      </c>
      <c r="N36" s="4" t="s">
        <v>251</v>
      </c>
      <c r="P36" s="4">
        <v>15.0</v>
      </c>
      <c r="R36" s="4">
        <v>82.0</v>
      </c>
      <c r="S36" s="4">
        <v>4.0</v>
      </c>
      <c r="AJ36" s="4"/>
      <c r="AK36" s="4">
        <v>5.0</v>
      </c>
      <c r="BG36" s="4">
        <v>9.0</v>
      </c>
      <c r="BI36" s="4">
        <v>2.0</v>
      </c>
      <c r="BK36" s="4">
        <v>9.0</v>
      </c>
      <c r="BY36" s="4">
        <v>56.0</v>
      </c>
      <c r="BZ36" s="4">
        <v>33.0</v>
      </c>
      <c r="CC36" s="4">
        <v>7.0</v>
      </c>
      <c r="CD36" s="4">
        <v>1.0</v>
      </c>
      <c r="DH36" s="4">
        <v>1.0</v>
      </c>
      <c r="DL36" s="4">
        <v>9.0</v>
      </c>
      <c r="DM36" s="4">
        <v>32.0</v>
      </c>
      <c r="EJ36" s="4">
        <v>11.0</v>
      </c>
      <c r="EW36" s="4">
        <v>15.0</v>
      </c>
      <c r="FC36" s="4">
        <v>2.0</v>
      </c>
      <c r="FE36" s="4">
        <v>24.0</v>
      </c>
      <c r="FR36" s="4">
        <v>16.0</v>
      </c>
      <c r="FS36" s="4">
        <v>44.0</v>
      </c>
      <c r="FT36" s="4">
        <v>41.0</v>
      </c>
      <c r="GE36" s="4">
        <v>3.0</v>
      </c>
      <c r="GF36" s="4">
        <v>52.0</v>
      </c>
      <c r="GH36" s="25">
        <f t="shared" si="1"/>
        <v>22</v>
      </c>
      <c r="GI36" s="25">
        <f t="shared" si="2"/>
        <v>20</v>
      </c>
      <c r="GJ36" s="25">
        <f t="shared" si="3"/>
        <v>16</v>
      </c>
      <c r="GK36" s="25">
        <f t="shared" si="4"/>
        <v>458</v>
      </c>
      <c r="GL36" s="25">
        <f t="shared" si="5"/>
        <v>375</v>
      </c>
      <c r="GM36" s="25">
        <f t="shared" si="6"/>
        <v>-83</v>
      </c>
    </row>
    <row r="37">
      <c r="A37" s="23">
        <v>39191.0</v>
      </c>
      <c r="B37" s="4" t="s">
        <v>201</v>
      </c>
      <c r="C37" s="28">
        <f t="shared" si="7"/>
        <v>33</v>
      </c>
      <c r="D37" s="4">
        <v>21.25544</v>
      </c>
      <c r="E37" s="4">
        <v>-157.810303</v>
      </c>
      <c r="F37" s="4" t="s">
        <v>197</v>
      </c>
      <c r="G37" s="24">
        <v>0.0</v>
      </c>
      <c r="H37" s="24">
        <v>0.041666666666666664</v>
      </c>
      <c r="I37" s="4">
        <v>7.0</v>
      </c>
      <c r="J37" s="4">
        <v>11.0</v>
      </c>
      <c r="K37" s="4" t="s">
        <v>198</v>
      </c>
      <c r="L37" s="4">
        <v>12.0</v>
      </c>
      <c r="M37" s="4">
        <v>66.0</v>
      </c>
      <c r="N37" s="4" t="s">
        <v>252</v>
      </c>
      <c r="P37" s="4">
        <v>66.0</v>
      </c>
      <c r="R37" s="4">
        <v>11.0</v>
      </c>
      <c r="X37" s="4">
        <v>3.0</v>
      </c>
      <c r="Z37" s="4">
        <v>5.0</v>
      </c>
      <c r="AE37" s="4">
        <v>10.0</v>
      </c>
      <c r="AF37" s="4">
        <v>2.0</v>
      </c>
      <c r="AI37" s="4">
        <v>2.0</v>
      </c>
      <c r="AJ37" s="4">
        <v>1.0</v>
      </c>
      <c r="AM37" s="4">
        <v>2.0</v>
      </c>
      <c r="BB37" s="4">
        <v>21.0</v>
      </c>
      <c r="BM37" s="4">
        <v>1.0</v>
      </c>
      <c r="BQ37" s="4">
        <v>80.0</v>
      </c>
      <c r="BT37" s="4">
        <v>32.0</v>
      </c>
      <c r="BU37" s="4">
        <v>12.0</v>
      </c>
      <c r="BW37" s="4">
        <v>5.0</v>
      </c>
      <c r="BX37" s="4">
        <v>70.0</v>
      </c>
      <c r="BY37" s="4">
        <v>52.0</v>
      </c>
      <c r="CB37" s="4">
        <v>14.0</v>
      </c>
      <c r="CJ37" s="4">
        <v>5.0</v>
      </c>
      <c r="CO37" s="4">
        <v>24.0</v>
      </c>
      <c r="CS37" s="4">
        <v>7.0</v>
      </c>
      <c r="CV37" s="4">
        <v>5.0</v>
      </c>
      <c r="DF37" s="4">
        <v>18.0</v>
      </c>
      <c r="DH37" s="4">
        <v>2.0</v>
      </c>
      <c r="DL37" s="4">
        <v>40.0</v>
      </c>
      <c r="DM37" s="4">
        <v>207.0</v>
      </c>
      <c r="DO37" s="4">
        <v>3.0</v>
      </c>
      <c r="DP37" s="4">
        <v>4.0</v>
      </c>
      <c r="DS37" s="4">
        <v>40.0</v>
      </c>
      <c r="DU37" s="4"/>
      <c r="DV37" s="4">
        <v>44.0</v>
      </c>
      <c r="DZ37" s="4">
        <v>1.0</v>
      </c>
      <c r="EB37" s="4">
        <v>1.0</v>
      </c>
      <c r="EC37" s="4">
        <v>1.0</v>
      </c>
      <c r="ED37" s="4">
        <v>2.0</v>
      </c>
      <c r="EJ37" s="4">
        <v>168.0</v>
      </c>
      <c r="EN37" s="4">
        <v>1.0</v>
      </c>
      <c r="EW37" s="4">
        <v>13.0</v>
      </c>
      <c r="FB37" s="4">
        <v>101.0</v>
      </c>
      <c r="FC37" s="4">
        <v>10.0</v>
      </c>
      <c r="FE37" s="4">
        <v>1.0</v>
      </c>
      <c r="FF37" s="4">
        <v>3.0</v>
      </c>
      <c r="FH37" s="4">
        <v>1.0</v>
      </c>
      <c r="FM37" s="4">
        <v>1.0</v>
      </c>
      <c r="FR37" s="4">
        <v>43.0</v>
      </c>
      <c r="FS37" s="4">
        <v>134.0</v>
      </c>
      <c r="GE37" s="4">
        <v>5.0</v>
      </c>
      <c r="GF37" s="4">
        <v>41.0</v>
      </c>
      <c r="GH37" s="25">
        <f t="shared" si="1"/>
        <v>46</v>
      </c>
      <c r="GI37" s="25">
        <f t="shared" si="2"/>
        <v>37</v>
      </c>
      <c r="GJ37" s="25">
        <f t="shared" si="3"/>
        <v>28</v>
      </c>
      <c r="GK37" s="25">
        <f t="shared" si="4"/>
        <v>1249</v>
      </c>
      <c r="GL37" s="25">
        <f t="shared" si="5"/>
        <v>1650</v>
      </c>
      <c r="GM37" s="25">
        <f t="shared" si="6"/>
        <v>401</v>
      </c>
    </row>
    <row r="38">
      <c r="A38" s="23">
        <v>39192.0</v>
      </c>
      <c r="B38" s="4" t="s">
        <v>230</v>
      </c>
      <c r="C38" s="28">
        <f t="shared" si="7"/>
        <v>34</v>
      </c>
      <c r="D38" s="4">
        <v>20.7537</v>
      </c>
      <c r="E38" s="4">
        <v>-156.460907</v>
      </c>
      <c r="F38" s="4" t="s">
        <v>197</v>
      </c>
      <c r="G38" s="24">
        <v>0.0</v>
      </c>
      <c r="H38" s="24">
        <v>0.041666666666666664</v>
      </c>
      <c r="I38" s="4">
        <v>4.0</v>
      </c>
      <c r="J38" s="4">
        <v>9.0</v>
      </c>
      <c r="K38" s="4" t="s">
        <v>198</v>
      </c>
      <c r="L38" s="4">
        <v>10.0</v>
      </c>
      <c r="M38" s="4">
        <v>36.0</v>
      </c>
      <c r="N38" s="4" t="s">
        <v>253</v>
      </c>
      <c r="P38" s="4">
        <v>36.0</v>
      </c>
      <c r="R38" s="4">
        <v>14.0</v>
      </c>
      <c r="Z38" s="4">
        <v>2.0</v>
      </c>
      <c r="AD38" s="4">
        <v>5.0</v>
      </c>
      <c r="AM38" s="4">
        <v>9.0</v>
      </c>
      <c r="AN38" s="4">
        <v>2.0</v>
      </c>
      <c r="AO38" s="4"/>
      <c r="AP38" s="4">
        <v>5.0</v>
      </c>
      <c r="BH38" s="4">
        <v>1.0</v>
      </c>
      <c r="BK38" s="4">
        <v>12.0</v>
      </c>
      <c r="BM38" s="4">
        <v>18.0</v>
      </c>
      <c r="BX38" s="4">
        <v>1.0</v>
      </c>
      <c r="BY38" s="4">
        <v>3.0</v>
      </c>
      <c r="CC38" s="4">
        <v>1.0</v>
      </c>
      <c r="DF38" s="4">
        <v>1.0</v>
      </c>
      <c r="DH38" s="4">
        <v>2.0</v>
      </c>
      <c r="DM38" s="4">
        <v>1.0</v>
      </c>
      <c r="DS38" s="4">
        <v>27.0</v>
      </c>
      <c r="DW38" s="4">
        <v>3.0</v>
      </c>
      <c r="EJ38" s="4">
        <v>1.0</v>
      </c>
      <c r="FB38" s="4">
        <v>5.0</v>
      </c>
      <c r="FH38" s="4">
        <v>3.0</v>
      </c>
      <c r="FS38" s="4">
        <v>59.0</v>
      </c>
      <c r="FT38" s="4">
        <v>27.0</v>
      </c>
      <c r="GH38" s="25">
        <f t="shared" si="1"/>
        <v>22</v>
      </c>
      <c r="GI38" s="25">
        <f t="shared" si="2"/>
        <v>16</v>
      </c>
      <c r="GJ38" s="25">
        <f t="shared" si="3"/>
        <v>10</v>
      </c>
      <c r="GK38" s="25">
        <f t="shared" si="4"/>
        <v>202</v>
      </c>
      <c r="GL38" s="25">
        <f t="shared" si="5"/>
        <v>900</v>
      </c>
      <c r="GM38" s="25">
        <f t="shared" si="6"/>
        <v>698</v>
      </c>
    </row>
    <row r="39">
      <c r="A39" s="23">
        <v>39192.0</v>
      </c>
      <c r="B39" s="4" t="s">
        <v>246</v>
      </c>
      <c r="C39" s="28">
        <f t="shared" si="7"/>
        <v>35</v>
      </c>
      <c r="D39" s="4">
        <v>21.2882</v>
      </c>
      <c r="E39" s="4">
        <v>-157.667999</v>
      </c>
      <c r="F39" s="4" t="s">
        <v>197</v>
      </c>
      <c r="G39" s="24">
        <v>0.0</v>
      </c>
      <c r="H39" s="24">
        <v>0.041666666666666664</v>
      </c>
      <c r="I39" s="4">
        <v>3.0</v>
      </c>
      <c r="J39" s="4">
        <v>20.0</v>
      </c>
      <c r="K39" s="4" t="s">
        <v>245</v>
      </c>
      <c r="L39" s="4">
        <v>7.0</v>
      </c>
      <c r="M39" s="4">
        <v>15.0</v>
      </c>
      <c r="N39" s="4" t="s">
        <v>254</v>
      </c>
      <c r="P39" s="4">
        <v>15.0</v>
      </c>
      <c r="R39" s="4">
        <v>4.0</v>
      </c>
      <c r="AB39" s="4">
        <v>7.0</v>
      </c>
      <c r="AM39" s="4">
        <v>10.0</v>
      </c>
      <c r="BB39" s="4">
        <v>12.0</v>
      </c>
      <c r="BF39" s="4">
        <v>1.0</v>
      </c>
      <c r="BH39" s="4">
        <v>1.0</v>
      </c>
      <c r="BK39" s="4">
        <v>3.0</v>
      </c>
      <c r="BM39" s="4">
        <v>10.0</v>
      </c>
      <c r="BY39" s="4">
        <v>2.0</v>
      </c>
      <c r="CJ39" s="4">
        <v>4.0</v>
      </c>
      <c r="DM39" s="4">
        <v>3.0</v>
      </c>
      <c r="DS39" s="4">
        <v>1.0</v>
      </c>
      <c r="EJ39" s="4">
        <v>2.0</v>
      </c>
      <c r="EV39" s="4">
        <v>7.0</v>
      </c>
      <c r="EW39" s="4">
        <v>12.0</v>
      </c>
      <c r="FM39" s="4">
        <v>5.0</v>
      </c>
      <c r="FS39" s="4">
        <v>115.0</v>
      </c>
      <c r="GH39" s="25">
        <f t="shared" si="1"/>
        <v>17</v>
      </c>
      <c r="GI39" s="25">
        <f t="shared" si="2"/>
        <v>14</v>
      </c>
      <c r="GJ39" s="25">
        <f t="shared" si="3"/>
        <v>8</v>
      </c>
      <c r="GK39" s="25">
        <f t="shared" si="4"/>
        <v>199</v>
      </c>
      <c r="GL39" s="25">
        <f t="shared" si="5"/>
        <v>375</v>
      </c>
      <c r="GM39" s="25">
        <f t="shared" si="6"/>
        <v>176</v>
      </c>
    </row>
    <row r="40">
      <c r="A40" s="23">
        <v>39203.0</v>
      </c>
      <c r="B40" s="4" t="s">
        <v>230</v>
      </c>
      <c r="C40" s="28">
        <f t="shared" si="7"/>
        <v>36</v>
      </c>
      <c r="D40" s="4">
        <v>20.7537</v>
      </c>
      <c r="E40" s="4">
        <v>-156.460907</v>
      </c>
      <c r="F40" s="4" t="s">
        <v>197</v>
      </c>
      <c r="G40" s="24">
        <v>0.0</v>
      </c>
      <c r="H40" s="24">
        <v>0.041666666666666664</v>
      </c>
      <c r="I40" s="4">
        <v>5.0</v>
      </c>
      <c r="J40" s="4">
        <v>18.0</v>
      </c>
      <c r="K40" s="4" t="s">
        <v>217</v>
      </c>
      <c r="L40" s="4">
        <v>10.0</v>
      </c>
      <c r="M40" s="4">
        <v>43.0</v>
      </c>
      <c r="N40" s="4" t="s">
        <v>255</v>
      </c>
      <c r="P40" s="4">
        <v>43.0</v>
      </c>
      <c r="R40" s="4">
        <v>18.0</v>
      </c>
      <c r="AX40" s="4">
        <v>1.0</v>
      </c>
      <c r="BB40" s="4">
        <v>1.0</v>
      </c>
      <c r="BH40" s="4">
        <v>1.0</v>
      </c>
      <c r="BM40" s="4">
        <v>73.0</v>
      </c>
      <c r="BX40" s="4">
        <v>1.0</v>
      </c>
      <c r="BZ40" s="4">
        <v>1.0</v>
      </c>
      <c r="CC40" s="4">
        <v>1.0</v>
      </c>
      <c r="CJ40" s="4">
        <v>1.0</v>
      </c>
      <c r="CU40" s="4">
        <v>1.0</v>
      </c>
      <c r="DF40" s="4">
        <v>17.0</v>
      </c>
      <c r="DM40" s="4">
        <v>1.0</v>
      </c>
      <c r="DW40" s="4">
        <v>1.0</v>
      </c>
      <c r="EJ40" s="4">
        <v>9.0</v>
      </c>
      <c r="FB40" s="4">
        <v>38.0</v>
      </c>
      <c r="FF40" s="4">
        <v>1.0</v>
      </c>
      <c r="FS40" s="4">
        <v>44.0</v>
      </c>
      <c r="FT40" s="4">
        <v>10.0</v>
      </c>
      <c r="FV40" s="4">
        <v>2.0</v>
      </c>
      <c r="GE40" s="4">
        <v>5.0</v>
      </c>
      <c r="GF40" s="4">
        <v>3.0</v>
      </c>
      <c r="GH40" s="25">
        <f t="shared" si="1"/>
        <v>21</v>
      </c>
      <c r="GI40" s="25">
        <f t="shared" si="2"/>
        <v>10</v>
      </c>
      <c r="GJ40" s="25">
        <f t="shared" si="3"/>
        <v>8</v>
      </c>
      <c r="GK40" s="25">
        <f t="shared" si="4"/>
        <v>230</v>
      </c>
      <c r="GL40" s="25">
        <f t="shared" si="5"/>
        <v>1075</v>
      </c>
      <c r="GM40" s="25">
        <f t="shared" si="6"/>
        <v>845</v>
      </c>
    </row>
    <row r="41">
      <c r="A41" s="23">
        <v>39203.0</v>
      </c>
      <c r="B41" s="4" t="s">
        <v>216</v>
      </c>
      <c r="C41" s="28">
        <f t="shared" si="7"/>
        <v>37</v>
      </c>
      <c r="D41" s="4">
        <v>21.3002</v>
      </c>
      <c r="E41" s="4">
        <v>-157.882599</v>
      </c>
      <c r="F41" s="4" t="s">
        <v>197</v>
      </c>
      <c r="G41" s="24">
        <v>0.0</v>
      </c>
      <c r="H41" s="24">
        <v>0.041666666666666664</v>
      </c>
      <c r="I41" s="4">
        <v>4.0</v>
      </c>
      <c r="J41" s="4">
        <v>30.0</v>
      </c>
      <c r="K41" s="4" t="s">
        <v>227</v>
      </c>
      <c r="L41" s="4">
        <v>10.0</v>
      </c>
      <c r="M41" s="4">
        <v>36.0</v>
      </c>
      <c r="N41" s="4" t="s">
        <v>256</v>
      </c>
      <c r="P41" s="4">
        <v>36.0</v>
      </c>
      <c r="R41" s="4">
        <v>26.0</v>
      </c>
      <c r="AC41" s="4">
        <v>1.0</v>
      </c>
      <c r="AM41" s="4">
        <v>6.0</v>
      </c>
      <c r="BB41" s="4">
        <v>4.0</v>
      </c>
      <c r="BC41" s="4">
        <v>1.0</v>
      </c>
      <c r="BH41" s="4">
        <v>1.0</v>
      </c>
      <c r="BM41" s="4">
        <v>5.0</v>
      </c>
      <c r="CC41" s="4">
        <v>1.0</v>
      </c>
      <c r="CD41" s="4">
        <v>2.0</v>
      </c>
      <c r="CW41" s="4">
        <v>1.0</v>
      </c>
      <c r="DS41" s="4">
        <v>7.0</v>
      </c>
      <c r="DZ41" s="4">
        <v>1.0</v>
      </c>
      <c r="EJ41" s="4">
        <v>42.0</v>
      </c>
      <c r="FM41" s="4">
        <v>12.0</v>
      </c>
      <c r="FS41" s="4">
        <v>163.0</v>
      </c>
      <c r="GF41" s="4">
        <v>9.0</v>
      </c>
      <c r="GH41" s="25">
        <f t="shared" si="1"/>
        <v>16</v>
      </c>
      <c r="GI41" s="25">
        <f t="shared" si="2"/>
        <v>10</v>
      </c>
      <c r="GJ41" s="25">
        <f t="shared" si="3"/>
        <v>8</v>
      </c>
      <c r="GK41" s="25">
        <f t="shared" si="4"/>
        <v>282</v>
      </c>
      <c r="GL41" s="25">
        <f t="shared" si="5"/>
        <v>900</v>
      </c>
      <c r="GM41" s="25">
        <f t="shared" si="6"/>
        <v>618</v>
      </c>
    </row>
    <row r="42">
      <c r="A42" s="23">
        <v>39204.0</v>
      </c>
      <c r="B42" s="4" t="s">
        <v>219</v>
      </c>
      <c r="C42" s="28">
        <f t="shared" si="7"/>
        <v>38</v>
      </c>
      <c r="D42" s="4">
        <v>21.295799</v>
      </c>
      <c r="E42" s="4">
        <v>-158.103699</v>
      </c>
      <c r="F42" s="4" t="s">
        <v>197</v>
      </c>
      <c r="G42" s="24">
        <v>0.0</v>
      </c>
      <c r="H42" s="24">
        <v>0.041666666666666664</v>
      </c>
      <c r="I42" s="4">
        <v>5.0</v>
      </c>
      <c r="J42" s="4">
        <v>30.0</v>
      </c>
      <c r="K42" s="4" t="s">
        <v>237</v>
      </c>
      <c r="L42" s="4">
        <v>7.0</v>
      </c>
      <c r="M42" s="4">
        <v>22.0</v>
      </c>
      <c r="N42" s="4" t="s">
        <v>257</v>
      </c>
      <c r="P42" s="4">
        <v>22.0</v>
      </c>
      <c r="R42" s="4">
        <v>21.0</v>
      </c>
      <c r="AF42" s="4">
        <v>1.0</v>
      </c>
      <c r="AM42" s="4">
        <v>1.0</v>
      </c>
      <c r="BB42" s="4">
        <v>5.0</v>
      </c>
      <c r="BD42" s="4">
        <v>2.0</v>
      </c>
      <c r="BM42" s="4">
        <v>13.0</v>
      </c>
      <c r="BW42" s="4">
        <v>6.0</v>
      </c>
      <c r="BX42" s="4">
        <v>2.0</v>
      </c>
      <c r="CO42" s="4">
        <v>2.0</v>
      </c>
      <c r="CS42" s="4">
        <v>1.0</v>
      </c>
      <c r="DM42" s="4">
        <v>4.0</v>
      </c>
      <c r="DS42" s="4">
        <v>1.0</v>
      </c>
      <c r="DZ42" s="4">
        <v>2.0</v>
      </c>
      <c r="EC42" s="4">
        <v>1.0</v>
      </c>
      <c r="ED42" s="4">
        <v>1.0</v>
      </c>
      <c r="EJ42" s="4">
        <v>69.0</v>
      </c>
      <c r="FB42" s="4">
        <v>11.0</v>
      </c>
      <c r="FC42" s="4">
        <v>5.0</v>
      </c>
      <c r="FE42" s="4">
        <v>1.0</v>
      </c>
      <c r="FH42" s="4">
        <v>7.0</v>
      </c>
      <c r="FS42" s="4">
        <v>159.0</v>
      </c>
      <c r="GF42" s="4">
        <v>18.0</v>
      </c>
      <c r="GH42" s="25">
        <f t="shared" si="1"/>
        <v>22</v>
      </c>
      <c r="GI42" s="25">
        <f t="shared" si="2"/>
        <v>15</v>
      </c>
      <c r="GJ42" s="25">
        <f t="shared" si="3"/>
        <v>10</v>
      </c>
      <c r="GK42" s="25">
        <f t="shared" si="4"/>
        <v>333</v>
      </c>
      <c r="GL42" s="25">
        <f t="shared" si="5"/>
        <v>550</v>
      </c>
      <c r="GM42" s="25">
        <f t="shared" si="6"/>
        <v>217</v>
      </c>
    </row>
    <row r="43">
      <c r="A43" s="23">
        <v>39206.0</v>
      </c>
      <c r="B43" s="4" t="s">
        <v>216</v>
      </c>
      <c r="C43" s="28">
        <f t="shared" si="7"/>
        <v>39</v>
      </c>
      <c r="D43" s="4">
        <v>21.3002</v>
      </c>
      <c r="E43" s="4">
        <v>-157.882599</v>
      </c>
      <c r="F43" s="4" t="s">
        <v>197</v>
      </c>
      <c r="G43" s="24">
        <v>0.0</v>
      </c>
      <c r="H43" s="24">
        <v>0.041666666666666664</v>
      </c>
      <c r="I43" s="4">
        <v>4.0</v>
      </c>
      <c r="J43" s="4">
        <v>30.0</v>
      </c>
      <c r="K43" s="4" t="s">
        <v>237</v>
      </c>
      <c r="L43" s="4">
        <v>7.0</v>
      </c>
      <c r="M43" s="4">
        <v>20.0</v>
      </c>
      <c r="N43" s="4" t="s">
        <v>258</v>
      </c>
      <c r="P43" s="4">
        <v>20.0</v>
      </c>
      <c r="R43" s="4">
        <v>5.0</v>
      </c>
      <c r="AE43" s="4">
        <v>2.0</v>
      </c>
      <c r="AM43" s="4">
        <v>5.0</v>
      </c>
      <c r="AN43" s="4">
        <v>2.0</v>
      </c>
      <c r="BD43" s="4">
        <v>3.0</v>
      </c>
      <c r="BH43" s="4">
        <v>1.0</v>
      </c>
      <c r="BM43" s="4">
        <v>20.0</v>
      </c>
      <c r="BW43" s="4">
        <v>4.0</v>
      </c>
      <c r="CW43" s="4">
        <v>1.0</v>
      </c>
      <c r="DQ43" s="4">
        <v>4.0</v>
      </c>
      <c r="DS43" s="4">
        <v>56.0</v>
      </c>
      <c r="EJ43" s="4">
        <v>17.0</v>
      </c>
      <c r="FF43" s="4">
        <v>1.0</v>
      </c>
      <c r="FJ43" s="4">
        <v>1.0</v>
      </c>
      <c r="FM43" s="4">
        <v>2.0</v>
      </c>
      <c r="FS43" s="4">
        <v>58.0</v>
      </c>
      <c r="GH43" s="25">
        <f t="shared" si="1"/>
        <v>16</v>
      </c>
      <c r="GI43" s="25">
        <f t="shared" si="2"/>
        <v>12</v>
      </c>
      <c r="GJ43" s="25">
        <f t="shared" si="3"/>
        <v>6</v>
      </c>
      <c r="GK43" s="25">
        <f t="shared" si="4"/>
        <v>182</v>
      </c>
      <c r="GL43" s="25">
        <f t="shared" si="5"/>
        <v>500</v>
      </c>
      <c r="GM43" s="25">
        <f t="shared" si="6"/>
        <v>318</v>
      </c>
    </row>
    <row r="44">
      <c r="A44" s="23">
        <v>39217.0</v>
      </c>
      <c r="B44" s="4" t="s">
        <v>259</v>
      </c>
      <c r="C44" s="28">
        <f t="shared" si="7"/>
        <v>40</v>
      </c>
      <c r="D44" s="4">
        <v>19.737894</v>
      </c>
      <c r="E44" s="4">
        <v>-155.034058</v>
      </c>
      <c r="F44" s="4" t="s">
        <v>197</v>
      </c>
      <c r="G44" s="24">
        <v>0.0</v>
      </c>
      <c r="H44" s="24">
        <v>0.041666666666666664</v>
      </c>
      <c r="I44" s="4">
        <v>6.0</v>
      </c>
      <c r="J44" s="4">
        <v>18.0</v>
      </c>
      <c r="K44" s="4" t="s">
        <v>227</v>
      </c>
      <c r="L44" s="4">
        <v>7.0</v>
      </c>
      <c r="M44" s="4">
        <v>22.0</v>
      </c>
      <c r="N44" s="4" t="s">
        <v>260</v>
      </c>
      <c r="P44" s="4">
        <v>22.0</v>
      </c>
      <c r="AK44" s="4">
        <v>6.0</v>
      </c>
      <c r="BU44" s="4">
        <v>3.0</v>
      </c>
      <c r="BX44" s="4">
        <v>1.0</v>
      </c>
      <c r="CC44" s="4">
        <v>1.0</v>
      </c>
      <c r="CO44" s="4">
        <v>46.0</v>
      </c>
      <c r="DH44" s="4">
        <v>4.0</v>
      </c>
      <c r="ED44" s="4">
        <v>2.0</v>
      </c>
      <c r="EJ44" s="4">
        <v>108.0</v>
      </c>
      <c r="FS44" s="4">
        <v>8.0</v>
      </c>
      <c r="GE44" s="4">
        <v>3.0</v>
      </c>
      <c r="GF44" s="4">
        <v>11.0</v>
      </c>
      <c r="GH44" s="25">
        <f t="shared" si="1"/>
        <v>11</v>
      </c>
      <c r="GI44" s="25">
        <f t="shared" si="2"/>
        <v>9</v>
      </c>
      <c r="GJ44" s="25">
        <f t="shared" si="3"/>
        <v>5</v>
      </c>
      <c r="GK44" s="25">
        <f t="shared" si="4"/>
        <v>193</v>
      </c>
      <c r="GL44" s="25">
        <f t="shared" si="5"/>
        <v>550</v>
      </c>
      <c r="GM44" s="25">
        <f t="shared" si="6"/>
        <v>357</v>
      </c>
    </row>
    <row r="45">
      <c r="A45" s="23">
        <v>39218.0</v>
      </c>
      <c r="B45" s="4" t="s">
        <v>216</v>
      </c>
      <c r="C45" s="28">
        <f t="shared" si="7"/>
        <v>41</v>
      </c>
      <c r="D45" s="4">
        <v>21.3002</v>
      </c>
      <c r="E45" s="4">
        <v>-157.882599</v>
      </c>
      <c r="F45" s="4" t="s">
        <v>197</v>
      </c>
      <c r="G45" s="24">
        <v>0.0</v>
      </c>
      <c r="H45" s="24">
        <v>0.041666666666666664</v>
      </c>
      <c r="I45" s="4">
        <v>5.0</v>
      </c>
      <c r="J45" s="4">
        <v>30.0</v>
      </c>
      <c r="K45" s="4" t="s">
        <v>237</v>
      </c>
      <c r="L45" s="4">
        <v>7.0</v>
      </c>
      <c r="M45" s="4">
        <v>15.0</v>
      </c>
      <c r="N45" s="4" t="s">
        <v>261</v>
      </c>
      <c r="P45" s="4">
        <v>15.0</v>
      </c>
      <c r="R45" s="4">
        <v>6.0</v>
      </c>
      <c r="BD45" s="4">
        <v>2.0</v>
      </c>
      <c r="BK45" s="4">
        <v>1.0</v>
      </c>
      <c r="BW45" s="4">
        <v>1.0</v>
      </c>
      <c r="DQ45" s="4">
        <v>1.0</v>
      </c>
      <c r="DS45" s="4">
        <v>16.0</v>
      </c>
      <c r="EJ45" s="4">
        <v>30.0</v>
      </c>
      <c r="FN45" s="4">
        <v>1.0</v>
      </c>
      <c r="FS45" s="4">
        <v>96.0</v>
      </c>
      <c r="GE45" s="4">
        <v>1.0</v>
      </c>
      <c r="GH45" s="25">
        <f t="shared" si="1"/>
        <v>10</v>
      </c>
      <c r="GI45" s="25">
        <f t="shared" si="2"/>
        <v>5</v>
      </c>
      <c r="GJ45" s="25">
        <f t="shared" si="3"/>
        <v>4</v>
      </c>
      <c r="GK45" s="25">
        <f t="shared" si="4"/>
        <v>155</v>
      </c>
      <c r="GL45" s="25">
        <f t="shared" si="5"/>
        <v>375</v>
      </c>
      <c r="GM45" s="25">
        <f t="shared" si="6"/>
        <v>220</v>
      </c>
    </row>
    <row r="46">
      <c r="A46" s="23">
        <v>39219.0</v>
      </c>
      <c r="B46" s="4" t="s">
        <v>247</v>
      </c>
      <c r="C46" s="28">
        <f t="shared" si="7"/>
        <v>42</v>
      </c>
      <c r="D46" s="4">
        <v>19.488199</v>
      </c>
      <c r="E46" s="4">
        <v>-154.819305</v>
      </c>
      <c r="F46" s="4" t="s">
        <v>197</v>
      </c>
      <c r="G46" s="24">
        <v>0.0</v>
      </c>
      <c r="H46" s="24">
        <v>0.041666666666666664</v>
      </c>
      <c r="I46" s="4">
        <v>5.0</v>
      </c>
      <c r="J46" s="4">
        <v>20.0</v>
      </c>
      <c r="K46" s="4" t="s">
        <v>217</v>
      </c>
      <c r="L46" s="4">
        <v>10.0</v>
      </c>
      <c r="M46" s="4">
        <v>49.0</v>
      </c>
      <c r="N46" s="4" t="s">
        <v>262</v>
      </c>
      <c r="P46" s="4">
        <v>49.0</v>
      </c>
      <c r="AM46" s="4">
        <v>27.0</v>
      </c>
      <c r="BK46" s="4">
        <v>55.0</v>
      </c>
      <c r="BM46" s="4">
        <v>135.0</v>
      </c>
      <c r="BX46" s="4">
        <v>27.0</v>
      </c>
      <c r="CC46" s="4">
        <v>13.0</v>
      </c>
      <c r="CD46" s="4">
        <v>1.0</v>
      </c>
      <c r="DL46" s="4">
        <v>8.0</v>
      </c>
      <c r="DM46" s="4">
        <v>18.0</v>
      </c>
      <c r="DO46" s="4">
        <v>1.0</v>
      </c>
      <c r="DQ46" s="4">
        <v>26.0</v>
      </c>
      <c r="DS46" s="4">
        <v>9.0</v>
      </c>
      <c r="DX46" s="4">
        <v>23.0</v>
      </c>
      <c r="EI46" s="4">
        <v>1.0</v>
      </c>
      <c r="EJ46" s="4">
        <v>16.0</v>
      </c>
      <c r="EP46" s="4">
        <v>5.0</v>
      </c>
      <c r="ER46" s="4">
        <v>108.0</v>
      </c>
      <c r="FG46" s="4">
        <v>1.0</v>
      </c>
      <c r="FM46" s="4">
        <v>50.0</v>
      </c>
      <c r="FS46" s="4">
        <v>597.0</v>
      </c>
      <c r="FV46" s="4">
        <v>2.0</v>
      </c>
      <c r="FX46" s="4"/>
      <c r="FY46" s="4">
        <v>2.0</v>
      </c>
      <c r="GE46" s="4">
        <v>3.0</v>
      </c>
      <c r="GF46" s="4">
        <v>1.0</v>
      </c>
      <c r="GH46" s="25">
        <f t="shared" si="1"/>
        <v>23</v>
      </c>
      <c r="GI46" s="25">
        <f t="shared" si="2"/>
        <v>18</v>
      </c>
      <c r="GJ46" s="25">
        <f t="shared" si="3"/>
        <v>15</v>
      </c>
      <c r="GK46" s="25">
        <f t="shared" si="4"/>
        <v>1129</v>
      </c>
      <c r="GL46" s="25">
        <f t="shared" si="5"/>
        <v>1225</v>
      </c>
      <c r="GM46" s="25">
        <f t="shared" si="6"/>
        <v>96</v>
      </c>
    </row>
    <row r="47">
      <c r="A47" s="23">
        <v>39220.0</v>
      </c>
      <c r="B47" s="4" t="s">
        <v>219</v>
      </c>
      <c r="C47" s="28">
        <f t="shared" si="7"/>
        <v>43</v>
      </c>
      <c r="D47" s="4">
        <v>21.295799</v>
      </c>
      <c r="E47" s="4">
        <v>-158.103699</v>
      </c>
      <c r="F47" s="4" t="s">
        <v>197</v>
      </c>
      <c r="G47" s="24">
        <v>0.0</v>
      </c>
      <c r="H47" s="24">
        <v>0.041666666666666664</v>
      </c>
      <c r="I47" s="4">
        <v>5.0</v>
      </c>
      <c r="J47" s="4">
        <v>30.0</v>
      </c>
      <c r="K47" s="4" t="s">
        <v>237</v>
      </c>
      <c r="L47" s="4">
        <v>7.0</v>
      </c>
      <c r="M47" s="4">
        <v>28.0</v>
      </c>
      <c r="N47" s="4" t="s">
        <v>263</v>
      </c>
      <c r="P47" s="4">
        <v>28.0</v>
      </c>
      <c r="R47" s="4">
        <v>24.0</v>
      </c>
      <c r="AM47" s="4">
        <v>1.0</v>
      </c>
      <c r="BB47" s="4">
        <v>5.0</v>
      </c>
      <c r="BM47" s="4">
        <v>19.0</v>
      </c>
      <c r="BT47" s="4">
        <v>2.0</v>
      </c>
      <c r="BW47" s="4">
        <v>13.0</v>
      </c>
      <c r="BX47" s="4">
        <v>4.0</v>
      </c>
      <c r="CC47" s="4">
        <v>1.0</v>
      </c>
      <c r="DD47" s="4">
        <v>1.0</v>
      </c>
      <c r="DE47" s="4">
        <v>3.0</v>
      </c>
      <c r="DH47" s="4">
        <v>2.0</v>
      </c>
      <c r="DL47" s="4">
        <v>4.0</v>
      </c>
      <c r="DM47" s="4">
        <v>28.0</v>
      </c>
      <c r="DS47" s="4">
        <v>6.0</v>
      </c>
      <c r="DU47" s="4"/>
      <c r="DV47" s="4">
        <v>3.0</v>
      </c>
      <c r="EC47" s="4">
        <v>6.0</v>
      </c>
      <c r="EJ47" s="4">
        <v>196.0</v>
      </c>
      <c r="EW47" s="4">
        <v>1.0</v>
      </c>
      <c r="FB47" s="4">
        <v>28.0</v>
      </c>
      <c r="FC47" s="4">
        <v>1.0</v>
      </c>
      <c r="FH47" s="4">
        <v>1.0</v>
      </c>
      <c r="FM47" s="4">
        <v>2.0</v>
      </c>
      <c r="FS47" s="4">
        <v>189.0</v>
      </c>
      <c r="GE47" s="4">
        <v>1.0</v>
      </c>
      <c r="GF47" s="4">
        <v>3.0</v>
      </c>
      <c r="GH47" s="25">
        <f t="shared" si="1"/>
        <v>25</v>
      </c>
      <c r="GI47" s="25">
        <f t="shared" si="2"/>
        <v>18</v>
      </c>
      <c r="GJ47" s="25">
        <f t="shared" si="3"/>
        <v>10</v>
      </c>
      <c r="GK47" s="25">
        <f t="shared" si="4"/>
        <v>544</v>
      </c>
      <c r="GL47" s="25">
        <f t="shared" si="5"/>
        <v>700</v>
      </c>
      <c r="GM47" s="25">
        <f t="shared" si="6"/>
        <v>156</v>
      </c>
    </row>
    <row r="48">
      <c r="A48" s="23">
        <v>39501.0</v>
      </c>
      <c r="B48" s="4" t="s">
        <v>250</v>
      </c>
      <c r="C48" s="28">
        <f t="shared" si="7"/>
        <v>44</v>
      </c>
      <c r="D48" s="4">
        <v>21.4104</v>
      </c>
      <c r="E48" s="4">
        <v>-158.177704</v>
      </c>
      <c r="F48" s="4" t="s">
        <v>197</v>
      </c>
      <c r="G48" s="24">
        <v>0.0</v>
      </c>
      <c r="H48" s="24">
        <v>0.041666666666666664</v>
      </c>
      <c r="I48" s="4">
        <v>4.0</v>
      </c>
      <c r="J48" s="4">
        <v>21.0</v>
      </c>
      <c r="K48" s="4" t="s">
        <v>217</v>
      </c>
      <c r="L48" s="4">
        <v>11.0</v>
      </c>
      <c r="M48" s="4">
        <v>41.0</v>
      </c>
      <c r="N48" s="4" t="s">
        <v>264</v>
      </c>
      <c r="P48" s="4">
        <v>41.0</v>
      </c>
      <c r="R48" s="4">
        <v>272.0</v>
      </c>
      <c r="Y48" s="4"/>
      <c r="Z48" s="4">
        <v>1.0</v>
      </c>
      <c r="AM48" s="4">
        <v>3.0</v>
      </c>
      <c r="AR48" s="4">
        <v>1.0</v>
      </c>
      <c r="AX48" s="4">
        <v>19.0</v>
      </c>
      <c r="BH48" s="4">
        <v>2.0</v>
      </c>
      <c r="BM48" s="4">
        <v>24.0</v>
      </c>
      <c r="BQ48" s="4">
        <v>77.0</v>
      </c>
      <c r="BV48" s="4">
        <v>11.0</v>
      </c>
      <c r="BZ48" s="4">
        <v>75.0</v>
      </c>
      <c r="CC48" s="4">
        <v>37.0</v>
      </c>
      <c r="CD48" s="4">
        <v>28.0</v>
      </c>
      <c r="CJ48" s="4">
        <v>2.0</v>
      </c>
      <c r="CK48" s="4">
        <v>24.0</v>
      </c>
      <c r="DD48" s="4">
        <v>14.0</v>
      </c>
      <c r="DF48" s="4">
        <v>2.0</v>
      </c>
      <c r="DM48" s="4">
        <v>16.0</v>
      </c>
      <c r="DS48" s="4">
        <v>18.0</v>
      </c>
      <c r="EJ48" s="4">
        <v>1.0</v>
      </c>
      <c r="EV48" s="4">
        <v>75.0</v>
      </c>
      <c r="FM48" s="4">
        <v>1.0</v>
      </c>
      <c r="FS48" s="4">
        <v>136.0</v>
      </c>
      <c r="FT48" s="4">
        <v>31.0</v>
      </c>
      <c r="GH48" s="25">
        <f t="shared" si="1"/>
        <v>23</v>
      </c>
      <c r="GI48" s="25">
        <f t="shared" si="2"/>
        <v>19</v>
      </c>
      <c r="GJ48" s="25">
        <f t="shared" si="3"/>
        <v>15</v>
      </c>
      <c r="GK48" s="25">
        <f t="shared" si="4"/>
        <v>870</v>
      </c>
      <c r="GL48" s="25">
        <f t="shared" si="5"/>
        <v>1025</v>
      </c>
      <c r="GM48" s="25">
        <f t="shared" si="6"/>
        <v>155</v>
      </c>
    </row>
    <row r="49">
      <c r="A49" s="23">
        <v>42420.0</v>
      </c>
      <c r="B49" s="4" t="s">
        <v>216</v>
      </c>
      <c r="C49" s="28">
        <f t="shared" si="7"/>
        <v>45</v>
      </c>
      <c r="D49" s="4">
        <v>21.3002</v>
      </c>
      <c r="E49" s="4">
        <v>-157.882599</v>
      </c>
      <c r="F49" s="4" t="s">
        <v>197</v>
      </c>
      <c r="G49" s="24">
        <v>0.3638888888888889</v>
      </c>
      <c r="H49" s="24">
        <v>0.4305555555555556</v>
      </c>
      <c r="I49" s="4">
        <v>7.0</v>
      </c>
      <c r="J49" s="4">
        <v>25.0</v>
      </c>
      <c r="K49" s="4" t="s">
        <v>198</v>
      </c>
      <c r="L49" s="4">
        <v>13.0</v>
      </c>
      <c r="M49" s="4">
        <v>75.0</v>
      </c>
      <c r="N49" s="4" t="s">
        <v>265</v>
      </c>
      <c r="P49" s="4">
        <v>75.0</v>
      </c>
      <c r="R49" s="4">
        <v>1.0</v>
      </c>
      <c r="S49" s="4">
        <v>1.0</v>
      </c>
      <c r="AB49" s="4">
        <v>341.0</v>
      </c>
      <c r="AC49" s="4">
        <v>7.0</v>
      </c>
      <c r="AE49" s="4">
        <v>1.0</v>
      </c>
      <c r="AG49" s="4">
        <v>13.0</v>
      </c>
      <c r="AH49" s="4">
        <v>3.0</v>
      </c>
      <c r="AI49" s="4">
        <v>8.0</v>
      </c>
      <c r="AM49" s="4">
        <v>171.0</v>
      </c>
      <c r="AX49" s="4">
        <v>1.0</v>
      </c>
      <c r="BE49" s="4">
        <v>9.0</v>
      </c>
      <c r="BK49" s="4">
        <v>1.0</v>
      </c>
      <c r="BM49" s="4">
        <v>113.0</v>
      </c>
      <c r="BN49" s="4">
        <v>35.0</v>
      </c>
      <c r="BQ49" s="4">
        <v>10.0</v>
      </c>
      <c r="BV49" s="4">
        <v>11.0</v>
      </c>
      <c r="BZ49" s="4">
        <v>1.0</v>
      </c>
      <c r="CC49" s="4">
        <v>3.0</v>
      </c>
      <c r="CV49" s="4">
        <v>1.0</v>
      </c>
      <c r="CW49" s="4">
        <v>1.0</v>
      </c>
      <c r="CX49" s="4">
        <v>1.0</v>
      </c>
      <c r="DG49" s="4">
        <v>3.0</v>
      </c>
      <c r="DN49" s="4">
        <v>9.0</v>
      </c>
      <c r="DO49" s="4">
        <v>1.0</v>
      </c>
      <c r="DQ49" s="4">
        <v>66.0</v>
      </c>
      <c r="EC49" s="4">
        <v>15.0</v>
      </c>
      <c r="EJ49" s="4">
        <v>32.0</v>
      </c>
      <c r="FF49" s="4">
        <v>1.0</v>
      </c>
      <c r="FJ49" s="4"/>
      <c r="FK49" s="4"/>
      <c r="FL49" s="4">
        <v>1.0</v>
      </c>
      <c r="FQ49" s="4">
        <v>7.0</v>
      </c>
      <c r="FS49" s="4">
        <v>495.0</v>
      </c>
      <c r="FU49" s="4">
        <v>8.0</v>
      </c>
      <c r="GH49" s="25">
        <f t="shared" si="1"/>
        <v>32</v>
      </c>
      <c r="GI49" s="25">
        <f t="shared" si="2"/>
        <v>20</v>
      </c>
      <c r="GJ49" s="25">
        <f t="shared" si="3"/>
        <v>17</v>
      </c>
      <c r="GK49" s="25">
        <f t="shared" si="4"/>
        <v>1371</v>
      </c>
      <c r="GL49" s="25">
        <f t="shared" si="5"/>
        <v>1875</v>
      </c>
      <c r="GM49" s="25">
        <f t="shared" si="6"/>
        <v>504</v>
      </c>
    </row>
    <row r="50">
      <c r="A50" s="23">
        <v>42427.0</v>
      </c>
      <c r="B50" s="4" t="s">
        <v>266</v>
      </c>
      <c r="C50" s="28">
        <f t="shared" si="7"/>
        <v>46</v>
      </c>
      <c r="D50" s="4">
        <v>22.060684</v>
      </c>
      <c r="E50" s="4">
        <v>-159.318512</v>
      </c>
      <c r="F50" s="4" t="s">
        <v>197</v>
      </c>
      <c r="G50" s="24">
        <v>0.4826388888888889</v>
      </c>
      <c r="H50" s="24">
        <v>0.5416666666666666</v>
      </c>
      <c r="I50" s="4">
        <v>3.0</v>
      </c>
      <c r="J50" s="4">
        <v>16.0</v>
      </c>
      <c r="K50" s="4" t="s">
        <v>198</v>
      </c>
      <c r="L50" s="4">
        <v>15.0</v>
      </c>
      <c r="M50" s="4">
        <v>40.0</v>
      </c>
      <c r="N50" s="4" t="s">
        <v>267</v>
      </c>
      <c r="P50" s="4">
        <v>40.0</v>
      </c>
      <c r="R50" s="4">
        <v>6.0</v>
      </c>
      <c r="T50" s="4">
        <v>1.0</v>
      </c>
      <c r="W50" s="4"/>
      <c r="X50" s="4">
        <v>1.0</v>
      </c>
      <c r="AB50" s="4">
        <v>10.0</v>
      </c>
      <c r="AC50" s="4">
        <v>6.0</v>
      </c>
      <c r="AD50" s="4">
        <v>1.0</v>
      </c>
      <c r="AG50" s="4">
        <v>2.0</v>
      </c>
      <c r="AI50" s="4">
        <v>2.0</v>
      </c>
      <c r="AM50" s="4">
        <v>26.0</v>
      </c>
      <c r="AX50" s="4">
        <v>8.0</v>
      </c>
      <c r="BB50" s="4">
        <v>24.0</v>
      </c>
      <c r="BN50" s="4">
        <v>449.0</v>
      </c>
      <c r="BV50" s="4">
        <v>7.0</v>
      </c>
      <c r="DG50" s="4">
        <v>7.0</v>
      </c>
      <c r="DM50" s="4">
        <v>3.0</v>
      </c>
      <c r="DO50" s="4">
        <v>4.0</v>
      </c>
      <c r="DU50" s="4"/>
      <c r="DV50" s="4">
        <v>5.0</v>
      </c>
      <c r="EJ50" s="4">
        <v>77.0</v>
      </c>
      <c r="EN50" s="4">
        <v>4.0</v>
      </c>
      <c r="FB50" s="4">
        <v>21.0</v>
      </c>
      <c r="FI50" s="4">
        <v>8.0</v>
      </c>
      <c r="FR50" s="4">
        <v>35.0</v>
      </c>
      <c r="FS50" s="4">
        <v>12.0</v>
      </c>
      <c r="FX50" s="4"/>
      <c r="FY50" s="4">
        <v>15.0</v>
      </c>
      <c r="GH50" s="25">
        <f t="shared" si="1"/>
        <v>24</v>
      </c>
      <c r="GI50" s="25">
        <f t="shared" si="2"/>
        <v>21</v>
      </c>
      <c r="GJ50" s="25">
        <f t="shared" si="3"/>
        <v>16</v>
      </c>
      <c r="GK50" s="25">
        <f t="shared" si="4"/>
        <v>734</v>
      </c>
      <c r="GL50" s="25">
        <f t="shared" si="5"/>
        <v>1000</v>
      </c>
      <c r="GM50" s="25">
        <f t="shared" si="6"/>
        <v>266</v>
      </c>
    </row>
    <row r="51">
      <c r="A51" s="23">
        <v>42428.0</v>
      </c>
      <c r="B51" s="4" t="s">
        <v>266</v>
      </c>
      <c r="C51" s="28">
        <f t="shared" si="7"/>
        <v>47</v>
      </c>
      <c r="D51" s="4">
        <v>22.060684</v>
      </c>
      <c r="E51" s="4">
        <v>-159.318512</v>
      </c>
      <c r="F51" s="4" t="s">
        <v>197</v>
      </c>
      <c r="G51" s="24">
        <v>0.4895833333333333</v>
      </c>
      <c r="H51" s="24">
        <v>0.5625</v>
      </c>
      <c r="I51" s="4">
        <v>3.0</v>
      </c>
      <c r="J51" s="4">
        <v>21.0</v>
      </c>
      <c r="K51" s="4" t="s">
        <v>198</v>
      </c>
      <c r="L51" s="4">
        <v>15.0</v>
      </c>
      <c r="M51" s="4">
        <v>43.0</v>
      </c>
      <c r="N51" s="4" t="s">
        <v>268</v>
      </c>
      <c r="P51" s="4">
        <v>43.0</v>
      </c>
      <c r="R51" s="4">
        <v>4.0</v>
      </c>
      <c r="T51" s="4">
        <v>26.0</v>
      </c>
      <c r="AB51" s="4">
        <v>6.0</v>
      </c>
      <c r="AD51" s="4">
        <v>4.0</v>
      </c>
      <c r="AM51" s="4">
        <v>30.0</v>
      </c>
      <c r="AX51" s="4">
        <v>1.0</v>
      </c>
      <c r="AZ51" s="4">
        <v>2.0</v>
      </c>
      <c r="BB51" s="4">
        <v>30.0</v>
      </c>
      <c r="BM51" s="4">
        <v>19.0</v>
      </c>
      <c r="BN51" s="4">
        <v>503.0</v>
      </c>
      <c r="BO51" s="4"/>
      <c r="BP51" s="4">
        <v>1.0</v>
      </c>
      <c r="BQ51" s="4">
        <v>1.0</v>
      </c>
      <c r="BV51" s="4">
        <v>5.0</v>
      </c>
      <c r="BZ51" s="4">
        <v>3.0</v>
      </c>
      <c r="CK51" s="4">
        <v>4.0</v>
      </c>
      <c r="DG51" s="4">
        <v>3.0</v>
      </c>
      <c r="DM51" s="4">
        <v>6.0</v>
      </c>
      <c r="DU51" s="4"/>
      <c r="DV51" s="4">
        <v>40.0</v>
      </c>
      <c r="EJ51" s="4">
        <v>43.0</v>
      </c>
      <c r="FB51" s="4">
        <v>6.0</v>
      </c>
      <c r="FC51" s="4">
        <v>1.0</v>
      </c>
      <c r="FI51" s="4">
        <v>19.0</v>
      </c>
      <c r="FR51" s="4">
        <v>6.0</v>
      </c>
      <c r="FS51" s="4">
        <v>26.0</v>
      </c>
      <c r="GH51" s="25">
        <f t="shared" si="1"/>
        <v>24</v>
      </c>
      <c r="GI51" s="25">
        <f t="shared" si="2"/>
        <v>20</v>
      </c>
      <c r="GJ51" s="25">
        <f t="shared" si="3"/>
        <v>14</v>
      </c>
      <c r="GK51" s="25">
        <f t="shared" si="4"/>
        <v>789</v>
      </c>
      <c r="GL51" s="25">
        <f t="shared" si="5"/>
        <v>1075</v>
      </c>
      <c r="GM51" s="25">
        <f t="shared" si="6"/>
        <v>286</v>
      </c>
    </row>
    <row r="52">
      <c r="A52" s="31">
        <v>42428.0</v>
      </c>
      <c r="B52" s="32" t="s">
        <v>201</v>
      </c>
      <c r="C52" s="28"/>
      <c r="D52" s="32">
        <v>21.25544</v>
      </c>
      <c r="E52" s="32">
        <v>-157.810303</v>
      </c>
      <c r="F52" s="32" t="s">
        <v>197</v>
      </c>
      <c r="G52" s="33"/>
      <c r="H52" s="33"/>
      <c r="I52" s="32"/>
      <c r="J52" s="32"/>
      <c r="K52" s="32"/>
      <c r="L52" s="32"/>
      <c r="M52" s="32"/>
      <c r="N52" s="32"/>
      <c r="O52" s="32"/>
      <c r="P52" s="32"/>
      <c r="Q52" s="34"/>
      <c r="R52" s="32"/>
      <c r="S52" s="34"/>
      <c r="T52" s="34"/>
      <c r="U52" s="34"/>
      <c r="V52" s="34"/>
      <c r="W52" s="32"/>
      <c r="X52" s="34"/>
      <c r="Y52" s="34"/>
      <c r="Z52" s="34"/>
      <c r="AA52" s="34"/>
      <c r="AB52" s="34"/>
      <c r="AC52" s="32"/>
      <c r="AD52" s="34"/>
      <c r="AE52" s="34"/>
      <c r="AF52" s="34"/>
      <c r="AG52" s="34"/>
      <c r="AH52" s="34"/>
      <c r="AI52" s="34"/>
      <c r="AJ52" s="34"/>
      <c r="AK52" s="34"/>
      <c r="AL52" s="34"/>
      <c r="AM52" s="32"/>
      <c r="AN52" s="34"/>
      <c r="AO52" s="34"/>
      <c r="AP52" s="34"/>
      <c r="AQ52" s="34"/>
      <c r="AR52" s="34"/>
      <c r="AS52" s="34"/>
      <c r="AT52" s="34"/>
      <c r="AU52" s="34"/>
      <c r="AV52" s="34"/>
      <c r="AW52" s="34"/>
      <c r="AX52" s="34"/>
      <c r="AY52" s="34"/>
      <c r="AZ52" s="34"/>
      <c r="BA52" s="34"/>
      <c r="BB52" s="34"/>
      <c r="BC52" s="34"/>
      <c r="BD52" s="34"/>
      <c r="BE52" s="32"/>
      <c r="BF52" s="34"/>
      <c r="BG52" s="34"/>
      <c r="BH52" s="34"/>
      <c r="BI52" s="34"/>
      <c r="BJ52" s="34"/>
      <c r="BK52" s="32"/>
      <c r="BL52" s="34"/>
      <c r="BM52" s="32"/>
      <c r="BN52" s="34"/>
      <c r="BO52" s="34"/>
      <c r="BP52" s="34"/>
      <c r="BQ52" s="34"/>
      <c r="BR52" s="34"/>
      <c r="BS52" s="34"/>
      <c r="BT52" s="34"/>
      <c r="BU52" s="34"/>
      <c r="BV52" s="32"/>
      <c r="BW52" s="34"/>
      <c r="BX52" s="34"/>
      <c r="BY52" s="34"/>
      <c r="BZ52" s="32"/>
      <c r="CA52" s="34"/>
      <c r="CB52" s="34"/>
      <c r="CC52" s="34"/>
      <c r="CD52" s="34"/>
      <c r="CE52" s="34"/>
      <c r="CF52" s="34"/>
      <c r="CG52" s="34"/>
      <c r="CH52" s="34"/>
      <c r="CI52" s="34"/>
      <c r="CJ52" s="34"/>
      <c r="CK52" s="34"/>
      <c r="CL52" s="34"/>
      <c r="CM52" s="34"/>
      <c r="CN52" s="34"/>
      <c r="CO52" s="32"/>
      <c r="CP52" s="34"/>
      <c r="CQ52" s="34"/>
      <c r="CR52" s="34"/>
      <c r="CS52" s="34"/>
      <c r="CT52" s="34"/>
      <c r="CU52" s="34"/>
      <c r="CV52" s="34"/>
      <c r="CW52" s="34"/>
      <c r="CX52" s="34"/>
      <c r="CY52" s="34"/>
      <c r="CZ52" s="34"/>
      <c r="DA52" s="34"/>
      <c r="DB52" s="34"/>
      <c r="DC52" s="34"/>
      <c r="DD52" s="34"/>
      <c r="DE52" s="34"/>
      <c r="DF52" s="34"/>
      <c r="DG52" s="32"/>
      <c r="DH52" s="34"/>
      <c r="DI52" s="34"/>
      <c r="DJ52" s="34"/>
      <c r="DK52" s="34"/>
      <c r="DL52" s="34"/>
      <c r="DM52" s="32"/>
      <c r="DN52" s="34"/>
      <c r="DO52" s="34"/>
      <c r="DP52" s="34"/>
      <c r="DQ52" s="34"/>
      <c r="DR52" s="34"/>
      <c r="DS52" s="34"/>
      <c r="DT52" s="34"/>
      <c r="DU52" s="34"/>
      <c r="DV52" s="34"/>
      <c r="DW52" s="34"/>
      <c r="DX52" s="34"/>
      <c r="DY52" s="34"/>
      <c r="DZ52" s="32"/>
      <c r="EA52" s="34"/>
      <c r="EB52" s="34"/>
      <c r="EC52" s="34"/>
      <c r="ED52" s="34"/>
      <c r="EE52" s="34"/>
      <c r="EF52" s="34"/>
      <c r="EG52" s="34"/>
      <c r="EH52" s="34"/>
      <c r="EI52" s="34"/>
      <c r="EJ52" s="32"/>
      <c r="EK52" s="34"/>
      <c r="EL52" s="34"/>
      <c r="EM52" s="34"/>
      <c r="EN52" s="34"/>
      <c r="EO52" s="34"/>
      <c r="EP52" s="34"/>
      <c r="EQ52" s="34"/>
      <c r="ER52" s="34"/>
      <c r="ES52" s="34"/>
      <c r="ET52" s="34"/>
      <c r="EU52" s="34"/>
      <c r="EV52" s="34"/>
      <c r="EW52" s="34"/>
      <c r="EX52" s="34"/>
      <c r="EY52" s="34"/>
      <c r="EZ52" s="34"/>
      <c r="FA52" s="34"/>
      <c r="FB52" s="32"/>
      <c r="FC52" s="34"/>
      <c r="FD52" s="34"/>
      <c r="FE52" s="34"/>
      <c r="FF52" s="32"/>
      <c r="FG52" s="34"/>
      <c r="FH52" s="34"/>
      <c r="FI52" s="34"/>
      <c r="FJ52" s="34"/>
      <c r="FK52" s="34"/>
      <c r="FL52" s="34"/>
      <c r="FM52" s="34"/>
      <c r="FN52" s="34"/>
      <c r="FO52" s="34"/>
      <c r="FP52" s="34"/>
      <c r="FQ52" s="34"/>
      <c r="FR52" s="32"/>
      <c r="FS52" s="32"/>
      <c r="FT52" s="34"/>
      <c r="FU52" s="34"/>
      <c r="FV52" s="34"/>
      <c r="FW52" s="34"/>
      <c r="FX52" s="34"/>
      <c r="FY52" s="34"/>
      <c r="FZ52" s="34"/>
      <c r="GA52" s="34"/>
      <c r="GB52" s="34"/>
      <c r="GC52" s="34"/>
      <c r="GD52" s="34"/>
      <c r="GE52" s="34"/>
      <c r="GF52" s="34"/>
      <c r="GG52" s="34"/>
      <c r="GH52" s="34"/>
      <c r="GI52" s="34"/>
      <c r="GJ52" s="34"/>
      <c r="GK52" s="34"/>
      <c r="GL52" s="34"/>
      <c r="GM52" s="34"/>
      <c r="GN52" s="34"/>
      <c r="GO52" s="34"/>
      <c r="GP52" s="34"/>
      <c r="GQ52" s="34"/>
      <c r="GR52" s="34"/>
      <c r="GS52" s="34"/>
      <c r="GT52" s="34"/>
      <c r="GU52" s="34"/>
      <c r="GV52" s="34"/>
      <c r="GW52" s="34"/>
      <c r="GX52" s="34"/>
      <c r="GY52" s="34"/>
      <c r="GZ52" s="34"/>
      <c r="HA52" s="34"/>
      <c r="HB52" s="34"/>
      <c r="HC52" s="34"/>
      <c r="HD52" s="34"/>
      <c r="HE52" s="34"/>
      <c r="HF52" s="34"/>
      <c r="HG52" s="34"/>
      <c r="HH52" s="34"/>
      <c r="HI52" s="34"/>
    </row>
    <row r="53">
      <c r="A53" s="31">
        <v>42435.0</v>
      </c>
      <c r="B53" s="32" t="s">
        <v>216</v>
      </c>
      <c r="C53" s="28"/>
      <c r="D53" s="32">
        <v>21.3002</v>
      </c>
      <c r="E53" s="32">
        <v>-157.882599</v>
      </c>
      <c r="F53" s="32" t="s">
        <v>197</v>
      </c>
      <c r="G53" s="33"/>
      <c r="H53" s="33"/>
      <c r="I53" s="32"/>
      <c r="J53" s="32"/>
      <c r="K53" s="32"/>
      <c r="L53" s="32"/>
      <c r="M53" s="32"/>
      <c r="N53" s="32"/>
      <c r="O53" s="32"/>
      <c r="P53" s="32"/>
      <c r="Q53" s="34"/>
      <c r="R53" s="32"/>
      <c r="S53" s="34"/>
      <c r="T53" s="34"/>
      <c r="U53" s="34"/>
      <c r="V53" s="34"/>
      <c r="W53" s="32"/>
      <c r="X53" s="34"/>
      <c r="Y53" s="34"/>
      <c r="Z53" s="34"/>
      <c r="AA53" s="34"/>
      <c r="AB53" s="34"/>
      <c r="AC53" s="32"/>
      <c r="AD53" s="34"/>
      <c r="AE53" s="34"/>
      <c r="AF53" s="34"/>
      <c r="AG53" s="34"/>
      <c r="AH53" s="34"/>
      <c r="AI53" s="34"/>
      <c r="AJ53" s="34"/>
      <c r="AK53" s="34"/>
      <c r="AL53" s="34"/>
      <c r="AM53" s="32"/>
      <c r="AN53" s="34"/>
      <c r="AO53" s="34"/>
      <c r="AP53" s="34"/>
      <c r="AQ53" s="34"/>
      <c r="AR53" s="34"/>
      <c r="AS53" s="34"/>
      <c r="AT53" s="34"/>
      <c r="AU53" s="34"/>
      <c r="AV53" s="34"/>
      <c r="AW53" s="34"/>
      <c r="AX53" s="34"/>
      <c r="AY53" s="34"/>
      <c r="AZ53" s="34"/>
      <c r="BA53" s="34"/>
      <c r="BB53" s="34"/>
      <c r="BC53" s="34"/>
      <c r="BD53" s="34"/>
      <c r="BE53" s="32"/>
      <c r="BF53" s="34"/>
      <c r="BG53" s="34"/>
      <c r="BH53" s="34"/>
      <c r="BI53" s="34"/>
      <c r="BJ53" s="34"/>
      <c r="BK53" s="32"/>
      <c r="BL53" s="34"/>
      <c r="BM53" s="32"/>
      <c r="BN53" s="34"/>
      <c r="BO53" s="34"/>
      <c r="BP53" s="34"/>
      <c r="BQ53" s="34"/>
      <c r="BR53" s="34"/>
      <c r="BS53" s="34"/>
      <c r="BT53" s="34"/>
      <c r="BU53" s="34"/>
      <c r="BV53" s="32"/>
      <c r="BW53" s="34"/>
      <c r="BX53" s="34"/>
      <c r="BY53" s="34"/>
      <c r="BZ53" s="32"/>
      <c r="CA53" s="34"/>
      <c r="CB53" s="34"/>
      <c r="CC53" s="34"/>
      <c r="CD53" s="34"/>
      <c r="CE53" s="34"/>
      <c r="CF53" s="34"/>
      <c r="CG53" s="34"/>
      <c r="CH53" s="34"/>
      <c r="CI53" s="34"/>
      <c r="CJ53" s="34"/>
      <c r="CK53" s="34"/>
      <c r="CL53" s="34"/>
      <c r="CM53" s="34"/>
      <c r="CN53" s="34"/>
      <c r="CO53" s="32"/>
      <c r="CP53" s="34"/>
      <c r="CQ53" s="34"/>
      <c r="CR53" s="34"/>
      <c r="CS53" s="34"/>
      <c r="CT53" s="34"/>
      <c r="CU53" s="34"/>
      <c r="CV53" s="34"/>
      <c r="CW53" s="34"/>
      <c r="CX53" s="34"/>
      <c r="CY53" s="34"/>
      <c r="CZ53" s="34"/>
      <c r="DA53" s="34"/>
      <c r="DB53" s="34"/>
      <c r="DC53" s="34"/>
      <c r="DD53" s="34"/>
      <c r="DE53" s="34"/>
      <c r="DF53" s="34"/>
      <c r="DG53" s="32"/>
      <c r="DH53" s="34"/>
      <c r="DI53" s="34"/>
      <c r="DJ53" s="34"/>
      <c r="DK53" s="34"/>
      <c r="DL53" s="34"/>
      <c r="DM53" s="32"/>
      <c r="DN53" s="34"/>
      <c r="DO53" s="34"/>
      <c r="DP53" s="34"/>
      <c r="DQ53" s="34"/>
      <c r="DR53" s="34"/>
      <c r="DS53" s="34"/>
      <c r="DT53" s="34"/>
      <c r="DU53" s="34"/>
      <c r="DV53" s="34"/>
      <c r="DW53" s="34"/>
      <c r="DX53" s="34"/>
      <c r="DY53" s="34"/>
      <c r="DZ53" s="32"/>
      <c r="EA53" s="34"/>
      <c r="EB53" s="34"/>
      <c r="EC53" s="34"/>
      <c r="ED53" s="34"/>
      <c r="EE53" s="34"/>
      <c r="EF53" s="34"/>
      <c r="EG53" s="34"/>
      <c r="EH53" s="34"/>
      <c r="EI53" s="34"/>
      <c r="EJ53" s="32"/>
      <c r="EK53" s="34"/>
      <c r="EL53" s="34"/>
      <c r="EM53" s="34"/>
      <c r="EN53" s="34"/>
      <c r="EO53" s="34"/>
      <c r="EP53" s="34"/>
      <c r="EQ53" s="34"/>
      <c r="ER53" s="34"/>
      <c r="ES53" s="34"/>
      <c r="ET53" s="34"/>
      <c r="EU53" s="34"/>
      <c r="EV53" s="34"/>
      <c r="EW53" s="34"/>
      <c r="EX53" s="34"/>
      <c r="EY53" s="34"/>
      <c r="EZ53" s="34"/>
      <c r="FA53" s="34"/>
      <c r="FB53" s="32"/>
      <c r="FC53" s="34"/>
      <c r="FD53" s="34"/>
      <c r="FE53" s="34"/>
      <c r="FF53" s="32"/>
      <c r="FG53" s="34"/>
      <c r="FH53" s="34"/>
      <c r="FI53" s="34"/>
      <c r="FJ53" s="34"/>
      <c r="FK53" s="34"/>
      <c r="FL53" s="34"/>
      <c r="FM53" s="34"/>
      <c r="FN53" s="34"/>
      <c r="FO53" s="34"/>
      <c r="FP53" s="34"/>
      <c r="FQ53" s="34"/>
      <c r="FR53" s="32"/>
      <c r="FS53" s="32"/>
      <c r="FT53" s="34"/>
      <c r="FU53" s="34"/>
      <c r="FV53" s="34"/>
      <c r="FW53" s="34"/>
      <c r="FX53" s="34"/>
      <c r="FY53" s="34"/>
      <c r="FZ53" s="34"/>
      <c r="GA53" s="34"/>
      <c r="GB53" s="34"/>
      <c r="GC53" s="34"/>
      <c r="GD53" s="34"/>
      <c r="GE53" s="34"/>
      <c r="GF53" s="34"/>
      <c r="GG53" s="34"/>
      <c r="GH53" s="34"/>
      <c r="GI53" s="34"/>
      <c r="GJ53" s="34"/>
      <c r="GK53" s="34"/>
      <c r="GL53" s="34"/>
      <c r="GM53" s="34"/>
      <c r="GN53" s="34"/>
      <c r="GO53" s="34"/>
      <c r="GP53" s="34"/>
      <c r="GQ53" s="34"/>
      <c r="GR53" s="34"/>
      <c r="GS53" s="34"/>
      <c r="GT53" s="34"/>
      <c r="GU53" s="34"/>
      <c r="GV53" s="34"/>
      <c r="GW53" s="34"/>
      <c r="GX53" s="34"/>
      <c r="GY53" s="34"/>
      <c r="GZ53" s="34"/>
      <c r="HA53" s="34"/>
      <c r="HB53" s="34"/>
      <c r="HC53" s="34"/>
      <c r="HD53" s="34"/>
      <c r="HE53" s="34"/>
      <c r="HF53" s="34"/>
      <c r="HG53" s="34"/>
      <c r="HH53" s="34"/>
      <c r="HI53" s="34"/>
    </row>
    <row r="54">
      <c r="A54" s="37">
        <v>42437.0</v>
      </c>
      <c r="B54" s="38" t="s">
        <v>219</v>
      </c>
      <c r="C54" s="28">
        <v>48.0</v>
      </c>
      <c r="D54" s="38">
        <v>21.295799</v>
      </c>
      <c r="E54" s="38">
        <v>-158.103699</v>
      </c>
      <c r="F54" s="38" t="s">
        <v>269</v>
      </c>
      <c r="G54" s="39">
        <v>0.4201388888888889</v>
      </c>
      <c r="H54" s="39">
        <v>0.4722222222222222</v>
      </c>
      <c r="I54" s="38">
        <v>7.0</v>
      </c>
      <c r="J54" s="38">
        <v>20.0</v>
      </c>
      <c r="K54" s="38" t="s">
        <v>198</v>
      </c>
      <c r="L54" s="38">
        <v>8.0</v>
      </c>
      <c r="M54" s="38">
        <v>44.0</v>
      </c>
      <c r="N54" s="38" t="s">
        <v>270</v>
      </c>
      <c r="O54" s="38"/>
      <c r="P54" s="38"/>
      <c r="Q54" s="40"/>
      <c r="R54" s="38">
        <v>61.0</v>
      </c>
      <c r="S54" s="40"/>
      <c r="T54" s="40"/>
      <c r="U54" s="40"/>
      <c r="V54" s="40"/>
      <c r="W54" s="38">
        <v>1.0</v>
      </c>
      <c r="X54" s="40"/>
      <c r="Y54" s="40"/>
      <c r="Z54" s="40"/>
      <c r="AA54" s="40"/>
      <c r="AB54" s="40"/>
      <c r="AC54" s="38">
        <v>2.0</v>
      </c>
      <c r="AD54" s="40"/>
      <c r="AE54" s="40"/>
      <c r="AF54" s="40"/>
      <c r="AG54" s="40"/>
      <c r="AH54" s="40"/>
      <c r="AI54" s="40"/>
      <c r="AJ54" s="40"/>
      <c r="AK54" s="40"/>
      <c r="AL54" s="40"/>
      <c r="AM54" s="38">
        <v>27.0</v>
      </c>
      <c r="AN54" s="40"/>
      <c r="AO54" s="40"/>
      <c r="AP54" s="40"/>
      <c r="AQ54" s="40"/>
      <c r="AR54" s="40"/>
      <c r="AS54" s="40"/>
      <c r="AT54" s="40"/>
      <c r="AU54" s="40"/>
      <c r="AV54" s="40"/>
      <c r="AW54" s="40"/>
      <c r="AX54" s="40"/>
      <c r="AY54" s="40"/>
      <c r="AZ54" s="40"/>
      <c r="BA54" s="40"/>
      <c r="BB54" s="40"/>
      <c r="BC54" s="40"/>
      <c r="BD54" s="40"/>
      <c r="BE54" s="38">
        <v>17.0</v>
      </c>
      <c r="BF54" s="40"/>
      <c r="BG54" s="40"/>
      <c r="BH54" s="40"/>
      <c r="BI54" s="40"/>
      <c r="BJ54" s="40"/>
      <c r="BK54" s="38">
        <v>79.0</v>
      </c>
      <c r="BL54" s="40"/>
      <c r="BM54" s="38">
        <v>12.0</v>
      </c>
      <c r="BN54" s="40"/>
      <c r="BO54" s="40"/>
      <c r="BP54" s="40"/>
      <c r="BQ54" s="40"/>
      <c r="BR54" s="40"/>
      <c r="BS54" s="40"/>
      <c r="BT54" s="40"/>
      <c r="BU54" s="40"/>
      <c r="BV54" s="38">
        <v>2.0</v>
      </c>
      <c r="BW54" s="40"/>
      <c r="BX54" s="40"/>
      <c r="BY54" s="40"/>
      <c r="BZ54" s="38">
        <v>17.0</v>
      </c>
      <c r="CA54" s="40"/>
      <c r="CB54" s="40"/>
      <c r="CC54" s="40"/>
      <c r="CD54" s="40"/>
      <c r="CE54" s="40"/>
      <c r="CF54" s="40"/>
      <c r="CG54" s="40"/>
      <c r="CH54" s="40"/>
      <c r="CI54" s="40"/>
      <c r="CJ54" s="40"/>
      <c r="CK54" s="40"/>
      <c r="CL54" s="40"/>
      <c r="CM54" s="40"/>
      <c r="CN54" s="40"/>
      <c r="CO54" s="38">
        <v>2.0</v>
      </c>
      <c r="CP54" s="40"/>
      <c r="CQ54" s="40"/>
      <c r="CR54" s="40"/>
      <c r="CS54" s="40"/>
      <c r="CT54" s="40"/>
      <c r="CU54" s="40"/>
      <c r="CV54" s="40"/>
      <c r="CW54" s="40"/>
      <c r="CX54" s="40"/>
      <c r="CY54" s="40"/>
      <c r="CZ54" s="40"/>
      <c r="DA54" s="40"/>
      <c r="DB54" s="40"/>
      <c r="DC54" s="40"/>
      <c r="DD54" s="40"/>
      <c r="DE54" s="40"/>
      <c r="DF54" s="40"/>
      <c r="DG54" s="38">
        <v>2.0</v>
      </c>
      <c r="DH54" s="40"/>
      <c r="DI54" s="40"/>
      <c r="DJ54" s="40"/>
      <c r="DK54" s="40"/>
      <c r="DL54" s="40"/>
      <c r="DM54" s="38">
        <v>25.0</v>
      </c>
      <c r="DN54" s="40"/>
      <c r="DO54" s="40"/>
      <c r="DP54" s="40"/>
      <c r="DQ54" s="40"/>
      <c r="DR54" s="40"/>
      <c r="DS54" s="40"/>
      <c r="DT54" s="40"/>
      <c r="DU54" s="40"/>
      <c r="DV54" s="40"/>
      <c r="DW54" s="40"/>
      <c r="DX54" s="40"/>
      <c r="DY54" s="40"/>
      <c r="DZ54" s="38">
        <v>2.0</v>
      </c>
      <c r="EA54" s="40"/>
      <c r="EB54" s="40"/>
      <c r="EC54" s="40"/>
      <c r="ED54" s="40"/>
      <c r="EE54" s="40"/>
      <c r="EF54" s="40"/>
      <c r="EG54" s="40"/>
      <c r="EH54" s="40"/>
      <c r="EI54" s="40"/>
      <c r="EJ54" s="38">
        <v>380.0</v>
      </c>
      <c r="EK54" s="40"/>
      <c r="EL54" s="40"/>
      <c r="EM54" s="40"/>
      <c r="EN54" s="40"/>
      <c r="EO54" s="40"/>
      <c r="EP54" s="40"/>
      <c r="EQ54" s="40"/>
      <c r="ER54" s="40"/>
      <c r="ES54" s="40"/>
      <c r="ET54" s="40"/>
      <c r="EU54" s="40"/>
      <c r="EV54" s="40"/>
      <c r="EW54" s="40"/>
      <c r="EX54" s="40"/>
      <c r="EY54" s="40"/>
      <c r="EZ54" s="40"/>
      <c r="FA54" s="40"/>
      <c r="FB54" s="38">
        <v>60.0</v>
      </c>
      <c r="FC54" s="40"/>
      <c r="FD54" s="40"/>
      <c r="FE54" s="40"/>
      <c r="FF54" s="38">
        <v>3.0</v>
      </c>
      <c r="FG54" s="40"/>
      <c r="FH54" s="40"/>
      <c r="FI54" s="40"/>
      <c r="FJ54" s="40"/>
      <c r="FK54" s="40"/>
      <c r="FL54" s="40"/>
      <c r="FM54" s="40"/>
      <c r="FN54" s="40"/>
      <c r="FO54" s="40"/>
      <c r="FP54" s="40"/>
      <c r="FQ54" s="40"/>
      <c r="FR54" s="38">
        <v>12.0</v>
      </c>
      <c r="FS54" s="38">
        <v>52.0</v>
      </c>
      <c r="FT54" s="38">
        <v>4.0</v>
      </c>
      <c r="FU54" s="40"/>
      <c r="FV54" s="40"/>
      <c r="FW54" s="40"/>
      <c r="FX54" s="40"/>
      <c r="FY54" s="40"/>
      <c r="FZ54" s="40"/>
      <c r="GA54" s="40"/>
      <c r="GB54" s="40"/>
      <c r="GC54" s="40"/>
      <c r="GD54" s="40"/>
      <c r="GE54" s="40"/>
      <c r="GF54" s="40"/>
      <c r="GG54" s="40"/>
      <c r="GH54" s="40">
        <f t="shared" ref="GH54:GH62" si="8">count(R54:GG54)</f>
        <v>19</v>
      </c>
      <c r="GI54" s="40">
        <f t="shared" ref="GI54:GI62" si="9">countif(R54:GG54,"&gt;=2")</f>
        <v>18</v>
      </c>
      <c r="GJ54" s="40">
        <f t="shared" ref="GJ54:GJ62" si="10">countif(R54:GG54,"&gt;=5")</f>
        <v>11</v>
      </c>
      <c r="GK54" s="40">
        <f t="shared" ref="GK54:GK62" si="11">sum(R54:GG54)</f>
        <v>760</v>
      </c>
      <c r="GL54" s="40">
        <f t="shared" ref="GL54:GL62" si="12">25*P54</f>
        <v>0</v>
      </c>
      <c r="GM54" s="40">
        <f t="shared" ref="GM54:GM62" si="13">GL54-GK54</f>
        <v>-760</v>
      </c>
      <c r="GN54" s="40"/>
      <c r="GO54" s="40"/>
      <c r="GP54" s="40"/>
      <c r="GQ54" s="40"/>
      <c r="GR54" s="40"/>
      <c r="GS54" s="40"/>
      <c r="GT54" s="40"/>
      <c r="GU54" s="40"/>
      <c r="GV54" s="40"/>
      <c r="GW54" s="40"/>
      <c r="GX54" s="40"/>
      <c r="GY54" s="40"/>
      <c r="GZ54" s="40"/>
      <c r="HA54" s="40"/>
      <c r="HB54" s="40"/>
      <c r="HC54" s="40"/>
      <c r="HD54" s="40"/>
      <c r="HE54" s="40"/>
      <c r="HF54" s="40"/>
      <c r="HG54" s="40"/>
      <c r="HH54" s="40"/>
      <c r="HI54" s="40"/>
    </row>
    <row r="55">
      <c r="A55" s="23">
        <v>42439.0</v>
      </c>
      <c r="B55" s="4" t="s">
        <v>216</v>
      </c>
      <c r="C55" s="28">
        <f t="shared" ref="C55:C150" si="14">C54+1</f>
        <v>49</v>
      </c>
      <c r="D55" s="4">
        <v>21.3002</v>
      </c>
      <c r="E55" s="4">
        <v>-157.882599</v>
      </c>
      <c r="F55" s="4" t="s">
        <v>272</v>
      </c>
      <c r="G55" s="24">
        <v>0.43194444444444446</v>
      </c>
      <c r="H55" s="24">
        <v>0.4798611111111111</v>
      </c>
      <c r="I55" s="4">
        <v>7.0</v>
      </c>
      <c r="J55" s="4">
        <v>21.0</v>
      </c>
      <c r="K55" s="4" t="s">
        <v>198</v>
      </c>
      <c r="L55" s="4">
        <v>6.0</v>
      </c>
      <c r="M55" s="4">
        <v>36.0</v>
      </c>
      <c r="N55" s="4" t="s">
        <v>273</v>
      </c>
      <c r="P55" s="4">
        <v>36.0</v>
      </c>
      <c r="AJ55" s="4"/>
      <c r="AK55" s="4">
        <v>4.0</v>
      </c>
      <c r="AL55" s="4">
        <v>4.0</v>
      </c>
      <c r="AM55" s="4">
        <v>21.0</v>
      </c>
      <c r="BE55" s="4">
        <v>2.0</v>
      </c>
      <c r="BM55" s="4">
        <v>1.0</v>
      </c>
      <c r="BN55" s="4">
        <v>2.0</v>
      </c>
      <c r="BQ55" s="4">
        <v>11.0</v>
      </c>
      <c r="BV55" s="4">
        <v>2.0</v>
      </c>
      <c r="CD55" s="4">
        <v>2.0</v>
      </c>
      <c r="CK55" s="4">
        <v>6.0</v>
      </c>
      <c r="CQ55" s="4">
        <v>1.0</v>
      </c>
      <c r="DG55" s="4">
        <v>2.0</v>
      </c>
      <c r="DI55" s="4">
        <v>1.0</v>
      </c>
      <c r="DQ55" s="4">
        <v>2.0</v>
      </c>
      <c r="EJ55" s="4">
        <v>14.0</v>
      </c>
      <c r="EU55" s="4">
        <v>3.0</v>
      </c>
      <c r="FB55" s="4">
        <v>6.0</v>
      </c>
      <c r="FF55" s="4">
        <v>1.0</v>
      </c>
      <c r="FJ55" s="4"/>
      <c r="FK55" s="4">
        <v>1.0</v>
      </c>
      <c r="FL55" s="4">
        <v>1.0</v>
      </c>
      <c r="FS55" s="4">
        <v>406.0</v>
      </c>
      <c r="GH55" s="25">
        <f t="shared" si="8"/>
        <v>21</v>
      </c>
      <c r="GI55" s="25">
        <f t="shared" si="9"/>
        <v>15</v>
      </c>
      <c r="GJ55" s="25">
        <f t="shared" si="10"/>
        <v>6</v>
      </c>
      <c r="GK55" s="25">
        <f t="shared" si="11"/>
        <v>493</v>
      </c>
      <c r="GL55" s="25">
        <f t="shared" si="12"/>
        <v>900</v>
      </c>
      <c r="GM55" s="25">
        <f t="shared" si="13"/>
        <v>407</v>
      </c>
    </row>
    <row r="56">
      <c r="A56" s="23">
        <v>42439.0</v>
      </c>
      <c r="B56" s="4" t="s">
        <v>266</v>
      </c>
      <c r="C56" s="28">
        <f t="shared" si="14"/>
        <v>50</v>
      </c>
      <c r="D56" s="4">
        <v>22.060684</v>
      </c>
      <c r="E56" s="4">
        <v>-159.318512</v>
      </c>
      <c r="F56" s="4" t="s">
        <v>274</v>
      </c>
      <c r="G56" s="24">
        <v>0.375</v>
      </c>
      <c r="H56" s="24">
        <v>0.5416666666666666</v>
      </c>
      <c r="I56" s="4">
        <v>4.0</v>
      </c>
      <c r="J56" s="4">
        <v>11.0</v>
      </c>
      <c r="K56" s="4" t="s">
        <v>198</v>
      </c>
      <c r="L56" s="4">
        <v>10.0</v>
      </c>
      <c r="M56" s="4">
        <v>23.0</v>
      </c>
      <c r="N56" s="4" t="s">
        <v>275</v>
      </c>
      <c r="P56" s="4">
        <v>23.0</v>
      </c>
      <c r="R56" s="4">
        <v>2.0</v>
      </c>
      <c r="AC56" s="4">
        <v>3.0</v>
      </c>
      <c r="AL56" s="4">
        <v>3.0</v>
      </c>
      <c r="AM56" s="4">
        <v>8.0</v>
      </c>
      <c r="AN56" s="4">
        <v>25.0</v>
      </c>
      <c r="AU56" s="4">
        <v>1.0</v>
      </c>
      <c r="BE56" s="4">
        <v>3.0</v>
      </c>
      <c r="BH56" s="4">
        <v>4.0</v>
      </c>
      <c r="BK56" s="4">
        <v>1.0</v>
      </c>
      <c r="BM56" s="4">
        <v>3.0</v>
      </c>
      <c r="BV56" s="4">
        <v>17.0</v>
      </c>
      <c r="CS56" s="4">
        <v>2.0</v>
      </c>
      <c r="DG56" s="4">
        <v>12.0</v>
      </c>
      <c r="DM56" s="4">
        <v>93.0</v>
      </c>
      <c r="DU56" s="4"/>
      <c r="DV56" s="4">
        <v>1.0</v>
      </c>
      <c r="EJ56" s="4">
        <v>46.0</v>
      </c>
      <c r="EX56" s="4">
        <v>1.0</v>
      </c>
      <c r="FB56" s="4">
        <v>3.0</v>
      </c>
      <c r="FO56" s="4"/>
      <c r="FP56" s="4">
        <v>1.0</v>
      </c>
      <c r="FR56" s="4">
        <v>21.0</v>
      </c>
      <c r="FS56" s="4">
        <v>114.0</v>
      </c>
      <c r="GH56" s="25">
        <f t="shared" si="8"/>
        <v>21</v>
      </c>
      <c r="GI56" s="25">
        <f t="shared" si="9"/>
        <v>16</v>
      </c>
      <c r="GJ56" s="25">
        <f t="shared" si="10"/>
        <v>8</v>
      </c>
      <c r="GK56" s="25">
        <f t="shared" si="11"/>
        <v>364</v>
      </c>
      <c r="GL56" s="25">
        <f t="shared" si="12"/>
        <v>575</v>
      </c>
      <c r="GM56" s="25">
        <f t="shared" si="13"/>
        <v>211</v>
      </c>
    </row>
    <row r="57">
      <c r="A57" s="23">
        <v>42440.0</v>
      </c>
      <c r="B57" s="4" t="s">
        <v>246</v>
      </c>
      <c r="C57" s="28">
        <f t="shared" si="14"/>
        <v>51</v>
      </c>
      <c r="D57" s="4">
        <v>21.2882</v>
      </c>
      <c r="E57" s="4">
        <v>-157.667999</v>
      </c>
      <c r="F57" s="4" t="s">
        <v>274</v>
      </c>
      <c r="G57" s="24">
        <v>0.4270833333333333</v>
      </c>
      <c r="H57" s="24">
        <v>0.4791666666666667</v>
      </c>
      <c r="I57" s="4">
        <v>5.0</v>
      </c>
      <c r="J57" s="4">
        <v>13.0</v>
      </c>
      <c r="K57" s="4" t="s">
        <v>198</v>
      </c>
      <c r="L57" s="4">
        <v>5.0</v>
      </c>
      <c r="M57" s="4">
        <v>18.0</v>
      </c>
      <c r="N57" s="4" t="s">
        <v>276</v>
      </c>
      <c r="P57" s="4">
        <v>18.0</v>
      </c>
      <c r="AB57" s="4">
        <v>18.0</v>
      </c>
      <c r="BB57" s="4">
        <v>18.0</v>
      </c>
      <c r="BM57" s="4">
        <v>32.0</v>
      </c>
      <c r="BZ57" s="4">
        <v>3.0</v>
      </c>
      <c r="DM57" s="4">
        <v>15.0</v>
      </c>
      <c r="EJ57" s="4">
        <v>4.0</v>
      </c>
      <c r="FR57" s="4">
        <v>1.0</v>
      </c>
      <c r="FS57" s="4">
        <v>132.0</v>
      </c>
      <c r="FV57" s="4"/>
      <c r="FW57" s="4">
        <v>33.0</v>
      </c>
      <c r="GH57" s="25">
        <f t="shared" si="8"/>
        <v>9</v>
      </c>
      <c r="GI57" s="25">
        <f t="shared" si="9"/>
        <v>8</v>
      </c>
      <c r="GJ57" s="25">
        <f t="shared" si="10"/>
        <v>6</v>
      </c>
      <c r="GK57" s="25">
        <f t="shared" si="11"/>
        <v>256</v>
      </c>
      <c r="GL57" s="25">
        <f t="shared" si="12"/>
        <v>450</v>
      </c>
      <c r="GM57" s="25">
        <f t="shared" si="13"/>
        <v>194</v>
      </c>
    </row>
    <row r="58">
      <c r="A58" s="23">
        <v>42443.0</v>
      </c>
      <c r="B58" s="4" t="s">
        <v>230</v>
      </c>
      <c r="C58" s="28">
        <f t="shared" si="14"/>
        <v>52</v>
      </c>
      <c r="D58" s="4">
        <v>20.7537</v>
      </c>
      <c r="E58" s="4">
        <v>-156.460907</v>
      </c>
      <c r="F58" s="4" t="s">
        <v>197</v>
      </c>
      <c r="G58" s="24">
        <v>0.5520833333333334</v>
      </c>
      <c r="H58" s="24">
        <v>0.625</v>
      </c>
      <c r="I58" s="4">
        <v>3.0</v>
      </c>
      <c r="J58" s="4">
        <v>15.0</v>
      </c>
      <c r="K58" s="4" t="s">
        <v>277</v>
      </c>
      <c r="L58" s="4">
        <v>10.0</v>
      </c>
      <c r="M58" s="4">
        <v>30.0</v>
      </c>
      <c r="P58" s="4">
        <v>30.0</v>
      </c>
      <c r="R58" s="4">
        <v>56.0</v>
      </c>
      <c r="AM58" s="4">
        <v>4.0</v>
      </c>
      <c r="BM58" s="4">
        <v>49.0</v>
      </c>
      <c r="BN58" s="4">
        <v>242.0</v>
      </c>
      <c r="CO58" s="4">
        <v>1.0</v>
      </c>
      <c r="DM58" s="4">
        <v>4.0</v>
      </c>
      <c r="EX58" s="4">
        <v>64.0</v>
      </c>
      <c r="FO58" s="4"/>
      <c r="FP58" s="4">
        <v>2.0</v>
      </c>
      <c r="FQ58" s="4">
        <v>1.0</v>
      </c>
      <c r="FS58" s="4">
        <v>132.0</v>
      </c>
      <c r="FT58" s="4">
        <v>2.0</v>
      </c>
      <c r="GH58" s="25">
        <f t="shared" si="8"/>
        <v>11</v>
      </c>
      <c r="GI58" s="25">
        <f t="shared" si="9"/>
        <v>9</v>
      </c>
      <c r="GJ58" s="25">
        <f t="shared" si="10"/>
        <v>5</v>
      </c>
      <c r="GK58" s="25">
        <f t="shared" si="11"/>
        <v>557</v>
      </c>
      <c r="GL58" s="25">
        <f t="shared" si="12"/>
        <v>750</v>
      </c>
      <c r="GM58" s="25">
        <f t="shared" si="13"/>
        <v>193</v>
      </c>
    </row>
    <row r="59">
      <c r="A59" s="23">
        <v>42464.0</v>
      </c>
      <c r="B59" s="4" t="s">
        <v>244</v>
      </c>
      <c r="C59" s="28">
        <f t="shared" si="14"/>
        <v>53</v>
      </c>
      <c r="D59" s="4">
        <v>21.310612</v>
      </c>
      <c r="E59" s="4">
        <v>-158.00441</v>
      </c>
      <c r="F59" s="4" t="s">
        <v>278</v>
      </c>
      <c r="G59" s="24">
        <v>0.375</v>
      </c>
      <c r="H59" s="24">
        <v>0.4583333333333333</v>
      </c>
      <c r="I59" s="4">
        <v>5.0</v>
      </c>
      <c r="J59" s="4">
        <v>12.0</v>
      </c>
      <c r="K59" s="4" t="s">
        <v>198</v>
      </c>
      <c r="L59" s="4">
        <v>6.0</v>
      </c>
      <c r="M59" s="4">
        <v>26.0</v>
      </c>
      <c r="N59" s="4" t="s">
        <v>279</v>
      </c>
      <c r="P59" s="4">
        <v>26.0</v>
      </c>
      <c r="R59" s="4">
        <v>61.0</v>
      </c>
      <c r="T59" s="4">
        <v>1.0</v>
      </c>
      <c r="BM59" s="4">
        <v>1.0</v>
      </c>
      <c r="BV59" s="4">
        <v>14.0</v>
      </c>
      <c r="BZ59" s="4">
        <v>8.0</v>
      </c>
      <c r="CG59" s="4"/>
      <c r="CH59" s="4">
        <v>1.0</v>
      </c>
      <c r="CS59" s="4">
        <v>1.0</v>
      </c>
      <c r="DG59" s="4">
        <v>23.0</v>
      </c>
      <c r="DM59" s="4">
        <v>35.0</v>
      </c>
      <c r="DU59" s="4"/>
      <c r="DV59" s="4">
        <v>7.0</v>
      </c>
      <c r="EJ59" s="4">
        <v>307.0</v>
      </c>
      <c r="FB59" s="4">
        <v>9.0</v>
      </c>
      <c r="FS59" s="4">
        <v>1.0</v>
      </c>
      <c r="GH59" s="25">
        <f t="shared" si="8"/>
        <v>13</v>
      </c>
      <c r="GI59" s="25">
        <f t="shared" si="9"/>
        <v>8</v>
      </c>
      <c r="GJ59" s="25">
        <f t="shared" si="10"/>
        <v>8</v>
      </c>
      <c r="GK59" s="25">
        <f t="shared" si="11"/>
        <v>469</v>
      </c>
      <c r="GL59" s="25">
        <f t="shared" si="12"/>
        <v>650</v>
      </c>
      <c r="GM59" s="25">
        <f t="shared" si="13"/>
        <v>181</v>
      </c>
    </row>
    <row r="60">
      <c r="A60" s="37">
        <v>42465.0</v>
      </c>
      <c r="B60" s="38" t="s">
        <v>280</v>
      </c>
      <c r="C60" s="28">
        <f t="shared" si="14"/>
        <v>54</v>
      </c>
      <c r="D60" s="38">
        <v>19.638599</v>
      </c>
      <c r="E60" s="38">
        <v>-156.002502</v>
      </c>
      <c r="F60" s="38" t="s">
        <v>274</v>
      </c>
      <c r="G60" s="39">
        <v>0.4305555555555556</v>
      </c>
      <c r="H60" s="39">
        <v>0.4791666666666667</v>
      </c>
      <c r="I60" s="38">
        <v>8.0</v>
      </c>
      <c r="J60" s="38">
        <v>26.0</v>
      </c>
      <c r="K60" s="38" t="s">
        <v>217</v>
      </c>
      <c r="L60" s="38">
        <v>12.0</v>
      </c>
      <c r="M60" s="38">
        <v>81.0</v>
      </c>
      <c r="N60" s="38" t="s">
        <v>281</v>
      </c>
      <c r="O60" s="38"/>
      <c r="P60" s="38"/>
      <c r="Q60" s="40"/>
      <c r="R60" s="38">
        <v>17.0</v>
      </c>
      <c r="S60" s="38">
        <v>2.0</v>
      </c>
      <c r="T60" s="40"/>
      <c r="U60" s="40"/>
      <c r="V60" s="40"/>
      <c r="W60" s="40"/>
      <c r="X60" s="40"/>
      <c r="Y60" s="40"/>
      <c r="Z60" s="40"/>
      <c r="AA60" s="40"/>
      <c r="AB60" s="40"/>
      <c r="AC60" s="38">
        <v>36.0</v>
      </c>
      <c r="AD60" s="40"/>
      <c r="AE60" s="40"/>
      <c r="AF60" s="40"/>
      <c r="AG60" s="40"/>
      <c r="AH60" s="40"/>
      <c r="AI60" s="40"/>
      <c r="AJ60" s="40"/>
      <c r="AK60" s="40"/>
      <c r="AL60" s="38">
        <v>2.0</v>
      </c>
      <c r="AM60" s="40"/>
      <c r="AN60" s="40"/>
      <c r="AO60" s="40"/>
      <c r="AP60" s="40"/>
      <c r="AQ60" s="40"/>
      <c r="AR60" s="40"/>
      <c r="AS60" s="40"/>
      <c r="AT60" s="40"/>
      <c r="AU60" s="40"/>
      <c r="AV60" s="40"/>
      <c r="AW60" s="40"/>
      <c r="AX60" s="40"/>
      <c r="AY60" s="40"/>
      <c r="AZ60" s="40"/>
      <c r="BA60" s="40"/>
      <c r="BB60" s="40"/>
      <c r="BC60" s="40"/>
      <c r="BD60" s="40"/>
      <c r="BE60" s="38">
        <v>1.0</v>
      </c>
      <c r="BF60" s="40"/>
      <c r="BG60" s="40"/>
      <c r="BH60" s="40"/>
      <c r="BI60" s="40"/>
      <c r="BJ60" s="40"/>
      <c r="BK60" s="38">
        <v>31.0</v>
      </c>
      <c r="BL60" s="40"/>
      <c r="BM60" s="38">
        <v>51.0</v>
      </c>
      <c r="BN60" s="40"/>
      <c r="BO60" s="40"/>
      <c r="BP60" s="40"/>
      <c r="BQ60" s="40"/>
      <c r="BR60" s="40"/>
      <c r="BS60" s="40"/>
      <c r="BT60" s="40"/>
      <c r="BU60" s="40"/>
      <c r="BV60" s="40"/>
      <c r="BW60" s="40"/>
      <c r="BX60" s="40"/>
      <c r="BY60" s="40"/>
      <c r="BZ60" s="40"/>
      <c r="CA60" s="40"/>
      <c r="CB60" s="40"/>
      <c r="CC60" s="38">
        <v>25.0</v>
      </c>
      <c r="CD60" s="38">
        <v>10.0</v>
      </c>
      <c r="CE60" s="40"/>
      <c r="CF60" s="40"/>
      <c r="CG60" s="40"/>
      <c r="CH60" s="40"/>
      <c r="CI60" s="40"/>
      <c r="CJ60" s="40"/>
      <c r="CK60" s="40"/>
      <c r="CL60" s="40"/>
      <c r="CM60" s="40"/>
      <c r="CN60" s="40"/>
      <c r="CO60" s="40"/>
      <c r="CP60" s="40"/>
      <c r="CQ60" s="40"/>
      <c r="CR60" s="40"/>
      <c r="CS60" s="40"/>
      <c r="CT60" s="40"/>
      <c r="CU60" s="40"/>
      <c r="CV60" s="38">
        <v>1.0</v>
      </c>
      <c r="CW60" s="40"/>
      <c r="CX60" s="40"/>
      <c r="CY60" s="40"/>
      <c r="CZ60" s="40"/>
      <c r="DA60" s="40"/>
      <c r="DB60" s="40"/>
      <c r="DC60" s="40"/>
      <c r="DD60" s="40"/>
      <c r="DE60" s="40"/>
      <c r="DF60" s="40"/>
      <c r="DG60" s="40"/>
      <c r="DH60" s="38">
        <v>4.0</v>
      </c>
      <c r="DI60" s="40"/>
      <c r="DJ60" s="40"/>
      <c r="DK60" s="40"/>
      <c r="DL60" s="40"/>
      <c r="DM60" s="40"/>
      <c r="DN60" s="40"/>
      <c r="DO60" s="40"/>
      <c r="DP60" s="40"/>
      <c r="DQ60" s="40"/>
      <c r="DR60" s="40"/>
      <c r="DS60" s="40"/>
      <c r="DT60" s="40"/>
      <c r="DU60" s="40"/>
      <c r="DV60" s="40"/>
      <c r="DW60" s="40"/>
      <c r="DX60" s="40"/>
      <c r="DY60" s="40"/>
      <c r="DZ60" s="40"/>
      <c r="EA60" s="40"/>
      <c r="EB60" s="40"/>
      <c r="EC60" s="40"/>
      <c r="ED60" s="40"/>
      <c r="EE60" s="40"/>
      <c r="EF60" s="40"/>
      <c r="EG60" s="40"/>
      <c r="EH60" s="40"/>
      <c r="EI60" s="40"/>
      <c r="EJ60" s="40"/>
      <c r="EK60" s="40"/>
      <c r="EL60" s="40"/>
      <c r="EM60" s="40"/>
      <c r="EN60" s="40"/>
      <c r="EO60" s="40"/>
      <c r="EP60" s="40"/>
      <c r="EQ60" s="40"/>
      <c r="ER60" s="40"/>
      <c r="ES60" s="40"/>
      <c r="ET60" s="40"/>
      <c r="EU60" s="40"/>
      <c r="EV60" s="40"/>
      <c r="EW60" s="40"/>
      <c r="EX60" s="40"/>
      <c r="EY60" s="40"/>
      <c r="EZ60" s="40"/>
      <c r="FA60" s="40"/>
      <c r="FB60" s="40"/>
      <c r="FC60" s="40"/>
      <c r="FD60" s="40"/>
      <c r="FE60" s="40"/>
      <c r="FF60" s="38">
        <v>3.0</v>
      </c>
      <c r="FG60" s="40"/>
      <c r="FH60" s="40"/>
      <c r="FI60" s="40"/>
      <c r="FJ60" s="40"/>
      <c r="FK60" s="40"/>
      <c r="FL60" s="40"/>
      <c r="FM60" s="40"/>
      <c r="FN60" s="40"/>
      <c r="FO60" s="38"/>
      <c r="FP60" s="38">
        <v>5.0</v>
      </c>
      <c r="FQ60" s="38">
        <v>19.0</v>
      </c>
      <c r="FR60" s="38">
        <v>3.0</v>
      </c>
      <c r="FS60" s="38">
        <v>840.0</v>
      </c>
      <c r="FT60" s="38">
        <v>3.0</v>
      </c>
      <c r="FU60" s="40"/>
      <c r="FV60" s="40"/>
      <c r="FW60" s="40"/>
      <c r="FX60" s="40"/>
      <c r="FY60" s="40"/>
      <c r="FZ60" s="40"/>
      <c r="GA60" s="40"/>
      <c r="GB60" s="40"/>
      <c r="GC60" s="40"/>
      <c r="GD60" s="40"/>
      <c r="GE60" s="40"/>
      <c r="GF60" s="40"/>
      <c r="GG60" s="40"/>
      <c r="GH60" s="40">
        <f t="shared" si="8"/>
        <v>17</v>
      </c>
      <c r="GI60" s="40">
        <f t="shared" si="9"/>
        <v>15</v>
      </c>
      <c r="GJ60" s="40">
        <f t="shared" si="10"/>
        <v>9</v>
      </c>
      <c r="GK60" s="40">
        <f t="shared" si="11"/>
        <v>1053</v>
      </c>
      <c r="GL60" s="40">
        <f t="shared" si="12"/>
        <v>0</v>
      </c>
      <c r="GM60" s="40">
        <f t="shared" si="13"/>
        <v>-1053</v>
      </c>
      <c r="GN60" s="40"/>
      <c r="GO60" s="40"/>
      <c r="GP60" s="40"/>
      <c r="GQ60" s="40"/>
      <c r="GR60" s="40"/>
      <c r="GS60" s="40"/>
      <c r="GT60" s="40"/>
      <c r="GU60" s="40"/>
      <c r="GV60" s="40"/>
      <c r="GW60" s="40"/>
      <c r="GX60" s="40"/>
      <c r="GY60" s="40"/>
      <c r="GZ60" s="40"/>
      <c r="HA60" s="40"/>
      <c r="HB60" s="40"/>
      <c r="HC60" s="40"/>
      <c r="HD60" s="40"/>
      <c r="HE60" s="40"/>
      <c r="HF60" s="40"/>
      <c r="HG60" s="40"/>
      <c r="HH60" s="40"/>
      <c r="HI60" s="40"/>
    </row>
    <row r="61">
      <c r="A61" s="23">
        <v>42465.0</v>
      </c>
      <c r="B61" s="4" t="s">
        <v>244</v>
      </c>
      <c r="C61" s="28">
        <f t="shared" si="14"/>
        <v>55</v>
      </c>
      <c r="D61" s="4">
        <v>21.310612</v>
      </c>
      <c r="E61" s="4">
        <v>-158.00441</v>
      </c>
      <c r="F61" s="4" t="s">
        <v>274</v>
      </c>
      <c r="G61" s="24">
        <v>0.3541666666666667</v>
      </c>
      <c r="H61" s="24">
        <v>0.41875</v>
      </c>
      <c r="I61" s="4">
        <v>7.0</v>
      </c>
      <c r="J61" s="4">
        <v>20.0</v>
      </c>
      <c r="K61" s="4" t="s">
        <v>198</v>
      </c>
      <c r="L61" s="4">
        <v>10.0</v>
      </c>
      <c r="M61" s="4">
        <v>51.0</v>
      </c>
      <c r="N61" s="4" t="s">
        <v>283</v>
      </c>
      <c r="P61" s="4">
        <v>51.0</v>
      </c>
      <c r="R61" s="4">
        <v>331.0</v>
      </c>
      <c r="T61" s="4">
        <v>2.0</v>
      </c>
      <c r="W61" s="4">
        <v>1.0</v>
      </c>
      <c r="AI61" s="4">
        <v>3.0</v>
      </c>
      <c r="BE61" s="4">
        <v>101.0</v>
      </c>
      <c r="BM61" s="4">
        <v>54.0</v>
      </c>
      <c r="BV61" s="4">
        <v>22.0</v>
      </c>
      <c r="BZ61" s="4">
        <v>10.0</v>
      </c>
      <c r="CC61" s="4">
        <v>1.0</v>
      </c>
      <c r="CG61" s="4"/>
      <c r="CH61" s="4">
        <v>1.0</v>
      </c>
      <c r="CO61" s="4">
        <v>16.0</v>
      </c>
      <c r="CS61" s="4">
        <v>1.0</v>
      </c>
      <c r="DG61" s="4">
        <v>3.0</v>
      </c>
      <c r="DM61" s="4">
        <v>66.0</v>
      </c>
      <c r="DO61" s="4">
        <v>1.0</v>
      </c>
      <c r="DS61" s="4">
        <v>7.0</v>
      </c>
      <c r="EC61" s="4">
        <v>5.0</v>
      </c>
      <c r="EJ61" s="4">
        <v>133.0</v>
      </c>
      <c r="EK61" s="4">
        <v>1.0</v>
      </c>
      <c r="FB61" s="4">
        <v>16.0</v>
      </c>
      <c r="FH61" s="4">
        <v>4.0</v>
      </c>
      <c r="FS61" s="4">
        <v>160.0</v>
      </c>
      <c r="GH61" s="25">
        <f t="shared" si="8"/>
        <v>22</v>
      </c>
      <c r="GI61" s="25">
        <f t="shared" si="9"/>
        <v>16</v>
      </c>
      <c r="GJ61" s="25">
        <f t="shared" si="10"/>
        <v>12</v>
      </c>
      <c r="GK61" s="25">
        <f t="shared" si="11"/>
        <v>939</v>
      </c>
      <c r="GL61" s="25">
        <f t="shared" si="12"/>
        <v>1275</v>
      </c>
      <c r="GM61" s="25">
        <f t="shared" si="13"/>
        <v>336</v>
      </c>
    </row>
    <row r="62">
      <c r="A62" s="23">
        <v>42465.0</v>
      </c>
      <c r="B62" s="4" t="s">
        <v>244</v>
      </c>
      <c r="C62" s="28">
        <f t="shared" si="14"/>
        <v>56</v>
      </c>
      <c r="D62" s="4">
        <v>21.310612</v>
      </c>
      <c r="E62" s="4">
        <v>-158.00441</v>
      </c>
      <c r="F62" s="4" t="s">
        <v>278</v>
      </c>
      <c r="G62" s="24">
        <v>0.375</v>
      </c>
      <c r="H62" s="24">
        <v>0.4583333333333333</v>
      </c>
      <c r="I62" s="4">
        <v>5.0</v>
      </c>
      <c r="J62" s="4">
        <v>12.0</v>
      </c>
      <c r="K62" s="4" t="s">
        <v>198</v>
      </c>
      <c r="L62" s="4">
        <v>6.0</v>
      </c>
      <c r="M62" s="4">
        <v>29.0</v>
      </c>
      <c r="N62" s="4" t="s">
        <v>284</v>
      </c>
      <c r="P62" s="4">
        <v>29.0</v>
      </c>
      <c r="R62" s="4">
        <v>49.0</v>
      </c>
      <c r="W62" s="4">
        <v>5.0</v>
      </c>
      <c r="AB62" s="4">
        <v>3.0</v>
      </c>
      <c r="AC62" s="4">
        <v>5.0</v>
      </c>
      <c r="AE62" s="4">
        <v>1.0</v>
      </c>
      <c r="AI62" s="4">
        <v>7.0</v>
      </c>
      <c r="BE62" s="4">
        <v>13.0</v>
      </c>
      <c r="BM62" s="4">
        <v>12.0</v>
      </c>
      <c r="BV62" s="4">
        <v>60.0</v>
      </c>
      <c r="BZ62" s="4">
        <v>7.0</v>
      </c>
      <c r="CG62" s="4"/>
      <c r="CH62" s="4">
        <v>4.0</v>
      </c>
      <c r="CS62" s="4">
        <v>1.0</v>
      </c>
      <c r="DG62" s="4">
        <v>10.0</v>
      </c>
      <c r="DM62" s="4">
        <v>22.0</v>
      </c>
      <c r="EC62" s="4">
        <v>2.0</v>
      </c>
      <c r="EJ62" s="4">
        <v>299.0</v>
      </c>
      <c r="EK62" s="4">
        <v>13.0</v>
      </c>
      <c r="FB62" s="4">
        <v>5.0</v>
      </c>
      <c r="FS62" s="4">
        <v>48.0</v>
      </c>
      <c r="FZ62" s="4">
        <v>10.0</v>
      </c>
      <c r="GH62" s="25">
        <f t="shared" si="8"/>
        <v>20</v>
      </c>
      <c r="GI62" s="25">
        <f t="shared" si="9"/>
        <v>18</v>
      </c>
      <c r="GJ62" s="25">
        <f t="shared" si="10"/>
        <v>15</v>
      </c>
      <c r="GK62" s="25">
        <f t="shared" si="11"/>
        <v>576</v>
      </c>
      <c r="GL62" s="25">
        <f t="shared" si="12"/>
        <v>725</v>
      </c>
      <c r="GM62" s="25">
        <f t="shared" si="13"/>
        <v>149</v>
      </c>
    </row>
    <row r="63">
      <c r="A63" s="41">
        <v>42465.0</v>
      </c>
      <c r="B63" s="42" t="s">
        <v>312</v>
      </c>
      <c r="C63" s="28">
        <f t="shared" si="14"/>
        <v>57</v>
      </c>
      <c r="D63" s="42">
        <v>19.8517</v>
      </c>
      <c r="E63" s="42">
        <v>-155.9319</v>
      </c>
      <c r="F63" s="42" t="s">
        <v>313</v>
      </c>
      <c r="G63" s="43">
        <v>0.40625</v>
      </c>
      <c r="H63" s="43">
        <v>0.4930555555555556</v>
      </c>
      <c r="I63" s="42">
        <v>3.0</v>
      </c>
      <c r="J63" s="42">
        <v>11.0</v>
      </c>
      <c r="K63" s="42" t="s">
        <v>314</v>
      </c>
      <c r="L63" s="42">
        <v>10.0</v>
      </c>
      <c r="M63" s="42">
        <v>25.0</v>
      </c>
      <c r="N63" s="42" t="s">
        <v>315</v>
      </c>
      <c r="O63" s="44"/>
      <c r="P63" s="42"/>
      <c r="Q63" s="44"/>
      <c r="R63" s="42"/>
      <c r="S63" s="44"/>
      <c r="T63" s="44"/>
      <c r="U63" s="44"/>
      <c r="V63" s="44"/>
      <c r="W63" s="44"/>
      <c r="X63" s="44"/>
      <c r="Y63" s="44"/>
      <c r="Z63" s="44"/>
      <c r="AA63" s="44"/>
      <c r="AB63" s="42"/>
      <c r="AC63" s="42"/>
      <c r="AD63" s="44"/>
      <c r="AE63" s="44"/>
      <c r="AF63" s="44"/>
      <c r="AG63" s="44"/>
      <c r="AH63" s="44"/>
      <c r="AI63" s="44"/>
      <c r="AJ63" s="44"/>
      <c r="AK63" s="44"/>
      <c r="AL63" s="44"/>
      <c r="AM63" s="42"/>
      <c r="AN63" s="44"/>
      <c r="AO63" s="44"/>
      <c r="AP63" s="44"/>
      <c r="AQ63" s="44"/>
      <c r="AR63" s="44"/>
      <c r="AS63" s="44"/>
      <c r="AT63" s="44"/>
      <c r="AU63" s="44"/>
      <c r="AV63" s="44"/>
      <c r="AW63" s="44"/>
      <c r="AX63" s="44"/>
      <c r="AY63" s="44"/>
      <c r="AZ63" s="44"/>
      <c r="BA63" s="44"/>
      <c r="BB63" s="42"/>
      <c r="BC63" s="44"/>
      <c r="BD63" s="42"/>
      <c r="BE63" s="42"/>
      <c r="BF63" s="44"/>
      <c r="BG63" s="44"/>
      <c r="BH63" s="44"/>
      <c r="BI63" s="44"/>
      <c r="BJ63" s="44"/>
      <c r="BK63" s="44"/>
      <c r="BL63" s="44"/>
      <c r="BM63" s="42">
        <v>15.0</v>
      </c>
      <c r="BN63" s="42"/>
      <c r="BO63" s="44"/>
      <c r="BP63" s="44"/>
      <c r="BQ63" s="42"/>
      <c r="BR63" s="44"/>
      <c r="BS63" s="44"/>
      <c r="BT63" s="44"/>
      <c r="BU63" s="44"/>
      <c r="BV63" s="42"/>
      <c r="BW63" s="42"/>
      <c r="BX63" s="44"/>
      <c r="BY63" s="44"/>
      <c r="BZ63" s="42"/>
      <c r="CA63" s="44"/>
      <c r="CB63" s="44"/>
      <c r="CC63" s="42">
        <v>2.0</v>
      </c>
      <c r="CD63" s="42">
        <v>2.0</v>
      </c>
      <c r="CE63" s="44"/>
      <c r="CF63" s="44"/>
      <c r="CG63" s="44"/>
      <c r="CH63" s="44"/>
      <c r="CI63" s="44"/>
      <c r="CJ63" s="44"/>
      <c r="CK63" s="44"/>
      <c r="CL63" s="44"/>
      <c r="CM63" s="44"/>
      <c r="CN63" s="42"/>
      <c r="CO63" s="44"/>
      <c r="CP63" s="44"/>
      <c r="CQ63" s="44"/>
      <c r="CR63" s="44"/>
      <c r="CS63" s="44"/>
      <c r="CT63" s="44"/>
      <c r="CU63" s="44"/>
      <c r="CV63" s="44"/>
      <c r="CW63" s="42">
        <v>1.0</v>
      </c>
      <c r="CX63" s="44"/>
      <c r="CY63" s="44"/>
      <c r="CZ63" s="44"/>
      <c r="DA63" s="44"/>
      <c r="DB63" s="44"/>
      <c r="DC63" s="44"/>
      <c r="DD63" s="44"/>
      <c r="DE63" s="44"/>
      <c r="DF63" s="44"/>
      <c r="DG63" s="44"/>
      <c r="DH63" s="44"/>
      <c r="DI63" s="44"/>
      <c r="DJ63" s="44"/>
      <c r="DK63" s="44"/>
      <c r="DL63" s="42"/>
      <c r="DM63" s="44"/>
      <c r="DN63" s="44"/>
      <c r="DO63" s="42"/>
      <c r="DP63" s="44"/>
      <c r="DQ63" s="44"/>
      <c r="DR63" s="44"/>
      <c r="DS63" s="42"/>
      <c r="DT63" s="44"/>
      <c r="DU63" s="42"/>
      <c r="DV63" s="42"/>
      <c r="DW63" s="44"/>
      <c r="DX63" s="44"/>
      <c r="DY63" s="44"/>
      <c r="DZ63" s="42"/>
      <c r="EA63" s="44"/>
      <c r="EB63" s="44"/>
      <c r="EC63" s="42"/>
      <c r="ED63" s="42">
        <v>2.0</v>
      </c>
      <c r="EE63" s="44"/>
      <c r="EF63" s="44"/>
      <c r="EG63" s="44"/>
      <c r="EH63" s="44"/>
      <c r="EI63" s="44"/>
      <c r="EJ63" s="42"/>
      <c r="EK63" s="44"/>
      <c r="EL63" s="44"/>
      <c r="EM63" s="44"/>
      <c r="EN63" s="44"/>
      <c r="EO63" s="44"/>
      <c r="EP63" s="44"/>
      <c r="EQ63" s="44"/>
      <c r="ER63" s="44"/>
      <c r="ES63" s="44"/>
      <c r="ET63" s="44"/>
      <c r="EU63" s="44"/>
      <c r="EV63" s="44"/>
      <c r="EW63" s="44"/>
      <c r="EX63" s="44"/>
      <c r="EY63" s="44"/>
      <c r="EZ63" s="42"/>
      <c r="FA63" s="44"/>
      <c r="FB63" s="42"/>
      <c r="FC63" s="42"/>
      <c r="FD63" s="44"/>
      <c r="FE63" s="44"/>
      <c r="FF63" s="42"/>
      <c r="FG63" s="44"/>
      <c r="FH63" s="44"/>
      <c r="FI63" s="42"/>
      <c r="FJ63" s="44"/>
      <c r="FK63" s="44"/>
      <c r="FL63" s="44"/>
      <c r="FM63" s="44"/>
      <c r="FN63" s="44"/>
      <c r="FO63" s="44"/>
      <c r="FP63" s="44"/>
      <c r="FQ63" s="44"/>
      <c r="FR63" s="42">
        <v>9.0</v>
      </c>
      <c r="FS63" s="42">
        <v>491.0</v>
      </c>
      <c r="FT63" s="42">
        <v>4.0</v>
      </c>
      <c r="FU63" s="44"/>
      <c r="FV63" s="44"/>
      <c r="FW63" s="44"/>
      <c r="FX63" s="42"/>
      <c r="FY63" s="42"/>
      <c r="FZ63" s="44"/>
      <c r="GA63" s="44"/>
      <c r="GB63" s="44"/>
      <c r="GC63" s="44"/>
      <c r="GD63" s="44"/>
      <c r="GE63" s="44"/>
      <c r="GF63" s="42"/>
      <c r="GG63" s="44"/>
      <c r="GH63" s="44"/>
      <c r="GI63" s="44"/>
      <c r="GJ63" s="44"/>
      <c r="GK63" s="44"/>
      <c r="GL63" s="44"/>
      <c r="GM63" s="44"/>
      <c r="GN63" s="44"/>
      <c r="GO63" s="44"/>
      <c r="GP63" s="44"/>
      <c r="GQ63" s="44"/>
      <c r="GR63" s="44"/>
      <c r="GS63" s="44"/>
      <c r="GT63" s="44"/>
      <c r="GU63" s="44"/>
      <c r="GV63" s="44"/>
      <c r="GW63" s="44"/>
      <c r="GX63" s="44"/>
      <c r="GY63" s="44"/>
      <c r="GZ63" s="44"/>
      <c r="HA63" s="44"/>
      <c r="HB63" s="44"/>
      <c r="HC63" s="44"/>
      <c r="HD63" s="44"/>
      <c r="HE63" s="44"/>
      <c r="HF63" s="44"/>
      <c r="HG63" s="44"/>
      <c r="HH63" s="44"/>
      <c r="HI63" s="44"/>
    </row>
    <row r="64">
      <c r="A64" s="23">
        <v>42467.0</v>
      </c>
      <c r="B64" s="4" t="s">
        <v>201</v>
      </c>
      <c r="C64" s="28">
        <f t="shared" si="14"/>
        <v>58</v>
      </c>
      <c r="D64" s="4">
        <v>21.25544</v>
      </c>
      <c r="E64" s="4">
        <v>-157.810303</v>
      </c>
      <c r="F64" s="4" t="s">
        <v>274</v>
      </c>
      <c r="G64" s="24">
        <v>0.3819444444444444</v>
      </c>
      <c r="H64" s="24">
        <v>0.46875</v>
      </c>
      <c r="I64" s="4">
        <v>7.0</v>
      </c>
      <c r="J64" s="4">
        <v>10.0</v>
      </c>
      <c r="K64" s="4" t="s">
        <v>217</v>
      </c>
      <c r="L64" s="4">
        <v>6.0</v>
      </c>
      <c r="M64" s="4">
        <v>41.0</v>
      </c>
      <c r="N64" s="4" t="s">
        <v>285</v>
      </c>
      <c r="P64" s="4">
        <v>41.0</v>
      </c>
      <c r="R64" s="4">
        <v>6.0</v>
      </c>
      <c r="AB64" s="4">
        <v>2.0</v>
      </c>
      <c r="AC64" s="4">
        <v>1.0</v>
      </c>
      <c r="AM64" s="4">
        <v>21.0</v>
      </c>
      <c r="BB64" s="4">
        <v>5.0</v>
      </c>
      <c r="BD64" s="4">
        <v>1.0</v>
      </c>
      <c r="BE64" s="4">
        <v>2.0</v>
      </c>
      <c r="BM64" s="4">
        <v>44.0</v>
      </c>
      <c r="BN64" s="4">
        <v>1.0</v>
      </c>
      <c r="BQ64" s="4">
        <v>46.0</v>
      </c>
      <c r="BV64" s="4">
        <v>2.0</v>
      </c>
      <c r="BW64" s="4">
        <v>4.0</v>
      </c>
      <c r="BZ64" s="4">
        <v>48.0</v>
      </c>
      <c r="CN64" s="4">
        <v>1.0</v>
      </c>
      <c r="DL64" s="4">
        <v>102.0</v>
      </c>
      <c r="DO64" s="4">
        <v>1.0</v>
      </c>
      <c r="DS64" s="4">
        <v>12.0</v>
      </c>
      <c r="DU64" s="4"/>
      <c r="DV64" s="4">
        <v>5.0</v>
      </c>
      <c r="DZ64" s="4">
        <v>1.0</v>
      </c>
      <c r="EC64" s="4">
        <v>2.0</v>
      </c>
      <c r="EJ64" s="4">
        <v>259.0</v>
      </c>
      <c r="EZ64" s="4">
        <v>4.0</v>
      </c>
      <c r="FB64" s="4">
        <v>6.0</v>
      </c>
      <c r="FC64" s="4">
        <v>2.0</v>
      </c>
      <c r="FF64" s="4">
        <v>11.0</v>
      </c>
      <c r="FI64" s="4">
        <v>11.0</v>
      </c>
      <c r="FR64" s="4">
        <v>24.0</v>
      </c>
      <c r="FS64" s="4">
        <v>129.0</v>
      </c>
      <c r="FX64" s="4"/>
      <c r="FY64" s="4">
        <v>3.0</v>
      </c>
      <c r="GF64" s="4">
        <v>4.0</v>
      </c>
      <c r="GH64" s="25">
        <f t="shared" ref="GH64:GH67" si="15">count(R64:GG64)</f>
        <v>30</v>
      </c>
      <c r="GI64" s="25">
        <f t="shared" ref="GI64:GI67" si="16">countif(R64:GG64,"&gt;=2")</f>
        <v>24</v>
      </c>
      <c r="GJ64" s="25">
        <f t="shared" ref="GJ64:GJ67" si="17">countif(R64:GG64,"&gt;=5")</f>
        <v>15</v>
      </c>
      <c r="GK64" s="25">
        <f t="shared" ref="GK64:GK67" si="18">sum(R64:GG64)</f>
        <v>760</v>
      </c>
      <c r="GL64" s="25">
        <f t="shared" ref="GL64:GL67" si="19">25*P64</f>
        <v>1025</v>
      </c>
      <c r="GM64" s="25">
        <f t="shared" ref="GM64:GM67" si="20">GL64-GK64</f>
        <v>265</v>
      </c>
    </row>
    <row r="65">
      <c r="A65" s="23">
        <v>42467.0</v>
      </c>
      <c r="B65" s="4" t="s">
        <v>233</v>
      </c>
      <c r="C65" s="28">
        <f t="shared" si="14"/>
        <v>59</v>
      </c>
      <c r="D65" s="36">
        <v>21.066799</v>
      </c>
      <c r="E65" s="36">
        <v>-156.804993</v>
      </c>
      <c r="F65" s="4" t="s">
        <v>286</v>
      </c>
      <c r="G65" s="24">
        <v>0.375</v>
      </c>
      <c r="H65" s="24">
        <v>0.4388888888888889</v>
      </c>
      <c r="I65" s="4">
        <v>4.0</v>
      </c>
      <c r="J65" s="4">
        <v>17.0</v>
      </c>
      <c r="K65" s="4" t="s">
        <v>198</v>
      </c>
      <c r="L65" s="4">
        <v>16.0</v>
      </c>
      <c r="M65" s="4">
        <v>25.0</v>
      </c>
      <c r="N65" s="4" t="s">
        <v>287</v>
      </c>
      <c r="O65" s="4" t="s">
        <v>288</v>
      </c>
      <c r="P65" s="4">
        <v>25.0</v>
      </c>
      <c r="R65" s="4">
        <v>11.0</v>
      </c>
      <c r="U65" s="4">
        <v>39.0</v>
      </c>
      <c r="W65" s="4">
        <v>11.0</v>
      </c>
      <c r="BB65" s="4">
        <v>5.0</v>
      </c>
      <c r="BL65" s="4">
        <v>1.0</v>
      </c>
      <c r="BM65" s="4">
        <v>26.0</v>
      </c>
      <c r="BZ65" s="4">
        <v>16.0</v>
      </c>
      <c r="CD65" s="4">
        <v>1.0</v>
      </c>
      <c r="CO65" s="4">
        <v>13.0</v>
      </c>
      <c r="DG65" s="4">
        <v>40.0</v>
      </c>
      <c r="EJ65" s="4">
        <v>83.0</v>
      </c>
      <c r="FB65" s="4">
        <v>109.0</v>
      </c>
      <c r="FX65" s="4"/>
      <c r="FY65" s="4">
        <v>5.0</v>
      </c>
      <c r="GH65" s="25">
        <f t="shared" si="15"/>
        <v>13</v>
      </c>
      <c r="GI65" s="25">
        <f t="shared" si="16"/>
        <v>11</v>
      </c>
      <c r="GJ65" s="25">
        <f t="shared" si="17"/>
        <v>11</v>
      </c>
      <c r="GK65" s="25">
        <f t="shared" si="18"/>
        <v>360</v>
      </c>
      <c r="GL65" s="25">
        <f t="shared" si="19"/>
        <v>625</v>
      </c>
      <c r="GM65" s="25">
        <f t="shared" si="20"/>
        <v>265</v>
      </c>
    </row>
    <row r="66">
      <c r="A66" s="23">
        <v>42468.0</v>
      </c>
      <c r="B66" s="4" t="s">
        <v>247</v>
      </c>
      <c r="C66" s="28">
        <f t="shared" si="14"/>
        <v>60</v>
      </c>
      <c r="D66" s="4">
        <v>19.488199</v>
      </c>
      <c r="E66" s="4">
        <v>-154.819305</v>
      </c>
      <c r="F66" s="4" t="s">
        <v>289</v>
      </c>
      <c r="G66" s="24">
        <v>0.3972222222222222</v>
      </c>
      <c r="H66" s="24">
        <v>0.4479166666666667</v>
      </c>
      <c r="I66" s="4">
        <v>5.0</v>
      </c>
      <c r="J66" s="4">
        <v>21.0</v>
      </c>
      <c r="K66" s="4" t="s">
        <v>198</v>
      </c>
      <c r="L66" s="4">
        <v>5.0</v>
      </c>
      <c r="M66" s="4">
        <v>23.0</v>
      </c>
      <c r="N66" s="4" t="s">
        <v>290</v>
      </c>
      <c r="P66" s="4">
        <v>23.0</v>
      </c>
      <c r="AM66" s="4">
        <v>315.0</v>
      </c>
      <c r="BI66" s="4"/>
      <c r="BJ66" s="4">
        <v>1.0</v>
      </c>
      <c r="BM66" s="4">
        <v>102.0</v>
      </c>
      <c r="BN66" s="4">
        <v>3.0</v>
      </c>
      <c r="BQ66" s="4">
        <v>4.0</v>
      </c>
      <c r="CC66" s="4">
        <v>1.0</v>
      </c>
      <c r="DS66" s="4">
        <v>27.0</v>
      </c>
      <c r="FB66" s="4">
        <v>1.0</v>
      </c>
      <c r="FS66" s="4">
        <v>109.0</v>
      </c>
      <c r="GH66" s="25">
        <f t="shared" si="15"/>
        <v>9</v>
      </c>
      <c r="GI66" s="25">
        <f t="shared" si="16"/>
        <v>6</v>
      </c>
      <c r="GJ66" s="25">
        <f t="shared" si="17"/>
        <v>4</v>
      </c>
      <c r="GK66" s="25">
        <f t="shared" si="18"/>
        <v>563</v>
      </c>
      <c r="GL66" s="25">
        <f t="shared" si="19"/>
        <v>575</v>
      </c>
      <c r="GM66" s="25">
        <f t="shared" si="20"/>
        <v>12</v>
      </c>
    </row>
    <row r="67">
      <c r="A67" s="23">
        <v>42468.0</v>
      </c>
      <c r="B67" s="4" t="s">
        <v>291</v>
      </c>
      <c r="C67" s="28">
        <f t="shared" si="14"/>
        <v>61</v>
      </c>
      <c r="D67" s="4">
        <v>19.734331</v>
      </c>
      <c r="E67" s="4">
        <v>-155.014832</v>
      </c>
      <c r="F67" s="4" t="s">
        <v>274</v>
      </c>
      <c r="G67" s="24">
        <v>0.3819444444444444</v>
      </c>
      <c r="H67" s="24">
        <v>0.4583333333333333</v>
      </c>
      <c r="I67" s="4">
        <v>6.0</v>
      </c>
      <c r="J67" s="4">
        <v>17.0</v>
      </c>
      <c r="K67" s="4" t="s">
        <v>198</v>
      </c>
      <c r="L67" s="4">
        <v>5.0</v>
      </c>
      <c r="M67" s="4">
        <v>19.0</v>
      </c>
      <c r="N67" s="4" t="s">
        <v>292</v>
      </c>
      <c r="P67" s="4">
        <v>19.0</v>
      </c>
      <c r="R67" s="4">
        <v>1.0</v>
      </c>
      <c r="AC67" s="4">
        <v>1.0</v>
      </c>
      <c r="AG67" s="4">
        <v>4.0</v>
      </c>
      <c r="AM67" s="4">
        <v>20.0</v>
      </c>
      <c r="AN67" s="4">
        <v>28.0</v>
      </c>
      <c r="BB67" s="4">
        <v>83.0</v>
      </c>
      <c r="BK67" s="4">
        <v>13.0</v>
      </c>
      <c r="BM67" s="4">
        <v>123.0</v>
      </c>
      <c r="BN67" s="4">
        <v>1.0</v>
      </c>
      <c r="CC67" s="4">
        <v>1.0</v>
      </c>
      <c r="CO67" s="4">
        <v>14.0</v>
      </c>
      <c r="CQ67" s="4">
        <v>10.0</v>
      </c>
      <c r="DH67" s="4">
        <v>2.0</v>
      </c>
      <c r="DW67" s="4">
        <v>2.0</v>
      </c>
      <c r="FB67" s="4">
        <v>2.0</v>
      </c>
      <c r="FH67" s="4">
        <v>11.0</v>
      </c>
      <c r="FQ67" s="4">
        <v>2.0</v>
      </c>
      <c r="FR67" s="4">
        <v>1.0</v>
      </c>
      <c r="FS67" s="4">
        <v>65.0</v>
      </c>
      <c r="GH67" s="25">
        <f t="shared" si="15"/>
        <v>19</v>
      </c>
      <c r="GI67" s="25">
        <f t="shared" si="16"/>
        <v>14</v>
      </c>
      <c r="GJ67" s="25">
        <f t="shared" si="17"/>
        <v>9</v>
      </c>
      <c r="GK67" s="25">
        <f t="shared" si="18"/>
        <v>384</v>
      </c>
      <c r="GL67" s="25">
        <f t="shared" si="19"/>
        <v>475</v>
      </c>
      <c r="GM67" s="25">
        <f t="shared" si="20"/>
        <v>91</v>
      </c>
    </row>
    <row r="68">
      <c r="A68" s="31">
        <v>42468.0</v>
      </c>
      <c r="B68" s="32" t="s">
        <v>196</v>
      </c>
      <c r="C68" s="28">
        <f t="shared" si="14"/>
        <v>62</v>
      </c>
      <c r="D68" s="32">
        <v>21.559278</v>
      </c>
      <c r="E68" s="32">
        <v>-157.871902</v>
      </c>
      <c r="F68" s="32" t="s">
        <v>325</v>
      </c>
      <c r="G68" s="33">
        <v>0.3645833333333333</v>
      </c>
      <c r="H68" s="33">
        <v>0.40625</v>
      </c>
      <c r="I68" s="32">
        <v>5.0</v>
      </c>
      <c r="J68" s="32">
        <v>9.0</v>
      </c>
      <c r="K68" s="32" t="s">
        <v>314</v>
      </c>
      <c r="L68" s="32">
        <v>5.0</v>
      </c>
      <c r="M68" s="32"/>
      <c r="N68" s="32"/>
      <c r="O68" s="32"/>
      <c r="P68" s="32"/>
      <c r="Q68" s="34"/>
      <c r="R68" s="34"/>
      <c r="S68" s="34"/>
      <c r="T68" s="34"/>
      <c r="U68" s="34"/>
      <c r="V68" s="34"/>
      <c r="W68" s="34"/>
      <c r="X68" s="34"/>
      <c r="Y68" s="34"/>
      <c r="Z68" s="34"/>
      <c r="AA68" s="34"/>
      <c r="AB68" s="32"/>
      <c r="AC68" s="34"/>
      <c r="AD68" s="34"/>
      <c r="AE68" s="34"/>
      <c r="AF68" s="34"/>
      <c r="AG68" s="34"/>
      <c r="AH68" s="34"/>
      <c r="AI68" s="32"/>
      <c r="AJ68" s="34"/>
      <c r="AK68" s="34"/>
      <c r="AL68" s="34"/>
      <c r="AM68" s="32"/>
      <c r="AN68" s="34"/>
      <c r="AO68" s="34"/>
      <c r="AP68" s="34"/>
      <c r="AQ68" s="34"/>
      <c r="AR68" s="34"/>
      <c r="AS68" s="34"/>
      <c r="AT68" s="34"/>
      <c r="AU68" s="34"/>
      <c r="AV68" s="34"/>
      <c r="AW68" s="34"/>
      <c r="AX68" s="34"/>
      <c r="AY68" s="34"/>
      <c r="AZ68" s="34"/>
      <c r="BA68" s="34"/>
      <c r="BB68" s="34"/>
      <c r="BC68" s="34"/>
      <c r="BD68" s="34"/>
      <c r="BE68" s="34"/>
      <c r="BF68" s="34"/>
      <c r="BG68" s="34"/>
      <c r="BH68" s="34"/>
      <c r="BI68" s="34"/>
      <c r="BJ68" s="34"/>
      <c r="BK68" s="32"/>
      <c r="BL68" s="34"/>
      <c r="BM68" s="32"/>
      <c r="BN68" s="34"/>
      <c r="BO68" s="34"/>
      <c r="BP68" s="34"/>
      <c r="BQ68" s="34"/>
      <c r="BR68" s="34"/>
      <c r="BS68" s="34"/>
      <c r="BT68" s="34"/>
      <c r="BU68" s="34"/>
      <c r="BV68" s="34"/>
      <c r="BW68" s="34"/>
      <c r="BX68" s="34"/>
      <c r="BY68" s="34"/>
      <c r="BZ68" s="32"/>
      <c r="CA68" s="34"/>
      <c r="CB68" s="34"/>
      <c r="CC68" s="34"/>
      <c r="CD68" s="32"/>
      <c r="CE68" s="34"/>
      <c r="CF68" s="32"/>
      <c r="CG68" s="34"/>
      <c r="CH68" s="34"/>
      <c r="CI68" s="34"/>
      <c r="CJ68" s="34"/>
      <c r="CK68" s="34"/>
      <c r="CL68" s="34"/>
      <c r="CM68" s="34"/>
      <c r="CN68" s="32"/>
      <c r="CO68" s="32"/>
      <c r="CP68" s="34"/>
      <c r="CQ68" s="34"/>
      <c r="CR68" s="34"/>
      <c r="CS68" s="34"/>
      <c r="CT68" s="34"/>
      <c r="CU68" s="34"/>
      <c r="CV68" s="34"/>
      <c r="CW68" s="34"/>
      <c r="CX68" s="34"/>
      <c r="CY68" s="34"/>
      <c r="CZ68" s="34"/>
      <c r="DA68" s="34"/>
      <c r="DB68" s="34"/>
      <c r="DC68" s="34"/>
      <c r="DD68" s="34"/>
      <c r="DE68" s="34"/>
      <c r="DF68" s="34"/>
      <c r="DG68" s="32"/>
      <c r="DH68" s="34"/>
      <c r="DI68" s="34"/>
      <c r="DJ68" s="34"/>
      <c r="DK68" s="34"/>
      <c r="DL68" s="34"/>
      <c r="DM68" s="32"/>
      <c r="DN68" s="34"/>
      <c r="DO68" s="34"/>
      <c r="DP68" s="34"/>
      <c r="DQ68" s="34"/>
      <c r="DR68" s="34"/>
      <c r="DS68" s="34"/>
      <c r="DT68" s="34"/>
      <c r="DU68" s="32"/>
      <c r="DV68" s="32"/>
      <c r="DW68" s="34"/>
      <c r="DX68" s="34"/>
      <c r="DY68" s="34"/>
      <c r="DZ68" s="34"/>
      <c r="EA68" s="34"/>
      <c r="EB68" s="34"/>
      <c r="EC68" s="34"/>
      <c r="ED68" s="34"/>
      <c r="EE68" s="34"/>
      <c r="EF68" s="34"/>
      <c r="EG68" s="34"/>
      <c r="EH68" s="34"/>
      <c r="EI68" s="34"/>
      <c r="EJ68" s="32"/>
      <c r="EK68" s="34"/>
      <c r="EL68" s="34"/>
      <c r="EM68" s="34"/>
      <c r="EN68" s="34"/>
      <c r="EO68" s="34"/>
      <c r="EP68" s="34"/>
      <c r="EQ68" s="34"/>
      <c r="ER68" s="34"/>
      <c r="ES68" s="34"/>
      <c r="ET68" s="34"/>
      <c r="EU68" s="34"/>
      <c r="EV68" s="34"/>
      <c r="EW68" s="34"/>
      <c r="EX68" s="34"/>
      <c r="EY68" s="34"/>
      <c r="EZ68" s="34"/>
      <c r="FA68" s="34"/>
      <c r="FB68" s="34"/>
      <c r="FC68" s="34"/>
      <c r="FD68" s="34"/>
      <c r="FE68" s="34"/>
      <c r="FF68" s="34"/>
      <c r="FG68" s="34"/>
      <c r="FH68" s="34"/>
      <c r="FI68" s="34"/>
      <c r="FJ68" s="34"/>
      <c r="FK68" s="34"/>
      <c r="FL68" s="34"/>
      <c r="FM68" s="34"/>
      <c r="FN68" s="34"/>
      <c r="FO68" s="34"/>
      <c r="FP68" s="34"/>
      <c r="FQ68" s="32"/>
      <c r="FR68" s="34"/>
      <c r="FS68" s="32"/>
      <c r="FT68" s="34"/>
      <c r="FU68" s="34"/>
      <c r="FV68" s="34"/>
      <c r="FW68" s="34"/>
      <c r="FX68" s="34"/>
      <c r="FY68" s="34"/>
      <c r="FZ68" s="34"/>
      <c r="GA68" s="34"/>
      <c r="GB68" s="34"/>
      <c r="GC68" s="34"/>
      <c r="GD68" s="34"/>
      <c r="GE68" s="34"/>
      <c r="GF68" s="34"/>
      <c r="GG68" s="34"/>
      <c r="GH68" s="34"/>
      <c r="GI68" s="34"/>
      <c r="GJ68" s="34"/>
      <c r="GK68" s="34"/>
      <c r="GL68" s="34"/>
      <c r="GM68" s="34"/>
      <c r="GN68" s="34"/>
      <c r="GO68" s="34"/>
      <c r="GP68" s="34"/>
      <c r="GQ68" s="34"/>
      <c r="GR68" s="34"/>
      <c r="GS68" s="34"/>
      <c r="GT68" s="34"/>
      <c r="GU68" s="34"/>
      <c r="GV68" s="34"/>
      <c r="GW68" s="34"/>
      <c r="GX68" s="34"/>
      <c r="GY68" s="34"/>
      <c r="GZ68" s="34"/>
      <c r="HA68" s="34"/>
      <c r="HB68" s="34"/>
      <c r="HC68" s="34"/>
      <c r="HD68" s="34"/>
      <c r="HE68" s="34"/>
      <c r="HF68" s="34"/>
      <c r="HG68" s="34"/>
      <c r="HH68" s="34"/>
      <c r="HI68" s="34"/>
    </row>
    <row r="69">
      <c r="A69" s="23">
        <v>42469.0</v>
      </c>
      <c r="B69" s="4" t="s">
        <v>293</v>
      </c>
      <c r="C69" s="28">
        <f t="shared" si="14"/>
        <v>63</v>
      </c>
      <c r="D69" s="4">
        <v>19.738602</v>
      </c>
      <c r="E69" s="4">
        <v>-155.038879</v>
      </c>
      <c r="F69" s="4" t="s">
        <v>197</v>
      </c>
      <c r="G69" s="24">
        <v>0.4076388888888889</v>
      </c>
      <c r="H69" s="24">
        <v>0.4652777777777778</v>
      </c>
      <c r="I69" s="4">
        <v>4.0</v>
      </c>
      <c r="J69" s="4">
        <v>15.0</v>
      </c>
      <c r="K69" s="4" t="s">
        <v>277</v>
      </c>
      <c r="L69" s="4">
        <v>10.0</v>
      </c>
      <c r="M69" s="4">
        <v>20.0</v>
      </c>
      <c r="N69" s="4" t="s">
        <v>294</v>
      </c>
      <c r="O69" s="4" t="s">
        <v>295</v>
      </c>
      <c r="P69" s="4">
        <v>20.0</v>
      </c>
      <c r="AB69" s="4">
        <v>1.0</v>
      </c>
      <c r="AI69" s="4">
        <v>6.0</v>
      </c>
      <c r="AM69" s="4">
        <v>56.0</v>
      </c>
      <c r="BK69" s="4">
        <v>38.0</v>
      </c>
      <c r="BM69" s="4">
        <v>21.0</v>
      </c>
      <c r="BZ69" s="4">
        <v>1.0</v>
      </c>
      <c r="CD69" s="4">
        <v>2.0</v>
      </c>
      <c r="CF69" s="4">
        <v>3.0</v>
      </c>
      <c r="CN69" s="4">
        <v>1.0</v>
      </c>
      <c r="CO69" s="4">
        <v>52.0</v>
      </c>
      <c r="DG69" s="4">
        <v>1.0</v>
      </c>
      <c r="DM69" s="4">
        <v>1.0</v>
      </c>
      <c r="DU69" s="4"/>
      <c r="DV69" s="4">
        <v>1.0</v>
      </c>
      <c r="EJ69" s="4">
        <v>14.0</v>
      </c>
      <c r="FQ69" s="4">
        <v>2.0</v>
      </c>
      <c r="FS69" s="4">
        <v>219.0</v>
      </c>
      <c r="GH69" s="25">
        <f t="shared" ref="GH69:GH75" si="21">count(R69:GG69)</f>
        <v>16</v>
      </c>
      <c r="GI69" s="25">
        <f t="shared" ref="GI69:GI75" si="22">countif(R69:GG69,"&gt;=2")</f>
        <v>10</v>
      </c>
      <c r="GJ69" s="25">
        <f t="shared" ref="GJ69:GJ75" si="23">countif(R69:GG69,"&gt;=5")</f>
        <v>7</v>
      </c>
      <c r="GK69" s="25">
        <f t="shared" ref="GK69:GK75" si="24">sum(R69:GG69)</f>
        <v>419</v>
      </c>
      <c r="GL69" s="25">
        <f t="shared" ref="GL69:GL75" si="25">25*P69</f>
        <v>500</v>
      </c>
      <c r="GM69" s="25">
        <f t="shared" ref="GM69:GM75" si="26">GL69-GK69</f>
        <v>81</v>
      </c>
    </row>
    <row r="70">
      <c r="A70" s="23">
        <v>42470.0</v>
      </c>
      <c r="B70" s="4" t="s">
        <v>293</v>
      </c>
      <c r="C70" s="28">
        <f t="shared" si="14"/>
        <v>64</v>
      </c>
      <c r="D70" s="4">
        <v>19.738602</v>
      </c>
      <c r="E70" s="4">
        <v>-155.038879</v>
      </c>
      <c r="F70" s="4" t="s">
        <v>197</v>
      </c>
      <c r="G70" s="24">
        <v>0.4340277777777778</v>
      </c>
      <c r="H70" s="24">
        <v>0.5277777777777778</v>
      </c>
      <c r="I70" s="4">
        <v>4.0</v>
      </c>
      <c r="J70" s="4">
        <v>22.0</v>
      </c>
      <c r="K70" s="4" t="s">
        <v>198</v>
      </c>
      <c r="L70" s="4">
        <v>11.0</v>
      </c>
      <c r="M70" s="4">
        <v>35.0</v>
      </c>
      <c r="N70" s="4" t="s">
        <v>296</v>
      </c>
      <c r="P70" s="4">
        <v>35.0</v>
      </c>
      <c r="R70" s="4">
        <v>24.0</v>
      </c>
      <c r="T70" s="4">
        <v>9.0</v>
      </c>
      <c r="AB70" s="4">
        <v>77.0</v>
      </c>
      <c r="AD70" s="4">
        <v>6.0</v>
      </c>
      <c r="AH70" s="4">
        <v>15.0</v>
      </c>
      <c r="AM70" s="4">
        <v>35.0</v>
      </c>
      <c r="AZ70" s="4">
        <v>6.0</v>
      </c>
      <c r="BB70" s="4">
        <v>3.0</v>
      </c>
      <c r="BG70" s="4">
        <v>1.0</v>
      </c>
      <c r="BI70" s="4"/>
      <c r="BJ70" s="4">
        <v>1.0</v>
      </c>
      <c r="BK70" s="4">
        <v>5.0</v>
      </c>
      <c r="BM70" s="4">
        <v>59.0</v>
      </c>
      <c r="BN70" s="4">
        <v>16.0</v>
      </c>
      <c r="BZ70" s="4">
        <v>6.0</v>
      </c>
      <c r="CB70" s="4">
        <v>3.0</v>
      </c>
      <c r="CC70" s="4">
        <v>5.0</v>
      </c>
      <c r="CL70" s="4">
        <v>1.0</v>
      </c>
      <c r="CO70" s="4">
        <v>98.0</v>
      </c>
      <c r="DG70" s="4">
        <v>6.0</v>
      </c>
      <c r="DH70" s="4">
        <v>5.0</v>
      </c>
      <c r="DM70" s="4">
        <v>3.0</v>
      </c>
      <c r="DQ70" s="4">
        <v>1.0</v>
      </c>
      <c r="ED70" s="4">
        <v>2.0</v>
      </c>
      <c r="EJ70" s="4">
        <v>13.0</v>
      </c>
      <c r="EX70" s="4">
        <v>5.0</v>
      </c>
      <c r="FB70" s="4">
        <v>9.0</v>
      </c>
      <c r="FO70" s="4"/>
      <c r="FP70" s="4">
        <v>2.0</v>
      </c>
      <c r="FQ70" s="4">
        <v>17.0</v>
      </c>
      <c r="FS70" s="4">
        <v>161.0</v>
      </c>
      <c r="FT70" s="4">
        <v>7.0</v>
      </c>
      <c r="GH70" s="25">
        <f t="shared" si="21"/>
        <v>30</v>
      </c>
      <c r="GI70" s="25">
        <f t="shared" si="22"/>
        <v>26</v>
      </c>
      <c r="GJ70" s="25">
        <f t="shared" si="23"/>
        <v>21</v>
      </c>
      <c r="GK70" s="25">
        <f t="shared" si="24"/>
        <v>601</v>
      </c>
      <c r="GL70" s="25">
        <f t="shared" si="25"/>
        <v>875</v>
      </c>
      <c r="GM70" s="25">
        <f t="shared" si="26"/>
        <v>274</v>
      </c>
    </row>
    <row r="71">
      <c r="A71" s="23">
        <v>42471.0</v>
      </c>
      <c r="B71" s="4" t="s">
        <v>266</v>
      </c>
      <c r="C71" s="28">
        <f t="shared" si="14"/>
        <v>65</v>
      </c>
      <c r="D71" s="4">
        <v>22.060684</v>
      </c>
      <c r="E71" s="4">
        <v>-159.318512</v>
      </c>
      <c r="F71" s="4" t="s">
        <v>297</v>
      </c>
      <c r="G71" s="24">
        <v>0.4895833333333333</v>
      </c>
      <c r="H71" s="24">
        <v>0.5416666666666666</v>
      </c>
      <c r="I71" s="4">
        <v>5.0</v>
      </c>
      <c r="J71" s="4">
        <v>12.0</v>
      </c>
      <c r="K71" s="4" t="s">
        <v>198</v>
      </c>
      <c r="L71" s="4">
        <v>5.0</v>
      </c>
      <c r="M71" s="4">
        <v>24.0</v>
      </c>
      <c r="N71" s="4" t="s">
        <v>298</v>
      </c>
      <c r="P71" s="4">
        <v>24.0</v>
      </c>
      <c r="R71" s="4">
        <v>1.0</v>
      </c>
      <c r="AM71" s="4">
        <v>14.0</v>
      </c>
      <c r="BB71" s="4">
        <v>13.0</v>
      </c>
      <c r="BM71" s="4">
        <v>2.0</v>
      </c>
      <c r="BN71" s="4">
        <v>289.0</v>
      </c>
      <c r="BZ71" s="4">
        <v>1.0</v>
      </c>
      <c r="CV71" s="4">
        <v>3.0</v>
      </c>
      <c r="DU71" s="4"/>
      <c r="DV71" s="4">
        <v>5.0</v>
      </c>
      <c r="EJ71" s="4">
        <v>26.0</v>
      </c>
      <c r="FS71" s="4">
        <v>21.0</v>
      </c>
      <c r="GH71" s="25">
        <f t="shared" si="21"/>
        <v>10</v>
      </c>
      <c r="GI71" s="25">
        <f t="shared" si="22"/>
        <v>8</v>
      </c>
      <c r="GJ71" s="25">
        <f t="shared" si="23"/>
        <v>6</v>
      </c>
      <c r="GK71" s="25">
        <f t="shared" si="24"/>
        <v>375</v>
      </c>
      <c r="GL71" s="25">
        <f t="shared" si="25"/>
        <v>600</v>
      </c>
      <c r="GM71" s="25">
        <f t="shared" si="26"/>
        <v>225</v>
      </c>
    </row>
    <row r="72">
      <c r="A72" s="23">
        <v>42471.0</v>
      </c>
      <c r="B72" s="4" t="s">
        <v>216</v>
      </c>
      <c r="C72" s="28">
        <f t="shared" si="14"/>
        <v>66</v>
      </c>
      <c r="D72" s="4">
        <v>21.3002</v>
      </c>
      <c r="E72" s="4">
        <v>-157.882599</v>
      </c>
      <c r="F72" s="4" t="s">
        <v>299</v>
      </c>
      <c r="G72" s="24">
        <v>0.5277777777777778</v>
      </c>
      <c r="H72" s="24">
        <v>0.5729166666666666</v>
      </c>
      <c r="I72" s="4">
        <v>4.0</v>
      </c>
      <c r="J72" s="4">
        <v>26.0</v>
      </c>
      <c r="K72" s="4" t="s">
        <v>198</v>
      </c>
      <c r="L72" s="4">
        <v>9.0</v>
      </c>
      <c r="M72" s="4">
        <v>29.0</v>
      </c>
      <c r="N72" s="4" t="s">
        <v>300</v>
      </c>
      <c r="P72" s="4">
        <v>29.0</v>
      </c>
      <c r="AC72" s="4">
        <v>10.0</v>
      </c>
      <c r="AM72" s="4">
        <v>23.0</v>
      </c>
      <c r="BM72" s="4">
        <v>15.0</v>
      </c>
      <c r="BN72" s="4">
        <v>38.0</v>
      </c>
      <c r="BQ72" s="4">
        <v>12.0</v>
      </c>
      <c r="BV72" s="4">
        <v>6.0</v>
      </c>
      <c r="BZ72" s="4">
        <v>1.0</v>
      </c>
      <c r="CC72" s="4">
        <v>3.0</v>
      </c>
      <c r="FQ72" s="4">
        <v>15.0</v>
      </c>
      <c r="FS72" s="4">
        <v>364.0</v>
      </c>
      <c r="GH72" s="25">
        <f t="shared" si="21"/>
        <v>10</v>
      </c>
      <c r="GI72" s="25">
        <f t="shared" si="22"/>
        <v>9</v>
      </c>
      <c r="GJ72" s="25">
        <f t="shared" si="23"/>
        <v>8</v>
      </c>
      <c r="GK72" s="25">
        <f t="shared" si="24"/>
        <v>487</v>
      </c>
      <c r="GL72" s="25">
        <f t="shared" si="25"/>
        <v>725</v>
      </c>
      <c r="GM72" s="25">
        <f t="shared" si="26"/>
        <v>238</v>
      </c>
    </row>
    <row r="73">
      <c r="A73" s="23">
        <v>42471.0</v>
      </c>
      <c r="B73" s="4" t="s">
        <v>301</v>
      </c>
      <c r="C73" s="28">
        <f t="shared" si="14"/>
        <v>67</v>
      </c>
      <c r="D73" s="4">
        <v>22.065599</v>
      </c>
      <c r="E73" s="4">
        <v>-159.317703</v>
      </c>
      <c r="F73" s="4" t="s">
        <v>302</v>
      </c>
      <c r="G73" s="24">
        <v>0.4895833333333333</v>
      </c>
      <c r="H73" s="24">
        <v>0.5416666666666666</v>
      </c>
      <c r="I73" s="4">
        <v>5.0</v>
      </c>
      <c r="J73" s="4">
        <v>5.0</v>
      </c>
      <c r="K73" s="4" t="s">
        <v>198</v>
      </c>
      <c r="L73" s="4">
        <v>5.0</v>
      </c>
      <c r="M73" s="4">
        <v>25.0</v>
      </c>
      <c r="P73" s="4">
        <v>25.0</v>
      </c>
      <c r="R73" s="4">
        <v>5.0</v>
      </c>
      <c r="AC73" s="4">
        <v>9.0</v>
      </c>
      <c r="AG73" s="4">
        <v>20.0</v>
      </c>
      <c r="AM73" s="4">
        <v>68.0</v>
      </c>
      <c r="AZ73" s="4">
        <v>1.0</v>
      </c>
      <c r="BB73" s="4">
        <v>2.0</v>
      </c>
      <c r="BE73" s="4">
        <v>1.0</v>
      </c>
      <c r="BK73" s="4">
        <v>2.0</v>
      </c>
      <c r="BM73" s="4">
        <v>22.0</v>
      </c>
      <c r="BN73" s="4">
        <v>149.0</v>
      </c>
      <c r="BO73" s="4">
        <v>1.0</v>
      </c>
      <c r="BV73" s="4">
        <v>10.0</v>
      </c>
      <c r="BZ73" s="4">
        <v>12.0</v>
      </c>
      <c r="DM73" s="4">
        <v>21.0</v>
      </c>
      <c r="DU73" s="4"/>
      <c r="DV73" s="4">
        <v>15.0</v>
      </c>
      <c r="EJ73" s="4">
        <v>108.0</v>
      </c>
      <c r="FB73" s="4">
        <v>11.0</v>
      </c>
      <c r="FO73" s="4"/>
      <c r="FP73" s="4">
        <v>1.0</v>
      </c>
      <c r="FR73" s="4">
        <v>8.0</v>
      </c>
      <c r="FS73" s="4">
        <v>55.0</v>
      </c>
      <c r="GH73" s="25">
        <f t="shared" si="21"/>
        <v>20</v>
      </c>
      <c r="GI73" s="25">
        <f t="shared" si="22"/>
        <v>16</v>
      </c>
      <c r="GJ73" s="25">
        <f t="shared" si="23"/>
        <v>14</v>
      </c>
      <c r="GK73" s="25">
        <f t="shared" si="24"/>
        <v>521</v>
      </c>
      <c r="GL73" s="25">
        <f t="shared" si="25"/>
        <v>625</v>
      </c>
      <c r="GM73" s="25">
        <f t="shared" si="26"/>
        <v>104</v>
      </c>
    </row>
    <row r="74">
      <c r="A74" s="23">
        <v>42475.0</v>
      </c>
      <c r="B74" s="4" t="s">
        <v>303</v>
      </c>
      <c r="C74" s="28">
        <f t="shared" si="14"/>
        <v>68</v>
      </c>
      <c r="D74" s="4">
        <v>20.99424</v>
      </c>
      <c r="E74" s="4">
        <v>-156.668259</v>
      </c>
      <c r="F74" s="4" t="s">
        <v>274</v>
      </c>
      <c r="G74" s="24">
        <v>0.3333333333333333</v>
      </c>
      <c r="H74" s="24">
        <v>0.4166666666666667</v>
      </c>
      <c r="I74" s="4">
        <v>4.0</v>
      </c>
      <c r="J74" s="4">
        <v>22.0</v>
      </c>
      <c r="K74" s="4" t="s">
        <v>217</v>
      </c>
      <c r="L74" s="4">
        <v>12.0</v>
      </c>
      <c r="M74" s="4">
        <v>35.0</v>
      </c>
      <c r="N74" s="4" t="s">
        <v>296</v>
      </c>
      <c r="P74" s="4">
        <v>35.0</v>
      </c>
      <c r="R74" s="4">
        <v>24.0</v>
      </c>
      <c r="T74" s="4">
        <v>9.0</v>
      </c>
      <c r="AB74" s="4">
        <v>77.0</v>
      </c>
      <c r="AD74" s="4">
        <v>6.0</v>
      </c>
      <c r="AF74" s="4">
        <v>2.0</v>
      </c>
      <c r="AM74" s="4">
        <v>35.0</v>
      </c>
      <c r="AX74" s="4">
        <v>4.0</v>
      </c>
      <c r="AZ74" s="4">
        <v>2.0</v>
      </c>
      <c r="BB74" s="4">
        <v>3.0</v>
      </c>
      <c r="BG74" s="4">
        <v>1.0</v>
      </c>
      <c r="BI74" s="4">
        <v>1.0</v>
      </c>
      <c r="BK74" s="4">
        <v>5.0</v>
      </c>
      <c r="BM74" s="4">
        <v>59.0</v>
      </c>
      <c r="BN74" s="4">
        <v>16.0</v>
      </c>
      <c r="BY74" s="4">
        <v>6.0</v>
      </c>
      <c r="CB74" s="4">
        <v>3.0</v>
      </c>
      <c r="CC74" s="4">
        <v>5.0</v>
      </c>
      <c r="CO74" s="4">
        <v>98.0</v>
      </c>
      <c r="DG74" s="4">
        <v>6.0</v>
      </c>
      <c r="DH74" s="4">
        <v>3.0</v>
      </c>
      <c r="DM74" s="4">
        <v>3.0</v>
      </c>
      <c r="DQ74" s="4">
        <v>1.0</v>
      </c>
      <c r="EJ74" s="4">
        <v>13.0</v>
      </c>
      <c r="EN74" s="4">
        <v>1.0</v>
      </c>
      <c r="EW74" s="4">
        <v>5.0</v>
      </c>
      <c r="FB74" s="4">
        <v>9.0</v>
      </c>
      <c r="FC74" s="4">
        <v>1.0</v>
      </c>
      <c r="FM74" s="4">
        <v>16.0</v>
      </c>
      <c r="FO74" s="4"/>
      <c r="FP74" s="4">
        <v>2.0</v>
      </c>
      <c r="FS74" s="4">
        <v>176.0</v>
      </c>
      <c r="FT74" s="4">
        <v>7.0</v>
      </c>
      <c r="GH74" s="25">
        <f t="shared" si="21"/>
        <v>31</v>
      </c>
      <c r="GI74" s="25">
        <f t="shared" si="22"/>
        <v>26</v>
      </c>
      <c r="GJ74" s="25">
        <f t="shared" si="23"/>
        <v>18</v>
      </c>
      <c r="GK74" s="25">
        <f t="shared" si="24"/>
        <v>599</v>
      </c>
      <c r="GL74" s="25">
        <f t="shared" si="25"/>
        <v>875</v>
      </c>
      <c r="GM74" s="25">
        <f t="shared" si="26"/>
        <v>276</v>
      </c>
    </row>
    <row r="75">
      <c r="A75" s="23">
        <v>42479.0</v>
      </c>
      <c r="B75" s="4" t="s">
        <v>201</v>
      </c>
      <c r="C75" s="28">
        <f t="shared" si="14"/>
        <v>69</v>
      </c>
      <c r="D75" s="4">
        <v>21.25544</v>
      </c>
      <c r="E75" s="4">
        <v>-157.810303</v>
      </c>
      <c r="F75" s="4" t="s">
        <v>274</v>
      </c>
      <c r="G75" s="24">
        <v>0.3611111111111111</v>
      </c>
      <c r="H75" s="24">
        <v>0.4166666666666667</v>
      </c>
      <c r="I75" s="4">
        <v>5.0</v>
      </c>
      <c r="J75" s="4">
        <v>14.0</v>
      </c>
      <c r="K75" s="4" t="s">
        <v>217</v>
      </c>
      <c r="L75" s="4">
        <v>7.0</v>
      </c>
      <c r="M75" s="4">
        <v>29.0</v>
      </c>
      <c r="N75" s="4" t="s">
        <v>304</v>
      </c>
      <c r="P75" s="4">
        <v>29.0</v>
      </c>
      <c r="R75" s="4">
        <v>1.0</v>
      </c>
      <c r="X75" s="4">
        <v>1.0</v>
      </c>
      <c r="AB75" s="4">
        <v>11.0</v>
      </c>
      <c r="AI75" s="4">
        <v>2.0</v>
      </c>
      <c r="AO75" s="4"/>
      <c r="AP75" s="4">
        <v>2.0</v>
      </c>
      <c r="BB75" s="4">
        <v>9.0</v>
      </c>
      <c r="BL75" s="4">
        <v>1.0</v>
      </c>
      <c r="BM75" s="4">
        <v>5.0</v>
      </c>
      <c r="BN75" s="4">
        <v>26.0</v>
      </c>
      <c r="BQ75" s="4">
        <v>36.0</v>
      </c>
      <c r="BV75" s="4">
        <v>4.0</v>
      </c>
      <c r="BZ75" s="4">
        <v>13.0</v>
      </c>
      <c r="CK75" s="4">
        <v>5.0</v>
      </c>
      <c r="CS75" s="4">
        <v>1.0</v>
      </c>
      <c r="DG75" s="4">
        <v>13.0</v>
      </c>
      <c r="DM75" s="4">
        <v>72.0</v>
      </c>
      <c r="DP75" s="4">
        <v>9.0</v>
      </c>
      <c r="DU75" s="4"/>
      <c r="DV75" s="4">
        <v>4.0</v>
      </c>
      <c r="EC75" s="4">
        <v>1.0</v>
      </c>
      <c r="EE75" s="4"/>
      <c r="EF75" s="4">
        <v>2.0</v>
      </c>
      <c r="EJ75" s="4">
        <v>174.0</v>
      </c>
      <c r="EK75" s="4">
        <v>1.0</v>
      </c>
      <c r="FB75" s="4">
        <v>21.0</v>
      </c>
      <c r="FI75" s="4">
        <v>35.0</v>
      </c>
      <c r="FO75" s="4"/>
      <c r="FP75" s="4">
        <v>1.0</v>
      </c>
      <c r="FR75" s="4">
        <v>11.0</v>
      </c>
      <c r="FS75" s="4">
        <v>28.0</v>
      </c>
      <c r="FU75" s="4">
        <v>1.0</v>
      </c>
      <c r="GH75" s="25">
        <f t="shared" si="21"/>
        <v>28</v>
      </c>
      <c r="GI75" s="25">
        <f t="shared" si="22"/>
        <v>20</v>
      </c>
      <c r="GJ75" s="25">
        <f t="shared" si="23"/>
        <v>15</v>
      </c>
      <c r="GK75" s="25">
        <f t="shared" si="24"/>
        <v>490</v>
      </c>
      <c r="GL75" s="25">
        <f t="shared" si="25"/>
        <v>725</v>
      </c>
      <c r="GM75" s="25">
        <f t="shared" si="26"/>
        <v>235</v>
      </c>
    </row>
    <row r="76">
      <c r="A76" s="41">
        <v>42479.0</v>
      </c>
      <c r="B76" s="42" t="s">
        <v>293</v>
      </c>
      <c r="C76" s="28">
        <f t="shared" si="14"/>
        <v>70</v>
      </c>
      <c r="D76" s="42">
        <v>19.738602</v>
      </c>
      <c r="E76" s="42">
        <v>-155.038879</v>
      </c>
      <c r="F76" s="42" t="s">
        <v>274</v>
      </c>
      <c r="G76" s="43">
        <v>0.4305555555555556</v>
      </c>
      <c r="H76" s="43">
        <v>0.4618055555555556</v>
      </c>
      <c r="I76" s="42">
        <v>4.0</v>
      </c>
      <c r="J76" s="42">
        <v>13.0</v>
      </c>
      <c r="K76" s="42" t="s">
        <v>314</v>
      </c>
      <c r="L76" s="42">
        <v>12.0</v>
      </c>
      <c r="M76" s="42">
        <v>26.0</v>
      </c>
      <c r="N76" s="42" t="s">
        <v>343</v>
      </c>
      <c r="O76" s="42"/>
      <c r="P76" s="42"/>
      <c r="Q76" s="44"/>
      <c r="R76" s="44"/>
      <c r="S76" s="44"/>
      <c r="T76" s="44"/>
      <c r="U76" s="44"/>
      <c r="V76" s="44"/>
      <c r="W76" s="44"/>
      <c r="X76" s="44"/>
      <c r="Y76" s="44"/>
      <c r="Z76" s="44"/>
      <c r="AA76" s="44"/>
      <c r="AB76" s="44"/>
      <c r="AC76" s="44"/>
      <c r="AD76" s="44"/>
      <c r="AE76" s="44"/>
      <c r="AF76" s="44"/>
      <c r="AG76" s="44"/>
      <c r="AH76" s="42">
        <v>9.0</v>
      </c>
      <c r="AI76" s="44"/>
      <c r="AJ76" s="44"/>
      <c r="AK76" s="44"/>
      <c r="AL76" s="42">
        <v>3.0</v>
      </c>
      <c r="AM76" s="44"/>
      <c r="AN76" s="44"/>
      <c r="AO76" s="42"/>
      <c r="AP76" s="42"/>
      <c r="AQ76" s="42">
        <v>2.0</v>
      </c>
      <c r="AR76" s="44"/>
      <c r="AS76" s="44"/>
      <c r="AT76" s="44"/>
      <c r="AU76" s="44"/>
      <c r="AV76" s="44"/>
      <c r="AW76" s="44"/>
      <c r="AX76" s="44"/>
      <c r="AY76" s="44"/>
      <c r="AZ76" s="44"/>
      <c r="BA76" s="44"/>
      <c r="BB76" s="44"/>
      <c r="BC76" s="44"/>
      <c r="BD76" s="44"/>
      <c r="BE76" s="42"/>
      <c r="BF76" s="44"/>
      <c r="BG76" s="44"/>
      <c r="BH76" s="42"/>
      <c r="BI76" s="44"/>
      <c r="BJ76" s="44"/>
      <c r="BK76" s="44"/>
      <c r="BL76" s="44"/>
      <c r="BM76" s="42">
        <v>77.0</v>
      </c>
      <c r="BN76" s="42"/>
      <c r="BO76" s="44"/>
      <c r="BP76" s="44"/>
      <c r="BQ76" s="44"/>
      <c r="BR76" s="44"/>
      <c r="BS76" s="44"/>
      <c r="BT76" s="44"/>
      <c r="BU76" s="44"/>
      <c r="BV76" s="44"/>
      <c r="BW76" s="44"/>
      <c r="BX76" s="44"/>
      <c r="BY76" s="44"/>
      <c r="BZ76" s="44"/>
      <c r="CA76" s="44"/>
      <c r="CB76" s="44"/>
      <c r="CC76" s="42">
        <v>6.0</v>
      </c>
      <c r="CD76" s="42">
        <v>1.0</v>
      </c>
      <c r="CE76" s="44"/>
      <c r="CF76" s="44"/>
      <c r="CG76" s="44"/>
      <c r="CH76" s="44"/>
      <c r="CI76" s="44"/>
      <c r="CJ76" s="44"/>
      <c r="CK76" s="44"/>
      <c r="CL76" s="44"/>
      <c r="CM76" s="44"/>
      <c r="CN76" s="44"/>
      <c r="CO76" s="42">
        <v>40.0</v>
      </c>
      <c r="CP76" s="44"/>
      <c r="CQ76" s="42"/>
      <c r="CR76" s="44"/>
      <c r="CS76" s="44"/>
      <c r="CT76" s="44"/>
      <c r="CU76" s="44"/>
      <c r="CV76" s="44"/>
      <c r="CW76" s="42"/>
      <c r="CX76" s="44"/>
      <c r="CY76" s="44"/>
      <c r="CZ76" s="44"/>
      <c r="DA76" s="44"/>
      <c r="DB76" s="44"/>
      <c r="DC76" s="44"/>
      <c r="DD76" s="44"/>
      <c r="DE76" s="44"/>
      <c r="DF76" s="44"/>
      <c r="DG76" s="42"/>
      <c r="DH76" s="44"/>
      <c r="DI76" s="44"/>
      <c r="DJ76" s="44"/>
      <c r="DK76" s="44"/>
      <c r="DL76" s="44"/>
      <c r="DM76" s="44"/>
      <c r="DN76" s="44"/>
      <c r="DO76" s="44"/>
      <c r="DP76" s="44"/>
      <c r="DQ76" s="44"/>
      <c r="DR76" s="44"/>
      <c r="DS76" s="44"/>
      <c r="DT76" s="44"/>
      <c r="DU76" s="42"/>
      <c r="DV76" s="42"/>
      <c r="DW76" s="44"/>
      <c r="DX76" s="44"/>
      <c r="DY76" s="44"/>
      <c r="DZ76" s="42"/>
      <c r="EA76" s="44"/>
      <c r="EB76" s="44"/>
      <c r="EC76" s="44"/>
      <c r="ED76" s="44"/>
      <c r="EE76" s="42"/>
      <c r="EF76" s="44"/>
      <c r="EG76" s="42"/>
      <c r="EH76" s="44"/>
      <c r="EI76" s="44"/>
      <c r="EJ76" s="42">
        <v>13.0</v>
      </c>
      <c r="EK76" s="44"/>
      <c r="EL76" s="44"/>
      <c r="EM76" s="44"/>
      <c r="EN76" s="44"/>
      <c r="EO76" s="44"/>
      <c r="EP76" s="44"/>
      <c r="EQ76" s="44"/>
      <c r="ER76" s="44"/>
      <c r="ES76" s="44"/>
      <c r="ET76" s="44"/>
      <c r="EU76" s="44"/>
      <c r="EV76" s="44"/>
      <c r="EW76" s="44"/>
      <c r="EX76" s="42">
        <v>3.0</v>
      </c>
      <c r="EY76" s="44"/>
      <c r="EZ76" s="44"/>
      <c r="FA76" s="44"/>
      <c r="FB76" s="44"/>
      <c r="FC76" s="42"/>
      <c r="FD76" s="42"/>
      <c r="FE76" s="44"/>
      <c r="FF76" s="42"/>
      <c r="FG76" s="44"/>
      <c r="FH76" s="44"/>
      <c r="FI76" s="44"/>
      <c r="FJ76" s="44"/>
      <c r="FK76" s="44"/>
      <c r="FL76" s="44"/>
      <c r="FM76" s="44"/>
      <c r="FN76" s="44"/>
      <c r="FO76" s="44"/>
      <c r="FP76" s="44"/>
      <c r="FQ76" s="42">
        <v>8.0</v>
      </c>
      <c r="FR76" s="42">
        <v>2.0</v>
      </c>
      <c r="FS76" s="42">
        <v>95.0</v>
      </c>
      <c r="FT76" s="44"/>
      <c r="FU76" s="44"/>
      <c r="FV76" s="44"/>
      <c r="FW76" s="44"/>
      <c r="FX76" s="44"/>
      <c r="FY76" s="44"/>
      <c r="FZ76" s="44"/>
      <c r="GA76" s="44"/>
      <c r="GB76" s="44"/>
      <c r="GC76" s="44"/>
      <c r="GD76" s="44"/>
      <c r="GE76" s="44"/>
      <c r="GF76" s="44"/>
      <c r="GG76" s="44"/>
      <c r="GH76" s="44"/>
      <c r="GI76" s="44"/>
      <c r="GJ76" s="44"/>
      <c r="GK76" s="44"/>
      <c r="GL76" s="44"/>
      <c r="GM76" s="44"/>
      <c r="GN76" s="44"/>
      <c r="GO76" s="44"/>
      <c r="GP76" s="44"/>
      <c r="GQ76" s="44"/>
      <c r="GR76" s="44"/>
      <c r="GS76" s="44"/>
      <c r="GT76" s="44"/>
      <c r="GU76" s="44"/>
      <c r="GV76" s="44"/>
      <c r="GW76" s="44"/>
      <c r="GX76" s="44"/>
      <c r="GY76" s="44"/>
      <c r="GZ76" s="44"/>
      <c r="HA76" s="44"/>
      <c r="HB76" s="44"/>
      <c r="HC76" s="44"/>
      <c r="HD76" s="44"/>
      <c r="HE76" s="44"/>
      <c r="HF76" s="44"/>
      <c r="HG76" s="44"/>
      <c r="HH76" s="44"/>
      <c r="HI76" s="44"/>
    </row>
    <row r="77">
      <c r="A77" s="37">
        <v>42481.0</v>
      </c>
      <c r="B77" s="38" t="s">
        <v>240</v>
      </c>
      <c r="C77" s="28">
        <f t="shared" si="14"/>
        <v>71</v>
      </c>
      <c r="D77" s="38">
        <v>21.1059</v>
      </c>
      <c r="E77" s="38">
        <v>-156.746094</v>
      </c>
      <c r="F77" s="38" t="s">
        <v>286</v>
      </c>
      <c r="G77" s="39">
        <v>0.3736111111111111</v>
      </c>
      <c r="H77" s="39">
        <v>0.4076388888888889</v>
      </c>
      <c r="I77" s="38">
        <v>4.0</v>
      </c>
      <c r="J77" s="38">
        <v>13.0</v>
      </c>
      <c r="K77" s="38" t="s">
        <v>198</v>
      </c>
      <c r="L77" s="38">
        <v>12.0</v>
      </c>
      <c r="M77" s="38">
        <v>34.0</v>
      </c>
      <c r="N77" s="38" t="s">
        <v>305</v>
      </c>
      <c r="O77" s="38"/>
      <c r="P77" s="38"/>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38"/>
      <c r="AP77" s="38">
        <v>1.0</v>
      </c>
      <c r="AQ77" s="40"/>
      <c r="AR77" s="40"/>
      <c r="AS77" s="40"/>
      <c r="AT77" s="40"/>
      <c r="AU77" s="40"/>
      <c r="AV77" s="40"/>
      <c r="AW77" s="40"/>
      <c r="AX77" s="40"/>
      <c r="AY77" s="40"/>
      <c r="AZ77" s="40"/>
      <c r="BA77" s="40"/>
      <c r="BB77" s="40"/>
      <c r="BC77" s="40"/>
      <c r="BD77" s="40"/>
      <c r="BE77" s="38">
        <v>7.0</v>
      </c>
      <c r="BF77" s="40"/>
      <c r="BG77" s="40"/>
      <c r="BH77" s="38">
        <v>1.0</v>
      </c>
      <c r="BI77" s="40"/>
      <c r="BJ77" s="40"/>
      <c r="BK77" s="40"/>
      <c r="BL77" s="40"/>
      <c r="BM77" s="38">
        <v>41.0</v>
      </c>
      <c r="BN77" s="38">
        <v>2.0</v>
      </c>
      <c r="BO77" s="40"/>
      <c r="BP77" s="40"/>
      <c r="BQ77" s="40"/>
      <c r="BR77" s="40"/>
      <c r="BS77" s="40"/>
      <c r="BT77" s="40"/>
      <c r="BU77" s="40"/>
      <c r="BV77" s="40"/>
      <c r="BW77" s="40"/>
      <c r="BX77" s="40"/>
      <c r="BY77" s="40"/>
      <c r="BZ77" s="40"/>
      <c r="CA77" s="40"/>
      <c r="CB77" s="40"/>
      <c r="CC77" s="40"/>
      <c r="CD77" s="40"/>
      <c r="CE77" s="40"/>
      <c r="CF77" s="40"/>
      <c r="CG77" s="40"/>
      <c r="CH77" s="40"/>
      <c r="CI77" s="40"/>
      <c r="CJ77" s="40"/>
      <c r="CK77" s="40"/>
      <c r="CL77" s="40"/>
      <c r="CM77" s="40"/>
      <c r="CN77" s="40"/>
      <c r="CO77" s="40"/>
      <c r="CP77" s="40"/>
      <c r="CQ77" s="38">
        <v>2.0</v>
      </c>
      <c r="CR77" s="40"/>
      <c r="CS77" s="40"/>
      <c r="CT77" s="40"/>
      <c r="CU77" s="40"/>
      <c r="CV77" s="40"/>
      <c r="CW77" s="38">
        <v>5.0</v>
      </c>
      <c r="CX77" s="40"/>
      <c r="CY77" s="40"/>
      <c r="CZ77" s="40"/>
      <c r="DA77" s="40"/>
      <c r="DB77" s="40"/>
      <c r="DC77" s="40"/>
      <c r="DD77" s="40"/>
      <c r="DE77" s="40"/>
      <c r="DF77" s="40"/>
      <c r="DG77" s="38">
        <v>1.0</v>
      </c>
      <c r="DH77" s="40"/>
      <c r="DI77" s="40"/>
      <c r="DJ77" s="40"/>
      <c r="DK77" s="40"/>
      <c r="DL77" s="40"/>
      <c r="DM77" s="40"/>
      <c r="DN77" s="40"/>
      <c r="DO77" s="40"/>
      <c r="DP77" s="40"/>
      <c r="DQ77" s="40"/>
      <c r="DR77" s="40"/>
      <c r="DS77" s="40"/>
      <c r="DT77" s="40"/>
      <c r="DU77" s="38"/>
      <c r="DV77" s="38">
        <v>3.0</v>
      </c>
      <c r="DW77" s="40"/>
      <c r="DX77" s="40"/>
      <c r="DY77" s="40"/>
      <c r="DZ77" s="38">
        <v>2.0</v>
      </c>
      <c r="EA77" s="40"/>
      <c r="EB77" s="40"/>
      <c r="EC77" s="40"/>
      <c r="ED77" s="40"/>
      <c r="EE77" s="38">
        <v>1.0</v>
      </c>
      <c r="EF77" s="40"/>
      <c r="EG77" s="38">
        <v>1.0</v>
      </c>
      <c r="EH77" s="40"/>
      <c r="EI77" s="40"/>
      <c r="EJ77" s="38">
        <v>13.0</v>
      </c>
      <c r="EK77" s="40"/>
      <c r="EL77" s="40"/>
      <c r="EM77" s="40"/>
      <c r="EN77" s="40"/>
      <c r="EO77" s="40"/>
      <c r="EP77" s="40"/>
      <c r="EQ77" s="40"/>
      <c r="ER77" s="40"/>
      <c r="ES77" s="40"/>
      <c r="ET77" s="40"/>
      <c r="EU77" s="40"/>
      <c r="EV77" s="40"/>
      <c r="EW77" s="40"/>
      <c r="EX77" s="38">
        <v>2.0</v>
      </c>
      <c r="EY77" s="40"/>
      <c r="EZ77" s="40"/>
      <c r="FA77" s="40"/>
      <c r="FB77" s="40"/>
      <c r="FC77" s="38">
        <v>2.0</v>
      </c>
      <c r="FD77" s="38">
        <v>1.0</v>
      </c>
      <c r="FE77" s="40"/>
      <c r="FF77" s="38">
        <v>21.0</v>
      </c>
      <c r="FG77" s="40"/>
      <c r="FH77" s="40"/>
      <c r="FI77" s="40"/>
      <c r="FJ77" s="40"/>
      <c r="FK77" s="40"/>
      <c r="FL77" s="40"/>
      <c r="FM77" s="40"/>
      <c r="FN77" s="40"/>
      <c r="FO77" s="40"/>
      <c r="FP77" s="40"/>
      <c r="FQ77" s="40"/>
      <c r="FR77" s="40"/>
      <c r="FS77" s="38">
        <v>460.0</v>
      </c>
      <c r="FT77" s="40"/>
      <c r="FU77" s="40"/>
      <c r="FV77" s="40"/>
      <c r="FW77" s="40"/>
      <c r="FX77" s="40"/>
      <c r="FY77" s="40"/>
      <c r="FZ77" s="40"/>
      <c r="GA77" s="40"/>
      <c r="GB77" s="40"/>
      <c r="GC77" s="40"/>
      <c r="GD77" s="40"/>
      <c r="GE77" s="40"/>
      <c r="GF77" s="40"/>
      <c r="GG77" s="40"/>
      <c r="GH77" s="40">
        <f>count(R77:GG77)</f>
        <v>18</v>
      </c>
      <c r="GI77" s="40">
        <f>countif(R77:GG77,"&gt;=2")</f>
        <v>12</v>
      </c>
      <c r="GJ77" s="40">
        <f>countif(R77:GG77,"&gt;=5")</f>
        <v>6</v>
      </c>
      <c r="GK77" s="40">
        <f>sum(R77:GG77)</f>
        <v>566</v>
      </c>
      <c r="GL77" s="40">
        <f>25*P77</f>
        <v>0</v>
      </c>
      <c r="GM77" s="40">
        <f>GL77-GK77</f>
        <v>-566</v>
      </c>
      <c r="GN77" s="40"/>
      <c r="GO77" s="40"/>
      <c r="GP77" s="40"/>
      <c r="GQ77" s="40"/>
      <c r="GR77" s="40"/>
      <c r="GS77" s="40"/>
      <c r="GT77" s="40"/>
      <c r="GU77" s="40"/>
      <c r="GV77" s="40"/>
      <c r="GW77" s="40"/>
      <c r="GX77" s="40"/>
      <c r="GY77" s="40"/>
      <c r="GZ77" s="40"/>
      <c r="HA77" s="40"/>
      <c r="HB77" s="40"/>
      <c r="HC77" s="40"/>
      <c r="HD77" s="40"/>
      <c r="HE77" s="40"/>
      <c r="HF77" s="40"/>
      <c r="HG77" s="40"/>
      <c r="HH77" s="40"/>
      <c r="HI77" s="40"/>
    </row>
    <row r="78">
      <c r="A78" s="41">
        <v>42482.0</v>
      </c>
      <c r="B78" s="42" t="s">
        <v>352</v>
      </c>
      <c r="C78" s="28">
        <f t="shared" si="14"/>
        <v>72</v>
      </c>
      <c r="D78" s="42">
        <v>21.7057</v>
      </c>
      <c r="E78" s="42">
        <v>-157.995697</v>
      </c>
      <c r="F78" s="42" t="s">
        <v>353</v>
      </c>
      <c r="G78" s="43">
        <v>0.4270833333333333</v>
      </c>
      <c r="H78" s="43">
        <v>0.4791666666666667</v>
      </c>
      <c r="I78" s="42">
        <v>5.0</v>
      </c>
      <c r="J78" s="42">
        <v>17.0</v>
      </c>
      <c r="K78" s="42" t="s">
        <v>198</v>
      </c>
      <c r="L78" s="42">
        <v>8.0</v>
      </c>
      <c r="M78" s="42">
        <v>27.0</v>
      </c>
      <c r="N78" s="42" t="s">
        <v>354</v>
      </c>
      <c r="O78" s="44"/>
      <c r="P78" s="42"/>
      <c r="Q78" s="44"/>
      <c r="R78" s="44"/>
      <c r="S78" s="44"/>
      <c r="T78" s="44"/>
      <c r="U78" s="44"/>
      <c r="V78" s="44"/>
      <c r="W78" s="44"/>
      <c r="X78" s="44"/>
      <c r="Y78" s="44"/>
      <c r="Z78" s="44"/>
      <c r="AA78" s="44"/>
      <c r="AB78" s="44"/>
      <c r="AC78" s="44"/>
      <c r="AD78" s="44"/>
      <c r="AE78" s="44"/>
      <c r="AF78" s="44"/>
      <c r="AG78" s="44"/>
      <c r="AH78" s="44"/>
      <c r="AI78" s="44"/>
      <c r="AJ78" s="44"/>
      <c r="AK78" s="44"/>
      <c r="AL78" s="44"/>
      <c r="AM78" s="44"/>
      <c r="AN78" s="44"/>
      <c r="AO78" s="44"/>
      <c r="AP78" s="44"/>
      <c r="AQ78" s="44"/>
      <c r="AR78" s="44"/>
      <c r="AS78" s="44"/>
      <c r="AT78" s="44"/>
      <c r="AU78" s="44"/>
      <c r="AV78" s="44"/>
      <c r="AW78" s="44"/>
      <c r="AX78" s="44"/>
      <c r="AY78" s="44"/>
      <c r="AZ78" s="44"/>
      <c r="BA78" s="44"/>
      <c r="BB78" s="44"/>
      <c r="BC78" s="44"/>
      <c r="BD78" s="44"/>
      <c r="BE78" s="44"/>
      <c r="BF78" s="44"/>
      <c r="BG78" s="44"/>
      <c r="BH78" s="44"/>
      <c r="BI78" s="44"/>
      <c r="BJ78" s="44"/>
      <c r="BK78" s="42"/>
      <c r="BL78" s="44"/>
      <c r="BM78" s="42">
        <v>1.0</v>
      </c>
      <c r="BN78" s="42">
        <v>328.0</v>
      </c>
      <c r="BO78" s="44"/>
      <c r="BP78" s="44"/>
      <c r="BQ78" s="42"/>
      <c r="BR78" s="44"/>
      <c r="BS78" s="44"/>
      <c r="BT78" s="44"/>
      <c r="BU78" s="44"/>
      <c r="BV78" s="44"/>
      <c r="BW78" s="44"/>
      <c r="BX78" s="44"/>
      <c r="BY78" s="44"/>
      <c r="BZ78" s="44"/>
      <c r="CA78" s="44"/>
      <c r="CB78" s="42">
        <v>4.0</v>
      </c>
      <c r="CC78" s="42">
        <v>7.0</v>
      </c>
      <c r="CD78" s="44"/>
      <c r="CE78" s="44"/>
      <c r="CF78" s="44"/>
      <c r="CG78" s="44"/>
      <c r="CH78" s="44"/>
      <c r="CI78" s="44"/>
      <c r="CJ78" s="44"/>
      <c r="CK78" s="44"/>
      <c r="CL78" s="44"/>
      <c r="CM78" s="44"/>
      <c r="CN78" s="44"/>
      <c r="CO78" s="44"/>
      <c r="CP78" s="44"/>
      <c r="CQ78" s="44"/>
      <c r="CR78" s="44"/>
      <c r="CS78" s="44"/>
      <c r="CT78" s="44"/>
      <c r="CU78" s="44"/>
      <c r="CV78" s="44"/>
      <c r="CW78" s="44"/>
      <c r="CX78" s="44"/>
      <c r="CY78" s="44"/>
      <c r="CZ78" s="44"/>
      <c r="DA78" s="44"/>
      <c r="DB78" s="44"/>
      <c r="DC78" s="44"/>
      <c r="DD78" s="44"/>
      <c r="DE78" s="44"/>
      <c r="DF78" s="44"/>
      <c r="DG78" s="44"/>
      <c r="DH78" s="44"/>
      <c r="DI78" s="44"/>
      <c r="DJ78" s="44"/>
      <c r="DK78" s="44"/>
      <c r="DL78" s="44"/>
      <c r="DM78" s="44"/>
      <c r="DN78" s="44"/>
      <c r="DO78" s="44"/>
      <c r="DP78" s="42">
        <v>19.0</v>
      </c>
      <c r="DQ78" s="44"/>
      <c r="DR78" s="44"/>
      <c r="DS78" s="44"/>
      <c r="DT78" s="44"/>
      <c r="DU78" s="44"/>
      <c r="DV78" s="42">
        <v>5.0</v>
      </c>
      <c r="DW78" s="44"/>
      <c r="DX78" s="44"/>
      <c r="DY78" s="44"/>
      <c r="DZ78" s="44"/>
      <c r="EA78" s="44"/>
      <c r="EB78" s="44"/>
      <c r="EC78" s="44"/>
      <c r="ED78" s="42">
        <v>2.0</v>
      </c>
      <c r="EE78" s="44"/>
      <c r="EF78" s="42">
        <v>3.0</v>
      </c>
      <c r="EG78" s="44"/>
      <c r="EH78" s="44"/>
      <c r="EI78" s="44"/>
      <c r="EJ78" s="44"/>
      <c r="EK78" s="44"/>
      <c r="EL78" s="44"/>
      <c r="EM78" s="44"/>
      <c r="EN78" s="42">
        <v>6.0</v>
      </c>
      <c r="EO78" s="44"/>
      <c r="EP78" s="44"/>
      <c r="EQ78" s="44"/>
      <c r="ER78" s="44"/>
      <c r="ES78" s="44"/>
      <c r="ET78" s="44"/>
      <c r="EU78" s="44"/>
      <c r="EV78" s="44"/>
      <c r="EW78" s="44"/>
      <c r="EX78" s="44"/>
      <c r="EY78" s="44"/>
      <c r="EZ78" s="44"/>
      <c r="FA78" s="44"/>
      <c r="FB78" s="44"/>
      <c r="FC78" s="42">
        <v>1.0</v>
      </c>
      <c r="FD78" s="44"/>
      <c r="FE78" s="44"/>
      <c r="FF78" s="44"/>
      <c r="FG78" s="44"/>
      <c r="FH78" s="44"/>
      <c r="FI78" s="44"/>
      <c r="FJ78" s="44"/>
      <c r="FK78" s="42">
        <v>13.0</v>
      </c>
      <c r="FL78" s="44"/>
      <c r="FM78" s="44"/>
      <c r="FN78" s="44"/>
      <c r="FO78" s="44"/>
      <c r="FP78" s="44"/>
      <c r="FQ78" s="44"/>
      <c r="FR78" s="44"/>
      <c r="FS78" s="42">
        <v>15.0</v>
      </c>
      <c r="FT78" s="44"/>
      <c r="FU78" s="44"/>
      <c r="FV78" s="44"/>
      <c r="FW78" s="44"/>
      <c r="FX78" s="44"/>
      <c r="FY78" s="44"/>
      <c r="FZ78" s="44"/>
      <c r="GA78" s="44"/>
      <c r="GB78" s="44"/>
      <c r="GC78" s="44"/>
      <c r="GD78" s="44"/>
      <c r="GE78" s="44"/>
      <c r="GF78" s="44"/>
      <c r="GG78" s="44"/>
      <c r="GH78" s="44"/>
      <c r="GI78" s="44"/>
      <c r="GJ78" s="44"/>
      <c r="GK78" s="44"/>
      <c r="GL78" s="44"/>
      <c r="GM78" s="44"/>
      <c r="GN78" s="44"/>
      <c r="GO78" s="44"/>
      <c r="GP78" s="44"/>
      <c r="GQ78" s="44"/>
      <c r="GR78" s="44"/>
      <c r="GS78" s="44"/>
      <c r="GT78" s="44"/>
      <c r="GU78" s="44"/>
      <c r="GV78" s="44"/>
      <c r="GW78" s="44"/>
      <c r="GX78" s="44"/>
      <c r="GY78" s="44"/>
      <c r="GZ78" s="44"/>
      <c r="HA78" s="44"/>
      <c r="HB78" s="44"/>
      <c r="HC78" s="44"/>
      <c r="HD78" s="44"/>
      <c r="HE78" s="44"/>
      <c r="HF78" s="44"/>
      <c r="HG78" s="44"/>
      <c r="HH78" s="44"/>
      <c r="HI78" s="44"/>
    </row>
    <row r="79">
      <c r="A79" s="41">
        <v>42482.0</v>
      </c>
      <c r="B79" s="42" t="s">
        <v>359</v>
      </c>
      <c r="C79" s="28">
        <f t="shared" si="14"/>
        <v>73</v>
      </c>
      <c r="D79" s="42">
        <v>21.196848</v>
      </c>
      <c r="E79" s="42">
        <v>-157.143478</v>
      </c>
      <c r="F79" s="42" t="s">
        <v>286</v>
      </c>
      <c r="G79" s="43">
        <v>0.3597222222222222</v>
      </c>
      <c r="H79" s="43">
        <v>0.3958333333333333</v>
      </c>
      <c r="I79" s="42">
        <v>4.0</v>
      </c>
      <c r="J79" s="42">
        <v>13.0</v>
      </c>
      <c r="K79" s="42" t="s">
        <v>314</v>
      </c>
      <c r="L79" s="42">
        <v>14.0</v>
      </c>
      <c r="M79" s="42">
        <v>36.0</v>
      </c>
      <c r="N79" s="42" t="s">
        <v>362</v>
      </c>
      <c r="O79" s="44"/>
      <c r="P79" s="42"/>
      <c r="Q79" s="44"/>
      <c r="R79" s="44"/>
      <c r="S79" s="44"/>
      <c r="T79" s="44"/>
      <c r="U79" s="44"/>
      <c r="V79" s="44"/>
      <c r="W79" s="44"/>
      <c r="X79" s="44"/>
      <c r="Y79" s="44"/>
      <c r="Z79" s="44"/>
      <c r="AA79" s="44"/>
      <c r="AB79" s="44"/>
      <c r="AC79" s="44"/>
      <c r="AD79" s="44"/>
      <c r="AE79" s="44"/>
      <c r="AF79" s="44"/>
      <c r="AG79" s="44"/>
      <c r="AH79" s="44"/>
      <c r="AI79" s="44"/>
      <c r="AJ79" s="44"/>
      <c r="AK79" s="44"/>
      <c r="AL79" s="44"/>
      <c r="AM79" s="44"/>
      <c r="AN79" s="44"/>
      <c r="AO79" s="44"/>
      <c r="AP79" s="44"/>
      <c r="AQ79" s="44"/>
      <c r="AR79" s="44"/>
      <c r="AS79" s="44"/>
      <c r="AT79" s="44"/>
      <c r="AU79" s="44"/>
      <c r="AV79" s="44"/>
      <c r="AW79" s="44"/>
      <c r="AX79" s="44"/>
      <c r="AY79" s="44"/>
      <c r="AZ79" s="44"/>
      <c r="BA79" s="44"/>
      <c r="BB79" s="44"/>
      <c r="BC79" s="44"/>
      <c r="BD79" s="44"/>
      <c r="BE79" s="44"/>
      <c r="BF79" s="44"/>
      <c r="BG79" s="44"/>
      <c r="BH79" s="44"/>
      <c r="BI79" s="44"/>
      <c r="BJ79" s="44"/>
      <c r="BK79" s="42"/>
      <c r="BL79" s="44"/>
      <c r="BM79" s="42"/>
      <c r="BN79" s="44"/>
      <c r="BO79" s="44"/>
      <c r="BP79" s="44"/>
      <c r="BQ79" s="42"/>
      <c r="BR79" s="44"/>
      <c r="BS79" s="44"/>
      <c r="BT79" s="44"/>
      <c r="BU79" s="44"/>
      <c r="BV79" s="44"/>
      <c r="BW79" s="44"/>
      <c r="BX79" s="44"/>
      <c r="BY79" s="44"/>
      <c r="BZ79" s="44"/>
      <c r="CA79" s="44"/>
      <c r="CB79" s="44"/>
      <c r="CC79" s="44"/>
      <c r="CD79" s="44"/>
      <c r="CE79" s="44"/>
      <c r="CF79" s="44"/>
      <c r="CG79" s="44"/>
      <c r="CH79" s="44"/>
      <c r="CI79" s="44"/>
      <c r="CJ79" s="44"/>
      <c r="CK79" s="44"/>
      <c r="CL79" s="44"/>
      <c r="CM79" s="44"/>
      <c r="CN79" s="44"/>
      <c r="CO79" s="44"/>
      <c r="CP79" s="44"/>
      <c r="CQ79" s="44"/>
      <c r="CR79" s="44"/>
      <c r="CS79" s="44"/>
      <c r="CT79" s="44"/>
      <c r="CU79" s="44"/>
      <c r="CV79" s="42">
        <v>2.0</v>
      </c>
      <c r="CW79" s="44"/>
      <c r="CX79" s="44"/>
      <c r="CY79" s="44"/>
      <c r="CZ79" s="44"/>
      <c r="DA79" s="44"/>
      <c r="DB79" s="44"/>
      <c r="DC79" s="44"/>
      <c r="DD79" s="44"/>
      <c r="DE79" s="44"/>
      <c r="DF79" s="44"/>
      <c r="DG79" s="44"/>
      <c r="DH79" s="44"/>
      <c r="DI79" s="44"/>
      <c r="DJ79" s="44"/>
      <c r="DK79" s="44"/>
      <c r="DL79" s="44"/>
      <c r="DM79" s="44"/>
      <c r="DN79" s="44"/>
      <c r="DO79" s="44"/>
      <c r="DP79" s="44"/>
      <c r="DQ79" s="44"/>
      <c r="DR79" s="44"/>
      <c r="DS79" s="44"/>
      <c r="DT79" s="44"/>
      <c r="DU79" s="44"/>
      <c r="DV79" s="44"/>
      <c r="DW79" s="44"/>
      <c r="DX79" s="44"/>
      <c r="DY79" s="44"/>
      <c r="DZ79" s="44"/>
      <c r="EA79" s="44"/>
      <c r="EB79" s="44"/>
      <c r="EC79" s="44"/>
      <c r="ED79" s="42"/>
      <c r="EE79" s="44"/>
      <c r="EF79" s="44"/>
      <c r="EG79" s="44"/>
      <c r="EH79" s="44"/>
      <c r="EI79" s="44"/>
      <c r="EJ79" s="42">
        <v>10.0</v>
      </c>
      <c r="EK79" s="44"/>
      <c r="EL79" s="44"/>
      <c r="EM79" s="44"/>
      <c r="EN79" s="44"/>
      <c r="EO79" s="44"/>
      <c r="EP79" s="44"/>
      <c r="EQ79" s="44"/>
      <c r="ER79" s="44"/>
      <c r="ES79" s="44"/>
      <c r="ET79" s="44"/>
      <c r="EU79" s="44"/>
      <c r="EV79" s="44"/>
      <c r="EW79" s="44"/>
      <c r="EX79" s="44"/>
      <c r="EY79" s="44"/>
      <c r="EZ79" s="44"/>
      <c r="FA79" s="44"/>
      <c r="FB79" s="44"/>
      <c r="FC79" s="44"/>
      <c r="FD79" s="44"/>
      <c r="FE79" s="44"/>
      <c r="FF79" s="44"/>
      <c r="FG79" s="44"/>
      <c r="FH79" s="44"/>
      <c r="FI79" s="44"/>
      <c r="FJ79" s="44"/>
      <c r="FK79" s="44"/>
      <c r="FL79" s="42">
        <v>1.0</v>
      </c>
      <c r="FM79" s="44"/>
      <c r="FN79" s="44"/>
      <c r="FO79" s="44"/>
      <c r="FP79" s="44"/>
      <c r="FQ79" s="44"/>
      <c r="FR79" s="44"/>
      <c r="FS79" s="42">
        <v>667.0</v>
      </c>
      <c r="FT79" s="44"/>
      <c r="FU79" s="44"/>
      <c r="FV79" s="44"/>
      <c r="FW79" s="44"/>
      <c r="FX79" s="44"/>
      <c r="FY79" s="44"/>
      <c r="FZ79" s="44"/>
      <c r="GA79" s="44"/>
      <c r="GB79" s="44"/>
      <c r="GC79" s="44"/>
      <c r="GD79" s="44"/>
      <c r="GE79" s="44"/>
      <c r="GF79" s="44"/>
      <c r="GG79" s="44"/>
      <c r="GH79" s="44"/>
      <c r="GI79" s="44"/>
      <c r="GJ79" s="44"/>
      <c r="GK79" s="44"/>
      <c r="GL79" s="44"/>
      <c r="GM79" s="44"/>
      <c r="GN79" s="44"/>
      <c r="GO79" s="44"/>
      <c r="GP79" s="44"/>
      <c r="GQ79" s="44"/>
      <c r="GR79" s="44"/>
      <c r="GS79" s="44"/>
      <c r="GT79" s="44"/>
      <c r="GU79" s="44"/>
      <c r="GV79" s="44"/>
      <c r="GW79" s="44"/>
      <c r="GX79" s="44"/>
      <c r="GY79" s="44"/>
      <c r="GZ79" s="44"/>
      <c r="HA79" s="44"/>
      <c r="HB79" s="44"/>
      <c r="HC79" s="44"/>
      <c r="HD79" s="44"/>
      <c r="HE79" s="44"/>
      <c r="HF79" s="44"/>
      <c r="HG79" s="44"/>
      <c r="HH79" s="44"/>
      <c r="HI79" s="44"/>
    </row>
    <row r="80">
      <c r="A80" s="41">
        <v>42487.0</v>
      </c>
      <c r="B80" s="42" t="s">
        <v>366</v>
      </c>
      <c r="C80" s="28">
        <f t="shared" si="14"/>
        <v>74</v>
      </c>
      <c r="D80" s="42">
        <v>19.715052</v>
      </c>
      <c r="E80" s="42">
        <v>-156.049133</v>
      </c>
      <c r="F80" s="42" t="s">
        <v>367</v>
      </c>
      <c r="G80" s="43">
        <v>0.4444444444444444</v>
      </c>
      <c r="H80" s="43">
        <v>0.46805555555555556</v>
      </c>
      <c r="I80" s="42">
        <v>4.0</v>
      </c>
      <c r="J80" s="42">
        <v>40.0</v>
      </c>
      <c r="K80" s="42" t="s">
        <v>198</v>
      </c>
      <c r="L80" s="42">
        <v>11.0</v>
      </c>
      <c r="M80" s="42">
        <v>38.0</v>
      </c>
      <c r="N80" s="42" t="s">
        <v>368</v>
      </c>
      <c r="O80" s="44"/>
      <c r="P80" s="42"/>
      <c r="Q80" s="44"/>
      <c r="R80" s="44"/>
      <c r="S80" s="44"/>
      <c r="T80" s="44"/>
      <c r="U80" s="44"/>
      <c r="V80" s="44"/>
      <c r="W80" s="44"/>
      <c r="X80" s="44"/>
      <c r="Y80" s="44"/>
      <c r="Z80" s="44"/>
      <c r="AA80" s="44"/>
      <c r="AB80" s="44"/>
      <c r="AC80" s="44"/>
      <c r="AD80" s="44"/>
      <c r="AE80" s="44"/>
      <c r="AF80" s="44"/>
      <c r="AG80" s="44"/>
      <c r="AH80" s="44"/>
      <c r="AI80" s="44"/>
      <c r="AJ80" s="44"/>
      <c r="AK80" s="44"/>
      <c r="AL80" s="44"/>
      <c r="AM80" s="44"/>
      <c r="AN80" s="44"/>
      <c r="AO80" s="44"/>
      <c r="AP80" s="44"/>
      <c r="AQ80" s="44"/>
      <c r="AR80" s="44"/>
      <c r="AS80" s="44"/>
      <c r="AT80" s="44"/>
      <c r="AU80" s="44"/>
      <c r="AV80" s="44"/>
      <c r="AW80" s="44"/>
      <c r="AX80" s="44"/>
      <c r="AY80" s="44"/>
      <c r="AZ80" s="44"/>
      <c r="BA80" s="44"/>
      <c r="BB80" s="44"/>
      <c r="BC80" s="44"/>
      <c r="BD80" s="44"/>
      <c r="BE80" s="44"/>
      <c r="BF80" s="44"/>
      <c r="BG80" s="44"/>
      <c r="BH80" s="44"/>
      <c r="BI80" s="44"/>
      <c r="BJ80" s="44"/>
      <c r="BK80" s="42"/>
      <c r="BL80" s="44"/>
      <c r="BM80" s="42"/>
      <c r="BN80" s="44"/>
      <c r="BO80" s="44"/>
      <c r="BP80" s="44"/>
      <c r="BQ80" s="42"/>
      <c r="BR80" s="44"/>
      <c r="BS80" s="44"/>
      <c r="BT80" s="44"/>
      <c r="BU80" s="44"/>
      <c r="BV80" s="44"/>
      <c r="BW80" s="44"/>
      <c r="BX80" s="44"/>
      <c r="BY80" s="44"/>
      <c r="BZ80" s="44"/>
      <c r="CA80" s="44"/>
      <c r="CB80" s="44"/>
      <c r="CC80" s="42">
        <v>8.0</v>
      </c>
      <c r="CD80" s="44"/>
      <c r="CE80" s="44"/>
      <c r="CF80" s="44"/>
      <c r="CG80" s="44"/>
      <c r="CH80" s="44"/>
      <c r="CI80" s="44"/>
      <c r="CJ80" s="44"/>
      <c r="CK80" s="44"/>
      <c r="CL80" s="44"/>
      <c r="CM80" s="44"/>
      <c r="CN80" s="44"/>
      <c r="CO80" s="44"/>
      <c r="CP80" s="44"/>
      <c r="CQ80" s="44"/>
      <c r="CR80" s="44"/>
      <c r="CS80" s="44"/>
      <c r="CT80" s="44"/>
      <c r="CU80" s="44"/>
      <c r="CV80" s="44"/>
      <c r="CW80" s="44"/>
      <c r="CX80" s="44"/>
      <c r="CY80" s="44"/>
      <c r="CZ80" s="44"/>
      <c r="DA80" s="44"/>
      <c r="DB80" s="44"/>
      <c r="DC80" s="44"/>
      <c r="DD80" s="44"/>
      <c r="DE80" s="44"/>
      <c r="DF80" s="44"/>
      <c r="DG80" s="44"/>
      <c r="DH80" s="44"/>
      <c r="DI80" s="44"/>
      <c r="DJ80" s="44"/>
      <c r="DK80" s="44"/>
      <c r="DL80" s="44"/>
      <c r="DM80" s="44"/>
      <c r="DN80" s="44"/>
      <c r="DO80" s="44"/>
      <c r="DP80" s="44"/>
      <c r="DQ80" s="44"/>
      <c r="DR80" s="44"/>
      <c r="DS80" s="44"/>
      <c r="DT80" s="44"/>
      <c r="DU80" s="44"/>
      <c r="DV80" s="44"/>
      <c r="DW80" s="44"/>
      <c r="DX80" s="44"/>
      <c r="DY80" s="44"/>
      <c r="DZ80" s="44"/>
      <c r="EA80" s="44"/>
      <c r="EB80" s="44"/>
      <c r="EC80" s="44"/>
      <c r="ED80" s="42"/>
      <c r="EE80" s="44"/>
      <c r="EF80" s="44"/>
      <c r="EG80" s="44"/>
      <c r="EH80" s="44"/>
      <c r="EI80" s="44"/>
      <c r="EJ80" s="44"/>
      <c r="EK80" s="44"/>
      <c r="EL80" s="44"/>
      <c r="EM80" s="44"/>
      <c r="EN80" s="44"/>
      <c r="EO80" s="44"/>
      <c r="EP80" s="44"/>
      <c r="EQ80" s="44"/>
      <c r="ER80" s="44"/>
      <c r="ES80" s="44"/>
      <c r="ET80" s="44"/>
      <c r="EU80" s="44"/>
      <c r="EV80" s="44"/>
      <c r="EW80" s="44"/>
      <c r="EX80" s="44"/>
      <c r="EY80" s="44"/>
      <c r="EZ80" s="44"/>
      <c r="FA80" s="44"/>
      <c r="FB80" s="44"/>
      <c r="FC80" s="44"/>
      <c r="FD80" s="44"/>
      <c r="FE80" s="44"/>
      <c r="FF80" s="44"/>
      <c r="FG80" s="44"/>
      <c r="FH80" s="44"/>
      <c r="FI80" s="44"/>
      <c r="FJ80" s="44"/>
      <c r="FK80" s="44"/>
      <c r="FL80" s="44"/>
      <c r="FM80" s="44"/>
      <c r="FN80" s="44"/>
      <c r="FO80" s="42">
        <v>1.0</v>
      </c>
      <c r="FP80" s="44"/>
      <c r="FQ80" s="44"/>
      <c r="FR80" s="44"/>
      <c r="FS80" s="42">
        <v>789.0</v>
      </c>
      <c r="FT80" s="44"/>
      <c r="FU80" s="44"/>
      <c r="FV80" s="44"/>
      <c r="FW80" s="44"/>
      <c r="FX80" s="44"/>
      <c r="FY80" s="44"/>
      <c r="FZ80" s="44"/>
      <c r="GA80" s="44"/>
      <c r="GB80" s="44"/>
      <c r="GC80" s="44"/>
      <c r="GD80" s="44"/>
      <c r="GE80" s="44"/>
      <c r="GF80" s="44"/>
      <c r="GG80" s="44"/>
      <c r="GH80" s="44"/>
      <c r="GI80" s="44"/>
      <c r="GJ80" s="44"/>
      <c r="GK80" s="44"/>
      <c r="GL80" s="44"/>
      <c r="GM80" s="44"/>
      <c r="GN80" s="44"/>
      <c r="GO80" s="44"/>
      <c r="GP80" s="44"/>
      <c r="GQ80" s="44"/>
      <c r="GR80" s="44"/>
      <c r="GS80" s="44"/>
      <c r="GT80" s="44"/>
      <c r="GU80" s="44"/>
      <c r="GV80" s="44"/>
      <c r="GW80" s="44"/>
      <c r="GX80" s="44"/>
      <c r="GY80" s="44"/>
      <c r="GZ80" s="44"/>
      <c r="HA80" s="44"/>
      <c r="HB80" s="44"/>
      <c r="HC80" s="44"/>
      <c r="HD80" s="44"/>
      <c r="HE80" s="44"/>
      <c r="HF80" s="44"/>
      <c r="HG80" s="44"/>
      <c r="HH80" s="44"/>
      <c r="HI80" s="44"/>
    </row>
    <row r="81">
      <c r="A81" s="23">
        <v>42488.0</v>
      </c>
      <c r="B81" s="4" t="s">
        <v>230</v>
      </c>
      <c r="C81" s="28">
        <f t="shared" si="14"/>
        <v>75</v>
      </c>
      <c r="D81" s="4">
        <v>20.7537</v>
      </c>
      <c r="E81" s="4">
        <v>-156.460907</v>
      </c>
      <c r="F81" s="4" t="s">
        <v>274</v>
      </c>
      <c r="G81" s="24">
        <v>0.4111111111111111</v>
      </c>
      <c r="H81" s="24">
        <v>0.5152777777777777</v>
      </c>
      <c r="I81" s="4">
        <v>4.0</v>
      </c>
      <c r="J81" s="4">
        <v>14.0</v>
      </c>
      <c r="K81" s="4" t="s">
        <v>277</v>
      </c>
      <c r="L81" s="4">
        <v>10.0</v>
      </c>
      <c r="M81" s="4">
        <v>39.0</v>
      </c>
      <c r="N81" s="4" t="s">
        <v>306</v>
      </c>
      <c r="P81" s="4">
        <v>39.0</v>
      </c>
      <c r="BK81" s="4">
        <v>31.0</v>
      </c>
      <c r="BM81" s="4">
        <v>397.0</v>
      </c>
      <c r="BQ81" s="4">
        <v>5.0</v>
      </c>
      <c r="ED81" s="4">
        <v>15.0</v>
      </c>
      <c r="FS81" s="4">
        <v>22.0</v>
      </c>
      <c r="GH81" s="25">
        <f t="shared" ref="GH81:GH82" si="27">count(R81:GG81)</f>
        <v>5</v>
      </c>
      <c r="GI81" s="25">
        <f t="shared" ref="GI81:GI82" si="28">countif(R81:GG81,"&gt;=2")</f>
        <v>5</v>
      </c>
      <c r="GJ81" s="25">
        <f t="shared" ref="GJ81:GJ82" si="29">countif(R81:GG81,"&gt;=5")</f>
        <v>5</v>
      </c>
      <c r="GK81" s="25">
        <f t="shared" ref="GK81:GK82" si="30">sum(R81:GG81)</f>
        <v>470</v>
      </c>
      <c r="GL81" s="25">
        <f t="shared" ref="GL81:GL82" si="31">25*P81</f>
        <v>975</v>
      </c>
      <c r="GM81" s="25">
        <f t="shared" ref="GM81:GM82" si="32">GL81-GK81</f>
        <v>505</v>
      </c>
    </row>
    <row r="82">
      <c r="A82" s="23">
        <v>42495.0</v>
      </c>
      <c r="B82" s="4" t="s">
        <v>307</v>
      </c>
      <c r="C82" s="28">
        <f t="shared" si="14"/>
        <v>76</v>
      </c>
      <c r="D82" s="4">
        <v>19.736111</v>
      </c>
      <c r="E82" s="4">
        <v>-155.030838</v>
      </c>
      <c r="F82" s="4" t="s">
        <v>308</v>
      </c>
      <c r="G82" s="24">
        <v>0.36180555555555555</v>
      </c>
      <c r="H82" s="24">
        <v>0.4166666666666667</v>
      </c>
      <c r="I82" s="4">
        <v>8.0</v>
      </c>
      <c r="J82" s="4">
        <v>11.0</v>
      </c>
      <c r="K82" s="4" t="s">
        <v>198</v>
      </c>
      <c r="L82" s="4">
        <v>11.0</v>
      </c>
      <c r="M82" s="4">
        <v>64.0</v>
      </c>
      <c r="N82" s="4" t="s">
        <v>309</v>
      </c>
      <c r="P82" s="4">
        <v>64.0</v>
      </c>
      <c r="R82" s="4">
        <v>42.0</v>
      </c>
      <c r="T82" s="4">
        <v>38.0</v>
      </c>
      <c r="AD82" s="4">
        <v>5.0</v>
      </c>
      <c r="BE82" s="4">
        <v>2.0</v>
      </c>
      <c r="BK82" s="4">
        <v>15.0</v>
      </c>
      <c r="BM82" s="4">
        <v>162.0</v>
      </c>
      <c r="BV82" s="4">
        <v>3.0</v>
      </c>
      <c r="CB82" s="4">
        <v>12.0</v>
      </c>
      <c r="CO82" s="4">
        <v>55.0</v>
      </c>
      <c r="ED82" s="4">
        <v>3.0</v>
      </c>
      <c r="EJ82" s="4">
        <v>27.0</v>
      </c>
      <c r="EX82" s="4">
        <v>1.0</v>
      </c>
      <c r="FL82" s="4">
        <v>71.0</v>
      </c>
      <c r="FQ82" s="4">
        <v>1.0</v>
      </c>
      <c r="FR82" s="4">
        <v>2.0</v>
      </c>
      <c r="FS82" s="4">
        <v>382.0</v>
      </c>
      <c r="FT82" s="4">
        <v>1.0</v>
      </c>
      <c r="GH82" s="25">
        <f t="shared" si="27"/>
        <v>17</v>
      </c>
      <c r="GI82" s="25">
        <f t="shared" si="28"/>
        <v>14</v>
      </c>
      <c r="GJ82" s="25">
        <f t="shared" si="29"/>
        <v>10</v>
      </c>
      <c r="GK82" s="25">
        <f t="shared" si="30"/>
        <v>822</v>
      </c>
      <c r="GL82" s="25">
        <f t="shared" si="31"/>
        <v>1600</v>
      </c>
      <c r="GM82" s="25">
        <f t="shared" si="32"/>
        <v>778</v>
      </c>
    </row>
    <row r="83">
      <c r="A83" s="41">
        <v>42508.0</v>
      </c>
      <c r="B83" s="42" t="s">
        <v>377</v>
      </c>
      <c r="C83" s="28">
        <f t="shared" si="14"/>
        <v>77</v>
      </c>
      <c r="D83" s="42">
        <v>20.705</v>
      </c>
      <c r="E83" s="42">
        <v>-156.446945</v>
      </c>
      <c r="F83" s="42" t="s">
        <v>378</v>
      </c>
      <c r="G83" s="43">
        <v>0.37222222222222223</v>
      </c>
      <c r="H83" s="43">
        <v>0.4166666666666667</v>
      </c>
      <c r="I83" s="42">
        <v>9.0</v>
      </c>
      <c r="J83" s="42">
        <v>13.0</v>
      </c>
      <c r="K83" s="42" t="s">
        <v>217</v>
      </c>
      <c r="L83" s="42">
        <v>9.0</v>
      </c>
      <c r="M83" s="42">
        <v>8.0</v>
      </c>
      <c r="N83" s="42" t="s">
        <v>379</v>
      </c>
      <c r="O83" s="44"/>
      <c r="P83" s="42"/>
      <c r="Q83" s="44"/>
      <c r="R83" s="42">
        <v>1.0</v>
      </c>
      <c r="S83" s="44"/>
      <c r="T83" s="44"/>
      <c r="U83" s="44"/>
      <c r="V83" s="44"/>
      <c r="W83" s="44"/>
      <c r="X83" s="44"/>
      <c r="Y83" s="44"/>
      <c r="Z83" s="44"/>
      <c r="AA83" s="44"/>
      <c r="AB83" s="42"/>
      <c r="AC83" s="44"/>
      <c r="AD83" s="44"/>
      <c r="AE83" s="44"/>
      <c r="AF83" s="44"/>
      <c r="AG83" s="44"/>
      <c r="AH83" s="44"/>
      <c r="AI83" s="44"/>
      <c r="AJ83" s="44"/>
      <c r="AK83" s="44"/>
      <c r="AL83" s="44"/>
      <c r="AM83" s="42"/>
      <c r="AN83" s="44"/>
      <c r="AO83" s="44"/>
      <c r="AP83" s="44"/>
      <c r="AQ83" s="44"/>
      <c r="AR83" s="44"/>
      <c r="AS83" s="44"/>
      <c r="AT83" s="44"/>
      <c r="AU83" s="44"/>
      <c r="AV83" s="44"/>
      <c r="AW83" s="44"/>
      <c r="AX83" s="44"/>
      <c r="AY83" s="44"/>
      <c r="AZ83" s="44"/>
      <c r="BA83" s="44"/>
      <c r="BB83" s="42">
        <v>13.0</v>
      </c>
      <c r="BC83" s="44"/>
      <c r="BD83" s="44"/>
      <c r="BE83" s="44"/>
      <c r="BF83" s="44"/>
      <c r="BG83" s="42"/>
      <c r="BH83" s="44"/>
      <c r="BI83" s="44"/>
      <c r="BJ83" s="44"/>
      <c r="BK83" s="42">
        <v>2.0</v>
      </c>
      <c r="BL83" s="44"/>
      <c r="BM83" s="42"/>
      <c r="BN83" s="44"/>
      <c r="BO83" s="44"/>
      <c r="BP83" s="44"/>
      <c r="BQ83" s="44"/>
      <c r="BR83" s="44"/>
      <c r="BS83" s="44"/>
      <c r="BT83" s="44"/>
      <c r="BU83" s="44"/>
      <c r="BV83" s="44"/>
      <c r="BW83" s="44"/>
      <c r="BX83" s="44"/>
      <c r="BY83" s="44"/>
      <c r="BZ83" s="44"/>
      <c r="CA83" s="44"/>
      <c r="CB83" s="42"/>
      <c r="CC83" s="44"/>
      <c r="CD83" s="44"/>
      <c r="CE83" s="44"/>
      <c r="CF83" s="44"/>
      <c r="CG83" s="42"/>
      <c r="CH83" s="42"/>
      <c r="CI83" s="44"/>
      <c r="CJ83" s="44"/>
      <c r="CK83" s="44"/>
      <c r="CL83" s="44"/>
      <c r="CM83" s="44"/>
      <c r="CN83" s="44"/>
      <c r="CO83" s="44"/>
      <c r="CP83" s="44"/>
      <c r="CQ83" s="44"/>
      <c r="CR83" s="44"/>
      <c r="CS83" s="44"/>
      <c r="CT83" s="44"/>
      <c r="CU83" s="44"/>
      <c r="CV83" s="44"/>
      <c r="CW83" s="44"/>
      <c r="CX83" s="44"/>
      <c r="CY83" s="44"/>
      <c r="CZ83" s="44"/>
      <c r="DA83" s="44"/>
      <c r="DB83" s="44"/>
      <c r="DC83" s="44"/>
      <c r="DD83" s="44"/>
      <c r="DE83" s="44"/>
      <c r="DF83" s="44"/>
      <c r="DG83" s="44"/>
      <c r="DH83" s="42">
        <v>5.0</v>
      </c>
      <c r="DI83" s="44"/>
      <c r="DJ83" s="44"/>
      <c r="DK83" s="44"/>
      <c r="DL83" s="44"/>
      <c r="DM83" s="42"/>
      <c r="DN83" s="44"/>
      <c r="DO83" s="44"/>
      <c r="DP83" s="44"/>
      <c r="DQ83" s="44"/>
      <c r="DR83" s="44"/>
      <c r="DS83" s="44"/>
      <c r="DT83" s="44"/>
      <c r="DU83" s="42"/>
      <c r="DV83" s="42"/>
      <c r="DW83" s="44"/>
      <c r="DX83" s="44"/>
      <c r="DY83" s="44"/>
      <c r="DZ83" s="44"/>
      <c r="EA83" s="44"/>
      <c r="EB83" s="44"/>
      <c r="EC83" s="44"/>
      <c r="ED83" s="44"/>
      <c r="EE83" s="44"/>
      <c r="EF83" s="44"/>
      <c r="EG83" s="44"/>
      <c r="EH83" s="44"/>
      <c r="EI83" s="44"/>
      <c r="EJ83" s="42"/>
      <c r="EK83" s="44"/>
      <c r="EL83" s="44"/>
      <c r="EM83" s="44"/>
      <c r="EN83" s="44"/>
      <c r="EO83" s="44"/>
      <c r="EP83" s="44"/>
      <c r="EQ83" s="44"/>
      <c r="ER83" s="44"/>
      <c r="ES83" s="44"/>
      <c r="ET83" s="44"/>
      <c r="EU83" s="44"/>
      <c r="EV83" s="44"/>
      <c r="EW83" s="44"/>
      <c r="EX83" s="42">
        <v>1.0</v>
      </c>
      <c r="EY83" s="44"/>
      <c r="EZ83" s="44"/>
      <c r="FA83" s="44"/>
      <c r="FB83" s="42"/>
      <c r="FC83" s="42"/>
      <c r="FD83" s="44"/>
      <c r="FE83" s="44"/>
      <c r="FF83" s="42"/>
      <c r="FG83" s="44"/>
      <c r="FH83" s="44"/>
      <c r="FI83" s="44"/>
      <c r="FJ83" s="44"/>
      <c r="FK83" s="44"/>
      <c r="FL83" s="44"/>
      <c r="FM83" s="44"/>
      <c r="FN83" s="44"/>
      <c r="FO83" s="44"/>
      <c r="FP83" s="44"/>
      <c r="FQ83" s="42"/>
      <c r="FR83" s="42"/>
      <c r="FS83" s="42"/>
      <c r="FT83" s="44"/>
      <c r="FU83" s="42">
        <v>21.0</v>
      </c>
      <c r="FV83" s="44"/>
      <c r="FW83" s="44"/>
      <c r="FX83" s="44"/>
      <c r="FY83" s="44"/>
      <c r="FZ83" s="44"/>
      <c r="GA83" s="44"/>
      <c r="GB83" s="44"/>
      <c r="GC83" s="44"/>
      <c r="GD83" s="44"/>
      <c r="GE83" s="44"/>
      <c r="GF83" s="44"/>
      <c r="GG83" s="44"/>
      <c r="GH83" s="44"/>
      <c r="GI83" s="44"/>
      <c r="GJ83" s="44"/>
      <c r="GK83" s="44"/>
      <c r="GL83" s="44"/>
      <c r="GM83" s="44"/>
      <c r="GN83" s="44"/>
      <c r="GO83" s="44"/>
      <c r="GP83" s="44"/>
      <c r="GQ83" s="44"/>
      <c r="GR83" s="44"/>
      <c r="GS83" s="44"/>
      <c r="GT83" s="44"/>
      <c r="GU83" s="44"/>
      <c r="GV83" s="44"/>
      <c r="GW83" s="44"/>
      <c r="GX83" s="44"/>
      <c r="GY83" s="44"/>
      <c r="GZ83" s="44"/>
      <c r="HA83" s="44"/>
      <c r="HB83" s="44"/>
      <c r="HC83" s="44"/>
      <c r="HD83" s="44"/>
      <c r="HE83" s="44"/>
      <c r="HF83" s="44"/>
      <c r="HG83" s="44"/>
      <c r="HH83" s="44"/>
      <c r="HI83" s="44"/>
    </row>
    <row r="84">
      <c r="A84" s="23">
        <v>42510.0</v>
      </c>
      <c r="B84" s="4" t="s">
        <v>310</v>
      </c>
      <c r="C84" s="28">
        <f t="shared" si="14"/>
        <v>78</v>
      </c>
      <c r="D84" s="4">
        <v>19.457222</v>
      </c>
      <c r="E84" s="4">
        <v>-155.925003</v>
      </c>
      <c r="F84" s="4" t="s">
        <v>197</v>
      </c>
      <c r="G84" s="24">
        <v>0.3194444444444444</v>
      </c>
      <c r="H84" s="24">
        <v>0.3854166666666667</v>
      </c>
      <c r="I84" s="4">
        <v>4.0</v>
      </c>
      <c r="J84" s="4">
        <v>30.0</v>
      </c>
      <c r="K84" s="4" t="s">
        <v>198</v>
      </c>
      <c r="L84" s="4">
        <v>14.0</v>
      </c>
      <c r="M84" s="4">
        <v>41.0</v>
      </c>
      <c r="N84" s="4" t="s">
        <v>311</v>
      </c>
      <c r="P84" s="4">
        <v>41.0</v>
      </c>
      <c r="AB84" s="4">
        <v>55.0</v>
      </c>
      <c r="AM84" s="4">
        <v>102.0</v>
      </c>
      <c r="BB84" s="4">
        <v>4.0</v>
      </c>
      <c r="BG84" s="4">
        <v>4.0</v>
      </c>
      <c r="BM84" s="4">
        <v>60.0</v>
      </c>
      <c r="CB84" s="4">
        <v>2.0</v>
      </c>
      <c r="CG84" s="4"/>
      <c r="CH84" s="4">
        <v>1.0</v>
      </c>
      <c r="DM84" s="4">
        <v>4.0</v>
      </c>
      <c r="DU84" s="4"/>
      <c r="DV84" s="4">
        <v>36.0</v>
      </c>
      <c r="EJ84" s="4">
        <v>13.0</v>
      </c>
      <c r="FB84" s="4">
        <v>37.0</v>
      </c>
      <c r="FC84" s="4">
        <v>1.0</v>
      </c>
      <c r="FF84" s="4">
        <v>70.0</v>
      </c>
      <c r="FQ84" s="4">
        <v>13.0</v>
      </c>
      <c r="FR84" s="4">
        <v>109.0</v>
      </c>
      <c r="FS84" s="4">
        <v>265.0</v>
      </c>
      <c r="GH84" s="25">
        <f t="shared" ref="GH84:GH96" si="33">count(R84:GG84)</f>
        <v>16</v>
      </c>
      <c r="GI84" s="25">
        <f t="shared" ref="GI84:GI96" si="34">countif(R84:GG84,"&gt;=2")</f>
        <v>14</v>
      </c>
      <c r="GJ84" s="25">
        <f t="shared" ref="GJ84:GJ96" si="35">countif(R84:GG84,"&gt;=5")</f>
        <v>10</v>
      </c>
      <c r="GK84" s="25">
        <f t="shared" ref="GK84:GK96" si="36">sum(R84:GG84)</f>
        <v>776</v>
      </c>
      <c r="GL84" s="25">
        <f t="shared" ref="GL84:GL96" si="37">25*P84</f>
        <v>1025</v>
      </c>
      <c r="GM84" s="25">
        <f t="shared" ref="GM84:GM96" si="38">GL84-GK84</f>
        <v>249</v>
      </c>
    </row>
    <row r="85">
      <c r="A85" s="23">
        <v>42761.0</v>
      </c>
      <c r="B85" s="4" t="s">
        <v>233</v>
      </c>
      <c r="C85" s="28">
        <f t="shared" si="14"/>
        <v>79</v>
      </c>
      <c r="D85" s="36">
        <v>21.066799</v>
      </c>
      <c r="E85" s="36">
        <v>-156.804993</v>
      </c>
      <c r="F85" s="4" t="s">
        <v>286</v>
      </c>
      <c r="G85" s="24">
        <v>0.4166666666666667</v>
      </c>
      <c r="H85" s="24">
        <v>0.4722222222222222</v>
      </c>
      <c r="I85" s="4">
        <v>4.0</v>
      </c>
      <c r="J85" s="4">
        <v>20.0</v>
      </c>
      <c r="K85" s="4" t="s">
        <v>217</v>
      </c>
      <c r="L85" s="4">
        <v>10.0</v>
      </c>
      <c r="M85" s="4">
        <v>20.0</v>
      </c>
      <c r="N85" s="4" t="s">
        <v>316</v>
      </c>
      <c r="O85" s="4" t="s">
        <v>317</v>
      </c>
      <c r="P85" s="4">
        <v>20.0</v>
      </c>
      <c r="R85" s="4">
        <v>20.0</v>
      </c>
      <c r="Y85" s="4"/>
      <c r="Z85" s="4">
        <v>57.0</v>
      </c>
      <c r="CO85" s="4">
        <v>20.0</v>
      </c>
      <c r="DM85" s="4">
        <v>35.0</v>
      </c>
      <c r="DR85" s="4"/>
      <c r="DS85" s="4">
        <v>7.0</v>
      </c>
      <c r="FS85" s="4">
        <v>219.0</v>
      </c>
      <c r="FZ85" s="4">
        <v>24.0</v>
      </c>
      <c r="GH85" s="25">
        <f t="shared" si="33"/>
        <v>7</v>
      </c>
      <c r="GI85" s="25">
        <f t="shared" si="34"/>
        <v>7</v>
      </c>
      <c r="GJ85" s="25">
        <f t="shared" si="35"/>
        <v>7</v>
      </c>
      <c r="GK85" s="25">
        <f t="shared" si="36"/>
        <v>382</v>
      </c>
      <c r="GL85" s="25">
        <f t="shared" si="37"/>
        <v>500</v>
      </c>
      <c r="GM85" s="25">
        <f t="shared" si="38"/>
        <v>118</v>
      </c>
    </row>
    <row r="86">
      <c r="A86" s="23">
        <v>42778.0</v>
      </c>
      <c r="B86" s="4" t="s">
        <v>201</v>
      </c>
      <c r="C86" s="28">
        <f t="shared" si="14"/>
        <v>80</v>
      </c>
      <c r="D86" s="4">
        <v>21.25544</v>
      </c>
      <c r="E86" s="4">
        <v>-157.810303</v>
      </c>
      <c r="F86" s="4" t="s">
        <v>197</v>
      </c>
      <c r="G86" s="24">
        <v>0.4479166666666667</v>
      </c>
      <c r="H86" s="24">
        <v>0.4895833333333333</v>
      </c>
      <c r="I86" s="4">
        <v>9.0</v>
      </c>
      <c r="J86" s="4">
        <v>12.0</v>
      </c>
      <c r="K86" s="4" t="s">
        <v>318</v>
      </c>
      <c r="L86" s="4">
        <v>7.0</v>
      </c>
      <c r="M86" s="4">
        <v>47.0</v>
      </c>
      <c r="N86" s="4" t="s">
        <v>319</v>
      </c>
      <c r="P86" s="4">
        <v>47.0</v>
      </c>
      <c r="R86" s="4">
        <v>2.0</v>
      </c>
      <c r="AA86" s="4"/>
      <c r="AB86" s="4">
        <v>4.0</v>
      </c>
      <c r="AC86" s="4">
        <v>1.0</v>
      </c>
      <c r="AI86" s="4">
        <v>14.0</v>
      </c>
      <c r="AZ86" s="4">
        <v>1.0</v>
      </c>
      <c r="BA86" s="4"/>
      <c r="BB86" s="4">
        <v>22.0</v>
      </c>
      <c r="BM86" s="4">
        <v>31.0</v>
      </c>
      <c r="BN86" s="4">
        <v>18.0</v>
      </c>
      <c r="BQ86" s="4">
        <v>23.0</v>
      </c>
      <c r="BV86" s="4">
        <v>11.0</v>
      </c>
      <c r="BZ86" s="4">
        <v>19.0</v>
      </c>
      <c r="CG86" s="4"/>
      <c r="CH86" s="4">
        <v>7.0</v>
      </c>
      <c r="CJ86" s="4"/>
      <c r="CK86" s="4">
        <v>1.0</v>
      </c>
      <c r="CO86" s="4">
        <v>3.0</v>
      </c>
      <c r="CS86" s="4">
        <v>9.0</v>
      </c>
      <c r="DF86" s="4"/>
      <c r="DG86" s="4">
        <v>1.0</v>
      </c>
      <c r="DJ86" s="4">
        <v>21.0</v>
      </c>
      <c r="DL86" s="4">
        <v>24.0</v>
      </c>
      <c r="DM86" s="4">
        <v>33.0</v>
      </c>
      <c r="DN86" s="4">
        <v>2.0</v>
      </c>
      <c r="DO86" s="4">
        <v>1.0</v>
      </c>
      <c r="DR86" s="4"/>
      <c r="DS86" s="4">
        <v>41.0</v>
      </c>
      <c r="DT86" s="4"/>
      <c r="DU86" s="4"/>
      <c r="DV86" s="4">
        <v>36.0</v>
      </c>
      <c r="DZ86" s="4">
        <v>1.0</v>
      </c>
      <c r="EC86" s="4">
        <v>2.0</v>
      </c>
      <c r="EE86" s="4"/>
      <c r="EF86" s="4">
        <v>1.0</v>
      </c>
      <c r="EJ86" s="4">
        <v>137.0</v>
      </c>
      <c r="EY86" s="4"/>
      <c r="EZ86" s="4">
        <v>15.0</v>
      </c>
      <c r="FA86" s="4">
        <v>5.0</v>
      </c>
      <c r="FB86" s="4">
        <v>22.0</v>
      </c>
      <c r="FC86" s="4">
        <v>4.0</v>
      </c>
      <c r="FI86" s="4">
        <v>2.0</v>
      </c>
      <c r="FM86" s="4">
        <v>4.0</v>
      </c>
      <c r="FR86" s="4">
        <v>46.0</v>
      </c>
      <c r="FS86" s="4">
        <v>328.0</v>
      </c>
      <c r="GE86" s="4"/>
      <c r="GF86" s="4">
        <v>2.0</v>
      </c>
      <c r="GH86" s="25">
        <f t="shared" si="33"/>
        <v>36</v>
      </c>
      <c r="GI86" s="25">
        <f t="shared" si="34"/>
        <v>29</v>
      </c>
      <c r="GJ86" s="25">
        <f t="shared" si="35"/>
        <v>20</v>
      </c>
      <c r="GK86" s="25">
        <f t="shared" si="36"/>
        <v>894</v>
      </c>
      <c r="GL86" s="25">
        <f t="shared" si="37"/>
        <v>1175</v>
      </c>
      <c r="GM86" s="25">
        <f t="shared" si="38"/>
        <v>281</v>
      </c>
    </row>
    <row r="87">
      <c r="A87" s="23">
        <v>42788.0</v>
      </c>
      <c r="B87" s="4" t="s">
        <v>320</v>
      </c>
      <c r="C87" s="28">
        <f t="shared" si="14"/>
        <v>81</v>
      </c>
      <c r="D87" s="4">
        <v>22.005989</v>
      </c>
      <c r="E87" s="4">
        <v>-159.335648</v>
      </c>
      <c r="F87" s="4" t="s">
        <v>321</v>
      </c>
      <c r="G87" s="24">
        <v>0.3819444444444444</v>
      </c>
      <c r="H87" s="24">
        <v>0.48125</v>
      </c>
      <c r="I87" s="4">
        <v>2.0</v>
      </c>
      <c r="J87" s="4">
        <v>8.0</v>
      </c>
      <c r="K87" s="4" t="s">
        <v>318</v>
      </c>
      <c r="L87" s="4">
        <v>7.0</v>
      </c>
      <c r="M87" s="4">
        <v>12.0</v>
      </c>
      <c r="N87" s="4" t="s">
        <v>322</v>
      </c>
      <c r="P87" s="4">
        <v>12.0</v>
      </c>
      <c r="R87" s="4">
        <v>35.0</v>
      </c>
      <c r="AM87" s="4">
        <v>40.0</v>
      </c>
      <c r="BA87" s="4"/>
      <c r="BB87" s="4">
        <v>2.0</v>
      </c>
      <c r="BW87" s="4">
        <v>23.0</v>
      </c>
      <c r="DL87" s="4">
        <v>14.0</v>
      </c>
      <c r="DT87" s="4"/>
      <c r="DU87" s="4"/>
      <c r="DV87" s="4">
        <v>42.0</v>
      </c>
      <c r="EJ87" s="4">
        <v>9.0</v>
      </c>
      <c r="EY87" s="4"/>
      <c r="EZ87" s="4">
        <v>8.0</v>
      </c>
      <c r="FD87" s="4"/>
      <c r="FE87" s="4">
        <v>1.0</v>
      </c>
      <c r="FS87" s="4">
        <v>27.0</v>
      </c>
      <c r="FU87" s="4">
        <v>1.0</v>
      </c>
      <c r="GA87" s="4">
        <v>1.0</v>
      </c>
      <c r="GH87" s="25">
        <f t="shared" si="33"/>
        <v>12</v>
      </c>
      <c r="GI87" s="25">
        <f t="shared" si="34"/>
        <v>9</v>
      </c>
      <c r="GJ87" s="25">
        <f t="shared" si="35"/>
        <v>8</v>
      </c>
      <c r="GK87" s="25">
        <f t="shared" si="36"/>
        <v>203</v>
      </c>
      <c r="GL87" s="25">
        <f t="shared" si="37"/>
        <v>300</v>
      </c>
      <c r="GM87" s="25">
        <f t="shared" si="38"/>
        <v>97</v>
      </c>
    </row>
    <row r="88">
      <c r="A88" s="23">
        <v>42791.0</v>
      </c>
      <c r="B88" s="4" t="s">
        <v>244</v>
      </c>
      <c r="C88" s="28">
        <f t="shared" si="14"/>
        <v>82</v>
      </c>
      <c r="D88" s="4">
        <v>21.310612</v>
      </c>
      <c r="E88" s="4">
        <v>-158.00441</v>
      </c>
      <c r="F88" s="4" t="s">
        <v>197</v>
      </c>
      <c r="G88" s="24">
        <v>0.4131944444444444</v>
      </c>
      <c r="H88" s="24">
        <v>0.4791666666666667</v>
      </c>
      <c r="I88" s="4">
        <v>9.0</v>
      </c>
      <c r="J88" s="4">
        <v>14.0</v>
      </c>
      <c r="K88" s="4" t="s">
        <v>318</v>
      </c>
      <c r="L88" s="4">
        <v>8.0</v>
      </c>
      <c r="M88" s="4">
        <v>54.0</v>
      </c>
      <c r="N88" s="4" t="s">
        <v>323</v>
      </c>
      <c r="P88" s="4">
        <v>54.0</v>
      </c>
      <c r="R88" s="4">
        <v>147.0</v>
      </c>
      <c r="T88" s="4">
        <v>3.0</v>
      </c>
      <c r="U88" s="4"/>
      <c r="V88" s="4">
        <v>1.0</v>
      </c>
      <c r="AA88" s="4"/>
      <c r="AB88" s="4">
        <v>2.0</v>
      </c>
      <c r="AE88" s="4">
        <v>19.0</v>
      </c>
      <c r="AI88" s="4">
        <v>7.0</v>
      </c>
      <c r="AR88" s="4">
        <v>6.0</v>
      </c>
      <c r="AS88" s="4">
        <v>3.0</v>
      </c>
      <c r="BA88" s="4"/>
      <c r="BB88" s="4">
        <v>9.0</v>
      </c>
      <c r="BC88" s="4">
        <v>4.0</v>
      </c>
      <c r="BE88" s="4">
        <v>25.0</v>
      </c>
      <c r="BK88" s="4">
        <v>1.0</v>
      </c>
      <c r="BM88" s="4">
        <v>62.0</v>
      </c>
      <c r="BN88" s="4">
        <v>10.0</v>
      </c>
      <c r="BQ88" s="4">
        <v>6.0</v>
      </c>
      <c r="BU88" s="4">
        <v>8.0</v>
      </c>
      <c r="BV88" s="4">
        <v>31.0</v>
      </c>
      <c r="BY88" s="4">
        <v>2.0</v>
      </c>
      <c r="BZ88" s="4">
        <v>32.0</v>
      </c>
      <c r="CG88" s="4"/>
      <c r="CH88" s="4">
        <v>4.0</v>
      </c>
      <c r="CS88" s="4">
        <v>6.0</v>
      </c>
      <c r="DF88" s="4"/>
      <c r="DG88" s="4">
        <v>65.0</v>
      </c>
      <c r="DJ88" s="4">
        <v>11.0</v>
      </c>
      <c r="DM88" s="4">
        <v>40.0</v>
      </c>
      <c r="DO88" s="4">
        <v>7.0</v>
      </c>
      <c r="DQ88" s="4">
        <v>2.0</v>
      </c>
      <c r="DT88" s="4"/>
      <c r="DU88" s="4"/>
      <c r="DV88" s="4">
        <v>30.0</v>
      </c>
      <c r="EC88" s="4">
        <v>1.0</v>
      </c>
      <c r="EJ88" s="4">
        <v>293.0</v>
      </c>
      <c r="EO88" s="4">
        <v>4.0</v>
      </c>
      <c r="EY88" s="4">
        <v>1.0</v>
      </c>
      <c r="FB88" s="4">
        <v>5.0</v>
      </c>
      <c r="FQ88" s="4">
        <v>1.0</v>
      </c>
      <c r="FS88" s="4">
        <v>288.0</v>
      </c>
      <c r="FT88" s="4">
        <v>1.0</v>
      </c>
      <c r="GE88" s="4"/>
      <c r="GF88" s="4">
        <v>8.0</v>
      </c>
      <c r="GH88" s="25">
        <f t="shared" si="33"/>
        <v>36</v>
      </c>
      <c r="GI88" s="25">
        <f t="shared" si="34"/>
        <v>30</v>
      </c>
      <c r="GJ88" s="25">
        <f t="shared" si="35"/>
        <v>22</v>
      </c>
      <c r="GK88" s="25">
        <f t="shared" si="36"/>
        <v>1145</v>
      </c>
      <c r="GL88" s="25">
        <f t="shared" si="37"/>
        <v>1350</v>
      </c>
      <c r="GM88" s="25">
        <f t="shared" si="38"/>
        <v>205</v>
      </c>
    </row>
    <row r="89">
      <c r="A89" s="23">
        <v>42798.0</v>
      </c>
      <c r="B89" s="4" t="s">
        <v>230</v>
      </c>
      <c r="C89" s="28">
        <f t="shared" si="14"/>
        <v>83</v>
      </c>
      <c r="D89" s="4">
        <v>20.7537</v>
      </c>
      <c r="E89" s="4">
        <v>-156.460907</v>
      </c>
      <c r="F89" s="4" t="s">
        <v>197</v>
      </c>
      <c r="G89" s="24">
        <v>0.5902777777777778</v>
      </c>
      <c r="H89" s="24">
        <v>0.6770833333333334</v>
      </c>
      <c r="I89" s="4">
        <v>3.0</v>
      </c>
      <c r="J89" s="4">
        <v>21.0</v>
      </c>
      <c r="K89" s="4" t="s">
        <v>318</v>
      </c>
      <c r="L89" s="4">
        <v>16.0</v>
      </c>
      <c r="M89" s="4">
        <v>43.0</v>
      </c>
      <c r="N89" s="4" t="s">
        <v>324</v>
      </c>
      <c r="P89" s="4">
        <v>43.0</v>
      </c>
      <c r="R89" s="4">
        <v>192.0</v>
      </c>
      <c r="AM89" s="4">
        <v>21.0</v>
      </c>
      <c r="BM89" s="4">
        <v>299.0</v>
      </c>
      <c r="CJ89" s="4">
        <v>6.0</v>
      </c>
      <c r="DF89" s="4"/>
      <c r="DG89" s="4">
        <v>13.0</v>
      </c>
      <c r="DP89" s="4">
        <v>1.0</v>
      </c>
      <c r="DT89" s="4"/>
      <c r="DU89" s="4"/>
      <c r="DV89" s="4">
        <v>2.0</v>
      </c>
      <c r="ED89" s="4">
        <v>1.0</v>
      </c>
      <c r="EG89" s="4">
        <v>1.0</v>
      </c>
      <c r="EX89" s="4">
        <v>60.0</v>
      </c>
      <c r="FQ89" s="4">
        <v>1.0</v>
      </c>
      <c r="FS89" s="4">
        <v>58.0</v>
      </c>
      <c r="FT89" s="4">
        <v>6.0</v>
      </c>
      <c r="GD89" s="4">
        <v>1.0</v>
      </c>
      <c r="GE89" s="4"/>
      <c r="GF89" s="4">
        <v>1.0</v>
      </c>
      <c r="GH89" s="25">
        <f t="shared" si="33"/>
        <v>15</v>
      </c>
      <c r="GI89" s="25">
        <f t="shared" si="34"/>
        <v>9</v>
      </c>
      <c r="GJ89" s="25">
        <f t="shared" si="35"/>
        <v>8</v>
      </c>
      <c r="GK89" s="25">
        <f t="shared" si="36"/>
        <v>663</v>
      </c>
      <c r="GL89" s="25">
        <f t="shared" si="37"/>
        <v>1075</v>
      </c>
      <c r="GM89" s="25">
        <f t="shared" si="38"/>
        <v>412</v>
      </c>
    </row>
    <row r="90">
      <c r="A90" s="37">
        <v>42802.0</v>
      </c>
      <c r="B90" s="38" t="s">
        <v>244</v>
      </c>
      <c r="C90" s="28">
        <f t="shared" si="14"/>
        <v>84</v>
      </c>
      <c r="D90" s="38">
        <v>21.310612</v>
      </c>
      <c r="E90" s="38">
        <v>-158.00441</v>
      </c>
      <c r="F90" s="38" t="s">
        <v>278</v>
      </c>
      <c r="G90" s="39">
        <v>0.3854166666666667</v>
      </c>
      <c r="H90" s="39">
        <v>0.46875</v>
      </c>
      <c r="I90" s="38">
        <v>6.0</v>
      </c>
      <c r="J90" s="38">
        <v>10.0</v>
      </c>
      <c r="K90" s="38" t="s">
        <v>198</v>
      </c>
      <c r="L90" s="38">
        <v>5.0</v>
      </c>
      <c r="M90" s="38">
        <v>30.0</v>
      </c>
      <c r="N90" s="40"/>
      <c r="O90" s="38"/>
      <c r="P90" s="38"/>
      <c r="Q90" s="40"/>
      <c r="R90" s="38">
        <v>2.0</v>
      </c>
      <c r="S90" s="40"/>
      <c r="T90" s="40"/>
      <c r="U90" s="40"/>
      <c r="V90" s="40"/>
      <c r="W90" s="40"/>
      <c r="X90" s="40"/>
      <c r="Y90" s="40"/>
      <c r="Z90" s="40"/>
      <c r="AA90" s="38"/>
      <c r="AB90" s="38">
        <v>1.0</v>
      </c>
      <c r="AC90" s="40"/>
      <c r="AD90" s="40"/>
      <c r="AE90" s="38">
        <v>6.0</v>
      </c>
      <c r="AF90" s="40"/>
      <c r="AG90" s="40"/>
      <c r="AH90" s="40"/>
      <c r="AI90" s="38">
        <v>6.0</v>
      </c>
      <c r="AJ90" s="40"/>
      <c r="AK90" s="40"/>
      <c r="AL90" s="40"/>
      <c r="AM90" s="38">
        <v>2.0</v>
      </c>
      <c r="AN90" s="40"/>
      <c r="AO90" s="40"/>
      <c r="AP90" s="40"/>
      <c r="AQ90" s="40"/>
      <c r="AR90" s="40"/>
      <c r="AS90" s="40"/>
      <c r="AT90" s="40"/>
      <c r="AU90" s="40"/>
      <c r="AV90" s="40"/>
      <c r="AW90" s="40"/>
      <c r="AX90" s="40"/>
      <c r="AY90" s="40"/>
      <c r="AZ90" s="40"/>
      <c r="BA90" s="38"/>
      <c r="BB90" s="38">
        <v>2.0</v>
      </c>
      <c r="BC90" s="40"/>
      <c r="BD90" s="40"/>
      <c r="BE90" s="38">
        <v>4.0</v>
      </c>
      <c r="BF90" s="40"/>
      <c r="BG90" s="40"/>
      <c r="BH90" s="40"/>
      <c r="BI90" s="40"/>
      <c r="BJ90" s="40"/>
      <c r="BK90" s="38">
        <v>1.0</v>
      </c>
      <c r="BL90" s="40"/>
      <c r="BM90" s="38">
        <v>77.0</v>
      </c>
      <c r="BN90" s="40"/>
      <c r="BO90" s="40"/>
      <c r="BP90" s="40"/>
      <c r="BQ90" s="40"/>
      <c r="BR90" s="40"/>
      <c r="BS90" s="40"/>
      <c r="BT90" s="40"/>
      <c r="BU90" s="40"/>
      <c r="BV90" s="40"/>
      <c r="BW90" s="40"/>
      <c r="BX90" s="40"/>
      <c r="BY90" s="40"/>
      <c r="BZ90" s="38">
        <v>12.0</v>
      </c>
      <c r="CA90" s="40"/>
      <c r="CB90" s="40"/>
      <c r="CC90" s="40"/>
      <c r="CD90" s="40"/>
      <c r="CE90" s="40"/>
      <c r="CF90" s="40"/>
      <c r="CG90" s="40"/>
      <c r="CH90" s="40"/>
      <c r="CI90" s="40"/>
      <c r="CJ90" s="40"/>
      <c r="CK90" s="40"/>
      <c r="CL90" s="40"/>
      <c r="CM90" s="40"/>
      <c r="CN90" s="40"/>
      <c r="CO90" s="40"/>
      <c r="CP90" s="40"/>
      <c r="CQ90" s="40"/>
      <c r="CR90" s="40"/>
      <c r="CS90" s="38">
        <v>1.0</v>
      </c>
      <c r="CT90" s="40"/>
      <c r="CU90" s="40"/>
      <c r="CV90" s="38">
        <v>1.0</v>
      </c>
      <c r="CW90" s="40"/>
      <c r="CX90" s="40"/>
      <c r="CY90" s="40"/>
      <c r="CZ90" s="40"/>
      <c r="DA90" s="40"/>
      <c r="DB90" s="40"/>
      <c r="DC90" s="40"/>
      <c r="DD90" s="40"/>
      <c r="DE90" s="40"/>
      <c r="DF90" s="38"/>
      <c r="DG90" s="38">
        <v>2.0</v>
      </c>
      <c r="DH90" s="40"/>
      <c r="DI90" s="40"/>
      <c r="DJ90" s="40"/>
      <c r="DK90" s="40"/>
      <c r="DL90" s="40"/>
      <c r="DM90" s="38">
        <v>34.0</v>
      </c>
      <c r="DN90" s="40"/>
      <c r="DO90" s="38">
        <v>1.0</v>
      </c>
      <c r="DP90" s="40"/>
      <c r="DQ90" s="40"/>
      <c r="DR90" s="38"/>
      <c r="DS90" s="38">
        <v>13.0</v>
      </c>
      <c r="DT90" s="40"/>
      <c r="DU90" s="40"/>
      <c r="DV90" s="40"/>
      <c r="DW90" s="40"/>
      <c r="DX90" s="40"/>
      <c r="DY90" s="40"/>
      <c r="DZ90" s="40"/>
      <c r="EA90" s="40"/>
      <c r="EB90" s="40"/>
      <c r="EC90" s="40"/>
      <c r="ED90" s="40"/>
      <c r="EE90" s="40"/>
      <c r="EF90" s="40"/>
      <c r="EG90" s="40"/>
      <c r="EH90" s="40"/>
      <c r="EI90" s="40"/>
      <c r="EJ90" s="38">
        <v>176.0</v>
      </c>
      <c r="EK90" s="40"/>
      <c r="EL90" s="40"/>
      <c r="EM90" s="40"/>
      <c r="EN90" s="40"/>
      <c r="EO90" s="40"/>
      <c r="EP90" s="40"/>
      <c r="EQ90" s="40"/>
      <c r="ER90" s="40"/>
      <c r="ES90" s="40"/>
      <c r="ET90" s="40"/>
      <c r="EU90" s="40"/>
      <c r="EV90" s="40"/>
      <c r="EW90" s="40"/>
      <c r="EX90" s="40"/>
      <c r="EY90" s="40"/>
      <c r="EZ90" s="40"/>
      <c r="FA90" s="40"/>
      <c r="FB90" s="38">
        <v>16.0</v>
      </c>
      <c r="FC90" s="40"/>
      <c r="FD90" s="40"/>
      <c r="FE90" s="40"/>
      <c r="FF90" s="40"/>
      <c r="FG90" s="40"/>
      <c r="FH90" s="40"/>
      <c r="FI90" s="40"/>
      <c r="FJ90" s="40"/>
      <c r="FK90" s="40"/>
      <c r="FL90" s="40"/>
      <c r="FM90" s="40"/>
      <c r="FN90" s="40"/>
      <c r="FO90" s="40"/>
      <c r="FP90" s="40"/>
      <c r="FQ90" s="40"/>
      <c r="FR90" s="40"/>
      <c r="FS90" s="38">
        <v>51.0</v>
      </c>
      <c r="FT90" s="40"/>
      <c r="FU90" s="40"/>
      <c r="FV90" s="38"/>
      <c r="FW90" s="38">
        <v>72.0</v>
      </c>
      <c r="FX90" s="40"/>
      <c r="FY90" s="40"/>
      <c r="FZ90" s="40"/>
      <c r="GA90" s="40"/>
      <c r="GB90" s="40"/>
      <c r="GC90" s="40"/>
      <c r="GD90" s="40"/>
      <c r="GE90" s="40"/>
      <c r="GF90" s="40"/>
      <c r="GG90" s="40"/>
      <c r="GH90" s="40">
        <f t="shared" si="33"/>
        <v>20</v>
      </c>
      <c r="GI90" s="40">
        <f t="shared" si="34"/>
        <v>15</v>
      </c>
      <c r="GJ90" s="40">
        <f t="shared" si="35"/>
        <v>10</v>
      </c>
      <c r="GK90" s="40">
        <f t="shared" si="36"/>
        <v>480</v>
      </c>
      <c r="GL90" s="40">
        <f t="shared" si="37"/>
        <v>0</v>
      </c>
      <c r="GM90" s="40">
        <f t="shared" si="38"/>
        <v>-480</v>
      </c>
      <c r="GN90" s="40"/>
      <c r="GO90" s="40"/>
      <c r="GP90" s="40"/>
      <c r="GQ90" s="40"/>
      <c r="GR90" s="40"/>
      <c r="GS90" s="40"/>
      <c r="GT90" s="40"/>
      <c r="GU90" s="40"/>
      <c r="GV90" s="40"/>
      <c r="GW90" s="40"/>
      <c r="GX90" s="40"/>
      <c r="GY90" s="40"/>
      <c r="GZ90" s="40"/>
      <c r="HA90" s="40"/>
      <c r="HB90" s="40"/>
      <c r="HC90" s="40"/>
      <c r="HD90" s="40"/>
      <c r="HE90" s="40"/>
      <c r="HF90" s="40"/>
      <c r="HG90" s="40"/>
      <c r="HH90" s="40"/>
      <c r="HI90" s="40"/>
    </row>
    <row r="91">
      <c r="A91" s="37">
        <v>42803.0</v>
      </c>
      <c r="B91" s="38" t="s">
        <v>244</v>
      </c>
      <c r="C91" s="28">
        <f t="shared" si="14"/>
        <v>85</v>
      </c>
      <c r="D91" s="38">
        <v>21.310612</v>
      </c>
      <c r="E91" s="38">
        <v>-158.00441</v>
      </c>
      <c r="F91" s="38" t="s">
        <v>326</v>
      </c>
      <c r="G91" s="39">
        <v>0.3958333333333333</v>
      </c>
      <c r="H91" s="39">
        <v>0.4791666666666667</v>
      </c>
      <c r="I91" s="38">
        <v>7.0</v>
      </c>
      <c r="J91" s="38">
        <v>14.0</v>
      </c>
      <c r="K91" s="38" t="s">
        <v>318</v>
      </c>
      <c r="L91" s="38">
        <v>5.0</v>
      </c>
      <c r="M91" s="38">
        <v>26.0</v>
      </c>
      <c r="N91" s="38" t="s">
        <v>327</v>
      </c>
      <c r="O91" s="38"/>
      <c r="P91" s="38"/>
      <c r="Q91" s="40"/>
      <c r="R91" s="38">
        <v>15.0</v>
      </c>
      <c r="S91" s="40"/>
      <c r="T91" s="40"/>
      <c r="U91" s="40"/>
      <c r="V91" s="40"/>
      <c r="W91" s="38"/>
      <c r="X91" s="38">
        <v>21.0</v>
      </c>
      <c r="Y91" s="40"/>
      <c r="Z91" s="40"/>
      <c r="AA91" s="40"/>
      <c r="AB91" s="38">
        <v>2.0</v>
      </c>
      <c r="AC91" s="38">
        <v>6.0</v>
      </c>
      <c r="AD91" s="40"/>
      <c r="AE91" s="38">
        <v>2.0</v>
      </c>
      <c r="AF91" s="40"/>
      <c r="AG91" s="40"/>
      <c r="AH91" s="40"/>
      <c r="AI91" s="38">
        <v>20.0</v>
      </c>
      <c r="AJ91" s="40"/>
      <c r="AK91" s="40"/>
      <c r="AL91" s="40"/>
      <c r="AM91" s="40"/>
      <c r="AN91" s="40"/>
      <c r="AO91" s="40"/>
      <c r="AP91" s="40"/>
      <c r="AQ91" s="40"/>
      <c r="AR91" s="40"/>
      <c r="AS91" s="40"/>
      <c r="AT91" s="40"/>
      <c r="AU91" s="40"/>
      <c r="AV91" s="40"/>
      <c r="AW91" s="40"/>
      <c r="AX91" s="40"/>
      <c r="AY91" s="40"/>
      <c r="AZ91" s="40"/>
      <c r="BA91" s="40"/>
      <c r="BB91" s="40"/>
      <c r="BC91" s="40"/>
      <c r="BD91" s="40"/>
      <c r="BE91" s="38">
        <v>11.0</v>
      </c>
      <c r="BF91" s="40"/>
      <c r="BG91" s="40"/>
      <c r="BH91" s="40"/>
      <c r="BI91" s="40"/>
      <c r="BJ91" s="40"/>
      <c r="BK91" s="40"/>
      <c r="BL91" s="40"/>
      <c r="BM91" s="40"/>
      <c r="BN91" s="38">
        <v>16.0</v>
      </c>
      <c r="BO91" s="40"/>
      <c r="BP91" s="40"/>
      <c r="BQ91" s="40"/>
      <c r="BR91" s="40"/>
      <c r="BS91" s="40"/>
      <c r="BT91" s="40"/>
      <c r="BU91" s="40"/>
      <c r="BV91" s="38">
        <v>14.0</v>
      </c>
      <c r="BW91" s="40"/>
      <c r="BX91" s="40"/>
      <c r="BY91" s="40"/>
      <c r="BZ91" s="38">
        <v>9.0</v>
      </c>
      <c r="CA91" s="40"/>
      <c r="CB91" s="40"/>
      <c r="CC91" s="40"/>
      <c r="CD91" s="40"/>
      <c r="CE91" s="40"/>
      <c r="CF91" s="40"/>
      <c r="CG91" s="38"/>
      <c r="CH91" s="38">
        <v>2.0</v>
      </c>
      <c r="CI91" s="40"/>
      <c r="CJ91" s="40"/>
      <c r="CK91" s="40"/>
      <c r="CL91" s="40"/>
      <c r="CM91" s="40"/>
      <c r="CN91" s="40"/>
      <c r="CO91" s="40"/>
      <c r="CP91" s="40"/>
      <c r="CQ91" s="40"/>
      <c r="CR91" s="40"/>
      <c r="CS91" s="38">
        <v>8.0</v>
      </c>
      <c r="CT91" s="40"/>
      <c r="CU91" s="40"/>
      <c r="CV91" s="40"/>
      <c r="CW91" s="40"/>
      <c r="CX91" s="40"/>
      <c r="CY91" s="40"/>
      <c r="CZ91" s="40"/>
      <c r="DA91" s="40"/>
      <c r="DB91" s="40"/>
      <c r="DC91" s="40"/>
      <c r="DD91" s="40"/>
      <c r="DE91" s="40"/>
      <c r="DF91" s="38"/>
      <c r="DG91" s="38">
        <v>2.0</v>
      </c>
      <c r="DH91" s="40"/>
      <c r="DI91" s="40"/>
      <c r="DJ91" s="38">
        <v>33.0</v>
      </c>
      <c r="DK91" s="40"/>
      <c r="DL91" s="40"/>
      <c r="DM91" s="38">
        <v>3.0</v>
      </c>
      <c r="DN91" s="40"/>
      <c r="DO91" s="38">
        <v>5.0</v>
      </c>
      <c r="DP91" s="40"/>
      <c r="DQ91" s="40"/>
      <c r="DR91" s="40"/>
      <c r="DS91" s="40"/>
      <c r="DT91" s="38"/>
      <c r="DU91" s="38"/>
      <c r="DV91" s="38">
        <v>18.0</v>
      </c>
      <c r="DW91" s="40"/>
      <c r="DX91" s="40"/>
      <c r="DY91" s="40"/>
      <c r="DZ91" s="40"/>
      <c r="EA91" s="40"/>
      <c r="EB91" s="40"/>
      <c r="EC91" s="38">
        <v>3.0</v>
      </c>
      <c r="ED91" s="40"/>
      <c r="EE91" s="38"/>
      <c r="EF91" s="38">
        <v>2.0</v>
      </c>
      <c r="EG91" s="40"/>
      <c r="EH91" s="40"/>
      <c r="EI91" s="40"/>
      <c r="EJ91" s="38">
        <v>107.0</v>
      </c>
      <c r="EK91" s="40"/>
      <c r="EL91" s="40"/>
      <c r="EM91" s="40"/>
      <c r="EN91" s="40"/>
      <c r="EO91" s="40"/>
      <c r="EP91" s="40"/>
      <c r="EQ91" s="40"/>
      <c r="ER91" s="40"/>
      <c r="ES91" s="40"/>
      <c r="ET91" s="40"/>
      <c r="EU91" s="40"/>
      <c r="EV91" s="40"/>
      <c r="EW91" s="38">
        <v>1.0</v>
      </c>
      <c r="EX91" s="40"/>
      <c r="EY91" s="40"/>
      <c r="EZ91" s="40"/>
      <c r="FA91" s="40"/>
      <c r="FB91" s="40"/>
      <c r="FC91" s="40"/>
      <c r="FD91" s="40"/>
      <c r="FE91" s="40"/>
      <c r="FF91" s="40"/>
      <c r="FG91" s="40"/>
      <c r="FH91" s="40"/>
      <c r="FI91" s="38">
        <v>1.0</v>
      </c>
      <c r="FJ91" s="40"/>
      <c r="FK91" s="40"/>
      <c r="FL91" s="40"/>
      <c r="FM91" s="40"/>
      <c r="FN91" s="40"/>
      <c r="FO91" s="40"/>
      <c r="FP91" s="40"/>
      <c r="FQ91" s="40"/>
      <c r="FR91" s="38">
        <v>3.0</v>
      </c>
      <c r="FS91" s="38">
        <v>71.0</v>
      </c>
      <c r="FT91" s="40"/>
      <c r="FU91" s="40"/>
      <c r="FV91" s="40"/>
      <c r="FW91" s="40"/>
      <c r="FX91" s="40"/>
      <c r="FY91" s="40"/>
      <c r="FZ91" s="40"/>
      <c r="GA91" s="40"/>
      <c r="GB91" s="40"/>
      <c r="GC91" s="38">
        <v>4.0</v>
      </c>
      <c r="GD91" s="38">
        <v>13.0</v>
      </c>
      <c r="GE91" s="40"/>
      <c r="GF91" s="40"/>
      <c r="GG91" s="40"/>
      <c r="GH91" s="40">
        <f t="shared" si="33"/>
        <v>26</v>
      </c>
      <c r="GI91" s="40">
        <f t="shared" si="34"/>
        <v>24</v>
      </c>
      <c r="GJ91" s="40">
        <f t="shared" si="35"/>
        <v>15</v>
      </c>
      <c r="GK91" s="40">
        <f t="shared" si="36"/>
        <v>392</v>
      </c>
      <c r="GL91" s="40">
        <f t="shared" si="37"/>
        <v>0</v>
      </c>
      <c r="GM91" s="40">
        <f t="shared" si="38"/>
        <v>-392</v>
      </c>
      <c r="GN91" s="40"/>
      <c r="GO91" s="40"/>
      <c r="GP91" s="40"/>
      <c r="GQ91" s="40"/>
      <c r="GR91" s="40"/>
      <c r="GS91" s="40"/>
      <c r="GT91" s="40"/>
      <c r="GU91" s="40"/>
      <c r="GV91" s="40"/>
      <c r="GW91" s="40"/>
      <c r="GX91" s="40"/>
      <c r="GY91" s="40"/>
      <c r="GZ91" s="40"/>
      <c r="HA91" s="40"/>
      <c r="HB91" s="40"/>
      <c r="HC91" s="40"/>
      <c r="HD91" s="40"/>
      <c r="HE91" s="40"/>
      <c r="HF91" s="40"/>
      <c r="HG91" s="40"/>
      <c r="HH91" s="40"/>
      <c r="HI91" s="40"/>
    </row>
    <row r="92">
      <c r="A92" s="37">
        <v>42804.0</v>
      </c>
      <c r="B92" s="38" t="s">
        <v>329</v>
      </c>
      <c r="C92" s="28">
        <f t="shared" si="14"/>
        <v>86</v>
      </c>
      <c r="D92" s="38">
        <v>21.1408</v>
      </c>
      <c r="E92" s="38">
        <v>-157.290115</v>
      </c>
      <c r="F92" s="38" t="s">
        <v>330</v>
      </c>
      <c r="G92" s="39">
        <v>0.4375</v>
      </c>
      <c r="H92" s="39">
        <v>0.4673611111111111</v>
      </c>
      <c r="I92" s="38">
        <v>6.0</v>
      </c>
      <c r="J92" s="38">
        <v>10.0</v>
      </c>
      <c r="K92" s="38" t="s">
        <v>318</v>
      </c>
      <c r="L92" s="38">
        <v>5.0</v>
      </c>
      <c r="M92" s="38">
        <v>27.0</v>
      </c>
      <c r="N92" s="38" t="s">
        <v>331</v>
      </c>
      <c r="O92" s="38"/>
      <c r="P92" s="38"/>
      <c r="Q92" s="40"/>
      <c r="R92" s="40"/>
      <c r="S92" s="40"/>
      <c r="T92" s="40"/>
      <c r="U92" s="40"/>
      <c r="V92" s="40"/>
      <c r="W92" s="40"/>
      <c r="X92" s="40"/>
      <c r="Y92" s="40"/>
      <c r="Z92" s="40"/>
      <c r="AA92" s="40"/>
      <c r="AB92" s="40"/>
      <c r="AC92" s="38">
        <v>2.0</v>
      </c>
      <c r="AD92" s="40"/>
      <c r="AE92" s="40"/>
      <c r="AF92" s="40"/>
      <c r="AG92" s="40"/>
      <c r="AH92" s="40"/>
      <c r="AI92" s="40"/>
      <c r="AJ92" s="40"/>
      <c r="AK92" s="40"/>
      <c r="AL92" s="40"/>
      <c r="AM92" s="40"/>
      <c r="AN92" s="40"/>
      <c r="AO92" s="40"/>
      <c r="AP92" s="40"/>
      <c r="AQ92" s="40"/>
      <c r="AR92" s="40"/>
      <c r="AS92" s="40"/>
      <c r="AT92" s="40"/>
      <c r="AU92" s="40"/>
      <c r="AV92" s="40"/>
      <c r="AW92" s="40"/>
      <c r="AX92" s="40"/>
      <c r="AY92" s="40"/>
      <c r="AZ92" s="40"/>
      <c r="BA92" s="40"/>
      <c r="BB92" s="40"/>
      <c r="BC92" s="40"/>
      <c r="BD92" s="40"/>
      <c r="BE92" s="40"/>
      <c r="BF92" s="40"/>
      <c r="BG92" s="40"/>
      <c r="BH92" s="40"/>
      <c r="BI92" s="40"/>
      <c r="BJ92" s="40"/>
      <c r="BK92" s="40"/>
      <c r="BL92" s="40"/>
      <c r="BM92" s="38">
        <v>16.0</v>
      </c>
      <c r="BN92" s="40"/>
      <c r="BO92" s="40"/>
      <c r="BP92" s="40"/>
      <c r="BQ92" s="40"/>
      <c r="BR92" s="40"/>
      <c r="BS92" s="40"/>
      <c r="BT92" s="40"/>
      <c r="BU92" s="40"/>
      <c r="BV92" s="40"/>
      <c r="BW92" s="40"/>
      <c r="BX92" s="40"/>
      <c r="BY92" s="40"/>
      <c r="BZ92" s="40"/>
      <c r="CA92" s="40"/>
      <c r="CB92" s="40"/>
      <c r="CC92" s="40"/>
      <c r="CD92" s="40"/>
      <c r="CE92" s="40"/>
      <c r="CF92" s="40"/>
      <c r="CG92" s="38"/>
      <c r="CH92" s="38">
        <v>4.0</v>
      </c>
      <c r="CI92" s="40"/>
      <c r="CJ92" s="40"/>
      <c r="CK92" s="40"/>
      <c r="CL92" s="40"/>
      <c r="CM92" s="40"/>
      <c r="CN92" s="40"/>
      <c r="CO92" s="40"/>
      <c r="CP92" s="40"/>
      <c r="CQ92" s="40"/>
      <c r="CR92" s="40"/>
      <c r="CS92" s="38">
        <v>48.0</v>
      </c>
      <c r="CT92" s="40"/>
      <c r="CU92" s="40"/>
      <c r="CV92" s="40"/>
      <c r="CW92" s="40"/>
      <c r="CX92" s="40"/>
      <c r="CY92" s="40"/>
      <c r="CZ92" s="40"/>
      <c r="DA92" s="40"/>
      <c r="DB92" s="40"/>
      <c r="DC92" s="40"/>
      <c r="DD92" s="40"/>
      <c r="DE92" s="40"/>
      <c r="DF92" s="40"/>
      <c r="DG92" s="40"/>
      <c r="DH92" s="40"/>
      <c r="DI92" s="40"/>
      <c r="DJ92" s="40"/>
      <c r="DK92" s="40"/>
      <c r="DL92" s="40"/>
      <c r="DM92" s="40"/>
      <c r="DN92" s="40"/>
      <c r="DO92" s="38">
        <v>8.0</v>
      </c>
      <c r="DP92" s="40"/>
      <c r="DQ92" s="40"/>
      <c r="DR92" s="40"/>
      <c r="DS92" s="40"/>
      <c r="DT92" s="40"/>
      <c r="DU92" s="40"/>
      <c r="DV92" s="40"/>
      <c r="DW92" s="40"/>
      <c r="DX92" s="40"/>
      <c r="DY92" s="40"/>
      <c r="DZ92" s="40"/>
      <c r="EA92" s="40"/>
      <c r="EB92" s="40"/>
      <c r="EC92" s="40"/>
      <c r="ED92" s="40"/>
      <c r="EE92" s="40"/>
      <c r="EF92" s="40"/>
      <c r="EG92" s="40"/>
      <c r="EH92" s="40"/>
      <c r="EI92" s="40"/>
      <c r="EJ92" s="38">
        <v>40.0</v>
      </c>
      <c r="EK92" s="40"/>
      <c r="EL92" s="40"/>
      <c r="EM92" s="40"/>
      <c r="EN92" s="40"/>
      <c r="EO92" s="40"/>
      <c r="EP92" s="40"/>
      <c r="EQ92" s="40"/>
      <c r="ER92" s="40"/>
      <c r="ES92" s="40"/>
      <c r="ET92" s="40"/>
      <c r="EU92" s="40"/>
      <c r="EV92" s="40"/>
      <c r="EW92" s="40"/>
      <c r="EX92" s="40"/>
      <c r="EY92" s="40"/>
      <c r="EZ92" s="40"/>
      <c r="FA92" s="40"/>
      <c r="FB92" s="38">
        <v>4.0</v>
      </c>
      <c r="FC92" s="40"/>
      <c r="FD92" s="40"/>
      <c r="FE92" s="40"/>
      <c r="FF92" s="40"/>
      <c r="FG92" s="40"/>
      <c r="FH92" s="40"/>
      <c r="FI92" s="40"/>
      <c r="FJ92" s="40"/>
      <c r="FK92" s="40"/>
      <c r="FL92" s="40"/>
      <c r="FM92" s="40"/>
      <c r="FN92" s="40"/>
      <c r="FO92" s="40"/>
      <c r="FP92" s="40"/>
      <c r="FQ92" s="40"/>
      <c r="FR92" s="40"/>
      <c r="FS92" s="38">
        <v>53.0</v>
      </c>
      <c r="FT92" s="40"/>
      <c r="FU92" s="38">
        <v>9.0</v>
      </c>
      <c r="FV92" s="40"/>
      <c r="FW92" s="40"/>
      <c r="FX92" s="40"/>
      <c r="FY92" s="40"/>
      <c r="FZ92" s="40"/>
      <c r="GA92" s="40"/>
      <c r="GB92" s="40"/>
      <c r="GC92" s="40"/>
      <c r="GD92" s="40"/>
      <c r="GE92" s="40"/>
      <c r="GF92" s="40"/>
      <c r="GG92" s="40"/>
      <c r="GH92" s="40">
        <f t="shared" si="33"/>
        <v>9</v>
      </c>
      <c r="GI92" s="40">
        <f t="shared" si="34"/>
        <v>9</v>
      </c>
      <c r="GJ92" s="40">
        <f t="shared" si="35"/>
        <v>6</v>
      </c>
      <c r="GK92" s="40">
        <f t="shared" si="36"/>
        <v>184</v>
      </c>
      <c r="GL92" s="40">
        <f t="shared" si="37"/>
        <v>0</v>
      </c>
      <c r="GM92" s="40">
        <f t="shared" si="38"/>
        <v>-184</v>
      </c>
      <c r="GN92" s="40"/>
      <c r="GO92" s="40"/>
      <c r="GP92" s="40"/>
      <c r="GQ92" s="40"/>
      <c r="GR92" s="40"/>
      <c r="GS92" s="40"/>
      <c r="GT92" s="40"/>
      <c r="GU92" s="40"/>
      <c r="GV92" s="40"/>
      <c r="GW92" s="40"/>
      <c r="GX92" s="40"/>
      <c r="GY92" s="40"/>
      <c r="GZ92" s="40"/>
      <c r="HA92" s="40"/>
      <c r="HB92" s="40"/>
      <c r="HC92" s="40"/>
      <c r="HD92" s="40"/>
      <c r="HE92" s="40"/>
      <c r="HF92" s="40"/>
      <c r="HG92" s="40"/>
      <c r="HH92" s="40"/>
      <c r="HI92" s="40"/>
    </row>
    <row r="93">
      <c r="A93" s="23">
        <v>42804.0</v>
      </c>
      <c r="B93" s="4" t="s">
        <v>201</v>
      </c>
      <c r="C93" s="28">
        <f t="shared" si="14"/>
        <v>87</v>
      </c>
      <c r="D93" s="4">
        <v>21.25544</v>
      </c>
      <c r="E93" s="4">
        <v>-157.810303</v>
      </c>
      <c r="F93" s="4" t="s">
        <v>325</v>
      </c>
      <c r="G93" s="24">
        <v>0.4166666666666667</v>
      </c>
      <c r="H93" s="24">
        <v>0.4583333333333333</v>
      </c>
      <c r="I93" s="4">
        <v>6.0</v>
      </c>
      <c r="J93" s="4">
        <v>5.0</v>
      </c>
      <c r="K93" s="4" t="s">
        <v>318</v>
      </c>
      <c r="L93" s="4">
        <v>5.0</v>
      </c>
      <c r="M93" s="4">
        <v>24.0</v>
      </c>
      <c r="N93" s="4" t="s">
        <v>332</v>
      </c>
      <c r="O93" s="4" t="s">
        <v>288</v>
      </c>
      <c r="P93" s="4">
        <v>24.0</v>
      </c>
      <c r="BY93" s="4">
        <v>5.0</v>
      </c>
      <c r="BZ93" s="4">
        <v>7.0</v>
      </c>
      <c r="CS93" s="4">
        <v>4.0</v>
      </c>
      <c r="DB93" s="4"/>
      <c r="DC93" s="4">
        <v>2.0</v>
      </c>
      <c r="DJ93" s="4">
        <v>5.0</v>
      </c>
      <c r="DL93" s="4">
        <v>17.0</v>
      </c>
      <c r="DM93" s="4">
        <v>1.0</v>
      </c>
      <c r="DR93" s="4"/>
      <c r="DS93" s="4">
        <v>2.0</v>
      </c>
      <c r="EJ93" s="4">
        <v>273.0</v>
      </c>
      <c r="FB93" s="4">
        <v>3.0</v>
      </c>
      <c r="FI93" s="4">
        <v>3.0</v>
      </c>
      <c r="FR93" s="4">
        <v>63.0</v>
      </c>
      <c r="FS93" s="4">
        <v>119.0</v>
      </c>
      <c r="GH93" s="25">
        <f t="shared" si="33"/>
        <v>13</v>
      </c>
      <c r="GI93" s="25">
        <f t="shared" si="34"/>
        <v>12</v>
      </c>
      <c r="GJ93" s="25">
        <f t="shared" si="35"/>
        <v>7</v>
      </c>
      <c r="GK93" s="25">
        <f t="shared" si="36"/>
        <v>504</v>
      </c>
      <c r="GL93" s="25">
        <f t="shared" si="37"/>
        <v>600</v>
      </c>
      <c r="GM93" s="25">
        <f t="shared" si="38"/>
        <v>96</v>
      </c>
    </row>
    <row r="94">
      <c r="A94" s="37">
        <v>42804.0</v>
      </c>
      <c r="B94" s="38" t="s">
        <v>219</v>
      </c>
      <c r="C94" s="28">
        <f t="shared" si="14"/>
        <v>88</v>
      </c>
      <c r="D94" s="38">
        <v>21.295799</v>
      </c>
      <c r="E94" s="38">
        <v>-158.103699</v>
      </c>
      <c r="F94" s="38" t="s">
        <v>333</v>
      </c>
      <c r="G94" s="39">
        <v>0.3854166666666667</v>
      </c>
      <c r="H94" s="39">
        <v>0.4479166666666667</v>
      </c>
      <c r="I94" s="38">
        <v>7.0</v>
      </c>
      <c r="J94" s="38">
        <v>10.0</v>
      </c>
      <c r="K94" s="38" t="s">
        <v>318</v>
      </c>
      <c r="L94" s="38">
        <v>5.0</v>
      </c>
      <c r="M94" s="38">
        <v>31.0</v>
      </c>
      <c r="N94" s="38" t="s">
        <v>334</v>
      </c>
      <c r="O94" s="38"/>
      <c r="P94" s="38"/>
      <c r="Q94" s="40"/>
      <c r="R94" s="38">
        <v>32.0</v>
      </c>
      <c r="S94" s="38">
        <v>1.0</v>
      </c>
      <c r="T94" s="40"/>
      <c r="U94" s="40"/>
      <c r="V94" s="40"/>
      <c r="W94" s="40"/>
      <c r="X94" s="40"/>
      <c r="Y94" s="40"/>
      <c r="Z94" s="40"/>
      <c r="AA94" s="38"/>
      <c r="AB94" s="38">
        <v>3.0</v>
      </c>
      <c r="AC94" s="38">
        <v>2.0</v>
      </c>
      <c r="AD94" s="38">
        <v>1.0</v>
      </c>
      <c r="AE94" s="38">
        <v>2.0</v>
      </c>
      <c r="AF94" s="40"/>
      <c r="AG94" s="40"/>
      <c r="AH94" s="40"/>
      <c r="AI94" s="38">
        <v>1.0</v>
      </c>
      <c r="AJ94" s="40"/>
      <c r="AK94" s="40"/>
      <c r="AL94" s="40"/>
      <c r="AM94" s="40"/>
      <c r="AN94" s="40"/>
      <c r="AO94" s="40"/>
      <c r="AP94" s="40"/>
      <c r="AQ94" s="40"/>
      <c r="AR94" s="40"/>
      <c r="AS94" s="40"/>
      <c r="AT94" s="38">
        <v>1.0</v>
      </c>
      <c r="AU94" s="40"/>
      <c r="AV94" s="40"/>
      <c r="AW94" s="40"/>
      <c r="AX94" s="40"/>
      <c r="AY94" s="40"/>
      <c r="AZ94" s="40"/>
      <c r="BA94" s="40"/>
      <c r="BB94" s="40"/>
      <c r="BC94" s="38">
        <v>1.0</v>
      </c>
      <c r="BD94" s="38">
        <v>1.0</v>
      </c>
      <c r="BE94" s="38">
        <v>16.0</v>
      </c>
      <c r="BF94" s="40"/>
      <c r="BG94" s="40"/>
      <c r="BH94" s="38">
        <v>1.0</v>
      </c>
      <c r="BI94" s="40"/>
      <c r="BJ94" s="40"/>
      <c r="BK94" s="40"/>
      <c r="BL94" s="40"/>
      <c r="BM94" s="38">
        <v>10.0</v>
      </c>
      <c r="BN94" s="38">
        <v>12.0</v>
      </c>
      <c r="BO94" s="40"/>
      <c r="BP94" s="40"/>
      <c r="BQ94" s="38">
        <v>30.0</v>
      </c>
      <c r="BR94" s="40"/>
      <c r="BS94" s="40"/>
      <c r="BT94" s="40"/>
      <c r="BU94" s="40"/>
      <c r="BV94" s="38">
        <v>22.0</v>
      </c>
      <c r="BW94" s="40"/>
      <c r="BX94" s="40"/>
      <c r="BY94" s="40"/>
      <c r="BZ94" s="38">
        <v>34.0</v>
      </c>
      <c r="CA94" s="40"/>
      <c r="CB94" s="40"/>
      <c r="CC94" s="38">
        <v>4.0</v>
      </c>
      <c r="CD94" s="40"/>
      <c r="CE94" s="40"/>
      <c r="CF94" s="40"/>
      <c r="CG94" s="40"/>
      <c r="CH94" s="40"/>
      <c r="CI94" s="40"/>
      <c r="CJ94" s="40"/>
      <c r="CK94" s="40"/>
      <c r="CL94" s="40"/>
      <c r="CM94" s="40"/>
      <c r="CN94" s="40"/>
      <c r="CO94" s="40"/>
      <c r="CP94" s="40"/>
      <c r="CQ94" s="40"/>
      <c r="CR94" s="40"/>
      <c r="CS94" s="38">
        <v>27.0</v>
      </c>
      <c r="CT94" s="40"/>
      <c r="CU94" s="40"/>
      <c r="CV94" s="40"/>
      <c r="CW94" s="40"/>
      <c r="CX94" s="40"/>
      <c r="CY94" s="40"/>
      <c r="CZ94" s="40"/>
      <c r="DA94" s="40"/>
      <c r="DB94" s="40"/>
      <c r="DC94" s="40"/>
      <c r="DD94" s="38">
        <v>4.0</v>
      </c>
      <c r="DE94" s="40"/>
      <c r="DF94" s="38"/>
      <c r="DG94" s="38">
        <v>7.0</v>
      </c>
      <c r="DH94" s="40"/>
      <c r="DI94" s="40"/>
      <c r="DJ94" s="40"/>
      <c r="DK94" s="40"/>
      <c r="DL94" s="40"/>
      <c r="DM94" s="38">
        <v>23.0</v>
      </c>
      <c r="DN94" s="40"/>
      <c r="DO94" s="40"/>
      <c r="DP94" s="40"/>
      <c r="DQ94" s="40"/>
      <c r="DR94" s="38"/>
      <c r="DS94" s="38">
        <v>22.0</v>
      </c>
      <c r="DT94" s="40"/>
      <c r="DU94" s="40"/>
      <c r="DV94" s="40"/>
      <c r="DW94" s="40"/>
      <c r="DX94" s="40"/>
      <c r="DY94" s="40"/>
      <c r="DZ94" s="38">
        <v>1.0</v>
      </c>
      <c r="EA94" s="40"/>
      <c r="EB94" s="40"/>
      <c r="EC94" s="38">
        <v>7.0</v>
      </c>
      <c r="ED94" s="40"/>
      <c r="EE94" s="40"/>
      <c r="EF94" s="40"/>
      <c r="EG94" s="40"/>
      <c r="EH94" s="40"/>
      <c r="EI94" s="40"/>
      <c r="EJ94" s="38">
        <v>181.0</v>
      </c>
      <c r="EK94" s="38">
        <v>3.0</v>
      </c>
      <c r="EL94" s="40"/>
      <c r="EM94" s="40"/>
      <c r="EN94" s="40"/>
      <c r="EO94" s="40"/>
      <c r="EP94" s="40"/>
      <c r="EQ94" s="40"/>
      <c r="ER94" s="40"/>
      <c r="ES94" s="40"/>
      <c r="ET94" s="40"/>
      <c r="EU94" s="40"/>
      <c r="EV94" s="40"/>
      <c r="EW94" s="40"/>
      <c r="EX94" s="40"/>
      <c r="EY94" s="40"/>
      <c r="EZ94" s="40"/>
      <c r="FA94" s="40"/>
      <c r="FB94" s="38">
        <v>54.0</v>
      </c>
      <c r="FC94" s="40"/>
      <c r="FD94" s="40"/>
      <c r="FE94" s="40"/>
      <c r="FF94" s="38">
        <v>9.0</v>
      </c>
      <c r="FG94" s="40"/>
      <c r="FH94" s="40"/>
      <c r="FI94" s="38">
        <v>9.0</v>
      </c>
      <c r="FJ94" s="40"/>
      <c r="FK94" s="40"/>
      <c r="FL94" s="40"/>
      <c r="FM94" s="40"/>
      <c r="FN94" s="40"/>
      <c r="FO94" s="40"/>
      <c r="FP94" s="40"/>
      <c r="FQ94" s="40"/>
      <c r="FR94" s="38">
        <v>18.0</v>
      </c>
      <c r="FS94" s="38">
        <v>42.0</v>
      </c>
      <c r="FT94" s="40"/>
      <c r="FU94" s="40"/>
      <c r="FV94" s="40"/>
      <c r="FW94" s="40"/>
      <c r="FX94" s="40"/>
      <c r="FY94" s="40"/>
      <c r="FZ94" s="40"/>
      <c r="GA94" s="40"/>
      <c r="GB94" s="40"/>
      <c r="GC94" s="40"/>
      <c r="GD94" s="40"/>
      <c r="GE94" s="40"/>
      <c r="GF94" s="40"/>
      <c r="GG94" s="40"/>
      <c r="GH94" s="40">
        <f t="shared" si="33"/>
        <v>32</v>
      </c>
      <c r="GI94" s="40">
        <f t="shared" si="34"/>
        <v>24</v>
      </c>
      <c r="GJ94" s="40">
        <f t="shared" si="35"/>
        <v>18</v>
      </c>
      <c r="GK94" s="40">
        <f t="shared" si="36"/>
        <v>581</v>
      </c>
      <c r="GL94" s="40">
        <f t="shared" si="37"/>
        <v>0</v>
      </c>
      <c r="GM94" s="40">
        <f t="shared" si="38"/>
        <v>-581</v>
      </c>
      <c r="GN94" s="40"/>
      <c r="GO94" s="40"/>
      <c r="GP94" s="40"/>
      <c r="GQ94" s="40"/>
      <c r="GR94" s="40"/>
      <c r="GS94" s="40"/>
      <c r="GT94" s="40"/>
      <c r="GU94" s="40"/>
      <c r="GV94" s="40"/>
      <c r="GW94" s="40"/>
      <c r="GX94" s="40"/>
      <c r="GY94" s="40"/>
      <c r="GZ94" s="40"/>
      <c r="HA94" s="40"/>
      <c r="HB94" s="40"/>
      <c r="HC94" s="40"/>
      <c r="HD94" s="40"/>
      <c r="HE94" s="40"/>
      <c r="HF94" s="40"/>
      <c r="HG94" s="40"/>
      <c r="HH94" s="40"/>
      <c r="HI94" s="40"/>
    </row>
    <row r="95">
      <c r="A95" s="23">
        <v>42806.0</v>
      </c>
      <c r="B95" s="4" t="s">
        <v>293</v>
      </c>
      <c r="C95" s="28">
        <f t="shared" si="14"/>
        <v>89</v>
      </c>
      <c r="D95" s="4">
        <v>19.738602</v>
      </c>
      <c r="E95" s="4">
        <v>-155.038879</v>
      </c>
      <c r="F95" s="4" t="s">
        <v>197</v>
      </c>
      <c r="G95" s="24">
        <v>0.3993055555555556</v>
      </c>
      <c r="H95" s="24">
        <v>0.43333333333333335</v>
      </c>
      <c r="I95" s="4">
        <v>6.0</v>
      </c>
      <c r="J95" s="4">
        <v>12.0</v>
      </c>
      <c r="K95" s="4" t="s">
        <v>198</v>
      </c>
      <c r="L95" s="4">
        <v>7.0</v>
      </c>
      <c r="M95" s="4">
        <v>32.0</v>
      </c>
      <c r="N95" s="4" t="s">
        <v>336</v>
      </c>
      <c r="P95" s="4">
        <v>32.0</v>
      </c>
      <c r="R95" s="4">
        <v>1.0</v>
      </c>
      <c r="AA95" s="4"/>
      <c r="AB95" s="4">
        <v>1.0</v>
      </c>
      <c r="AG95" s="4">
        <v>5.0</v>
      </c>
      <c r="AM95" s="4">
        <v>1.0</v>
      </c>
      <c r="BK95" s="4">
        <v>2.0</v>
      </c>
      <c r="BM95" s="4">
        <v>26.0</v>
      </c>
      <c r="BR95" s="4">
        <v>3.0</v>
      </c>
      <c r="BW95" s="4">
        <v>2.0</v>
      </c>
      <c r="CC95" s="4">
        <v>12.0</v>
      </c>
      <c r="CG95" s="4"/>
      <c r="CH95" s="4">
        <v>8.0</v>
      </c>
      <c r="CO95" s="4">
        <v>62.0</v>
      </c>
      <c r="DF95" s="4"/>
      <c r="DG95" s="4">
        <v>25.0</v>
      </c>
      <c r="DI95" s="4">
        <v>2.0</v>
      </c>
      <c r="EJ95" s="4">
        <v>5.0</v>
      </c>
      <c r="EP95" s="4">
        <v>2.0</v>
      </c>
      <c r="ER95" s="4">
        <v>13.0</v>
      </c>
      <c r="FM95" s="4">
        <v>26.0</v>
      </c>
      <c r="FS95" s="4">
        <v>350.0</v>
      </c>
      <c r="FT95" s="4">
        <v>3.0</v>
      </c>
      <c r="GH95" s="25">
        <f t="shared" si="33"/>
        <v>19</v>
      </c>
      <c r="GI95" s="25">
        <f t="shared" si="34"/>
        <v>16</v>
      </c>
      <c r="GJ95" s="25">
        <f t="shared" si="35"/>
        <v>10</v>
      </c>
      <c r="GK95" s="25">
        <f t="shared" si="36"/>
        <v>549</v>
      </c>
      <c r="GL95" s="25">
        <f t="shared" si="37"/>
        <v>800</v>
      </c>
      <c r="GM95" s="25">
        <f t="shared" si="38"/>
        <v>251</v>
      </c>
    </row>
    <row r="96">
      <c r="A96" s="23">
        <v>42810.0</v>
      </c>
      <c r="B96" s="4" t="s">
        <v>337</v>
      </c>
      <c r="C96" s="28">
        <f t="shared" si="14"/>
        <v>90</v>
      </c>
      <c r="D96" s="4">
        <v>19.957188</v>
      </c>
      <c r="E96" s="4">
        <v>-155.859497</v>
      </c>
      <c r="F96" s="4" t="s">
        <v>313</v>
      </c>
      <c r="G96" s="24">
        <v>0.48055555555555557</v>
      </c>
      <c r="H96" s="24">
        <v>0.5520833333333334</v>
      </c>
      <c r="I96" s="4">
        <v>3.0</v>
      </c>
      <c r="J96" s="4">
        <v>10.0</v>
      </c>
      <c r="K96" s="4" t="s">
        <v>318</v>
      </c>
      <c r="L96" s="4">
        <v>10.0</v>
      </c>
      <c r="M96" s="4">
        <v>30.0</v>
      </c>
      <c r="P96" s="4">
        <v>30.0</v>
      </c>
      <c r="AA96" s="4"/>
      <c r="AB96" s="4">
        <v>133.0</v>
      </c>
      <c r="AL96" s="4">
        <v>5.0</v>
      </c>
      <c r="AM96" s="4">
        <v>7.0</v>
      </c>
      <c r="AN96" s="4">
        <v>3.0</v>
      </c>
      <c r="BH96" s="4">
        <v>20.0</v>
      </c>
      <c r="BM96" s="4">
        <v>64.0</v>
      </c>
      <c r="BY96" s="4">
        <v>5.0</v>
      </c>
      <c r="CC96" s="4">
        <v>44.0</v>
      </c>
      <c r="CD96" s="4">
        <v>7.0</v>
      </c>
      <c r="CK96" s="4">
        <v>3.0</v>
      </c>
      <c r="CU96" s="4">
        <v>9.0</v>
      </c>
      <c r="DH96" s="4">
        <v>1.0</v>
      </c>
      <c r="DR96" s="4"/>
      <c r="DS96" s="4">
        <v>4.0</v>
      </c>
      <c r="EA96" s="4">
        <v>2.0</v>
      </c>
      <c r="EJ96" s="4">
        <v>27.0</v>
      </c>
      <c r="EW96" s="4">
        <v>1.0</v>
      </c>
      <c r="FB96" s="4">
        <v>6.0</v>
      </c>
      <c r="FR96" s="4">
        <v>7.0</v>
      </c>
      <c r="FS96" s="4">
        <v>310.0</v>
      </c>
      <c r="GH96" s="25">
        <f t="shared" si="33"/>
        <v>19</v>
      </c>
      <c r="GI96" s="25">
        <f t="shared" si="34"/>
        <v>17</v>
      </c>
      <c r="GJ96" s="25">
        <f t="shared" si="35"/>
        <v>13</v>
      </c>
      <c r="GK96" s="25">
        <f t="shared" si="36"/>
        <v>658</v>
      </c>
      <c r="GL96" s="25">
        <f t="shared" si="37"/>
        <v>750</v>
      </c>
      <c r="GM96" s="25">
        <f t="shared" si="38"/>
        <v>92</v>
      </c>
    </row>
    <row r="97">
      <c r="A97" s="41">
        <v>42822.0</v>
      </c>
      <c r="B97" s="42" t="s">
        <v>216</v>
      </c>
      <c r="C97" s="28">
        <f t="shared" si="14"/>
        <v>91</v>
      </c>
      <c r="D97" s="42">
        <v>21.3002</v>
      </c>
      <c r="E97" s="42">
        <v>-157.882599</v>
      </c>
      <c r="F97" s="42" t="s">
        <v>413</v>
      </c>
      <c r="G97" s="43">
        <v>0.4027777777777778</v>
      </c>
      <c r="H97" s="43">
        <v>0.4583333333333333</v>
      </c>
      <c r="I97" s="42">
        <v>6.0</v>
      </c>
      <c r="J97" s="42">
        <v>14.7</v>
      </c>
      <c r="K97" s="42" t="s">
        <v>198</v>
      </c>
      <c r="L97" s="42">
        <v>5.0</v>
      </c>
      <c r="M97" s="42">
        <v>19.0</v>
      </c>
      <c r="N97" s="42" t="s">
        <v>414</v>
      </c>
      <c r="O97" s="44"/>
      <c r="P97" s="42"/>
      <c r="Q97" s="44"/>
      <c r="R97" s="42"/>
      <c r="S97" s="44"/>
      <c r="T97" s="44"/>
      <c r="U97" s="44"/>
      <c r="V97" s="44"/>
      <c r="W97" s="44"/>
      <c r="X97" s="44"/>
      <c r="Y97" s="44"/>
      <c r="Z97" s="44"/>
      <c r="AA97" s="44"/>
      <c r="AB97" s="42">
        <v>9.0</v>
      </c>
      <c r="AC97" s="44"/>
      <c r="AD97" s="44"/>
      <c r="AE97" s="44"/>
      <c r="AF97" s="44"/>
      <c r="AG97" s="44"/>
      <c r="AH97" s="44"/>
      <c r="AI97" s="42">
        <v>1.0</v>
      </c>
      <c r="AJ97" s="44"/>
      <c r="AK97" s="44"/>
      <c r="AL97" s="42">
        <v>1.0</v>
      </c>
      <c r="AM97" s="44"/>
      <c r="AN97" s="44"/>
      <c r="AO97" s="44"/>
      <c r="AP97" s="44"/>
      <c r="AQ97" s="44"/>
      <c r="AR97" s="44"/>
      <c r="AS97" s="44"/>
      <c r="AT97" s="44"/>
      <c r="AU97" s="44"/>
      <c r="AV97" s="44"/>
      <c r="AW97" s="44"/>
      <c r="AX97" s="44"/>
      <c r="AY97" s="44"/>
      <c r="AZ97" s="44"/>
      <c r="BA97" s="44"/>
      <c r="BB97" s="44"/>
      <c r="BC97" s="44"/>
      <c r="BD97" s="44"/>
      <c r="BE97" s="42">
        <v>6.0</v>
      </c>
      <c r="BF97" s="44"/>
      <c r="BG97" s="44"/>
      <c r="BH97" s="42">
        <v>1.0</v>
      </c>
      <c r="BI97" s="44"/>
      <c r="BJ97" s="44"/>
      <c r="BK97" s="44"/>
      <c r="BL97" s="44"/>
      <c r="BM97" s="42">
        <v>4.0</v>
      </c>
      <c r="BN97" s="44"/>
      <c r="BO97" s="44"/>
      <c r="BP97" s="44"/>
      <c r="BQ97" s="44"/>
      <c r="BR97" s="44"/>
      <c r="BS97" s="44"/>
      <c r="BT97" s="44"/>
      <c r="BU97" s="44"/>
      <c r="BV97" s="42"/>
      <c r="BW97" s="42">
        <v>4.0</v>
      </c>
      <c r="BX97" s="44"/>
      <c r="BY97" s="44"/>
      <c r="BZ97" s="42"/>
      <c r="CA97" s="44"/>
      <c r="CB97" s="44"/>
      <c r="CC97" s="44"/>
      <c r="CD97" s="44"/>
      <c r="CE97" s="44"/>
      <c r="CF97" s="44"/>
      <c r="CG97" s="44"/>
      <c r="CH97" s="44"/>
      <c r="CI97" s="44"/>
      <c r="CJ97" s="44"/>
      <c r="CK97" s="44"/>
      <c r="CL97" s="44"/>
      <c r="CM97" s="44"/>
      <c r="CN97" s="44"/>
      <c r="CO97" s="44"/>
      <c r="CP97" s="44"/>
      <c r="CQ97" s="44"/>
      <c r="CR97" s="44"/>
      <c r="CS97" s="44"/>
      <c r="CT97" s="44"/>
      <c r="CU97" s="44"/>
      <c r="CV97" s="44"/>
      <c r="CW97" s="44"/>
      <c r="CX97" s="44"/>
      <c r="CY97" s="44"/>
      <c r="CZ97" s="44"/>
      <c r="DA97" s="44"/>
      <c r="DB97" s="44"/>
      <c r="DC97" s="44"/>
      <c r="DD97" s="44"/>
      <c r="DE97" s="44"/>
      <c r="DF97" s="42"/>
      <c r="DG97" s="42"/>
      <c r="DH97" s="44"/>
      <c r="DI97" s="44"/>
      <c r="DJ97" s="44"/>
      <c r="DK97" s="44"/>
      <c r="DL97" s="44"/>
      <c r="DM97" s="42"/>
      <c r="DN97" s="44"/>
      <c r="DO97" s="44"/>
      <c r="DP97" s="44"/>
      <c r="DQ97" s="44"/>
      <c r="DR97" s="42"/>
      <c r="DS97" s="42"/>
      <c r="DT97" s="44"/>
      <c r="DU97" s="44"/>
      <c r="DV97" s="44"/>
      <c r="DW97" s="44"/>
      <c r="DX97" s="44"/>
      <c r="DY97" s="44"/>
      <c r="DZ97" s="44"/>
      <c r="EA97" s="44"/>
      <c r="EB97" s="44"/>
      <c r="EC97" s="42">
        <v>3.0</v>
      </c>
      <c r="ED97" s="44"/>
      <c r="EE97" s="44"/>
      <c r="EF97" s="44"/>
      <c r="EG97" s="44"/>
      <c r="EH97" s="44"/>
      <c r="EI97" s="44"/>
      <c r="EJ97" s="42"/>
      <c r="EK97" s="44"/>
      <c r="EL97" s="44"/>
      <c r="EM97" s="44"/>
      <c r="EN97" s="44"/>
      <c r="EO97" s="44"/>
      <c r="EP97" s="44"/>
      <c r="EQ97" s="44"/>
      <c r="ER97" s="44"/>
      <c r="ES97" s="44"/>
      <c r="ET97" s="44"/>
      <c r="EU97" s="44"/>
      <c r="EV97" s="44"/>
      <c r="EW97" s="44"/>
      <c r="EX97" s="44"/>
      <c r="EY97" s="44"/>
      <c r="EZ97" s="44"/>
      <c r="FA97" s="44"/>
      <c r="FB97" s="42"/>
      <c r="FC97" s="44"/>
      <c r="FD97" s="44"/>
      <c r="FE97" s="44"/>
      <c r="FF97" s="44"/>
      <c r="FG97" s="44"/>
      <c r="FH97" s="44"/>
      <c r="FI97" s="44"/>
      <c r="FJ97" s="44"/>
      <c r="FK97" s="44"/>
      <c r="FL97" s="44"/>
      <c r="FM97" s="44"/>
      <c r="FN97" s="44"/>
      <c r="FO97" s="44"/>
      <c r="FP97" s="44"/>
      <c r="FQ97" s="44"/>
      <c r="FR97" s="44"/>
      <c r="FS97" s="42">
        <v>344.0</v>
      </c>
      <c r="FT97" s="44"/>
      <c r="FU97" s="44"/>
      <c r="FV97" s="44"/>
      <c r="FW97" s="44"/>
      <c r="FX97" s="44"/>
      <c r="FY97" s="44"/>
      <c r="FZ97" s="44"/>
      <c r="GA97" s="44"/>
      <c r="GB97" s="44"/>
      <c r="GC97" s="44"/>
      <c r="GD97" s="44"/>
      <c r="GE97" s="44"/>
      <c r="GF97" s="44"/>
      <c r="GG97" s="44"/>
      <c r="GH97" s="44"/>
      <c r="GI97" s="44"/>
      <c r="GJ97" s="44"/>
      <c r="GK97" s="44"/>
      <c r="GL97" s="44"/>
      <c r="GM97" s="44"/>
      <c r="GN97" s="44"/>
      <c r="GO97" s="44"/>
      <c r="GP97" s="44"/>
      <c r="GQ97" s="44"/>
      <c r="GR97" s="44"/>
      <c r="GS97" s="44"/>
      <c r="GT97" s="44"/>
      <c r="GU97" s="44"/>
      <c r="GV97" s="44"/>
      <c r="GW97" s="44"/>
      <c r="GX97" s="44"/>
      <c r="GY97" s="44"/>
      <c r="GZ97" s="44"/>
      <c r="HA97" s="44"/>
      <c r="HB97" s="44"/>
      <c r="HC97" s="44"/>
      <c r="HD97" s="44"/>
      <c r="HE97" s="44"/>
      <c r="HF97" s="44"/>
      <c r="HG97" s="44"/>
      <c r="HH97" s="44"/>
      <c r="HI97" s="44"/>
    </row>
    <row r="98">
      <c r="A98" s="23">
        <v>42823.0</v>
      </c>
      <c r="B98" s="4" t="s">
        <v>244</v>
      </c>
      <c r="C98" s="28">
        <f t="shared" si="14"/>
        <v>92</v>
      </c>
      <c r="D98" s="4">
        <v>21.310612</v>
      </c>
      <c r="E98" s="4">
        <v>-158.00441</v>
      </c>
      <c r="F98" s="4" t="s">
        <v>278</v>
      </c>
      <c r="G98" s="24">
        <v>0.3854166666666667</v>
      </c>
      <c r="H98" s="24">
        <v>0.46875</v>
      </c>
      <c r="I98" s="4">
        <v>6.0</v>
      </c>
      <c r="J98" s="4">
        <v>10.0</v>
      </c>
      <c r="K98" s="4" t="s">
        <v>198</v>
      </c>
      <c r="L98" s="4">
        <v>5.0</v>
      </c>
      <c r="M98" s="4">
        <v>26.0</v>
      </c>
      <c r="N98" s="4" t="s">
        <v>338</v>
      </c>
      <c r="P98" s="4">
        <v>26.0</v>
      </c>
      <c r="R98" s="4">
        <v>8.0</v>
      </c>
      <c r="AI98" s="4">
        <v>14.0</v>
      </c>
      <c r="BM98" s="4">
        <v>2.0</v>
      </c>
      <c r="BV98" s="4">
        <v>16.0</v>
      </c>
      <c r="BZ98" s="4">
        <v>42.0</v>
      </c>
      <c r="DF98" s="4"/>
      <c r="DG98" s="4">
        <v>40.0</v>
      </c>
      <c r="DM98" s="4">
        <v>40.0</v>
      </c>
      <c r="DR98" s="4"/>
      <c r="DS98" s="4">
        <v>2.0</v>
      </c>
      <c r="EJ98" s="4">
        <v>231.0</v>
      </c>
      <c r="FB98" s="4">
        <v>20.0</v>
      </c>
      <c r="FS98" s="4">
        <v>47.0</v>
      </c>
      <c r="GH98" s="25">
        <f>count(R98:GG98)</f>
        <v>11</v>
      </c>
      <c r="GI98" s="25">
        <f>countif(R98:GG98,"&gt;=2")</f>
        <v>11</v>
      </c>
      <c r="GJ98" s="25">
        <f>countif(R98:GG98,"&gt;=5")</f>
        <v>9</v>
      </c>
      <c r="GK98" s="25">
        <f>sum(R98:GG98)</f>
        <v>462</v>
      </c>
      <c r="GL98" s="25">
        <f>25*P98</f>
        <v>650</v>
      </c>
      <c r="GM98" s="25">
        <f>GL98-GK98</f>
        <v>188</v>
      </c>
    </row>
    <row r="99">
      <c r="A99" s="41">
        <v>42825.0</v>
      </c>
      <c r="B99" s="42" t="s">
        <v>246</v>
      </c>
      <c r="C99" s="28">
        <f t="shared" si="14"/>
        <v>93</v>
      </c>
      <c r="D99" s="42">
        <v>21.2882</v>
      </c>
      <c r="E99" s="42">
        <v>-157.667999</v>
      </c>
      <c r="F99" s="42" t="s">
        <v>278</v>
      </c>
      <c r="G99" s="43">
        <v>0.4173611111111111</v>
      </c>
      <c r="H99" s="43">
        <v>0.45069444444444445</v>
      </c>
      <c r="I99" s="42">
        <v>6.0</v>
      </c>
      <c r="J99" s="42">
        <v>12.0</v>
      </c>
      <c r="K99" s="42" t="s">
        <v>398</v>
      </c>
      <c r="L99" s="42">
        <v>5.0</v>
      </c>
      <c r="M99" s="42">
        <v>9.0</v>
      </c>
      <c r="N99" s="42" t="s">
        <v>420</v>
      </c>
      <c r="O99" s="44"/>
      <c r="P99" s="42"/>
      <c r="Q99" s="44"/>
      <c r="R99" s="42">
        <v>4.0</v>
      </c>
      <c r="S99" s="44"/>
      <c r="T99" s="44"/>
      <c r="U99" s="44"/>
      <c r="V99" s="44"/>
      <c r="W99" s="44"/>
      <c r="X99" s="44"/>
      <c r="Y99" s="44"/>
      <c r="Z99" s="44"/>
      <c r="AA99" s="42"/>
      <c r="AB99" s="42"/>
      <c r="AC99" s="44"/>
      <c r="AD99" s="44"/>
      <c r="AE99" s="44"/>
      <c r="AF99" s="44"/>
      <c r="AG99" s="44"/>
      <c r="AH99" s="44"/>
      <c r="AI99" s="44"/>
      <c r="AJ99" s="44"/>
      <c r="AK99" s="44"/>
      <c r="AL99" s="44"/>
      <c r="AM99" s="42"/>
      <c r="AN99" s="44"/>
      <c r="AO99" s="44"/>
      <c r="AP99" s="44"/>
      <c r="AQ99" s="44"/>
      <c r="AR99" s="44"/>
      <c r="AS99" s="44"/>
      <c r="AT99" s="44"/>
      <c r="AU99" s="44"/>
      <c r="AV99" s="44"/>
      <c r="AW99" s="44"/>
      <c r="AX99" s="44"/>
      <c r="AY99" s="44"/>
      <c r="AZ99" s="44"/>
      <c r="BA99" s="44"/>
      <c r="BB99" s="44"/>
      <c r="BC99" s="44"/>
      <c r="BD99" s="44"/>
      <c r="BE99" s="44"/>
      <c r="BF99" s="44"/>
      <c r="BG99" s="44"/>
      <c r="BH99" s="44"/>
      <c r="BI99" s="44"/>
      <c r="BJ99" s="44"/>
      <c r="BK99" s="42"/>
      <c r="BL99" s="44"/>
      <c r="BM99" s="42">
        <v>18.0</v>
      </c>
      <c r="BN99" s="44"/>
      <c r="BO99" s="44"/>
      <c r="BP99" s="44"/>
      <c r="BQ99" s="42"/>
      <c r="BR99" s="44"/>
      <c r="BS99" s="44"/>
      <c r="BT99" s="44"/>
      <c r="BU99" s="44"/>
      <c r="BV99" s="44"/>
      <c r="BW99" s="44"/>
      <c r="BX99" s="44"/>
      <c r="BY99" s="44"/>
      <c r="BZ99" s="42">
        <v>3.0</v>
      </c>
      <c r="CA99" s="44"/>
      <c r="CB99" s="44"/>
      <c r="CC99" s="42"/>
      <c r="CD99" s="42"/>
      <c r="CE99" s="44"/>
      <c r="CF99" s="44"/>
      <c r="CG99" s="44"/>
      <c r="CH99" s="44"/>
      <c r="CI99" s="44"/>
      <c r="CJ99" s="44"/>
      <c r="CK99" s="42"/>
      <c r="CL99" s="44"/>
      <c r="CM99" s="44"/>
      <c r="CN99" s="44"/>
      <c r="CO99" s="44"/>
      <c r="CP99" s="44"/>
      <c r="CQ99" s="44"/>
      <c r="CR99" s="44"/>
      <c r="CS99" s="44"/>
      <c r="CT99" s="44"/>
      <c r="CU99" s="42">
        <v>2.0</v>
      </c>
      <c r="CV99" s="44"/>
      <c r="CW99" s="44"/>
      <c r="CX99" s="44"/>
      <c r="CY99" s="44"/>
      <c r="CZ99" s="44"/>
      <c r="DA99" s="44"/>
      <c r="DB99" s="44"/>
      <c r="DC99" s="44"/>
      <c r="DD99" s="44"/>
      <c r="DE99" s="44"/>
      <c r="DF99" s="44"/>
      <c r="DG99" s="44"/>
      <c r="DH99" s="42">
        <v>1.0</v>
      </c>
      <c r="DI99" s="44"/>
      <c r="DJ99" s="44"/>
      <c r="DK99" s="44"/>
      <c r="DL99" s="44"/>
      <c r="DM99" s="44"/>
      <c r="DN99" s="44"/>
      <c r="DO99" s="44"/>
      <c r="DP99" s="42"/>
      <c r="DQ99" s="44"/>
      <c r="DR99" s="44"/>
      <c r="DS99" s="44"/>
      <c r="DT99" s="44"/>
      <c r="DU99" s="44"/>
      <c r="DV99" s="42">
        <v>3.0</v>
      </c>
      <c r="DW99" s="44"/>
      <c r="DX99" s="44"/>
      <c r="DY99" s="44"/>
      <c r="DZ99" s="44"/>
      <c r="EA99" s="44"/>
      <c r="EB99" s="44"/>
      <c r="EC99" s="44"/>
      <c r="ED99" s="42"/>
      <c r="EE99" s="44"/>
      <c r="EF99" s="44"/>
      <c r="EG99" s="44"/>
      <c r="EH99" s="44"/>
      <c r="EI99" s="44"/>
      <c r="EJ99" s="42">
        <v>13.0</v>
      </c>
      <c r="EK99" s="44"/>
      <c r="EL99" s="44"/>
      <c r="EM99" s="44"/>
      <c r="EN99" s="44"/>
      <c r="EO99" s="44"/>
      <c r="EP99" s="44"/>
      <c r="EQ99" s="44"/>
      <c r="ER99" s="44"/>
      <c r="ES99" s="44"/>
      <c r="ET99" s="42"/>
      <c r="EU99" s="42"/>
      <c r="EV99" s="42"/>
      <c r="EW99" s="44"/>
      <c r="EX99" s="44"/>
      <c r="EY99" s="44"/>
      <c r="EZ99" s="44"/>
      <c r="FA99" s="44"/>
      <c r="FB99" s="44"/>
      <c r="FC99" s="42"/>
      <c r="FD99" s="44"/>
      <c r="FE99" s="42">
        <v>1.0</v>
      </c>
      <c r="FF99" s="44"/>
      <c r="FG99" s="44"/>
      <c r="FH99" s="44"/>
      <c r="FI99" s="44"/>
      <c r="FJ99" s="44"/>
      <c r="FK99" s="44"/>
      <c r="FL99" s="44"/>
      <c r="FM99" s="44"/>
      <c r="FN99" s="44"/>
      <c r="FO99" s="44"/>
      <c r="FP99" s="44"/>
      <c r="FQ99" s="44"/>
      <c r="FR99" s="42">
        <v>10.0</v>
      </c>
      <c r="FS99" s="42">
        <v>71.0</v>
      </c>
      <c r="FT99" s="44"/>
      <c r="FU99" s="44"/>
      <c r="FV99" s="44"/>
      <c r="FW99" s="44"/>
      <c r="FX99" s="44"/>
      <c r="FY99" s="44"/>
      <c r="FZ99" s="42"/>
      <c r="GA99" s="44"/>
      <c r="GB99" s="44"/>
      <c r="GC99" s="44"/>
      <c r="GD99" s="44"/>
      <c r="GE99" s="44"/>
      <c r="GF99" s="44"/>
      <c r="GG99" s="44"/>
      <c r="GH99" s="44"/>
      <c r="GI99" s="44"/>
      <c r="GJ99" s="44"/>
      <c r="GK99" s="44"/>
      <c r="GL99" s="44"/>
      <c r="GM99" s="44"/>
      <c r="GN99" s="44"/>
      <c r="GO99" s="44"/>
      <c r="GP99" s="44"/>
      <c r="GQ99" s="44"/>
      <c r="GR99" s="44"/>
      <c r="GS99" s="44"/>
      <c r="GT99" s="44"/>
      <c r="GU99" s="44"/>
      <c r="GV99" s="44"/>
      <c r="GW99" s="44"/>
      <c r="GX99" s="44"/>
      <c r="GY99" s="44"/>
      <c r="GZ99" s="44"/>
      <c r="HA99" s="44"/>
      <c r="HB99" s="44"/>
      <c r="HC99" s="44"/>
      <c r="HD99" s="44"/>
      <c r="HE99" s="44"/>
      <c r="HF99" s="44"/>
      <c r="HG99" s="44"/>
      <c r="HH99" s="44"/>
      <c r="HI99" s="44"/>
    </row>
    <row r="100">
      <c r="A100" s="23">
        <v>42826.0</v>
      </c>
      <c r="B100" s="4" t="s">
        <v>303</v>
      </c>
      <c r="C100" s="28">
        <f t="shared" si="14"/>
        <v>94</v>
      </c>
      <c r="D100" s="4">
        <v>20.99424</v>
      </c>
      <c r="E100" s="4">
        <v>-156.668259</v>
      </c>
      <c r="F100" s="4" t="s">
        <v>197</v>
      </c>
      <c r="G100" s="24">
        <v>0.4708333333333333</v>
      </c>
      <c r="H100" s="24">
        <v>0.5041666666666667</v>
      </c>
      <c r="I100" s="4">
        <v>3.0</v>
      </c>
      <c r="J100" s="4">
        <v>25.0</v>
      </c>
      <c r="K100" s="4" t="s">
        <v>198</v>
      </c>
      <c r="L100" s="4">
        <v>11.0</v>
      </c>
      <c r="M100" s="4">
        <v>20.0</v>
      </c>
      <c r="N100" s="4" t="s">
        <v>339</v>
      </c>
      <c r="P100" s="4">
        <v>20.0</v>
      </c>
      <c r="AA100" s="4"/>
      <c r="AB100" s="4">
        <v>12.0</v>
      </c>
      <c r="AM100" s="4">
        <v>30.0</v>
      </c>
      <c r="BK100" s="4">
        <v>1.0</v>
      </c>
      <c r="BM100" s="4">
        <v>51.0</v>
      </c>
      <c r="BQ100" s="4">
        <v>5.0</v>
      </c>
      <c r="CC100" s="4">
        <v>9.0</v>
      </c>
      <c r="CD100" s="4">
        <v>1.0</v>
      </c>
      <c r="CK100" s="4">
        <v>12.0</v>
      </c>
      <c r="DH100" s="4">
        <v>22.0</v>
      </c>
      <c r="DP100" s="4">
        <v>2.0</v>
      </c>
      <c r="ED100" s="4">
        <v>7.0</v>
      </c>
      <c r="ET100" s="4"/>
      <c r="EU100" s="4"/>
      <c r="EV100" s="4">
        <v>11.0</v>
      </c>
      <c r="FC100" s="4">
        <v>2.0</v>
      </c>
      <c r="FS100" s="4">
        <v>24.0</v>
      </c>
      <c r="FZ100" s="4">
        <v>1.0</v>
      </c>
      <c r="GH100" s="25">
        <f t="shared" ref="GH100:GH102" si="39">count(R100:GG100)</f>
        <v>15</v>
      </c>
      <c r="GI100" s="25">
        <f t="shared" ref="GI100:GI102" si="40">countif(R100:GG100,"&gt;=2")</f>
        <v>12</v>
      </c>
      <c r="GJ100" s="25">
        <f t="shared" ref="GJ100:GJ102" si="41">countif(R100:GG100,"&gt;=5")</f>
        <v>10</v>
      </c>
      <c r="GK100" s="25">
        <f t="shared" ref="GK100:GK102" si="42">sum(R100:GG100)</f>
        <v>190</v>
      </c>
      <c r="GL100" s="25">
        <f t="shared" ref="GL100:GL102" si="43">25*P100</f>
        <v>500</v>
      </c>
      <c r="GM100" s="25">
        <f t="shared" ref="GM100:GM102" si="44">GL100-GK100</f>
        <v>310</v>
      </c>
    </row>
    <row r="101">
      <c r="A101" s="23">
        <v>42827.0</v>
      </c>
      <c r="B101" s="4" t="s">
        <v>340</v>
      </c>
      <c r="C101" s="28">
        <f t="shared" si="14"/>
        <v>95</v>
      </c>
      <c r="D101" s="4">
        <v>19.643276</v>
      </c>
      <c r="E101" s="4">
        <v>-156.010193</v>
      </c>
      <c r="F101" s="4" t="s">
        <v>197</v>
      </c>
      <c r="G101" s="24">
        <v>0.48680555555555555</v>
      </c>
      <c r="H101" s="24">
        <v>0.525</v>
      </c>
      <c r="I101" s="4">
        <v>3.0</v>
      </c>
      <c r="J101" s="4">
        <v>40.0</v>
      </c>
      <c r="K101" s="4" t="s">
        <v>198</v>
      </c>
      <c r="L101" s="4">
        <v>10.0</v>
      </c>
      <c r="M101" s="4">
        <v>28.0</v>
      </c>
      <c r="N101" s="4" t="s">
        <v>341</v>
      </c>
      <c r="P101" s="4">
        <v>28.0</v>
      </c>
      <c r="T101" s="4">
        <v>1.0</v>
      </c>
      <c r="AD101" s="4">
        <v>2.0</v>
      </c>
      <c r="AM101" s="4">
        <v>126.0</v>
      </c>
      <c r="BM101" s="4">
        <v>1.0</v>
      </c>
      <c r="BZ101" s="4">
        <v>2.0</v>
      </c>
      <c r="CC101" s="4">
        <v>2.0</v>
      </c>
      <c r="CN101" s="4">
        <v>7.0</v>
      </c>
      <c r="EJ101" s="4">
        <v>3.0</v>
      </c>
      <c r="FF101" s="4">
        <v>6.0</v>
      </c>
      <c r="FM101" s="4">
        <v>12.0</v>
      </c>
      <c r="FR101" s="4">
        <v>156.0</v>
      </c>
      <c r="FS101" s="4">
        <v>283.0</v>
      </c>
      <c r="GH101" s="25">
        <f t="shared" si="39"/>
        <v>12</v>
      </c>
      <c r="GI101" s="25">
        <f t="shared" si="40"/>
        <v>10</v>
      </c>
      <c r="GJ101" s="25">
        <f t="shared" si="41"/>
        <v>6</v>
      </c>
      <c r="GK101" s="25">
        <f t="shared" si="42"/>
        <v>601</v>
      </c>
      <c r="GL101" s="25">
        <f t="shared" si="43"/>
        <v>700</v>
      </c>
      <c r="GM101" s="25">
        <f t="shared" si="44"/>
        <v>99</v>
      </c>
    </row>
    <row r="102">
      <c r="A102" s="23">
        <v>42831.0</v>
      </c>
      <c r="B102" s="4" t="s">
        <v>201</v>
      </c>
      <c r="C102" s="28">
        <f t="shared" si="14"/>
        <v>96</v>
      </c>
      <c r="D102" s="4">
        <v>21.25544</v>
      </c>
      <c r="E102" s="4">
        <v>-157.810303</v>
      </c>
      <c r="F102" s="4" t="s">
        <v>197</v>
      </c>
      <c r="G102" s="24">
        <v>0.0</v>
      </c>
      <c r="H102" s="24">
        <v>0.041666666666666664</v>
      </c>
      <c r="I102" s="4">
        <v>6.0</v>
      </c>
      <c r="J102" s="4">
        <v>11.0</v>
      </c>
      <c r="K102" s="4" t="s">
        <v>198</v>
      </c>
      <c r="L102" s="4">
        <v>12.0</v>
      </c>
      <c r="M102" s="4">
        <v>55.0</v>
      </c>
      <c r="N102" s="4" t="s">
        <v>342</v>
      </c>
      <c r="P102" s="4">
        <v>55.0</v>
      </c>
      <c r="R102" s="4">
        <v>4.0</v>
      </c>
      <c r="AA102" s="4"/>
      <c r="AB102" s="4">
        <v>3.0</v>
      </c>
      <c r="AD102" s="4">
        <v>2.0</v>
      </c>
      <c r="AF102" s="4">
        <v>5.0</v>
      </c>
      <c r="BH102" s="4">
        <v>1.0</v>
      </c>
      <c r="BM102" s="4">
        <v>4.0</v>
      </c>
      <c r="BW102" s="4">
        <v>54.0</v>
      </c>
      <c r="BZ102" s="4">
        <v>49.0</v>
      </c>
      <c r="CB102" s="4">
        <v>1.0</v>
      </c>
      <c r="CS102" s="4">
        <v>21.0</v>
      </c>
      <c r="DM102" s="4">
        <v>120.0</v>
      </c>
      <c r="DT102" s="4">
        <v>1.0</v>
      </c>
      <c r="ED102" s="4">
        <v>2.0</v>
      </c>
      <c r="EJ102" s="4">
        <v>319.0</v>
      </c>
      <c r="FB102" s="4">
        <v>187.0</v>
      </c>
      <c r="FC102" s="4">
        <v>2.0</v>
      </c>
      <c r="FS102" s="4">
        <v>74.0</v>
      </c>
      <c r="FU102" s="4">
        <v>7.0</v>
      </c>
      <c r="GE102" s="4">
        <v>1.0</v>
      </c>
      <c r="GF102" s="4">
        <v>27.0</v>
      </c>
      <c r="GH102" s="25">
        <f t="shared" si="39"/>
        <v>20</v>
      </c>
      <c r="GI102" s="25">
        <f t="shared" si="40"/>
        <v>16</v>
      </c>
      <c r="GJ102" s="25">
        <f t="shared" si="41"/>
        <v>10</v>
      </c>
      <c r="GK102" s="25">
        <f t="shared" si="42"/>
        <v>884</v>
      </c>
      <c r="GL102" s="25">
        <f t="shared" si="43"/>
        <v>1375</v>
      </c>
      <c r="GM102" s="25">
        <f t="shared" si="44"/>
        <v>491</v>
      </c>
    </row>
    <row r="103">
      <c r="A103" s="41">
        <v>42832.0</v>
      </c>
      <c r="B103" s="42" t="s">
        <v>250</v>
      </c>
      <c r="C103" s="28">
        <f t="shared" si="14"/>
        <v>97</v>
      </c>
      <c r="D103" s="42">
        <v>21.4104</v>
      </c>
      <c r="E103" s="42">
        <v>-158.177704</v>
      </c>
      <c r="F103" s="42" t="s">
        <v>428</v>
      </c>
      <c r="G103" s="43">
        <v>0.375</v>
      </c>
      <c r="H103" s="43">
        <v>0.4791666666666667</v>
      </c>
      <c r="I103" s="42">
        <v>4.0</v>
      </c>
      <c r="J103" s="42">
        <v>7.0</v>
      </c>
      <c r="K103" s="42" t="s">
        <v>198</v>
      </c>
      <c r="L103" s="42">
        <v>5.0</v>
      </c>
      <c r="M103" s="42">
        <v>15.0</v>
      </c>
      <c r="N103" s="42" t="s">
        <v>429</v>
      </c>
      <c r="O103" s="44"/>
      <c r="P103" s="42"/>
      <c r="Q103" s="44"/>
      <c r="R103" s="42">
        <v>101.0</v>
      </c>
      <c r="S103" s="44"/>
      <c r="T103" s="44"/>
      <c r="U103" s="44"/>
      <c r="V103" s="44"/>
      <c r="W103" s="44"/>
      <c r="X103" s="44"/>
      <c r="Y103" s="44"/>
      <c r="Z103" s="44"/>
      <c r="AA103" s="42"/>
      <c r="AB103" s="42"/>
      <c r="AC103" s="44"/>
      <c r="AD103" s="42"/>
      <c r="AE103" s="44"/>
      <c r="AF103" s="44"/>
      <c r="AG103" s="44"/>
      <c r="AH103" s="44"/>
      <c r="AI103" s="44"/>
      <c r="AJ103" s="44"/>
      <c r="AK103" s="44"/>
      <c r="AL103" s="44"/>
      <c r="AM103" s="44"/>
      <c r="AN103" s="44"/>
      <c r="AO103" s="44"/>
      <c r="AP103" s="44"/>
      <c r="AQ103" s="44"/>
      <c r="AR103" s="44"/>
      <c r="AS103" s="44"/>
      <c r="AT103" s="44"/>
      <c r="AU103" s="44"/>
      <c r="AV103" s="44"/>
      <c r="AW103" s="44"/>
      <c r="AX103" s="44"/>
      <c r="AY103" s="44"/>
      <c r="AZ103" s="44"/>
      <c r="BA103" s="42"/>
      <c r="BB103" s="42"/>
      <c r="BC103" s="44"/>
      <c r="BD103" s="44"/>
      <c r="BE103" s="44"/>
      <c r="BF103" s="44"/>
      <c r="BG103" s="44"/>
      <c r="BH103" s="44"/>
      <c r="BI103" s="44"/>
      <c r="BJ103" s="44"/>
      <c r="BK103" s="44"/>
      <c r="BL103" s="44"/>
      <c r="BM103" s="42">
        <v>13.0</v>
      </c>
      <c r="BN103" s="42"/>
      <c r="BO103" s="44"/>
      <c r="BP103" s="44"/>
      <c r="BQ103" s="44"/>
      <c r="BR103" s="44"/>
      <c r="BS103" s="44"/>
      <c r="BT103" s="44"/>
      <c r="BU103" s="44"/>
      <c r="BV103" s="42"/>
      <c r="BW103" s="44"/>
      <c r="BX103" s="44"/>
      <c r="BY103" s="44"/>
      <c r="BZ103" s="42">
        <v>1.0</v>
      </c>
      <c r="CA103" s="44"/>
      <c r="CB103" s="44"/>
      <c r="CC103" s="44"/>
      <c r="CD103" s="44"/>
      <c r="CE103" s="44"/>
      <c r="CF103" s="44"/>
      <c r="CG103" s="44"/>
      <c r="CH103" s="44"/>
      <c r="CI103" s="44"/>
      <c r="CJ103" s="44"/>
      <c r="CK103" s="44"/>
      <c r="CL103" s="44"/>
      <c r="CM103" s="44"/>
      <c r="CN103" s="44"/>
      <c r="CO103" s="42">
        <v>18.0</v>
      </c>
      <c r="CP103" s="44"/>
      <c r="CQ103" s="44"/>
      <c r="CR103" s="44"/>
      <c r="CS103" s="44"/>
      <c r="CT103" s="44"/>
      <c r="CU103" s="44"/>
      <c r="CV103" s="44"/>
      <c r="CW103" s="44"/>
      <c r="CX103" s="44"/>
      <c r="CY103" s="44"/>
      <c r="CZ103" s="44"/>
      <c r="DA103" s="44"/>
      <c r="DB103" s="44"/>
      <c r="DC103" s="44"/>
      <c r="DD103" s="44"/>
      <c r="DE103" s="44"/>
      <c r="DF103" s="44"/>
      <c r="DG103" s="42">
        <v>15.0</v>
      </c>
      <c r="DH103" s="44"/>
      <c r="DI103" s="44"/>
      <c r="DJ103" s="44"/>
      <c r="DK103" s="44"/>
      <c r="DL103" s="44"/>
      <c r="DM103" s="42">
        <v>1.0</v>
      </c>
      <c r="DN103" s="42"/>
      <c r="DO103" s="44"/>
      <c r="DP103" s="42">
        <v>1.0</v>
      </c>
      <c r="DQ103" s="44"/>
      <c r="DR103" s="42"/>
      <c r="DS103" s="42"/>
      <c r="DT103" s="44"/>
      <c r="DU103" s="44"/>
      <c r="DV103" s="44"/>
      <c r="DW103" s="44"/>
      <c r="DX103" s="44"/>
      <c r="DY103" s="44"/>
      <c r="DZ103" s="44"/>
      <c r="EA103" s="44"/>
      <c r="EB103" s="44"/>
      <c r="EC103" s="44"/>
      <c r="ED103" s="44"/>
      <c r="EE103" s="44"/>
      <c r="EF103" s="44"/>
      <c r="EG103" s="44"/>
      <c r="EH103" s="44"/>
      <c r="EI103" s="44"/>
      <c r="EJ103" s="42">
        <v>1.0</v>
      </c>
      <c r="EK103" s="44"/>
      <c r="EL103" s="44"/>
      <c r="EM103" s="44"/>
      <c r="EN103" s="44"/>
      <c r="EO103" s="44"/>
      <c r="EP103" s="44"/>
      <c r="EQ103" s="44"/>
      <c r="ER103" s="44"/>
      <c r="ES103" s="44"/>
      <c r="ET103" s="44"/>
      <c r="EU103" s="44"/>
      <c r="EV103" s="44"/>
      <c r="EW103" s="44"/>
      <c r="EX103" s="44"/>
      <c r="EY103" s="44"/>
      <c r="EZ103" s="44"/>
      <c r="FA103" s="44"/>
      <c r="FB103" s="42">
        <v>3.0</v>
      </c>
      <c r="FC103" s="44"/>
      <c r="FD103" s="44"/>
      <c r="FE103" s="42">
        <v>1.0</v>
      </c>
      <c r="FF103" s="44"/>
      <c r="FG103" s="44"/>
      <c r="FH103" s="44"/>
      <c r="FI103" s="42">
        <v>1.0</v>
      </c>
      <c r="FJ103" s="44"/>
      <c r="FK103" s="44"/>
      <c r="FL103" s="44"/>
      <c r="FM103" s="44"/>
      <c r="FN103" s="44"/>
      <c r="FO103" s="44"/>
      <c r="FP103" s="44"/>
      <c r="FQ103" s="44"/>
      <c r="FR103" s="42"/>
      <c r="FS103" s="42">
        <v>138.0</v>
      </c>
      <c r="FT103" s="44"/>
      <c r="FU103" s="44"/>
      <c r="FV103" s="44"/>
      <c r="FW103" s="44"/>
      <c r="FX103" s="44"/>
      <c r="FY103" s="44"/>
      <c r="FZ103" s="44"/>
      <c r="GA103" s="42">
        <v>2.0</v>
      </c>
      <c r="GB103" s="42"/>
      <c r="GC103" s="44"/>
      <c r="GD103" s="44"/>
      <c r="GE103" s="44"/>
      <c r="GF103" s="44"/>
      <c r="GG103" s="44"/>
      <c r="GH103" s="44"/>
      <c r="GI103" s="44"/>
      <c r="GJ103" s="44"/>
      <c r="GK103" s="44"/>
      <c r="GL103" s="44"/>
      <c r="GM103" s="44"/>
      <c r="GN103" s="44"/>
      <c r="GO103" s="44"/>
      <c r="GP103" s="44"/>
      <c r="GQ103" s="44"/>
      <c r="GR103" s="44"/>
      <c r="GS103" s="44"/>
      <c r="GT103" s="44"/>
      <c r="GU103" s="44"/>
      <c r="GV103" s="44"/>
      <c r="GW103" s="44"/>
      <c r="GX103" s="44"/>
      <c r="GY103" s="44"/>
      <c r="GZ103" s="44"/>
      <c r="HA103" s="44"/>
      <c r="HB103" s="44"/>
      <c r="HC103" s="44"/>
      <c r="HD103" s="44"/>
      <c r="HE103" s="44"/>
      <c r="HF103" s="44"/>
      <c r="HG103" s="44"/>
      <c r="HH103" s="44"/>
      <c r="HI103" s="44"/>
    </row>
    <row r="104">
      <c r="A104" s="23">
        <v>42834.0</v>
      </c>
      <c r="B104" s="4" t="s">
        <v>301</v>
      </c>
      <c r="C104" s="28">
        <f t="shared" si="14"/>
        <v>98</v>
      </c>
      <c r="D104" s="4">
        <v>22.065599</v>
      </c>
      <c r="E104" s="4">
        <v>-159.317703</v>
      </c>
      <c r="F104" s="4" t="s">
        <v>344</v>
      </c>
      <c r="G104" s="24">
        <v>0.36875</v>
      </c>
      <c r="H104" s="24">
        <v>0.41041666666666665</v>
      </c>
      <c r="I104" s="4">
        <v>4.0</v>
      </c>
      <c r="J104" s="4">
        <v>15.0</v>
      </c>
      <c r="K104" s="4" t="s">
        <v>198</v>
      </c>
      <c r="L104" s="4">
        <v>8.0</v>
      </c>
      <c r="M104" s="4">
        <v>25.0</v>
      </c>
      <c r="N104" s="4" t="s">
        <v>345</v>
      </c>
      <c r="P104" s="4">
        <v>25.0</v>
      </c>
      <c r="R104" s="4">
        <v>1.0</v>
      </c>
      <c r="AA104" s="4"/>
      <c r="AB104" s="4">
        <v>6.0</v>
      </c>
      <c r="AD104" s="4">
        <v>1.0</v>
      </c>
      <c r="BA104" s="4"/>
      <c r="BB104" s="4">
        <v>1.0</v>
      </c>
      <c r="BN104" s="4">
        <v>70.0</v>
      </c>
      <c r="BV104" s="4">
        <v>10.0</v>
      </c>
      <c r="DM104" s="4">
        <v>28.0</v>
      </c>
      <c r="DN104" s="4">
        <v>1.0</v>
      </c>
      <c r="DR104" s="4"/>
      <c r="DS104" s="4">
        <v>6.0</v>
      </c>
      <c r="EJ104" s="4">
        <v>140.0</v>
      </c>
      <c r="FB104" s="4">
        <v>6.0</v>
      </c>
      <c r="FI104" s="4">
        <v>17.0</v>
      </c>
      <c r="FR104" s="4">
        <v>30.0</v>
      </c>
      <c r="FS104" s="4">
        <v>108.0</v>
      </c>
      <c r="GB104" s="4">
        <v>53.0</v>
      </c>
      <c r="GH104" s="25">
        <f t="shared" ref="GH104:GH111" si="45">count(R104:GG104)</f>
        <v>15</v>
      </c>
      <c r="GI104" s="25">
        <f t="shared" ref="GI104:GI111" si="46">countif(R104:GG104,"&gt;=2")</f>
        <v>11</v>
      </c>
      <c r="GJ104" s="25">
        <f t="shared" ref="GJ104:GJ111" si="47">countif(R104:GG104,"&gt;=5")</f>
        <v>11</v>
      </c>
      <c r="GK104" s="25">
        <f t="shared" ref="GK104:GK111" si="48">sum(R104:GG104)</f>
        <v>478</v>
      </c>
      <c r="GL104" s="25">
        <f t="shared" ref="GL104:GL111" si="49">25*P104</f>
        <v>625</v>
      </c>
      <c r="GM104" s="25">
        <f t="shared" ref="GM104:GM111" si="50">GL104-GK104</f>
        <v>147</v>
      </c>
    </row>
    <row r="105">
      <c r="A105" s="23">
        <v>42835.0</v>
      </c>
      <c r="B105" s="4" t="s">
        <v>216</v>
      </c>
      <c r="C105" s="28">
        <f t="shared" si="14"/>
        <v>99</v>
      </c>
      <c r="D105" s="4">
        <v>21.3002</v>
      </c>
      <c r="E105" s="4">
        <v>-157.882599</v>
      </c>
      <c r="F105" s="4" t="s">
        <v>272</v>
      </c>
      <c r="G105" s="24">
        <v>0.3888888888888889</v>
      </c>
      <c r="H105" s="24">
        <v>0.4236111111111111</v>
      </c>
      <c r="I105" s="4">
        <v>7.0</v>
      </c>
      <c r="J105" s="4">
        <v>20.0</v>
      </c>
      <c r="K105" s="4" t="s">
        <v>198</v>
      </c>
      <c r="L105" s="4">
        <v>5.0</v>
      </c>
      <c r="M105" s="4">
        <v>33.0</v>
      </c>
      <c r="N105" s="4" t="s">
        <v>346</v>
      </c>
      <c r="P105" s="4">
        <v>33.0</v>
      </c>
      <c r="W105" s="4"/>
      <c r="X105" s="4">
        <v>1.0</v>
      </c>
      <c r="AA105" s="4"/>
      <c r="AB105" s="4">
        <v>17.0</v>
      </c>
      <c r="AC105" s="4">
        <v>2.0</v>
      </c>
      <c r="AI105" s="4">
        <v>2.0</v>
      </c>
      <c r="BM105" s="4">
        <v>20.0</v>
      </c>
      <c r="BV105" s="4">
        <v>3.0</v>
      </c>
      <c r="BZ105" s="4">
        <v>1.0</v>
      </c>
      <c r="CC105" s="4">
        <v>2.0</v>
      </c>
      <c r="DF105" s="4"/>
      <c r="DG105" s="4">
        <v>1.0</v>
      </c>
      <c r="DH105" s="4">
        <v>15.0</v>
      </c>
      <c r="DO105" s="4">
        <v>2.0</v>
      </c>
      <c r="EC105" s="4">
        <v>4.0</v>
      </c>
      <c r="EH105" s="4">
        <v>1.0</v>
      </c>
      <c r="EJ105" s="4">
        <v>10.0</v>
      </c>
      <c r="FI105" s="4">
        <v>56.0</v>
      </c>
      <c r="FS105" s="4">
        <v>365.0</v>
      </c>
      <c r="GH105" s="25">
        <f t="shared" si="45"/>
        <v>16</v>
      </c>
      <c r="GI105" s="25">
        <f t="shared" si="46"/>
        <v>12</v>
      </c>
      <c r="GJ105" s="25">
        <f t="shared" si="47"/>
        <v>6</v>
      </c>
      <c r="GK105" s="25">
        <f t="shared" si="48"/>
        <v>502</v>
      </c>
      <c r="GL105" s="25">
        <f t="shared" si="49"/>
        <v>825</v>
      </c>
      <c r="GM105" s="25">
        <f t="shared" si="50"/>
        <v>323</v>
      </c>
    </row>
    <row r="106">
      <c r="A106" s="23">
        <v>42836.0</v>
      </c>
      <c r="B106" s="4" t="s">
        <v>301</v>
      </c>
      <c r="C106" s="28">
        <f t="shared" si="14"/>
        <v>100</v>
      </c>
      <c r="D106" s="4">
        <v>22.065599</v>
      </c>
      <c r="E106" s="4">
        <v>-159.317703</v>
      </c>
      <c r="F106" s="4" t="s">
        <v>347</v>
      </c>
      <c r="G106" s="24">
        <v>0.3958333333333333</v>
      </c>
      <c r="H106" s="24">
        <v>0.44375</v>
      </c>
      <c r="I106" s="4">
        <v>6.0</v>
      </c>
      <c r="J106" s="4">
        <v>15.0</v>
      </c>
      <c r="K106" s="4" t="s">
        <v>198</v>
      </c>
      <c r="L106" s="4">
        <v>7.0</v>
      </c>
      <c r="M106" s="4">
        <v>33.0</v>
      </c>
      <c r="N106" s="4" t="s">
        <v>348</v>
      </c>
      <c r="P106" s="4">
        <v>33.0</v>
      </c>
      <c r="W106" s="4"/>
      <c r="X106" s="4">
        <v>1.0</v>
      </c>
      <c r="AA106" s="4"/>
      <c r="AB106" s="4">
        <v>5.0</v>
      </c>
      <c r="AN106" s="4">
        <v>1.0</v>
      </c>
      <c r="AU106" s="4">
        <v>2.0</v>
      </c>
      <c r="AW106" s="4"/>
      <c r="AX106" s="4">
        <v>13.0</v>
      </c>
      <c r="AZ106" s="4">
        <v>1.0</v>
      </c>
      <c r="BA106" s="4"/>
      <c r="BB106" s="4">
        <v>4.0</v>
      </c>
      <c r="BM106" s="4">
        <v>3.0</v>
      </c>
      <c r="BN106" s="4">
        <v>62.0</v>
      </c>
      <c r="BU106" s="4">
        <v>7.0</v>
      </c>
      <c r="BV106" s="4">
        <v>36.0</v>
      </c>
      <c r="BZ106" s="4">
        <v>1.0</v>
      </c>
      <c r="CS106" s="4">
        <v>1.0</v>
      </c>
      <c r="CV106" s="4">
        <v>2.0</v>
      </c>
      <c r="DJ106" s="4">
        <v>22.0</v>
      </c>
      <c r="DL106" s="4">
        <v>14.0</v>
      </c>
      <c r="DM106" s="4">
        <v>5.0</v>
      </c>
      <c r="DR106" s="4"/>
      <c r="DS106" s="4">
        <v>11.0</v>
      </c>
      <c r="DU106" s="4"/>
      <c r="DV106" s="4">
        <v>1.0</v>
      </c>
      <c r="DZ106" s="4">
        <v>1.0</v>
      </c>
      <c r="EJ106" s="4">
        <v>159.0</v>
      </c>
      <c r="ET106" s="4"/>
      <c r="EU106" s="4"/>
      <c r="EV106" s="4">
        <v>3.0</v>
      </c>
      <c r="FB106" s="4">
        <v>2.0</v>
      </c>
      <c r="FF106" s="4">
        <v>18.0</v>
      </c>
      <c r="FI106" s="4">
        <v>20.0</v>
      </c>
      <c r="FS106" s="4">
        <v>159.0</v>
      </c>
      <c r="GB106" s="4">
        <v>1.0</v>
      </c>
      <c r="GH106" s="25">
        <f t="shared" si="45"/>
        <v>27</v>
      </c>
      <c r="GI106" s="25">
        <f t="shared" si="46"/>
        <v>19</v>
      </c>
      <c r="GJ106" s="25">
        <f t="shared" si="47"/>
        <v>13</v>
      </c>
      <c r="GK106" s="25">
        <f t="shared" si="48"/>
        <v>555</v>
      </c>
      <c r="GL106" s="25">
        <f t="shared" si="49"/>
        <v>825</v>
      </c>
      <c r="GM106" s="25">
        <f t="shared" si="50"/>
        <v>270</v>
      </c>
    </row>
    <row r="107">
      <c r="A107" s="23">
        <v>42836.0</v>
      </c>
      <c r="B107" s="4" t="s">
        <v>266</v>
      </c>
      <c r="C107" s="28">
        <f t="shared" si="14"/>
        <v>101</v>
      </c>
      <c r="D107" s="4">
        <v>22.060684</v>
      </c>
      <c r="E107" s="4">
        <v>-159.318512</v>
      </c>
      <c r="F107" s="4" t="s">
        <v>297</v>
      </c>
      <c r="G107" s="24">
        <v>0.4041666666666667</v>
      </c>
      <c r="H107" s="24">
        <v>0.4409722222222222</v>
      </c>
      <c r="I107" s="4">
        <v>6.0</v>
      </c>
      <c r="J107" s="4">
        <v>14.0</v>
      </c>
      <c r="K107" s="4" t="s">
        <v>198</v>
      </c>
      <c r="L107" s="4">
        <v>8.0</v>
      </c>
      <c r="M107" s="4">
        <v>37.0</v>
      </c>
      <c r="N107" s="4" t="s">
        <v>349</v>
      </c>
      <c r="P107" s="4">
        <v>37.0</v>
      </c>
      <c r="T107" s="4">
        <v>1.0</v>
      </c>
      <c r="AA107" s="4">
        <v>3.0</v>
      </c>
      <c r="AV107" s="4">
        <v>1.0</v>
      </c>
      <c r="BA107" s="4"/>
      <c r="BB107" s="4">
        <v>1.0</v>
      </c>
      <c r="BN107" s="4">
        <v>139.0</v>
      </c>
      <c r="BV107" s="4">
        <v>10.0</v>
      </c>
      <c r="CW107" s="4"/>
      <c r="CX107" s="4"/>
      <c r="CY107" s="4"/>
      <c r="CZ107" s="4">
        <v>1.0</v>
      </c>
      <c r="DM107" s="4">
        <v>1.0</v>
      </c>
      <c r="DR107" s="4"/>
      <c r="DS107" s="4">
        <v>154.0</v>
      </c>
      <c r="DU107" s="4"/>
      <c r="DV107" s="4">
        <v>8.0</v>
      </c>
      <c r="EJ107" s="4">
        <v>181.0</v>
      </c>
      <c r="FB107" s="4">
        <v>6.0</v>
      </c>
      <c r="FC107" s="4">
        <v>2.0</v>
      </c>
      <c r="FF107" s="4">
        <v>28.0</v>
      </c>
      <c r="FI107" s="4">
        <v>4.0</v>
      </c>
      <c r="FR107" s="4">
        <v>21.0</v>
      </c>
      <c r="FS107" s="4">
        <v>72.0</v>
      </c>
      <c r="FU107" s="4">
        <v>1.0</v>
      </c>
      <c r="GH107" s="25">
        <f t="shared" si="45"/>
        <v>18</v>
      </c>
      <c r="GI107" s="25">
        <f t="shared" si="46"/>
        <v>12</v>
      </c>
      <c r="GJ107" s="25">
        <f t="shared" si="47"/>
        <v>9</v>
      </c>
      <c r="GK107" s="25">
        <f t="shared" si="48"/>
        <v>634</v>
      </c>
      <c r="GL107" s="25">
        <f t="shared" si="49"/>
        <v>925</v>
      </c>
      <c r="GM107" s="25">
        <f t="shared" si="50"/>
        <v>291</v>
      </c>
    </row>
    <row r="108">
      <c r="A108" s="23">
        <v>42837.0</v>
      </c>
      <c r="B108" s="4" t="s">
        <v>266</v>
      </c>
      <c r="C108" s="28">
        <f t="shared" si="14"/>
        <v>102</v>
      </c>
      <c r="D108" s="4">
        <v>22.060684</v>
      </c>
      <c r="E108" s="4">
        <v>-159.318512</v>
      </c>
      <c r="F108" s="4" t="s">
        <v>350</v>
      </c>
      <c r="G108" s="24">
        <v>0.3611111111111111</v>
      </c>
      <c r="H108" s="24">
        <v>0.4409722222222222</v>
      </c>
      <c r="I108" s="4">
        <v>6.0</v>
      </c>
      <c r="J108" s="4">
        <v>13.0</v>
      </c>
      <c r="K108" s="4" t="s">
        <v>198</v>
      </c>
      <c r="L108" s="4">
        <v>5.0</v>
      </c>
      <c r="M108" s="4">
        <v>28.0</v>
      </c>
      <c r="N108" s="4" t="s">
        <v>351</v>
      </c>
      <c r="P108" s="4">
        <v>28.0</v>
      </c>
      <c r="AN108" s="4">
        <v>1.0</v>
      </c>
      <c r="AZ108" s="4">
        <v>5.0</v>
      </c>
      <c r="BN108" s="4">
        <v>215.0</v>
      </c>
      <c r="BV108" s="4">
        <v>5.0</v>
      </c>
      <c r="DD108" s="4">
        <v>1.0</v>
      </c>
      <c r="DM108" s="4">
        <v>77.0</v>
      </c>
      <c r="DU108" s="4"/>
      <c r="DV108" s="4">
        <v>10.0</v>
      </c>
      <c r="EJ108" s="4">
        <v>144.0</v>
      </c>
      <c r="FR108" s="4">
        <v>5.0</v>
      </c>
      <c r="FS108" s="4">
        <v>47.0</v>
      </c>
      <c r="GH108" s="25">
        <f t="shared" si="45"/>
        <v>10</v>
      </c>
      <c r="GI108" s="25">
        <f t="shared" si="46"/>
        <v>8</v>
      </c>
      <c r="GJ108" s="25">
        <f t="shared" si="47"/>
        <v>8</v>
      </c>
      <c r="GK108" s="25">
        <f t="shared" si="48"/>
        <v>510</v>
      </c>
      <c r="GL108" s="25">
        <f t="shared" si="49"/>
        <v>700</v>
      </c>
      <c r="GM108" s="25">
        <f t="shared" si="50"/>
        <v>190</v>
      </c>
    </row>
    <row r="109">
      <c r="A109" s="23">
        <v>42837.0</v>
      </c>
      <c r="B109" s="4" t="s">
        <v>355</v>
      </c>
      <c r="C109" s="28">
        <f t="shared" si="14"/>
        <v>103</v>
      </c>
      <c r="D109" s="4">
        <v>21.2843</v>
      </c>
      <c r="E109" s="4">
        <v>-157.675293</v>
      </c>
      <c r="F109" s="4" t="s">
        <v>356</v>
      </c>
      <c r="G109" s="24">
        <v>0.39791666666666664</v>
      </c>
      <c r="H109" s="24">
        <v>0.4409722222222222</v>
      </c>
      <c r="I109" s="4">
        <v>7.0</v>
      </c>
      <c r="J109" s="4">
        <v>25.0</v>
      </c>
      <c r="K109" s="4" t="s">
        <v>198</v>
      </c>
      <c r="L109" s="4">
        <v>4.0</v>
      </c>
      <c r="M109" s="4">
        <v>23.0</v>
      </c>
      <c r="N109" s="4" t="s">
        <v>357</v>
      </c>
      <c r="P109" s="4">
        <v>23.0</v>
      </c>
      <c r="AB109" s="4">
        <v>5.0</v>
      </c>
      <c r="AC109" s="4">
        <v>1.0</v>
      </c>
      <c r="AD109" s="4">
        <v>6.0</v>
      </c>
      <c r="AG109" s="4">
        <v>11.0</v>
      </c>
      <c r="BK109" s="4">
        <v>2.0</v>
      </c>
      <c r="BM109" s="4">
        <v>22.0</v>
      </c>
      <c r="BZ109" s="4">
        <v>2.0</v>
      </c>
      <c r="CG109" s="4"/>
      <c r="CH109" s="4">
        <v>24.0</v>
      </c>
      <c r="EJ109" s="4">
        <v>18.0</v>
      </c>
      <c r="EK109" s="4">
        <v>1.0</v>
      </c>
      <c r="FB109" s="4">
        <v>4.0</v>
      </c>
      <c r="FF109" s="4">
        <v>16.0</v>
      </c>
      <c r="FR109" s="4">
        <v>3.0</v>
      </c>
      <c r="FS109" s="4">
        <v>157.0</v>
      </c>
      <c r="FU109" s="4">
        <v>3.0</v>
      </c>
      <c r="GH109" s="25">
        <f t="shared" si="45"/>
        <v>15</v>
      </c>
      <c r="GI109" s="25">
        <f t="shared" si="46"/>
        <v>13</v>
      </c>
      <c r="GJ109" s="25">
        <f t="shared" si="47"/>
        <v>8</v>
      </c>
      <c r="GK109" s="25">
        <f t="shared" si="48"/>
        <v>275</v>
      </c>
      <c r="GL109" s="25">
        <f t="shared" si="49"/>
        <v>575</v>
      </c>
      <c r="GM109" s="25">
        <f t="shared" si="50"/>
        <v>300</v>
      </c>
    </row>
    <row r="110">
      <c r="A110" s="23">
        <v>42838.0</v>
      </c>
      <c r="B110" s="4" t="s">
        <v>259</v>
      </c>
      <c r="C110" s="28">
        <f t="shared" si="14"/>
        <v>104</v>
      </c>
      <c r="D110" s="4">
        <v>19.737894</v>
      </c>
      <c r="E110" s="4">
        <v>-155.034058</v>
      </c>
      <c r="F110" s="4" t="s">
        <v>358</v>
      </c>
      <c r="G110" s="24">
        <v>0.4027777777777778</v>
      </c>
      <c r="H110" s="24">
        <v>0.47847222222222224</v>
      </c>
      <c r="I110" s="4">
        <v>4.0</v>
      </c>
      <c r="J110" s="4">
        <v>60.0</v>
      </c>
      <c r="K110" s="4" t="s">
        <v>360</v>
      </c>
      <c r="L110" s="4">
        <v>10.0</v>
      </c>
      <c r="M110" s="4">
        <v>27.0</v>
      </c>
      <c r="N110" s="4" t="s">
        <v>361</v>
      </c>
      <c r="P110" s="4">
        <v>27.0</v>
      </c>
      <c r="AC110" s="4">
        <v>27.0</v>
      </c>
      <c r="AF110" s="4">
        <v>2.0</v>
      </c>
      <c r="AI110" s="4">
        <v>1.0</v>
      </c>
      <c r="BK110" s="4">
        <v>11.0</v>
      </c>
      <c r="BM110" s="4">
        <v>31.0</v>
      </c>
      <c r="BN110" s="4">
        <v>21.0</v>
      </c>
      <c r="BQ110" s="4">
        <v>3.0</v>
      </c>
      <c r="CG110" s="4"/>
      <c r="CH110" s="4">
        <v>1.0</v>
      </c>
      <c r="CO110" s="4">
        <v>5.0</v>
      </c>
      <c r="ED110" s="4">
        <v>18.0</v>
      </c>
      <c r="FB110" s="4">
        <v>7.0</v>
      </c>
      <c r="FF110" s="4">
        <v>2.0</v>
      </c>
      <c r="FS110" s="4">
        <v>230.0</v>
      </c>
      <c r="FU110" s="4">
        <v>3.0</v>
      </c>
      <c r="FV110" s="4"/>
      <c r="FW110" s="4">
        <v>35.0</v>
      </c>
      <c r="GH110" s="25">
        <f t="shared" si="45"/>
        <v>15</v>
      </c>
      <c r="GI110" s="25">
        <f t="shared" si="46"/>
        <v>13</v>
      </c>
      <c r="GJ110" s="25">
        <f t="shared" si="47"/>
        <v>9</v>
      </c>
      <c r="GK110" s="25">
        <f t="shared" si="48"/>
        <v>397</v>
      </c>
      <c r="GL110" s="25">
        <f t="shared" si="49"/>
        <v>675</v>
      </c>
      <c r="GM110" s="25">
        <f t="shared" si="50"/>
        <v>278</v>
      </c>
    </row>
    <row r="111">
      <c r="A111" s="23">
        <v>42838.0</v>
      </c>
      <c r="B111" s="4" t="s">
        <v>352</v>
      </c>
      <c r="C111" s="28">
        <f t="shared" si="14"/>
        <v>105</v>
      </c>
      <c r="D111" s="4">
        <v>21.7057</v>
      </c>
      <c r="E111" s="4">
        <v>-157.995697</v>
      </c>
      <c r="F111" s="4" t="s">
        <v>353</v>
      </c>
      <c r="G111" s="24">
        <v>0.4375</v>
      </c>
      <c r="H111" s="24">
        <v>0.4791666666666667</v>
      </c>
      <c r="I111" s="4">
        <v>9.0</v>
      </c>
      <c r="J111" s="4">
        <v>16.0</v>
      </c>
      <c r="K111" s="4" t="s">
        <v>198</v>
      </c>
      <c r="L111" s="4">
        <v>10.0</v>
      </c>
      <c r="M111" s="4">
        <v>40.0</v>
      </c>
      <c r="N111" s="4" t="s">
        <v>363</v>
      </c>
      <c r="O111" s="4" t="s">
        <v>364</v>
      </c>
      <c r="P111" s="4">
        <v>40.0</v>
      </c>
      <c r="AI111" s="4">
        <v>1.0</v>
      </c>
      <c r="AN111" s="4">
        <v>1.0</v>
      </c>
      <c r="AU111" s="4">
        <v>1.0</v>
      </c>
      <c r="BM111" s="4">
        <v>4.0</v>
      </c>
      <c r="BN111" s="4">
        <v>2.0</v>
      </c>
      <c r="BV111" s="4">
        <v>1.0</v>
      </c>
      <c r="CC111" s="4">
        <v>8.0</v>
      </c>
      <c r="CD111" s="4">
        <v>3.0</v>
      </c>
      <c r="CS111" s="4">
        <v>7.0</v>
      </c>
      <c r="DM111" s="4">
        <v>9.0</v>
      </c>
      <c r="DU111" s="4"/>
      <c r="DV111" s="4">
        <v>6.0</v>
      </c>
      <c r="DZ111" s="4">
        <v>2.0</v>
      </c>
      <c r="EJ111" s="4">
        <v>344.0</v>
      </c>
      <c r="FB111" s="4">
        <v>2.0</v>
      </c>
      <c r="FH111" s="4">
        <v>2.0</v>
      </c>
      <c r="FR111" s="4">
        <v>25.0</v>
      </c>
      <c r="FS111" s="4">
        <v>133.0</v>
      </c>
      <c r="GC111" s="4">
        <v>3.0</v>
      </c>
      <c r="GH111" s="25">
        <f t="shared" si="45"/>
        <v>18</v>
      </c>
      <c r="GI111" s="25">
        <f t="shared" si="46"/>
        <v>14</v>
      </c>
      <c r="GJ111" s="25">
        <f t="shared" si="47"/>
        <v>7</v>
      </c>
      <c r="GK111" s="25">
        <f t="shared" si="48"/>
        <v>554</v>
      </c>
      <c r="GL111" s="25">
        <f t="shared" si="49"/>
        <v>1000</v>
      </c>
      <c r="GM111" s="25">
        <f t="shared" si="50"/>
        <v>446</v>
      </c>
    </row>
    <row r="112">
      <c r="A112" s="41">
        <v>42838.0</v>
      </c>
      <c r="B112" s="42" t="s">
        <v>226</v>
      </c>
      <c r="C112" s="28">
        <f t="shared" si="14"/>
        <v>106</v>
      </c>
      <c r="D112" s="42">
        <v>21.706499</v>
      </c>
      <c r="E112" s="42">
        <v>-157.998505</v>
      </c>
      <c r="F112" s="42" t="s">
        <v>353</v>
      </c>
      <c r="G112" s="43">
        <v>0.4375</v>
      </c>
      <c r="H112" s="43">
        <v>0.4583333333333333</v>
      </c>
      <c r="I112" s="42">
        <v>5.0</v>
      </c>
      <c r="J112" s="42">
        <v>10.0</v>
      </c>
      <c r="K112" s="42" t="s">
        <v>198</v>
      </c>
      <c r="L112" s="42">
        <v>3.0</v>
      </c>
      <c r="M112" s="42">
        <v>7.0</v>
      </c>
      <c r="N112" s="42" t="s">
        <v>439</v>
      </c>
      <c r="O112" s="42"/>
      <c r="P112" s="42"/>
      <c r="Q112" s="44"/>
      <c r="R112" s="42">
        <v>1.0</v>
      </c>
      <c r="S112" s="44"/>
      <c r="T112" s="44"/>
      <c r="U112" s="44"/>
      <c r="V112" s="44"/>
      <c r="W112" s="44"/>
      <c r="X112" s="44"/>
      <c r="Y112" s="44"/>
      <c r="Z112" s="44"/>
      <c r="AA112" s="44"/>
      <c r="AB112" s="42">
        <v>1.0</v>
      </c>
      <c r="AC112" s="44"/>
      <c r="AD112" s="44"/>
      <c r="AE112" s="42"/>
      <c r="AF112" s="44"/>
      <c r="AG112" s="44"/>
      <c r="AH112" s="44"/>
      <c r="AI112" s="42"/>
      <c r="AJ112" s="44"/>
      <c r="AK112" s="44"/>
      <c r="AL112" s="44"/>
      <c r="AM112" s="44"/>
      <c r="AN112" s="44"/>
      <c r="AO112" s="44"/>
      <c r="AP112" s="44"/>
      <c r="AQ112" s="44"/>
      <c r="AR112" s="44"/>
      <c r="AS112" s="44"/>
      <c r="AT112" s="44"/>
      <c r="AU112" s="44"/>
      <c r="AV112" s="44"/>
      <c r="AW112" s="42"/>
      <c r="AX112" s="44"/>
      <c r="AY112" s="44"/>
      <c r="AZ112" s="44"/>
      <c r="BA112" s="42"/>
      <c r="BB112" s="42">
        <v>3.0</v>
      </c>
      <c r="BC112" s="44"/>
      <c r="BD112" s="44"/>
      <c r="BE112" s="44"/>
      <c r="BF112" s="44"/>
      <c r="BG112" s="44"/>
      <c r="BH112" s="44"/>
      <c r="BI112" s="44"/>
      <c r="BJ112" s="44"/>
      <c r="BK112" s="42">
        <v>3.0</v>
      </c>
      <c r="BL112" s="44"/>
      <c r="BM112" s="42"/>
      <c r="BN112" s="44"/>
      <c r="BO112" s="44"/>
      <c r="BP112" s="44"/>
      <c r="BQ112" s="44"/>
      <c r="BR112" s="44"/>
      <c r="BS112" s="44"/>
      <c r="BT112" s="44"/>
      <c r="BU112" s="44"/>
      <c r="BV112" s="42"/>
      <c r="BW112" s="44"/>
      <c r="BX112" s="44"/>
      <c r="BY112" s="44"/>
      <c r="BZ112" s="42"/>
      <c r="CA112" s="44"/>
      <c r="CB112" s="44"/>
      <c r="CC112" s="44"/>
      <c r="CD112" s="44"/>
      <c r="CE112" s="44"/>
      <c r="CF112" s="44"/>
      <c r="CG112" s="44"/>
      <c r="CH112" s="44"/>
      <c r="CI112" s="44"/>
      <c r="CJ112" s="44"/>
      <c r="CK112" s="44"/>
      <c r="CL112" s="44"/>
      <c r="CM112" s="44"/>
      <c r="CN112" s="44"/>
      <c r="CO112" s="44"/>
      <c r="CP112" s="44"/>
      <c r="CQ112" s="44"/>
      <c r="CR112" s="44"/>
      <c r="CS112" s="42">
        <v>14.0</v>
      </c>
      <c r="CT112" s="44"/>
      <c r="CU112" s="44"/>
      <c r="CV112" s="44"/>
      <c r="CW112" s="44"/>
      <c r="CX112" s="44"/>
      <c r="CY112" s="44"/>
      <c r="CZ112" s="44"/>
      <c r="DA112" s="44"/>
      <c r="DB112" s="44"/>
      <c r="DC112" s="44"/>
      <c r="DD112" s="44"/>
      <c r="DE112" s="44"/>
      <c r="DF112" s="42"/>
      <c r="DG112" s="42"/>
      <c r="DH112" s="44"/>
      <c r="DI112" s="44"/>
      <c r="DJ112" s="44"/>
      <c r="DK112" s="44"/>
      <c r="DL112" s="44"/>
      <c r="DM112" s="42"/>
      <c r="DN112" s="44"/>
      <c r="DO112" s="44"/>
      <c r="DP112" s="44"/>
      <c r="DQ112" s="44"/>
      <c r="DR112" s="42"/>
      <c r="DS112" s="42"/>
      <c r="DT112" s="44"/>
      <c r="DU112" s="44"/>
      <c r="DV112" s="42">
        <v>6.0</v>
      </c>
      <c r="DW112" s="44"/>
      <c r="DX112" s="44"/>
      <c r="DY112" s="44"/>
      <c r="DZ112" s="44"/>
      <c r="EA112" s="44"/>
      <c r="EB112" s="44"/>
      <c r="EC112" s="42"/>
      <c r="ED112" s="42">
        <v>1.0</v>
      </c>
      <c r="EE112" s="44"/>
      <c r="EF112" s="44"/>
      <c r="EG112" s="44"/>
      <c r="EH112" s="44"/>
      <c r="EI112" s="44"/>
      <c r="EJ112" s="42">
        <v>4.0</v>
      </c>
      <c r="EK112" s="42">
        <v>5.0</v>
      </c>
      <c r="EL112" s="44"/>
      <c r="EM112" s="44"/>
      <c r="EN112" s="44"/>
      <c r="EO112" s="44"/>
      <c r="EP112" s="44"/>
      <c r="EQ112" s="44"/>
      <c r="ER112" s="44"/>
      <c r="ES112" s="44"/>
      <c r="ET112" s="44"/>
      <c r="EU112" s="44"/>
      <c r="EV112" s="42">
        <v>2.0</v>
      </c>
      <c r="EW112" s="42">
        <v>1.0</v>
      </c>
      <c r="EX112" s="42"/>
      <c r="EY112" s="44"/>
      <c r="EZ112" s="44"/>
      <c r="FA112" s="44"/>
      <c r="FB112" s="42">
        <v>4.0</v>
      </c>
      <c r="FC112" s="44"/>
      <c r="FD112" s="44"/>
      <c r="FE112" s="44"/>
      <c r="FF112" s="42"/>
      <c r="FG112" s="44"/>
      <c r="FH112" s="44"/>
      <c r="FI112" s="42"/>
      <c r="FJ112" s="44"/>
      <c r="FK112" s="44"/>
      <c r="FL112" s="44"/>
      <c r="FM112" s="44"/>
      <c r="FN112" s="44"/>
      <c r="FO112" s="44"/>
      <c r="FP112" s="44"/>
      <c r="FQ112" s="44"/>
      <c r="FR112" s="44"/>
      <c r="FS112" s="42">
        <v>24.0</v>
      </c>
      <c r="FT112" s="44"/>
      <c r="FU112" s="44"/>
      <c r="FV112" s="42"/>
      <c r="FW112" s="42"/>
      <c r="FX112" s="44"/>
      <c r="FY112" s="44"/>
      <c r="FZ112" s="44"/>
      <c r="GA112" s="44"/>
      <c r="GB112" s="44"/>
      <c r="GC112" s="44"/>
      <c r="GD112" s="44"/>
      <c r="GE112" s="44"/>
      <c r="GF112" s="44"/>
      <c r="GG112" s="44"/>
      <c r="GH112" s="44"/>
      <c r="GI112" s="44"/>
      <c r="GJ112" s="44"/>
      <c r="GK112" s="44"/>
      <c r="GL112" s="44"/>
      <c r="GM112" s="44"/>
      <c r="GN112" s="44"/>
      <c r="GO112" s="44"/>
      <c r="GP112" s="44"/>
      <c r="GQ112" s="44"/>
      <c r="GR112" s="44"/>
      <c r="GS112" s="44"/>
      <c r="GT112" s="44"/>
      <c r="GU112" s="44"/>
      <c r="GV112" s="44"/>
      <c r="GW112" s="44"/>
      <c r="GX112" s="44"/>
      <c r="GY112" s="44"/>
      <c r="GZ112" s="44"/>
      <c r="HA112" s="44"/>
      <c r="HB112" s="44"/>
      <c r="HC112" s="44"/>
      <c r="HD112" s="44"/>
      <c r="HE112" s="44"/>
      <c r="HF112" s="44"/>
      <c r="HG112" s="44"/>
      <c r="HH112" s="44"/>
      <c r="HI112" s="44"/>
    </row>
    <row r="113">
      <c r="A113" s="23">
        <v>42844.0</v>
      </c>
      <c r="B113" s="4" t="s">
        <v>244</v>
      </c>
      <c r="C113" s="28">
        <f t="shared" si="14"/>
        <v>107</v>
      </c>
      <c r="D113" s="4">
        <v>21.310612</v>
      </c>
      <c r="E113" s="4">
        <v>-158.00441</v>
      </c>
      <c r="F113" s="4" t="s">
        <v>278</v>
      </c>
      <c r="G113" s="24">
        <v>0.3854166666666667</v>
      </c>
      <c r="H113" s="24">
        <v>0.46875</v>
      </c>
      <c r="I113" s="4">
        <v>6.0</v>
      </c>
      <c r="J113" s="4">
        <v>6.0</v>
      </c>
      <c r="K113" s="4" t="s">
        <v>198</v>
      </c>
      <c r="L113" s="4">
        <v>5.0</v>
      </c>
      <c r="M113" s="4">
        <v>24.0</v>
      </c>
      <c r="N113" s="4" t="s">
        <v>365</v>
      </c>
      <c r="O113" s="4" t="s">
        <v>295</v>
      </c>
      <c r="P113" s="4">
        <v>24.0</v>
      </c>
      <c r="R113" s="4">
        <v>9.0</v>
      </c>
      <c r="AE113" s="4">
        <v>2.0</v>
      </c>
      <c r="AI113" s="4">
        <v>8.0</v>
      </c>
      <c r="AW113" s="4">
        <v>2.0</v>
      </c>
      <c r="BA113" s="4"/>
      <c r="BB113" s="4">
        <v>1.0</v>
      </c>
      <c r="BM113" s="4">
        <v>2.0</v>
      </c>
      <c r="BV113" s="4">
        <v>3.0</v>
      </c>
      <c r="BZ113" s="4">
        <v>95.0</v>
      </c>
      <c r="DF113" s="4"/>
      <c r="DG113" s="4">
        <v>4.0</v>
      </c>
      <c r="DM113" s="4">
        <v>30.0</v>
      </c>
      <c r="DR113" s="4"/>
      <c r="DS113" s="4">
        <v>1.0</v>
      </c>
      <c r="EC113" s="4">
        <v>3.0</v>
      </c>
      <c r="EJ113" s="4">
        <v>288.0</v>
      </c>
      <c r="EX113" s="4">
        <v>1.0</v>
      </c>
      <c r="FF113" s="4">
        <v>1.0</v>
      </c>
      <c r="FI113" s="4">
        <v>33.0</v>
      </c>
      <c r="FS113" s="4">
        <v>20.0</v>
      </c>
      <c r="FV113" s="4"/>
      <c r="FW113" s="4">
        <v>1.0</v>
      </c>
      <c r="GH113" s="25">
        <f t="shared" ref="GH113:GH123" si="51">count(R113:GG113)</f>
        <v>18</v>
      </c>
      <c r="GI113" s="25">
        <f t="shared" ref="GI113:GI123" si="52">countif(R113:GG113,"&gt;=2")</f>
        <v>13</v>
      </c>
      <c r="GJ113" s="25">
        <f t="shared" ref="GJ113:GJ123" si="53">countif(R113:GG113,"&gt;=5")</f>
        <v>7</v>
      </c>
      <c r="GK113" s="25">
        <f t="shared" ref="GK113:GK123" si="54">sum(R113:GG113)</f>
        <v>504</v>
      </c>
      <c r="GL113" s="25">
        <f t="shared" ref="GL113:GL123" si="55">25*P113</f>
        <v>600</v>
      </c>
      <c r="GM113" s="25">
        <f t="shared" ref="GM113:GM123" si="56">GL113-GK113</f>
        <v>96</v>
      </c>
    </row>
    <row r="114">
      <c r="A114" s="23">
        <v>42844.0</v>
      </c>
      <c r="B114" s="4" t="s">
        <v>369</v>
      </c>
      <c r="C114" s="28">
        <f t="shared" si="14"/>
        <v>108</v>
      </c>
      <c r="D114" s="4">
        <v>21.888725</v>
      </c>
      <c r="E114" s="4">
        <v>-159.416412</v>
      </c>
      <c r="F114" s="4" t="s">
        <v>321</v>
      </c>
      <c r="G114" s="24">
        <v>0.3541666666666667</v>
      </c>
      <c r="H114" s="24">
        <v>0.5</v>
      </c>
      <c r="I114" s="4">
        <v>5.0</v>
      </c>
      <c r="J114" s="4">
        <v>18.0</v>
      </c>
      <c r="K114" s="4" t="s">
        <v>217</v>
      </c>
      <c r="L114" s="4">
        <v>5.0</v>
      </c>
      <c r="M114" s="4">
        <v>19.0</v>
      </c>
      <c r="N114" s="4" t="s">
        <v>370</v>
      </c>
      <c r="P114" s="4">
        <v>19.0</v>
      </c>
      <c r="AB114" s="4">
        <v>26.0</v>
      </c>
      <c r="AI114" s="4">
        <v>1.0</v>
      </c>
      <c r="AN114" s="4">
        <v>5.0</v>
      </c>
      <c r="BH114" s="4">
        <v>12.0</v>
      </c>
      <c r="BO114" s="4"/>
      <c r="BP114" s="4">
        <v>2.0</v>
      </c>
      <c r="BV114" s="4">
        <v>4.0</v>
      </c>
      <c r="BZ114" s="4">
        <v>28.0</v>
      </c>
      <c r="CS114" s="4">
        <v>1.0</v>
      </c>
      <c r="DR114" s="4"/>
      <c r="DS114" s="4">
        <v>30.0</v>
      </c>
      <c r="DU114" s="4"/>
      <c r="DV114" s="4">
        <v>45.0</v>
      </c>
      <c r="EJ114" s="4">
        <v>73.0</v>
      </c>
      <c r="FI114" s="4">
        <v>7.0</v>
      </c>
      <c r="FS114" s="4">
        <v>150.0</v>
      </c>
      <c r="GH114" s="25">
        <f t="shared" si="51"/>
        <v>13</v>
      </c>
      <c r="GI114" s="25">
        <f t="shared" si="52"/>
        <v>11</v>
      </c>
      <c r="GJ114" s="25">
        <f t="shared" si="53"/>
        <v>9</v>
      </c>
      <c r="GK114" s="25">
        <f t="shared" si="54"/>
        <v>384</v>
      </c>
      <c r="GL114" s="25">
        <f t="shared" si="55"/>
        <v>475</v>
      </c>
      <c r="GM114" s="25">
        <f t="shared" si="56"/>
        <v>91</v>
      </c>
    </row>
    <row r="115">
      <c r="A115" s="23">
        <v>42850.0</v>
      </c>
      <c r="B115" s="4" t="s">
        <v>244</v>
      </c>
      <c r="C115" s="28">
        <f t="shared" si="14"/>
        <v>109</v>
      </c>
      <c r="D115" s="4">
        <v>21.310612</v>
      </c>
      <c r="E115" s="4">
        <v>-158.00441</v>
      </c>
      <c r="F115" s="4" t="s">
        <v>326</v>
      </c>
      <c r="G115" s="24">
        <v>0.3958333333333333</v>
      </c>
      <c r="H115" s="24">
        <v>0.4583333333333333</v>
      </c>
      <c r="I115" s="4">
        <v>7.0</v>
      </c>
      <c r="J115" s="4">
        <v>10.0</v>
      </c>
      <c r="K115" s="4" t="s">
        <v>318</v>
      </c>
      <c r="L115" s="4">
        <v>5.0</v>
      </c>
      <c r="M115" s="4">
        <v>34.0</v>
      </c>
      <c r="N115" s="4" t="s">
        <v>371</v>
      </c>
      <c r="P115" s="4">
        <v>34.0</v>
      </c>
      <c r="R115" s="4">
        <v>14.0</v>
      </c>
      <c r="AB115" s="4">
        <v>1.0</v>
      </c>
      <c r="AC115" s="4">
        <v>14.0</v>
      </c>
      <c r="AE115" s="4">
        <v>7.0</v>
      </c>
      <c r="AI115" s="4">
        <v>1.0</v>
      </c>
      <c r="AM115" s="4">
        <v>2.0</v>
      </c>
      <c r="AN115" s="4">
        <v>11.0</v>
      </c>
      <c r="AT115" s="4">
        <v>1.0</v>
      </c>
      <c r="BA115" s="4"/>
      <c r="BB115" s="4">
        <v>3.0</v>
      </c>
      <c r="BM115" s="4">
        <v>1.0</v>
      </c>
      <c r="BV115" s="4">
        <v>60.0</v>
      </c>
      <c r="BZ115" s="4">
        <v>53.0</v>
      </c>
      <c r="CP115" s="4"/>
      <c r="CQ115" s="4"/>
      <c r="CR115" s="4">
        <v>4.0</v>
      </c>
      <c r="CW115" s="4"/>
      <c r="CX115" s="4"/>
      <c r="CY115" s="4">
        <v>2.0</v>
      </c>
      <c r="DF115" s="4"/>
      <c r="DG115" s="4">
        <v>12.0</v>
      </c>
      <c r="DM115" s="4">
        <v>22.0</v>
      </c>
      <c r="DO115" s="4">
        <v>2.0</v>
      </c>
      <c r="DU115" s="4"/>
      <c r="DV115" s="4">
        <v>9.0</v>
      </c>
      <c r="EJ115" s="4">
        <v>293.0</v>
      </c>
      <c r="EK115" s="4">
        <v>28.0</v>
      </c>
      <c r="EO115" s="4">
        <v>14.0</v>
      </c>
      <c r="FB115" s="4">
        <v>10.0</v>
      </c>
      <c r="FS115" s="4">
        <v>87.0</v>
      </c>
      <c r="FV115" s="4"/>
      <c r="FW115" s="4">
        <v>1.0</v>
      </c>
      <c r="GH115" s="25">
        <f t="shared" si="51"/>
        <v>24</v>
      </c>
      <c r="GI115" s="25">
        <f t="shared" si="52"/>
        <v>19</v>
      </c>
      <c r="GJ115" s="25">
        <f t="shared" si="53"/>
        <v>14</v>
      </c>
      <c r="GK115" s="25">
        <f t="shared" si="54"/>
        <v>652</v>
      </c>
      <c r="GL115" s="25">
        <f t="shared" si="55"/>
        <v>850</v>
      </c>
      <c r="GM115" s="25">
        <f t="shared" si="56"/>
        <v>198</v>
      </c>
    </row>
    <row r="116">
      <c r="A116" s="23">
        <v>42850.0</v>
      </c>
      <c r="B116" s="4" t="s">
        <v>250</v>
      </c>
      <c r="C116" s="28">
        <f t="shared" si="14"/>
        <v>110</v>
      </c>
      <c r="D116" s="4">
        <v>21.4104</v>
      </c>
      <c r="E116" s="4">
        <v>-158.177704</v>
      </c>
      <c r="F116" s="4" t="s">
        <v>372</v>
      </c>
      <c r="G116" s="24">
        <v>0.3888888888888889</v>
      </c>
      <c r="H116" s="24">
        <v>0.4791666666666667</v>
      </c>
      <c r="I116" s="4">
        <v>6.0</v>
      </c>
      <c r="J116" s="4">
        <v>20.0</v>
      </c>
      <c r="K116" s="4" t="s">
        <v>198</v>
      </c>
      <c r="L116" s="4">
        <v>5.0</v>
      </c>
      <c r="M116" s="4">
        <v>23.0</v>
      </c>
      <c r="N116" s="4" t="s">
        <v>373</v>
      </c>
      <c r="P116" s="4">
        <v>23.0</v>
      </c>
      <c r="R116" s="4">
        <v>104.0</v>
      </c>
      <c r="AC116" s="4">
        <v>1.0</v>
      </c>
      <c r="BS116" s="4">
        <v>3.0</v>
      </c>
      <c r="BZ116" s="4">
        <v>42.0</v>
      </c>
      <c r="CC116" s="4">
        <v>2.0</v>
      </c>
      <c r="CK116" s="4">
        <v>96.0</v>
      </c>
      <c r="CN116" s="4">
        <v>6.0</v>
      </c>
      <c r="CO116" s="4">
        <v>5.0</v>
      </c>
      <c r="DF116" s="4"/>
      <c r="DG116" s="4">
        <v>12.0</v>
      </c>
      <c r="DJ116" s="4">
        <v>3.0</v>
      </c>
      <c r="DL116" s="4">
        <v>1.0</v>
      </c>
      <c r="DM116" s="4">
        <v>33.0</v>
      </c>
      <c r="DR116" s="4"/>
      <c r="DS116" s="4">
        <v>5.0</v>
      </c>
      <c r="EK116" s="4">
        <v>13.0</v>
      </c>
      <c r="EX116" s="4">
        <v>55.0</v>
      </c>
      <c r="EY116" s="4">
        <v>1.0</v>
      </c>
      <c r="FR116" s="4">
        <v>1.0</v>
      </c>
      <c r="FS116" s="4">
        <v>160.0</v>
      </c>
      <c r="GC116" s="4">
        <v>1.0</v>
      </c>
      <c r="GF116" s="4">
        <v>2.0</v>
      </c>
      <c r="GH116" s="25">
        <f t="shared" si="51"/>
        <v>20</v>
      </c>
      <c r="GI116" s="25">
        <f t="shared" si="52"/>
        <v>15</v>
      </c>
      <c r="GJ116" s="25">
        <f t="shared" si="53"/>
        <v>11</v>
      </c>
      <c r="GK116" s="25">
        <f t="shared" si="54"/>
        <v>546</v>
      </c>
      <c r="GL116" s="25">
        <f t="shared" si="55"/>
        <v>575</v>
      </c>
      <c r="GM116" s="25">
        <f t="shared" si="56"/>
        <v>29</v>
      </c>
    </row>
    <row r="117">
      <c r="A117" s="23">
        <v>42850.0</v>
      </c>
      <c r="B117" s="4" t="s">
        <v>374</v>
      </c>
      <c r="C117" s="28">
        <f t="shared" si="14"/>
        <v>111</v>
      </c>
      <c r="D117" s="4">
        <v>20.738001</v>
      </c>
      <c r="E117" s="4">
        <v>-156.895004</v>
      </c>
      <c r="F117" s="4" t="s">
        <v>375</v>
      </c>
      <c r="G117" s="24">
        <v>0.40625</v>
      </c>
      <c r="H117" s="24">
        <v>0.46875</v>
      </c>
      <c r="I117" s="4">
        <v>5.0</v>
      </c>
      <c r="J117" s="4">
        <v>20.0</v>
      </c>
      <c r="K117" s="4" t="s">
        <v>318</v>
      </c>
      <c r="L117" s="4">
        <v>5.0</v>
      </c>
      <c r="M117" s="4">
        <v>20.0</v>
      </c>
      <c r="N117" s="4" t="s">
        <v>376</v>
      </c>
      <c r="P117" s="4">
        <v>20.0</v>
      </c>
      <c r="R117" s="4">
        <v>7.0</v>
      </c>
      <c r="S117" s="4">
        <v>3.0</v>
      </c>
      <c r="AB117" s="4">
        <v>19.0</v>
      </c>
      <c r="AD117" s="4">
        <v>1.0</v>
      </c>
      <c r="AH117" s="4">
        <v>10.0</v>
      </c>
      <c r="AM117" s="4">
        <v>7.0</v>
      </c>
      <c r="AZ117" s="4">
        <v>6.0</v>
      </c>
      <c r="BE117" s="4">
        <v>5.0</v>
      </c>
      <c r="BM117" s="4">
        <v>35.0</v>
      </c>
      <c r="BV117" s="4">
        <v>2.0</v>
      </c>
      <c r="BW117" s="4">
        <v>2.0</v>
      </c>
      <c r="BY117" s="4">
        <v>3.0</v>
      </c>
      <c r="BZ117" s="4">
        <v>10.0</v>
      </c>
      <c r="CC117" s="4">
        <v>20.0</v>
      </c>
      <c r="CP117" s="4">
        <v>1.0</v>
      </c>
      <c r="CZ117" s="4">
        <v>15.0</v>
      </c>
      <c r="DB117" s="4">
        <v>3.0</v>
      </c>
      <c r="DF117" s="4"/>
      <c r="DG117" s="4">
        <v>5.0</v>
      </c>
      <c r="DJ117" s="4">
        <v>5.0</v>
      </c>
      <c r="DP117" s="4">
        <v>5.0</v>
      </c>
      <c r="DW117" s="4">
        <v>2.0</v>
      </c>
      <c r="ED117" s="4">
        <v>23.0</v>
      </c>
      <c r="EJ117" s="4">
        <v>21.0</v>
      </c>
      <c r="EZ117" s="4">
        <v>4.0</v>
      </c>
      <c r="FB117" s="4">
        <v>18.0</v>
      </c>
      <c r="FF117" s="4">
        <v>1.0</v>
      </c>
      <c r="FR117" s="4">
        <v>1.0</v>
      </c>
      <c r="FS117" s="4">
        <v>55.0</v>
      </c>
      <c r="GH117" s="25">
        <f t="shared" si="51"/>
        <v>28</v>
      </c>
      <c r="GI117" s="25">
        <f t="shared" si="52"/>
        <v>24</v>
      </c>
      <c r="GJ117" s="25">
        <f t="shared" si="53"/>
        <v>17</v>
      </c>
      <c r="GK117" s="25">
        <f t="shared" si="54"/>
        <v>289</v>
      </c>
      <c r="GL117" s="25">
        <f t="shared" si="55"/>
        <v>500</v>
      </c>
      <c r="GM117" s="25">
        <f t="shared" si="56"/>
        <v>211</v>
      </c>
    </row>
    <row r="118">
      <c r="A118" s="23">
        <v>42851.0</v>
      </c>
      <c r="B118" s="4" t="s">
        <v>369</v>
      </c>
      <c r="C118" s="28">
        <f t="shared" si="14"/>
        <v>112</v>
      </c>
      <c r="D118" s="4">
        <v>21.888725</v>
      </c>
      <c r="E118" s="4">
        <v>-159.416412</v>
      </c>
      <c r="F118" s="4" t="s">
        <v>321</v>
      </c>
      <c r="G118" s="24">
        <v>0.375</v>
      </c>
      <c r="H118" s="24">
        <v>0.5625</v>
      </c>
      <c r="I118" s="4">
        <v>5.0</v>
      </c>
      <c r="J118" s="4">
        <v>10.0</v>
      </c>
      <c r="K118" s="4" t="s">
        <v>217</v>
      </c>
      <c r="L118" s="4">
        <v>5.0</v>
      </c>
      <c r="M118" s="4">
        <v>23.0</v>
      </c>
      <c r="N118" s="4" t="s">
        <v>380</v>
      </c>
      <c r="P118" s="4">
        <v>23.0</v>
      </c>
      <c r="AB118" s="4">
        <v>78.0</v>
      </c>
      <c r="AC118" s="4">
        <v>1.0</v>
      </c>
      <c r="AH118" s="4">
        <v>1.0</v>
      </c>
      <c r="AI118" s="4">
        <v>5.0</v>
      </c>
      <c r="BA118" s="4"/>
      <c r="BB118" s="4">
        <v>4.0</v>
      </c>
      <c r="BH118" s="4">
        <v>5.0</v>
      </c>
      <c r="BM118" s="4">
        <v>28.0</v>
      </c>
      <c r="BO118" s="4"/>
      <c r="BP118" s="4">
        <v>1.0</v>
      </c>
      <c r="BV118" s="4">
        <v>10.0</v>
      </c>
      <c r="BZ118" s="4">
        <v>6.0</v>
      </c>
      <c r="CS118" s="4">
        <v>9.0</v>
      </c>
      <c r="DF118" s="4"/>
      <c r="DG118" s="4">
        <v>5.0</v>
      </c>
      <c r="DM118" s="4">
        <v>27.0</v>
      </c>
      <c r="DR118" s="4"/>
      <c r="DS118" s="4">
        <v>33.0</v>
      </c>
      <c r="DU118" s="4"/>
      <c r="DV118" s="4">
        <v>52.0</v>
      </c>
      <c r="EJ118" s="4">
        <v>50.0</v>
      </c>
      <c r="FB118" s="4">
        <v>9.0</v>
      </c>
      <c r="FI118" s="4">
        <v>1.0</v>
      </c>
      <c r="FS118" s="4">
        <v>112.0</v>
      </c>
      <c r="GH118" s="25">
        <f t="shared" si="51"/>
        <v>19</v>
      </c>
      <c r="GI118" s="25">
        <f t="shared" si="52"/>
        <v>15</v>
      </c>
      <c r="GJ118" s="25">
        <f t="shared" si="53"/>
        <v>14</v>
      </c>
      <c r="GK118" s="25">
        <f t="shared" si="54"/>
        <v>437</v>
      </c>
      <c r="GL118" s="25">
        <f t="shared" si="55"/>
        <v>575</v>
      </c>
      <c r="GM118" s="25">
        <f t="shared" si="56"/>
        <v>138</v>
      </c>
    </row>
    <row r="119">
      <c r="A119" s="23">
        <v>42851.0</v>
      </c>
      <c r="B119" s="4" t="s">
        <v>340</v>
      </c>
      <c r="C119" s="28">
        <f t="shared" si="14"/>
        <v>113</v>
      </c>
      <c r="D119" s="4">
        <v>19.643276</v>
      </c>
      <c r="E119" s="4">
        <v>-156.010193</v>
      </c>
      <c r="F119" s="4" t="s">
        <v>381</v>
      </c>
      <c r="G119" s="24">
        <v>0.3854166666666667</v>
      </c>
      <c r="H119" s="24">
        <v>0.4583333333333333</v>
      </c>
      <c r="I119" s="4">
        <v>7.0</v>
      </c>
      <c r="J119" s="4">
        <v>21.0</v>
      </c>
      <c r="K119" s="4" t="s">
        <v>198</v>
      </c>
      <c r="L119" s="4">
        <v>11.0</v>
      </c>
      <c r="M119" s="4">
        <v>75.0</v>
      </c>
      <c r="N119" s="4" t="s">
        <v>382</v>
      </c>
      <c r="P119" s="4">
        <v>75.0</v>
      </c>
      <c r="T119" s="4">
        <v>1.0</v>
      </c>
      <c r="AG119" s="4">
        <v>1.0</v>
      </c>
      <c r="AM119" s="4">
        <v>12.0</v>
      </c>
      <c r="BM119" s="4">
        <v>25.0</v>
      </c>
      <c r="BR119" s="4">
        <v>1.0</v>
      </c>
      <c r="CC119" s="4">
        <v>16.0</v>
      </c>
      <c r="EJ119" s="4">
        <v>11.0</v>
      </c>
      <c r="EZ119" s="4">
        <v>3.0</v>
      </c>
      <c r="FF119" s="4">
        <v>1.0</v>
      </c>
      <c r="FM119" s="4">
        <v>5.0</v>
      </c>
      <c r="FR119" s="4">
        <v>680.0</v>
      </c>
      <c r="FS119" s="4">
        <v>920.0</v>
      </c>
      <c r="GC119" s="4">
        <v>1.0</v>
      </c>
      <c r="GH119" s="25">
        <f t="shared" si="51"/>
        <v>13</v>
      </c>
      <c r="GI119" s="25">
        <f t="shared" si="52"/>
        <v>8</v>
      </c>
      <c r="GJ119" s="25">
        <f t="shared" si="53"/>
        <v>7</v>
      </c>
      <c r="GK119" s="25">
        <f t="shared" si="54"/>
        <v>1677</v>
      </c>
      <c r="GL119" s="25">
        <f t="shared" si="55"/>
        <v>1875</v>
      </c>
      <c r="GM119" s="25">
        <f t="shared" si="56"/>
        <v>198</v>
      </c>
    </row>
    <row r="120">
      <c r="A120" s="23">
        <v>42851.0</v>
      </c>
      <c r="B120" s="4" t="s">
        <v>293</v>
      </c>
      <c r="C120" s="28">
        <f t="shared" si="14"/>
        <v>114</v>
      </c>
      <c r="D120" s="4">
        <v>19.738602</v>
      </c>
      <c r="E120" s="4">
        <v>-155.038879</v>
      </c>
      <c r="F120" s="4" t="s">
        <v>383</v>
      </c>
      <c r="G120" s="24">
        <v>0.3993055555555556</v>
      </c>
      <c r="H120" s="24">
        <v>0.4548611111111111</v>
      </c>
      <c r="I120" s="4">
        <v>5.0</v>
      </c>
      <c r="J120" s="4">
        <v>22.0</v>
      </c>
      <c r="K120" s="4" t="s">
        <v>198</v>
      </c>
      <c r="L120" s="4">
        <v>6.0</v>
      </c>
      <c r="M120" s="4">
        <v>28.0</v>
      </c>
      <c r="N120" s="4" t="s">
        <v>384</v>
      </c>
      <c r="P120" s="4">
        <v>28.0</v>
      </c>
      <c r="BK120" s="4">
        <v>12.0</v>
      </c>
      <c r="BM120" s="4">
        <v>222.0</v>
      </c>
      <c r="CC120" s="4">
        <v>5.0</v>
      </c>
      <c r="CO120" s="4">
        <v>2.0</v>
      </c>
      <c r="EJ120" s="4">
        <v>4.0</v>
      </c>
      <c r="EP120" s="4">
        <v>1.0</v>
      </c>
      <c r="FS120" s="4">
        <v>377.0</v>
      </c>
      <c r="FT120" s="4">
        <v>5.0</v>
      </c>
      <c r="GH120" s="25">
        <f t="shared" si="51"/>
        <v>8</v>
      </c>
      <c r="GI120" s="25">
        <f t="shared" si="52"/>
        <v>7</v>
      </c>
      <c r="GJ120" s="25">
        <f t="shared" si="53"/>
        <v>5</v>
      </c>
      <c r="GK120" s="25">
        <f t="shared" si="54"/>
        <v>628</v>
      </c>
      <c r="GL120" s="25">
        <f t="shared" si="55"/>
        <v>700</v>
      </c>
      <c r="GM120" s="25">
        <f t="shared" si="56"/>
        <v>72</v>
      </c>
    </row>
    <row r="121">
      <c r="A121" s="23">
        <v>42851.0</v>
      </c>
      <c r="B121" s="4" t="s">
        <v>216</v>
      </c>
      <c r="C121" s="28">
        <f t="shared" si="14"/>
        <v>115</v>
      </c>
      <c r="D121" s="4">
        <v>21.3002</v>
      </c>
      <c r="E121" s="4">
        <v>-157.882599</v>
      </c>
      <c r="F121" s="4" t="s">
        <v>385</v>
      </c>
      <c r="G121" s="24">
        <v>0.4027777777777778</v>
      </c>
      <c r="H121" s="24">
        <v>0.4479166666666667</v>
      </c>
      <c r="I121" s="4">
        <v>7.0</v>
      </c>
      <c r="J121" s="4">
        <v>16.0</v>
      </c>
      <c r="K121" s="4" t="s">
        <v>217</v>
      </c>
      <c r="L121" s="4">
        <v>5.0</v>
      </c>
      <c r="M121" s="4">
        <v>28.0</v>
      </c>
      <c r="N121" s="4" t="s">
        <v>386</v>
      </c>
      <c r="O121" s="4" t="s">
        <v>387</v>
      </c>
      <c r="P121" s="4">
        <v>28.0</v>
      </c>
      <c r="AB121" s="4">
        <v>2.0</v>
      </c>
      <c r="AM121" s="4">
        <v>39.0</v>
      </c>
      <c r="BM121" s="4">
        <v>28.0</v>
      </c>
      <c r="BW121" s="4">
        <v>2.0</v>
      </c>
      <c r="CC121" s="4">
        <v>15.0</v>
      </c>
      <c r="CD121" s="4">
        <v>7.0</v>
      </c>
      <c r="DI121" s="4">
        <v>1.0</v>
      </c>
      <c r="DO121" s="4">
        <v>4.0</v>
      </c>
      <c r="DR121" s="4"/>
      <c r="DS121" s="4">
        <v>2.0</v>
      </c>
      <c r="EC121" s="4">
        <v>2.0</v>
      </c>
      <c r="EJ121" s="4">
        <v>17.0</v>
      </c>
      <c r="FI121" s="4">
        <v>5.0</v>
      </c>
      <c r="FS121" s="4">
        <v>285.0</v>
      </c>
      <c r="GH121" s="25">
        <f t="shared" si="51"/>
        <v>13</v>
      </c>
      <c r="GI121" s="25">
        <f t="shared" si="52"/>
        <v>12</v>
      </c>
      <c r="GJ121" s="25">
        <f t="shared" si="53"/>
        <v>7</v>
      </c>
      <c r="GK121" s="25">
        <f t="shared" si="54"/>
        <v>409</v>
      </c>
      <c r="GL121" s="25">
        <f t="shared" si="55"/>
        <v>700</v>
      </c>
      <c r="GM121" s="25">
        <f t="shared" si="56"/>
        <v>291</v>
      </c>
    </row>
    <row r="122">
      <c r="A122" s="23">
        <v>42852.0</v>
      </c>
      <c r="B122" s="4" t="s">
        <v>293</v>
      </c>
      <c r="C122" s="28">
        <f t="shared" si="14"/>
        <v>116</v>
      </c>
      <c r="D122" s="4">
        <v>19.738602</v>
      </c>
      <c r="E122" s="4">
        <v>-155.038879</v>
      </c>
      <c r="G122" s="24">
        <v>0.3611111111111111</v>
      </c>
      <c r="H122" s="24">
        <v>0.4583333333333333</v>
      </c>
      <c r="I122" s="4">
        <v>3.0</v>
      </c>
      <c r="J122" s="4">
        <v>10.0</v>
      </c>
      <c r="K122" s="4" t="s">
        <v>198</v>
      </c>
      <c r="L122" s="4">
        <v>5.0</v>
      </c>
      <c r="M122" s="4">
        <v>8.0</v>
      </c>
      <c r="N122" s="4" t="s">
        <v>388</v>
      </c>
      <c r="O122" s="4" t="s">
        <v>295</v>
      </c>
      <c r="P122" s="4">
        <v>8.0</v>
      </c>
      <c r="BK122" s="4">
        <v>3.0</v>
      </c>
      <c r="BM122" s="4">
        <v>3.0</v>
      </c>
      <c r="CC122" s="4">
        <v>3.0</v>
      </c>
      <c r="CO122" s="4">
        <v>6.0</v>
      </c>
      <c r="DM122" s="4">
        <v>5.0</v>
      </c>
      <c r="DR122" s="4">
        <v>4.0</v>
      </c>
      <c r="ET122" s="4"/>
      <c r="EU122" s="4"/>
      <c r="EV122" s="4">
        <v>5.0</v>
      </c>
      <c r="FB122" s="4">
        <v>10.0</v>
      </c>
      <c r="FS122" s="4">
        <v>60.0</v>
      </c>
      <c r="FV122" s="4"/>
      <c r="FW122" s="4">
        <v>15.0</v>
      </c>
      <c r="GH122" s="25">
        <f t="shared" si="51"/>
        <v>10</v>
      </c>
      <c r="GI122" s="25">
        <f t="shared" si="52"/>
        <v>10</v>
      </c>
      <c r="GJ122" s="25">
        <f t="shared" si="53"/>
        <v>6</v>
      </c>
      <c r="GK122" s="25">
        <f t="shared" si="54"/>
        <v>114</v>
      </c>
      <c r="GL122" s="25">
        <f t="shared" si="55"/>
        <v>200</v>
      </c>
      <c r="GM122" s="25">
        <f t="shared" si="56"/>
        <v>86</v>
      </c>
    </row>
    <row r="123">
      <c r="A123" s="23">
        <v>42852.0</v>
      </c>
      <c r="B123" s="4" t="s">
        <v>201</v>
      </c>
      <c r="C123" s="28">
        <f t="shared" si="14"/>
        <v>117</v>
      </c>
      <c r="D123" s="4">
        <v>21.25544</v>
      </c>
      <c r="E123" s="4">
        <v>-157.810303</v>
      </c>
      <c r="F123" s="4" t="s">
        <v>389</v>
      </c>
      <c r="G123" s="24">
        <v>0.3784722222222222</v>
      </c>
      <c r="H123" s="24">
        <v>0.4236111111111111</v>
      </c>
      <c r="I123" s="4">
        <v>7.0</v>
      </c>
      <c r="J123" s="4">
        <v>12.0</v>
      </c>
      <c r="K123" s="4" t="s">
        <v>198</v>
      </c>
      <c r="L123" s="4">
        <v>6.0</v>
      </c>
      <c r="M123" s="4">
        <v>31.0</v>
      </c>
      <c r="N123" s="4" t="s">
        <v>390</v>
      </c>
      <c r="P123" s="4">
        <v>31.0</v>
      </c>
      <c r="AF123" s="4">
        <v>1.0</v>
      </c>
      <c r="AZ123" s="4">
        <v>15.0</v>
      </c>
      <c r="BV123" s="4">
        <v>5.0</v>
      </c>
      <c r="BZ123" s="4">
        <v>6.0</v>
      </c>
      <c r="DF123" s="4"/>
      <c r="DG123" s="4">
        <v>9.0</v>
      </c>
      <c r="DS123" s="4">
        <v>27.0</v>
      </c>
      <c r="EJ123" s="4">
        <v>252.0</v>
      </c>
      <c r="FB123" s="4">
        <v>26.0</v>
      </c>
      <c r="FD123" s="4"/>
      <c r="FE123" s="4">
        <v>2.0</v>
      </c>
      <c r="FR123" s="4">
        <v>53.0</v>
      </c>
      <c r="FS123" s="4">
        <v>178.0</v>
      </c>
      <c r="GH123" s="25">
        <f t="shared" si="51"/>
        <v>11</v>
      </c>
      <c r="GI123" s="25">
        <f t="shared" si="52"/>
        <v>10</v>
      </c>
      <c r="GJ123" s="25">
        <f t="shared" si="53"/>
        <v>9</v>
      </c>
      <c r="GK123" s="25">
        <f t="shared" si="54"/>
        <v>574</v>
      </c>
      <c r="GL123" s="25">
        <f t="shared" si="55"/>
        <v>775</v>
      </c>
      <c r="GM123" s="25">
        <f t="shared" si="56"/>
        <v>201</v>
      </c>
    </row>
    <row r="124">
      <c r="A124" s="41">
        <v>42852.0</v>
      </c>
      <c r="B124" s="42" t="s">
        <v>201</v>
      </c>
      <c r="C124" s="28">
        <f t="shared" si="14"/>
        <v>118</v>
      </c>
      <c r="D124" s="42">
        <v>21.25544</v>
      </c>
      <c r="E124" s="42">
        <v>-157.810303</v>
      </c>
      <c r="F124" s="42" t="s">
        <v>453</v>
      </c>
      <c r="G124" s="43">
        <v>0.4236111111111111</v>
      </c>
      <c r="H124" s="43">
        <v>0.4722222222222222</v>
      </c>
      <c r="I124" s="42">
        <v>6.0</v>
      </c>
      <c r="J124" s="42">
        <v>15.0</v>
      </c>
      <c r="K124" s="42" t="s">
        <v>227</v>
      </c>
      <c r="L124" s="42">
        <v>5.0</v>
      </c>
      <c r="M124" s="42">
        <v>10.0</v>
      </c>
      <c r="N124" s="42" t="s">
        <v>454</v>
      </c>
      <c r="O124" s="44"/>
      <c r="P124" s="42"/>
      <c r="Q124" s="44"/>
      <c r="R124" s="44"/>
      <c r="S124" s="44"/>
      <c r="T124" s="44"/>
      <c r="U124" s="44"/>
      <c r="V124" s="44"/>
      <c r="W124" s="44"/>
      <c r="X124" s="44"/>
      <c r="Y124" s="44"/>
      <c r="Z124" s="44"/>
      <c r="AA124" s="44"/>
      <c r="AB124" s="44"/>
      <c r="AC124" s="44"/>
      <c r="AD124" s="44"/>
      <c r="AE124" s="44"/>
      <c r="AF124" s="44"/>
      <c r="AG124" s="44"/>
      <c r="AH124" s="44"/>
      <c r="AI124" s="42">
        <v>1.0</v>
      </c>
      <c r="AJ124" s="44"/>
      <c r="AK124" s="44"/>
      <c r="AL124" s="44"/>
      <c r="AM124" s="44"/>
      <c r="AN124" s="44"/>
      <c r="AO124" s="44"/>
      <c r="AP124" s="44"/>
      <c r="AQ124" s="44"/>
      <c r="AR124" s="44"/>
      <c r="AS124" s="44"/>
      <c r="AT124" s="44"/>
      <c r="AU124" s="44"/>
      <c r="AV124" s="44"/>
      <c r="AW124" s="44"/>
      <c r="AX124" s="44"/>
      <c r="AY124" s="44"/>
      <c r="AZ124" s="44"/>
      <c r="BA124" s="44"/>
      <c r="BB124" s="44"/>
      <c r="BC124" s="44"/>
      <c r="BD124" s="44"/>
      <c r="BE124" s="44"/>
      <c r="BF124" s="44"/>
      <c r="BG124" s="44"/>
      <c r="BH124" s="44"/>
      <c r="BI124" s="44"/>
      <c r="BJ124" s="44"/>
      <c r="BK124" s="44"/>
      <c r="BL124" s="44"/>
      <c r="BM124" s="42"/>
      <c r="BN124" s="44"/>
      <c r="BO124" s="44"/>
      <c r="BP124" s="44"/>
      <c r="BQ124" s="44"/>
      <c r="BR124" s="44"/>
      <c r="BS124" s="44"/>
      <c r="BT124" s="44"/>
      <c r="BU124" s="44"/>
      <c r="BV124" s="42">
        <v>10.0</v>
      </c>
      <c r="BW124" s="44"/>
      <c r="BX124" s="44"/>
      <c r="BY124" s="44"/>
      <c r="BZ124" s="42">
        <v>5.0</v>
      </c>
      <c r="CA124" s="44"/>
      <c r="CB124" s="44"/>
      <c r="CC124" s="44"/>
      <c r="CD124" s="44"/>
      <c r="CE124" s="44"/>
      <c r="CF124" s="44"/>
      <c r="CG124" s="42"/>
      <c r="CH124" s="42"/>
      <c r="CI124" s="44"/>
      <c r="CJ124" s="44"/>
      <c r="CK124" s="44"/>
      <c r="CL124" s="44"/>
      <c r="CM124" s="44"/>
      <c r="CN124" s="44"/>
      <c r="CO124" s="44"/>
      <c r="CP124" s="44"/>
      <c r="CQ124" s="44"/>
      <c r="CR124" s="44"/>
      <c r="CS124" s="44"/>
      <c r="CT124" s="44"/>
      <c r="CU124" s="42"/>
      <c r="CV124" s="44"/>
      <c r="CW124" s="44"/>
      <c r="CX124" s="44"/>
      <c r="CY124" s="44"/>
      <c r="CZ124" s="44"/>
      <c r="DA124" s="44"/>
      <c r="DB124" s="44"/>
      <c r="DC124" s="44"/>
      <c r="DD124" s="44"/>
      <c r="DE124" s="44"/>
      <c r="DF124" s="44"/>
      <c r="DG124" s="44"/>
      <c r="DH124" s="44"/>
      <c r="DI124" s="44"/>
      <c r="DJ124" s="44"/>
      <c r="DK124" s="44"/>
      <c r="DL124" s="44"/>
      <c r="DM124" s="42">
        <v>1.0</v>
      </c>
      <c r="DN124" s="44"/>
      <c r="DO124" s="44"/>
      <c r="DP124" s="44"/>
      <c r="DQ124" s="44"/>
      <c r="DR124" s="44"/>
      <c r="DS124" s="44"/>
      <c r="DT124" s="44"/>
      <c r="DU124" s="44"/>
      <c r="DV124" s="44"/>
      <c r="DW124" s="44"/>
      <c r="DX124" s="44"/>
      <c r="DY124" s="44"/>
      <c r="DZ124" s="44"/>
      <c r="EA124" s="44"/>
      <c r="EB124" s="44"/>
      <c r="EC124" s="44"/>
      <c r="ED124" s="44"/>
      <c r="EE124" s="44"/>
      <c r="EF124" s="44"/>
      <c r="EG124" s="44"/>
      <c r="EH124" s="44"/>
      <c r="EI124" s="44"/>
      <c r="EJ124" s="42">
        <v>108.0</v>
      </c>
      <c r="EK124" s="44"/>
      <c r="EL124" s="44"/>
      <c r="EM124" s="44"/>
      <c r="EN124" s="44"/>
      <c r="EO124" s="44"/>
      <c r="EP124" s="44"/>
      <c r="EQ124" s="44"/>
      <c r="ER124" s="44"/>
      <c r="ES124" s="44"/>
      <c r="ET124" s="44"/>
      <c r="EU124" s="44"/>
      <c r="EV124" s="44"/>
      <c r="EW124" s="44"/>
      <c r="EX124" s="44"/>
      <c r="EY124" s="44"/>
      <c r="EZ124" s="44"/>
      <c r="FA124" s="44"/>
      <c r="FB124" s="44"/>
      <c r="FC124" s="44"/>
      <c r="FD124" s="44"/>
      <c r="FE124" s="44"/>
      <c r="FF124" s="44"/>
      <c r="FG124" s="44"/>
      <c r="FH124" s="44"/>
      <c r="FI124" s="44"/>
      <c r="FJ124" s="44"/>
      <c r="FK124" s="44"/>
      <c r="FL124" s="44"/>
      <c r="FM124" s="42"/>
      <c r="FN124" s="44"/>
      <c r="FO124" s="44"/>
      <c r="FP124" s="44"/>
      <c r="FQ124" s="44"/>
      <c r="FR124" s="42">
        <v>2.0</v>
      </c>
      <c r="FS124" s="42">
        <v>51.0</v>
      </c>
      <c r="FT124" s="44"/>
      <c r="FU124" s="42"/>
      <c r="FV124" s="44"/>
      <c r="FW124" s="44"/>
      <c r="FX124" s="44"/>
      <c r="FY124" s="44"/>
      <c r="FZ124" s="44"/>
      <c r="GA124" s="44"/>
      <c r="GB124" s="44"/>
      <c r="GC124" s="44"/>
      <c r="GD124" s="44"/>
      <c r="GE124" s="44"/>
      <c r="GF124" s="44"/>
      <c r="GG124" s="44"/>
      <c r="GH124" s="44"/>
      <c r="GI124" s="44"/>
      <c r="GJ124" s="44"/>
      <c r="GK124" s="44"/>
      <c r="GL124" s="44"/>
      <c r="GM124" s="44"/>
      <c r="GN124" s="44"/>
      <c r="GO124" s="44"/>
      <c r="GP124" s="44"/>
      <c r="GQ124" s="44"/>
      <c r="GR124" s="44"/>
      <c r="GS124" s="44"/>
      <c r="GT124" s="44"/>
      <c r="GU124" s="44"/>
      <c r="GV124" s="44"/>
      <c r="GW124" s="44"/>
      <c r="GX124" s="44"/>
      <c r="GY124" s="44"/>
      <c r="GZ124" s="44"/>
      <c r="HA124" s="44"/>
      <c r="HB124" s="44"/>
      <c r="HC124" s="44"/>
      <c r="HD124" s="44"/>
      <c r="HE124" s="44"/>
      <c r="HF124" s="44"/>
      <c r="HG124" s="44"/>
      <c r="HH124" s="44"/>
      <c r="HI124" s="44"/>
    </row>
    <row r="125">
      <c r="A125" s="23">
        <v>42853.0</v>
      </c>
      <c r="B125" s="4" t="s">
        <v>374</v>
      </c>
      <c r="C125" s="28">
        <f t="shared" si="14"/>
        <v>119</v>
      </c>
      <c r="D125" s="4">
        <v>20.738001</v>
      </c>
      <c r="E125" s="4">
        <v>-156.895004</v>
      </c>
      <c r="F125" s="4" t="s">
        <v>391</v>
      </c>
      <c r="G125" s="24">
        <v>0.4708333333333333</v>
      </c>
      <c r="H125" s="24">
        <v>0.4986111111111111</v>
      </c>
      <c r="I125" s="4">
        <v>2.0</v>
      </c>
      <c r="J125" s="4">
        <v>25.0</v>
      </c>
      <c r="K125" s="4" t="s">
        <v>198</v>
      </c>
      <c r="L125" s="4">
        <v>13.0</v>
      </c>
      <c r="M125" s="4">
        <v>11.0</v>
      </c>
      <c r="N125" s="4" t="s">
        <v>392</v>
      </c>
      <c r="P125" s="4">
        <v>11.0</v>
      </c>
      <c r="BM125" s="4">
        <v>60.0</v>
      </c>
      <c r="CG125" s="4"/>
      <c r="CH125" s="4">
        <v>7.0</v>
      </c>
      <c r="CU125" s="4">
        <v>1.0</v>
      </c>
      <c r="EJ125" s="4">
        <v>8.0</v>
      </c>
      <c r="FM125" s="4">
        <v>2.0</v>
      </c>
      <c r="FS125" s="4">
        <v>73.0</v>
      </c>
      <c r="FU125" s="4">
        <v>16.0</v>
      </c>
      <c r="GH125" s="25">
        <f>count(R125:GG125)</f>
        <v>7</v>
      </c>
      <c r="GI125" s="25">
        <f>countif(R125:GG125,"&gt;=2")</f>
        <v>6</v>
      </c>
      <c r="GJ125" s="25">
        <f>countif(R125:GG125,"&gt;=5")</f>
        <v>5</v>
      </c>
      <c r="GK125" s="25">
        <f>sum(R125:GG125)</f>
        <v>167</v>
      </c>
      <c r="GL125" s="25">
        <f>25*P125</f>
        <v>275</v>
      </c>
      <c r="GM125" s="25">
        <f>GL125-GK125</f>
        <v>108</v>
      </c>
    </row>
    <row r="126">
      <c r="A126" s="41">
        <v>42853.0</v>
      </c>
      <c r="B126" s="42" t="s">
        <v>266</v>
      </c>
      <c r="C126" s="28">
        <f t="shared" si="14"/>
        <v>120</v>
      </c>
      <c r="D126" s="42">
        <v>22.060684</v>
      </c>
      <c r="E126" s="42">
        <v>-159.318512</v>
      </c>
      <c r="F126" s="42" t="s">
        <v>367</v>
      </c>
      <c r="G126" s="43">
        <v>0.4479166666666667</v>
      </c>
      <c r="H126" s="43">
        <v>0.5048611111111111</v>
      </c>
      <c r="I126" s="42">
        <v>4.0</v>
      </c>
      <c r="J126" s="42">
        <v>20.0</v>
      </c>
      <c r="K126" s="42" t="s">
        <v>198</v>
      </c>
      <c r="L126" s="42">
        <v>10.0</v>
      </c>
      <c r="M126" s="42">
        <v>31.0</v>
      </c>
      <c r="N126" s="42" t="s">
        <v>455</v>
      </c>
      <c r="O126" s="44"/>
      <c r="P126" s="42"/>
      <c r="Q126" s="44"/>
      <c r="R126" s="42"/>
      <c r="S126" s="44"/>
      <c r="T126" s="44"/>
      <c r="U126" s="44"/>
      <c r="V126" s="44"/>
      <c r="W126" s="44"/>
      <c r="X126" s="44"/>
      <c r="Y126" s="44"/>
      <c r="Z126" s="44"/>
      <c r="AA126" s="44"/>
      <c r="AB126" s="42"/>
      <c r="AC126" s="42"/>
      <c r="AD126" s="44"/>
      <c r="AE126" s="42"/>
      <c r="AF126" s="44"/>
      <c r="AG126" s="44"/>
      <c r="AH126" s="44"/>
      <c r="AI126" s="42"/>
      <c r="AJ126" s="44"/>
      <c r="AK126" s="44"/>
      <c r="AL126" s="44"/>
      <c r="AM126" s="44"/>
      <c r="AN126" s="44"/>
      <c r="AO126" s="44"/>
      <c r="AP126" s="44"/>
      <c r="AQ126" s="44"/>
      <c r="AR126" s="44"/>
      <c r="AS126" s="44"/>
      <c r="AT126" s="44"/>
      <c r="AU126" s="44"/>
      <c r="AV126" s="44"/>
      <c r="AW126" s="44"/>
      <c r="AX126" s="44"/>
      <c r="AY126" s="44"/>
      <c r="AZ126" s="44"/>
      <c r="BA126" s="42"/>
      <c r="BB126" s="42"/>
      <c r="BC126" s="44"/>
      <c r="BD126" s="44"/>
      <c r="BE126" s="42"/>
      <c r="BF126" s="42"/>
      <c r="BG126" s="44"/>
      <c r="BH126" s="44"/>
      <c r="BI126" s="44"/>
      <c r="BJ126" s="44"/>
      <c r="BK126" s="44"/>
      <c r="BL126" s="44"/>
      <c r="BM126" s="42"/>
      <c r="BN126" s="42">
        <v>5.0</v>
      </c>
      <c r="BO126" s="44"/>
      <c r="BP126" s="44"/>
      <c r="BQ126" s="44"/>
      <c r="BR126" s="44"/>
      <c r="BS126" s="42"/>
      <c r="BT126" s="44"/>
      <c r="BU126" s="44"/>
      <c r="BV126" s="42">
        <v>6.0</v>
      </c>
      <c r="BW126" s="44"/>
      <c r="BX126" s="44"/>
      <c r="BY126" s="44"/>
      <c r="BZ126" s="42"/>
      <c r="CA126" s="44"/>
      <c r="CB126" s="44"/>
      <c r="CC126" s="44"/>
      <c r="CD126" s="44"/>
      <c r="CE126" s="44"/>
      <c r="CF126" s="44"/>
      <c r="CG126" s="44"/>
      <c r="CH126" s="44"/>
      <c r="CI126" s="44"/>
      <c r="CJ126" s="44"/>
      <c r="CK126" s="44"/>
      <c r="CL126" s="44"/>
      <c r="CM126" s="44"/>
      <c r="CN126" s="44"/>
      <c r="CO126" s="44"/>
      <c r="CP126" s="44"/>
      <c r="CQ126" s="44"/>
      <c r="CR126" s="44"/>
      <c r="CS126" s="42"/>
      <c r="CT126" s="44"/>
      <c r="CU126" s="44"/>
      <c r="CV126" s="42">
        <v>1.0</v>
      </c>
      <c r="CW126" s="44"/>
      <c r="CX126" s="44"/>
      <c r="CY126" s="44"/>
      <c r="CZ126" s="44"/>
      <c r="DA126" s="44"/>
      <c r="DB126" s="44"/>
      <c r="DC126" s="44"/>
      <c r="DD126" s="44"/>
      <c r="DE126" s="44"/>
      <c r="DF126" s="42"/>
      <c r="DG126" s="42"/>
      <c r="DH126" s="44"/>
      <c r="DI126" s="44"/>
      <c r="DJ126" s="44"/>
      <c r="DK126" s="44"/>
      <c r="DL126" s="44"/>
      <c r="DM126" s="42">
        <v>4.0</v>
      </c>
      <c r="DN126" s="44"/>
      <c r="DO126" s="42"/>
      <c r="DP126" s="44"/>
      <c r="DQ126" s="44"/>
      <c r="DR126" s="44"/>
      <c r="DS126" s="44"/>
      <c r="DT126" s="44"/>
      <c r="DU126" s="42"/>
      <c r="DV126" s="42">
        <v>10.0</v>
      </c>
      <c r="DW126" s="44"/>
      <c r="DX126" s="44"/>
      <c r="DY126" s="44"/>
      <c r="DZ126" s="44"/>
      <c r="EA126" s="44"/>
      <c r="EB126" s="44"/>
      <c r="EC126" s="44"/>
      <c r="ED126" s="44"/>
      <c r="EE126" s="44"/>
      <c r="EF126" s="44"/>
      <c r="EG126" s="44"/>
      <c r="EH126" s="44"/>
      <c r="EI126" s="44"/>
      <c r="EJ126" s="42">
        <v>91.0</v>
      </c>
      <c r="EK126" s="44"/>
      <c r="EL126" s="44"/>
      <c r="EM126" s="44"/>
      <c r="EN126" s="44"/>
      <c r="EO126" s="44"/>
      <c r="EP126" s="44"/>
      <c r="EQ126" s="44"/>
      <c r="ER126" s="44"/>
      <c r="ES126" s="44"/>
      <c r="ET126" s="44"/>
      <c r="EU126" s="44"/>
      <c r="EV126" s="44"/>
      <c r="EW126" s="44"/>
      <c r="EX126" s="44"/>
      <c r="EY126" s="44"/>
      <c r="EZ126" s="44"/>
      <c r="FA126" s="44"/>
      <c r="FB126" s="42">
        <v>1.0</v>
      </c>
      <c r="FC126" s="44"/>
      <c r="FD126" s="44"/>
      <c r="FE126" s="44"/>
      <c r="FF126" s="44"/>
      <c r="FG126" s="44"/>
      <c r="FH126" s="44"/>
      <c r="FI126" s="42"/>
      <c r="FJ126" s="44"/>
      <c r="FK126" s="44"/>
      <c r="FL126" s="44"/>
      <c r="FM126" s="44"/>
      <c r="FN126" s="42"/>
      <c r="FO126" s="44"/>
      <c r="FP126" s="44"/>
      <c r="FQ126" s="44"/>
      <c r="FR126" s="44"/>
      <c r="FS126" s="42">
        <v>431.0</v>
      </c>
      <c r="FT126" s="44"/>
      <c r="FU126" s="44"/>
      <c r="FV126" s="44"/>
      <c r="FW126" s="44"/>
      <c r="FX126" s="44"/>
      <c r="FY126" s="44"/>
      <c r="FZ126" s="44"/>
      <c r="GA126" s="44"/>
      <c r="GB126" s="44"/>
      <c r="GC126" s="44"/>
      <c r="GD126" s="44"/>
      <c r="GE126" s="44"/>
      <c r="GF126" s="44"/>
      <c r="GG126" s="44"/>
      <c r="GH126" s="44"/>
      <c r="GI126" s="44"/>
      <c r="GJ126" s="44"/>
      <c r="GK126" s="44"/>
      <c r="GL126" s="44"/>
      <c r="GM126" s="44"/>
      <c r="GN126" s="44"/>
      <c r="GO126" s="44"/>
      <c r="GP126" s="44"/>
      <c r="GQ126" s="44"/>
      <c r="GR126" s="44"/>
      <c r="GS126" s="44"/>
      <c r="GT126" s="44"/>
      <c r="GU126" s="44"/>
      <c r="GV126" s="44"/>
      <c r="GW126" s="44"/>
      <c r="GX126" s="44"/>
      <c r="GY126" s="44"/>
      <c r="GZ126" s="44"/>
      <c r="HA126" s="44"/>
      <c r="HB126" s="44"/>
      <c r="HC126" s="44"/>
      <c r="HD126" s="44"/>
      <c r="HE126" s="44"/>
      <c r="HF126" s="44"/>
      <c r="HG126" s="44"/>
      <c r="HH126" s="44"/>
      <c r="HI126" s="44"/>
    </row>
    <row r="127">
      <c r="A127" s="41">
        <v>42853.0</v>
      </c>
      <c r="B127" s="42" t="s">
        <v>293</v>
      </c>
      <c r="C127" s="28">
        <f t="shared" si="14"/>
        <v>121</v>
      </c>
      <c r="D127" s="42">
        <v>19.738602</v>
      </c>
      <c r="E127" s="42">
        <v>-155.038879</v>
      </c>
      <c r="F127" s="42" t="s">
        <v>459</v>
      </c>
      <c r="G127" s="43">
        <v>0.3888888888888889</v>
      </c>
      <c r="H127" s="43">
        <v>0.4479166666666667</v>
      </c>
      <c r="I127" s="42">
        <v>4.0</v>
      </c>
      <c r="J127" s="42">
        <v>8.0</v>
      </c>
      <c r="K127" s="42" t="s">
        <v>460</v>
      </c>
      <c r="L127" s="42">
        <v>8.0</v>
      </c>
      <c r="M127" s="42">
        <v>29.0</v>
      </c>
      <c r="N127" s="42" t="s">
        <v>461</v>
      </c>
      <c r="O127" s="44"/>
      <c r="P127" s="42"/>
      <c r="Q127" s="44"/>
      <c r="R127" s="42"/>
      <c r="S127" s="44"/>
      <c r="T127" s="44"/>
      <c r="U127" s="44"/>
      <c r="V127" s="44"/>
      <c r="W127" s="44"/>
      <c r="X127" s="44"/>
      <c r="Y127" s="44"/>
      <c r="Z127" s="44"/>
      <c r="AA127" s="44"/>
      <c r="AB127" s="42"/>
      <c r="AC127" s="42"/>
      <c r="AD127" s="44"/>
      <c r="AE127" s="42"/>
      <c r="AF127" s="44"/>
      <c r="AG127" s="44"/>
      <c r="AH127" s="44"/>
      <c r="AI127" s="42"/>
      <c r="AJ127" s="44"/>
      <c r="AK127" s="44"/>
      <c r="AL127" s="44"/>
      <c r="AM127" s="42">
        <v>3.0</v>
      </c>
      <c r="AN127" s="44"/>
      <c r="AO127" s="44"/>
      <c r="AP127" s="44"/>
      <c r="AQ127" s="44"/>
      <c r="AR127" s="44"/>
      <c r="AS127" s="44"/>
      <c r="AT127" s="44"/>
      <c r="AU127" s="44"/>
      <c r="AV127" s="44"/>
      <c r="AW127" s="44"/>
      <c r="AX127" s="44"/>
      <c r="AY127" s="44"/>
      <c r="AZ127" s="44"/>
      <c r="BA127" s="42"/>
      <c r="BB127" s="42"/>
      <c r="BC127" s="44"/>
      <c r="BD127" s="44"/>
      <c r="BE127" s="42"/>
      <c r="BF127" s="42"/>
      <c r="BG127" s="44"/>
      <c r="BH127" s="44"/>
      <c r="BI127" s="44"/>
      <c r="BJ127" s="44"/>
      <c r="BK127" s="42">
        <v>39.0</v>
      </c>
      <c r="BL127" s="44"/>
      <c r="BM127" s="42">
        <v>26.0</v>
      </c>
      <c r="BN127" s="44"/>
      <c r="BO127" s="44"/>
      <c r="BP127" s="44"/>
      <c r="BQ127" s="44"/>
      <c r="BR127" s="44"/>
      <c r="BS127" s="42"/>
      <c r="BT127" s="44"/>
      <c r="BU127" s="44"/>
      <c r="BV127" s="42"/>
      <c r="BW127" s="44"/>
      <c r="BX127" s="44"/>
      <c r="BY127" s="44"/>
      <c r="BZ127" s="42"/>
      <c r="CA127" s="44"/>
      <c r="CB127" s="44"/>
      <c r="CC127" s="42">
        <v>23.0</v>
      </c>
      <c r="CD127" s="42">
        <v>12.0</v>
      </c>
      <c r="CE127" s="44"/>
      <c r="CF127" s="44"/>
      <c r="CG127" s="44"/>
      <c r="CH127" s="44"/>
      <c r="CI127" s="44"/>
      <c r="CJ127" s="44"/>
      <c r="CK127" s="44"/>
      <c r="CL127" s="44"/>
      <c r="CM127" s="44"/>
      <c r="CN127" s="44"/>
      <c r="CO127" s="42">
        <v>66.0</v>
      </c>
      <c r="CP127" s="44"/>
      <c r="CQ127" s="44"/>
      <c r="CR127" s="44"/>
      <c r="CS127" s="42"/>
      <c r="CT127" s="44"/>
      <c r="CU127" s="44"/>
      <c r="CV127" s="44"/>
      <c r="CW127" s="44"/>
      <c r="CX127" s="44"/>
      <c r="CY127" s="44"/>
      <c r="CZ127" s="44"/>
      <c r="DA127" s="44"/>
      <c r="DB127" s="44"/>
      <c r="DC127" s="44"/>
      <c r="DD127" s="44"/>
      <c r="DE127" s="44"/>
      <c r="DF127" s="42"/>
      <c r="DG127" s="42"/>
      <c r="DH127" s="42">
        <v>1.0</v>
      </c>
      <c r="DI127" s="44"/>
      <c r="DJ127" s="44"/>
      <c r="DK127" s="44"/>
      <c r="DL127" s="44"/>
      <c r="DM127" s="42"/>
      <c r="DN127" s="44"/>
      <c r="DO127" s="42"/>
      <c r="DP127" s="44"/>
      <c r="DQ127" s="44"/>
      <c r="DR127" s="44"/>
      <c r="DS127" s="44"/>
      <c r="DT127" s="44"/>
      <c r="DU127" s="42"/>
      <c r="DV127" s="42"/>
      <c r="DW127" s="44"/>
      <c r="DX127" s="44"/>
      <c r="DY127" s="44"/>
      <c r="DZ127" s="44"/>
      <c r="EA127" s="44"/>
      <c r="EB127" s="44"/>
      <c r="EC127" s="44"/>
      <c r="ED127" s="44"/>
      <c r="EE127" s="44"/>
      <c r="EF127" s="44"/>
      <c r="EG127" s="44"/>
      <c r="EH127" s="44"/>
      <c r="EI127" s="44"/>
      <c r="EJ127" s="42"/>
      <c r="EK127" s="44"/>
      <c r="EL127" s="44"/>
      <c r="EM127" s="44"/>
      <c r="EN127" s="44"/>
      <c r="EO127" s="44"/>
      <c r="EP127" s="44"/>
      <c r="EQ127" s="44"/>
      <c r="ER127" s="44"/>
      <c r="ES127" s="44"/>
      <c r="ET127" s="44"/>
      <c r="EU127" s="44"/>
      <c r="EV127" s="44"/>
      <c r="EW127" s="44"/>
      <c r="EX127" s="44"/>
      <c r="EY127" s="44"/>
      <c r="EZ127" s="44"/>
      <c r="FA127" s="44"/>
      <c r="FB127" s="44"/>
      <c r="FC127" s="44"/>
      <c r="FD127" s="44"/>
      <c r="FE127" s="44"/>
      <c r="FF127" s="44"/>
      <c r="FG127" s="44"/>
      <c r="FH127" s="44"/>
      <c r="FI127" s="42"/>
      <c r="FJ127" s="44"/>
      <c r="FK127" s="44"/>
      <c r="FL127" s="44"/>
      <c r="FM127" s="42">
        <v>35.0</v>
      </c>
      <c r="FN127" s="42"/>
      <c r="FO127" s="44"/>
      <c r="FP127" s="44"/>
      <c r="FQ127" s="44"/>
      <c r="FR127" s="44"/>
      <c r="FS127" s="42">
        <v>419.0</v>
      </c>
      <c r="FT127" s="44"/>
      <c r="FU127" s="44"/>
      <c r="FV127" s="44"/>
      <c r="FW127" s="44"/>
      <c r="FX127" s="44"/>
      <c r="FY127" s="44"/>
      <c r="FZ127" s="44"/>
      <c r="GA127" s="44"/>
      <c r="GB127" s="44"/>
      <c r="GC127" s="44"/>
      <c r="GD127" s="44"/>
      <c r="GE127" s="44"/>
      <c r="GF127" s="44"/>
      <c r="GG127" s="44"/>
      <c r="GH127" s="44"/>
      <c r="GI127" s="44"/>
      <c r="GJ127" s="44"/>
      <c r="GK127" s="44"/>
      <c r="GL127" s="44"/>
      <c r="GM127" s="44"/>
      <c r="GN127" s="44"/>
      <c r="GO127" s="44"/>
      <c r="GP127" s="44"/>
      <c r="GQ127" s="44"/>
      <c r="GR127" s="44"/>
      <c r="GS127" s="44"/>
      <c r="GT127" s="44"/>
      <c r="GU127" s="44"/>
      <c r="GV127" s="44"/>
      <c r="GW127" s="44"/>
      <c r="GX127" s="44"/>
      <c r="GY127" s="44"/>
      <c r="GZ127" s="44"/>
      <c r="HA127" s="44"/>
      <c r="HB127" s="44"/>
      <c r="HC127" s="44"/>
      <c r="HD127" s="44"/>
      <c r="HE127" s="44"/>
      <c r="HF127" s="44"/>
      <c r="HG127" s="44"/>
      <c r="HH127" s="44"/>
      <c r="HI127" s="44"/>
    </row>
    <row r="128">
      <c r="A128" s="23">
        <v>42860.0</v>
      </c>
      <c r="B128" s="4" t="s">
        <v>244</v>
      </c>
      <c r="C128" s="28">
        <f t="shared" si="14"/>
        <v>122</v>
      </c>
      <c r="D128" s="4">
        <v>21.310612</v>
      </c>
      <c r="E128" s="4">
        <v>-158.00441</v>
      </c>
      <c r="F128" s="4" t="s">
        <v>278</v>
      </c>
      <c r="G128" s="24">
        <v>0.3854166666666667</v>
      </c>
      <c r="H128" s="24">
        <v>0.4583333333333333</v>
      </c>
      <c r="I128" s="4">
        <v>6.0</v>
      </c>
      <c r="J128" s="4">
        <v>12.0</v>
      </c>
      <c r="K128" s="4" t="s">
        <v>198</v>
      </c>
      <c r="L128" s="4">
        <v>5.0</v>
      </c>
      <c r="M128" s="4">
        <v>25.0</v>
      </c>
      <c r="N128" s="4" t="s">
        <v>393</v>
      </c>
      <c r="P128" s="4">
        <v>25.0</v>
      </c>
      <c r="R128" s="4">
        <v>2.0</v>
      </c>
      <c r="AB128" s="4">
        <v>2.0</v>
      </c>
      <c r="AC128" s="4">
        <v>4.0</v>
      </c>
      <c r="AE128" s="4">
        <v>4.0</v>
      </c>
      <c r="AI128" s="4">
        <v>1.0</v>
      </c>
      <c r="BA128" s="4"/>
      <c r="BB128" s="4">
        <v>1.0</v>
      </c>
      <c r="BE128" s="4">
        <v>1.0</v>
      </c>
      <c r="BF128" s="4">
        <v>1.0</v>
      </c>
      <c r="BM128" s="4">
        <v>30.0</v>
      </c>
      <c r="BS128" s="4">
        <v>3.0</v>
      </c>
      <c r="BV128" s="4">
        <v>2.0</v>
      </c>
      <c r="BZ128" s="4">
        <v>54.0</v>
      </c>
      <c r="CS128" s="4">
        <v>5.0</v>
      </c>
      <c r="DF128" s="4"/>
      <c r="DG128" s="4">
        <v>3.0</v>
      </c>
      <c r="DM128" s="4">
        <v>27.0</v>
      </c>
      <c r="DO128" s="4">
        <v>5.0</v>
      </c>
      <c r="DU128" s="4"/>
      <c r="DV128" s="4">
        <v>1.0</v>
      </c>
      <c r="EJ128" s="4">
        <v>305.0</v>
      </c>
      <c r="FI128" s="4">
        <v>24.0</v>
      </c>
      <c r="FN128" s="4">
        <v>1.0</v>
      </c>
      <c r="FS128" s="4">
        <v>40.0</v>
      </c>
      <c r="GH128" s="25">
        <f t="shared" ref="GH128:GH130" si="57">count(R128:GG128)</f>
        <v>21</v>
      </c>
      <c r="GI128" s="25">
        <f t="shared" ref="GI128:GI130" si="58">countif(R128:GG128,"&gt;=2")</f>
        <v>15</v>
      </c>
      <c r="GJ128" s="25">
        <f t="shared" ref="GJ128:GJ130" si="59">countif(R128:GG128,"&gt;=5")</f>
        <v>8</v>
      </c>
      <c r="GK128" s="25">
        <f t="shared" ref="GK128:GK130" si="60">sum(R128:GG128)</f>
        <v>516</v>
      </c>
      <c r="GL128" s="25">
        <f t="shared" ref="GL128:GL130" si="61">25*P128</f>
        <v>625</v>
      </c>
      <c r="GM128" s="25">
        <f t="shared" ref="GM128:GM130" si="62">GL128-GK128</f>
        <v>109</v>
      </c>
    </row>
    <row r="129">
      <c r="A129" s="23">
        <v>42860.0</v>
      </c>
      <c r="B129" s="4" t="s">
        <v>394</v>
      </c>
      <c r="C129" s="28">
        <f t="shared" si="14"/>
        <v>123</v>
      </c>
      <c r="D129" s="4">
        <v>19.637501</v>
      </c>
      <c r="E129" s="4">
        <v>-155.993896</v>
      </c>
      <c r="F129" s="4" t="s">
        <v>367</v>
      </c>
      <c r="G129" s="24">
        <v>0.5104166666666666</v>
      </c>
      <c r="H129" s="24">
        <v>0.5104166666666666</v>
      </c>
      <c r="I129" s="4">
        <v>5.0</v>
      </c>
      <c r="J129" s="4">
        <v>25.0</v>
      </c>
      <c r="K129" s="4" t="s">
        <v>198</v>
      </c>
      <c r="L129" s="4">
        <v>10.0</v>
      </c>
      <c r="M129" s="4">
        <v>44.0</v>
      </c>
      <c r="N129" s="4" t="s">
        <v>547</v>
      </c>
      <c r="O129" s="4"/>
      <c r="P129" s="4">
        <v>44.0</v>
      </c>
      <c r="S129" s="4">
        <v>6.0</v>
      </c>
      <c r="AM129" s="4">
        <v>61.0</v>
      </c>
      <c r="AX129" s="4">
        <v>51.0</v>
      </c>
      <c r="BA129" s="4"/>
      <c r="BB129" s="4">
        <v>3.0</v>
      </c>
      <c r="BM129" s="4">
        <v>11.0</v>
      </c>
      <c r="BR129" s="4">
        <v>12.0</v>
      </c>
      <c r="CC129" s="4">
        <v>24.0</v>
      </c>
      <c r="CD129" s="4">
        <v>7.0</v>
      </c>
      <c r="CS129" s="4">
        <v>6.0</v>
      </c>
      <c r="EJ129" s="4">
        <v>10.0</v>
      </c>
      <c r="EX129" s="4">
        <v>5.0</v>
      </c>
      <c r="EZ129" s="4">
        <v>5.0</v>
      </c>
      <c r="FB129" s="4">
        <v>35.0</v>
      </c>
      <c r="FS129" s="4">
        <v>495.0</v>
      </c>
      <c r="FV129" s="4"/>
      <c r="FW129" s="4">
        <v>55.0</v>
      </c>
      <c r="GA129" s="4">
        <v>1.0</v>
      </c>
      <c r="GD129" s="4">
        <v>4.0</v>
      </c>
      <c r="GH129" s="25">
        <f t="shared" si="57"/>
        <v>17</v>
      </c>
      <c r="GI129" s="25">
        <f t="shared" si="58"/>
        <v>16</v>
      </c>
      <c r="GJ129" s="25">
        <f t="shared" si="59"/>
        <v>14</v>
      </c>
      <c r="GK129" s="25">
        <f t="shared" si="60"/>
        <v>791</v>
      </c>
      <c r="GL129" s="25">
        <f t="shared" si="61"/>
        <v>1100</v>
      </c>
      <c r="GM129" s="25">
        <f t="shared" si="62"/>
        <v>309</v>
      </c>
    </row>
    <row r="130">
      <c r="A130" s="23">
        <v>42865.0</v>
      </c>
      <c r="B130" s="4" t="s">
        <v>230</v>
      </c>
      <c r="C130" s="28">
        <f t="shared" si="14"/>
        <v>124</v>
      </c>
      <c r="D130" s="4">
        <v>20.7537</v>
      </c>
      <c r="E130" s="4">
        <v>-156.460907</v>
      </c>
      <c r="F130" s="4" t="s">
        <v>397</v>
      </c>
      <c r="G130" s="24">
        <v>0.3958333333333333</v>
      </c>
      <c r="H130" s="24">
        <v>0.4652777777777778</v>
      </c>
      <c r="I130" s="4">
        <v>4.0</v>
      </c>
      <c r="J130" s="4">
        <v>15.0</v>
      </c>
      <c r="K130" s="4" t="s">
        <v>398</v>
      </c>
      <c r="L130" s="4">
        <v>7.0</v>
      </c>
      <c r="M130" s="4">
        <v>24.0</v>
      </c>
      <c r="N130" s="4" t="s">
        <v>399</v>
      </c>
      <c r="P130" s="4">
        <v>24.0</v>
      </c>
      <c r="R130" s="4">
        <v>170.0</v>
      </c>
      <c r="BM130" s="4">
        <v>148.0</v>
      </c>
      <c r="CU130" s="4">
        <v>1.0</v>
      </c>
      <c r="DF130" s="4">
        <v>3.0</v>
      </c>
      <c r="DG130" s="4">
        <v>4.0</v>
      </c>
      <c r="DO130" s="4">
        <v>1.0</v>
      </c>
      <c r="ET130" s="4"/>
      <c r="EU130" s="4"/>
      <c r="EV130" s="4">
        <v>4.0</v>
      </c>
      <c r="FS130" s="4">
        <v>17.0</v>
      </c>
      <c r="FV130" s="4"/>
      <c r="FW130" s="4">
        <v>1.0</v>
      </c>
      <c r="GH130" s="25">
        <f t="shared" si="57"/>
        <v>9</v>
      </c>
      <c r="GI130" s="25">
        <f t="shared" si="58"/>
        <v>6</v>
      </c>
      <c r="GJ130" s="25">
        <f t="shared" si="59"/>
        <v>3</v>
      </c>
      <c r="GK130" s="25">
        <f t="shared" si="60"/>
        <v>349</v>
      </c>
      <c r="GL130" s="25">
        <f t="shared" si="61"/>
        <v>600</v>
      </c>
      <c r="GM130" s="25">
        <f t="shared" si="62"/>
        <v>251</v>
      </c>
    </row>
    <row r="131">
      <c r="A131" s="31">
        <v>42865.0</v>
      </c>
      <c r="B131" s="32" t="s">
        <v>467</v>
      </c>
      <c r="C131" s="28">
        <f t="shared" si="14"/>
        <v>125</v>
      </c>
      <c r="D131" s="32">
        <v>20.726389</v>
      </c>
      <c r="E131" s="32">
        <v>-155.984161</v>
      </c>
      <c r="F131" s="32" t="s">
        <v>468</v>
      </c>
      <c r="G131" s="33">
        <v>0.36319444444444443</v>
      </c>
      <c r="H131" s="33">
        <v>0.37083333333333335</v>
      </c>
      <c r="I131" s="32">
        <v>3.0</v>
      </c>
      <c r="J131" s="32">
        <v>29.0</v>
      </c>
      <c r="K131" s="32" t="s">
        <v>198</v>
      </c>
      <c r="L131" s="32">
        <v>10.0</v>
      </c>
      <c r="M131" s="32"/>
      <c r="N131" s="32"/>
      <c r="O131" s="34"/>
      <c r="P131" s="32"/>
      <c r="Q131" s="34"/>
      <c r="R131" s="34"/>
      <c r="S131" s="34"/>
      <c r="T131" s="34"/>
      <c r="U131" s="34"/>
      <c r="V131" s="34"/>
      <c r="W131" s="34"/>
      <c r="X131" s="34"/>
      <c r="Y131" s="34"/>
      <c r="Z131" s="34"/>
      <c r="AA131" s="34"/>
      <c r="AB131" s="32"/>
      <c r="AC131" s="32"/>
      <c r="AD131" s="34"/>
      <c r="AE131" s="34"/>
      <c r="AF131" s="34"/>
      <c r="AG131" s="34"/>
      <c r="AH131" s="34"/>
      <c r="AI131" s="34"/>
      <c r="AJ131" s="34"/>
      <c r="AK131" s="34"/>
      <c r="AL131" s="34"/>
      <c r="AM131" s="34"/>
      <c r="AN131" s="34"/>
      <c r="AO131" s="34"/>
      <c r="AP131" s="34"/>
      <c r="AQ131" s="34"/>
      <c r="AR131" s="34"/>
      <c r="AS131" s="34"/>
      <c r="AT131" s="34"/>
      <c r="AU131" s="34"/>
      <c r="AV131" s="34"/>
      <c r="AW131" s="34"/>
      <c r="AX131" s="34"/>
      <c r="AY131" s="34"/>
      <c r="AZ131" s="34"/>
      <c r="BA131" s="34"/>
      <c r="BB131" s="34"/>
      <c r="BC131" s="34"/>
      <c r="BD131" s="34"/>
      <c r="BE131" s="34"/>
      <c r="BF131" s="34"/>
      <c r="BG131" s="34"/>
      <c r="BH131" s="34"/>
      <c r="BI131" s="34"/>
      <c r="BJ131" s="34"/>
      <c r="BK131" s="34"/>
      <c r="BL131" s="34"/>
      <c r="BM131" s="32"/>
      <c r="BN131" s="34"/>
      <c r="BO131" s="34"/>
      <c r="BP131" s="34"/>
      <c r="BQ131" s="34"/>
      <c r="BR131" s="34"/>
      <c r="BS131" s="34"/>
      <c r="BT131" s="34"/>
      <c r="BU131" s="34"/>
      <c r="BV131" s="32"/>
      <c r="BW131" s="32"/>
      <c r="BX131" s="34"/>
      <c r="BY131" s="34"/>
      <c r="BZ131" s="34"/>
      <c r="CA131" s="34"/>
      <c r="CB131" s="34"/>
      <c r="CC131" s="34"/>
      <c r="CD131" s="34"/>
      <c r="CE131" s="34"/>
      <c r="CF131" s="34"/>
      <c r="CG131" s="34"/>
      <c r="CH131" s="34"/>
      <c r="CI131" s="34"/>
      <c r="CJ131" s="34"/>
      <c r="CK131" s="32"/>
      <c r="CL131" s="34"/>
      <c r="CM131" s="34"/>
      <c r="CN131" s="34"/>
      <c r="CO131" s="34"/>
      <c r="CP131" s="34"/>
      <c r="CQ131" s="34"/>
      <c r="CR131" s="34"/>
      <c r="CS131" s="34"/>
      <c r="CT131" s="34"/>
      <c r="CU131" s="34"/>
      <c r="CV131" s="34"/>
      <c r="CW131" s="34"/>
      <c r="CX131" s="34"/>
      <c r="CY131" s="34"/>
      <c r="CZ131" s="34"/>
      <c r="DA131" s="34"/>
      <c r="DB131" s="34"/>
      <c r="DC131" s="34"/>
      <c r="DD131" s="34"/>
      <c r="DE131" s="32"/>
      <c r="DF131" s="34"/>
      <c r="DG131" s="34"/>
      <c r="DH131" s="34"/>
      <c r="DI131" s="34"/>
      <c r="DJ131" s="32"/>
      <c r="DK131" s="34"/>
      <c r="DL131" s="34"/>
      <c r="DM131" s="34"/>
      <c r="DN131" s="32"/>
      <c r="DO131" s="34"/>
      <c r="DP131" s="34"/>
      <c r="DQ131" s="34"/>
      <c r="DR131" s="34"/>
      <c r="DS131" s="32"/>
      <c r="DT131" s="34"/>
      <c r="DU131" s="34"/>
      <c r="DV131" s="34"/>
      <c r="DW131" s="34"/>
      <c r="DX131" s="34"/>
      <c r="DY131" s="34"/>
      <c r="DZ131" s="34"/>
      <c r="EA131" s="34"/>
      <c r="EB131" s="34"/>
      <c r="EC131" s="34"/>
      <c r="ED131" s="34"/>
      <c r="EE131" s="34"/>
      <c r="EF131" s="34"/>
      <c r="EG131" s="34"/>
      <c r="EH131" s="34"/>
      <c r="EI131" s="34"/>
      <c r="EJ131" s="32"/>
      <c r="EK131" s="34"/>
      <c r="EL131" s="34"/>
      <c r="EM131" s="34"/>
      <c r="EN131" s="34"/>
      <c r="EO131" s="34"/>
      <c r="EP131" s="34"/>
      <c r="EQ131" s="34"/>
      <c r="ER131" s="34"/>
      <c r="ES131" s="34"/>
      <c r="ET131" s="34"/>
      <c r="EU131" s="34"/>
      <c r="EV131" s="34"/>
      <c r="EW131" s="34"/>
      <c r="EX131" s="34"/>
      <c r="EY131" s="34"/>
      <c r="EZ131" s="34"/>
      <c r="FA131" s="34"/>
      <c r="FB131" s="32"/>
      <c r="FC131" s="32"/>
      <c r="FD131" s="34"/>
      <c r="FE131" s="34"/>
      <c r="FF131" s="34"/>
      <c r="FG131" s="34"/>
      <c r="FH131" s="34"/>
      <c r="FI131" s="34"/>
      <c r="FJ131" s="34"/>
      <c r="FK131" s="34"/>
      <c r="FL131" s="34"/>
      <c r="FM131" s="34"/>
      <c r="FN131" s="34"/>
      <c r="FO131" s="34"/>
      <c r="FP131" s="34"/>
      <c r="FQ131" s="34"/>
      <c r="FR131" s="34"/>
      <c r="FS131" s="32"/>
      <c r="FT131" s="34"/>
      <c r="FU131" s="32"/>
      <c r="FV131" s="34"/>
      <c r="FW131" s="34"/>
      <c r="FX131" s="34"/>
      <c r="FY131" s="34"/>
      <c r="FZ131" s="34"/>
      <c r="GA131" s="34"/>
      <c r="GB131" s="34"/>
      <c r="GC131" s="34"/>
      <c r="GD131" s="34"/>
      <c r="GE131" s="34"/>
      <c r="GF131" s="34"/>
      <c r="GG131" s="34"/>
      <c r="GH131" s="34"/>
      <c r="GI131" s="34"/>
      <c r="GJ131" s="34"/>
      <c r="GK131" s="34"/>
      <c r="GL131" s="34"/>
      <c r="GM131" s="34"/>
      <c r="GN131" s="34"/>
      <c r="GO131" s="34"/>
      <c r="GP131" s="34"/>
      <c r="GQ131" s="34"/>
      <c r="GR131" s="34"/>
      <c r="GS131" s="34"/>
      <c r="GT131" s="34"/>
      <c r="GU131" s="34"/>
      <c r="GV131" s="34"/>
      <c r="GW131" s="34"/>
      <c r="GX131" s="34"/>
      <c r="GY131" s="34"/>
      <c r="GZ131" s="34"/>
      <c r="HA131" s="34"/>
      <c r="HB131" s="34"/>
      <c r="HC131" s="34"/>
      <c r="HD131" s="34"/>
      <c r="HE131" s="34"/>
      <c r="HF131" s="34"/>
      <c r="HG131" s="34"/>
      <c r="HH131" s="34"/>
      <c r="HI131" s="34"/>
    </row>
    <row r="132">
      <c r="A132" s="23">
        <v>42866.0</v>
      </c>
      <c r="B132" s="4" t="s">
        <v>400</v>
      </c>
      <c r="C132" s="28">
        <f t="shared" si="14"/>
        <v>126</v>
      </c>
      <c r="D132" s="4">
        <v>21.900562</v>
      </c>
      <c r="E132" s="4">
        <v>-159.609818</v>
      </c>
      <c r="F132" s="4" t="s">
        <v>401</v>
      </c>
      <c r="G132" s="24">
        <v>0.3680555555555556</v>
      </c>
      <c r="H132" s="24">
        <v>0.4131944444444444</v>
      </c>
      <c r="I132" s="4">
        <v>6.0</v>
      </c>
      <c r="J132" s="4">
        <v>15.0</v>
      </c>
      <c r="K132" s="4" t="s">
        <v>198</v>
      </c>
      <c r="L132" s="4">
        <v>5.0</v>
      </c>
      <c r="M132" s="4">
        <v>25.0</v>
      </c>
      <c r="N132" s="4" t="s">
        <v>402</v>
      </c>
      <c r="P132" s="4">
        <v>25.0</v>
      </c>
      <c r="AB132" s="4">
        <v>2.0</v>
      </c>
      <c r="AC132" s="4">
        <v>1.0</v>
      </c>
      <c r="BM132" s="4">
        <v>1.0</v>
      </c>
      <c r="BV132" s="4">
        <v>16.0</v>
      </c>
      <c r="BW132" s="4">
        <v>38.0</v>
      </c>
      <c r="CK132" s="4">
        <v>5.0</v>
      </c>
      <c r="DE132" s="4">
        <v>1.0</v>
      </c>
      <c r="DJ132" s="4">
        <v>3.0</v>
      </c>
      <c r="DN132" s="4">
        <v>2.0</v>
      </c>
      <c r="DS132" s="4">
        <v>2.0</v>
      </c>
      <c r="EJ132" s="4">
        <v>69.0</v>
      </c>
      <c r="FB132" s="4">
        <v>2.0</v>
      </c>
      <c r="FC132" s="4">
        <v>1.0</v>
      </c>
      <c r="FS132" s="4">
        <v>112.0</v>
      </c>
      <c r="FU132" s="4">
        <v>1.0</v>
      </c>
      <c r="GH132" s="25">
        <f t="shared" ref="GH132:GH133" si="63">count(R132:GG132)</f>
        <v>15</v>
      </c>
      <c r="GI132" s="25">
        <f t="shared" ref="GI132:GI133" si="64">countif(R132:GG132,"&gt;=2")</f>
        <v>10</v>
      </c>
      <c r="GJ132" s="25">
        <f t="shared" ref="GJ132:GJ133" si="65">countif(R132:GG132,"&gt;=5")</f>
        <v>5</v>
      </c>
      <c r="GK132" s="25">
        <f t="shared" ref="GK132:GK133" si="66">sum(R132:GG132)</f>
        <v>256</v>
      </c>
      <c r="GL132" s="25">
        <f t="shared" ref="GL132:GL133" si="67">25*P132</f>
        <v>625</v>
      </c>
      <c r="GM132" s="25">
        <f t="shared" ref="GM132:GM133" si="68">GL132-GK132</f>
        <v>369</v>
      </c>
    </row>
    <row r="133">
      <c r="A133" s="23">
        <v>42866.0</v>
      </c>
      <c r="B133" s="4" t="s">
        <v>244</v>
      </c>
      <c r="C133" s="28">
        <f t="shared" si="14"/>
        <v>127</v>
      </c>
      <c r="D133" s="4">
        <v>21.310612</v>
      </c>
      <c r="E133" s="4">
        <v>-158.00441</v>
      </c>
      <c r="F133" s="4" t="s">
        <v>278</v>
      </c>
      <c r="G133" s="24">
        <v>0.3854166666666667</v>
      </c>
      <c r="H133" s="24">
        <v>0.4583333333333333</v>
      </c>
      <c r="I133" s="4">
        <v>6.0</v>
      </c>
      <c r="J133" s="4">
        <v>11.0</v>
      </c>
      <c r="K133" s="4" t="s">
        <v>198</v>
      </c>
      <c r="L133" s="4">
        <v>5.0</v>
      </c>
      <c r="M133" s="4">
        <v>24.0</v>
      </c>
      <c r="N133" s="4" t="s">
        <v>403</v>
      </c>
      <c r="P133" s="4">
        <v>24.0</v>
      </c>
      <c r="R133" s="4">
        <v>35.0</v>
      </c>
      <c r="AB133" s="4">
        <v>10.0</v>
      </c>
      <c r="AE133" s="4">
        <v>5.0</v>
      </c>
      <c r="AI133" s="4">
        <v>9.0</v>
      </c>
      <c r="AN133" s="4">
        <v>1.0</v>
      </c>
      <c r="BA133" s="4"/>
      <c r="BB133" s="4">
        <v>5.0</v>
      </c>
      <c r="BE133" s="4">
        <v>5.0</v>
      </c>
      <c r="BM133" s="4">
        <v>1.0</v>
      </c>
      <c r="BO133" s="4"/>
      <c r="BP133" s="4">
        <v>1.0</v>
      </c>
      <c r="BQ133" s="4">
        <v>1.0</v>
      </c>
      <c r="BV133" s="4">
        <v>11.0</v>
      </c>
      <c r="BZ133" s="4">
        <v>2.0</v>
      </c>
      <c r="CK133" s="4">
        <v>1.0</v>
      </c>
      <c r="CO133" s="4">
        <v>7.0</v>
      </c>
      <c r="DG133" s="4">
        <v>12.0</v>
      </c>
      <c r="DM133" s="4">
        <v>32.0</v>
      </c>
      <c r="DO133" s="4">
        <v>4.0</v>
      </c>
      <c r="DU133" s="4"/>
      <c r="DV133" s="4">
        <v>6.0</v>
      </c>
      <c r="EC133" s="4">
        <v>4.0</v>
      </c>
      <c r="EJ133" s="4">
        <v>122.0</v>
      </c>
      <c r="EX133" s="4">
        <v>9.0</v>
      </c>
      <c r="FB133" s="4">
        <v>13.0</v>
      </c>
      <c r="FH133" s="4">
        <v>1.0</v>
      </c>
      <c r="FI133" s="4">
        <v>10.0</v>
      </c>
      <c r="FS133" s="4">
        <v>32.0</v>
      </c>
      <c r="FV133" s="4"/>
      <c r="FW133" s="4">
        <v>6.0</v>
      </c>
      <c r="GG133" s="4">
        <v>35.0</v>
      </c>
      <c r="GH133" s="25">
        <f t="shared" si="63"/>
        <v>27</v>
      </c>
      <c r="GI133" s="25">
        <f t="shared" si="64"/>
        <v>21</v>
      </c>
      <c r="GJ133" s="25">
        <f t="shared" si="65"/>
        <v>18</v>
      </c>
      <c r="GK133" s="25">
        <f t="shared" si="66"/>
        <v>380</v>
      </c>
      <c r="GL133" s="25">
        <f t="shared" si="67"/>
        <v>600</v>
      </c>
      <c r="GM133" s="25">
        <f t="shared" si="68"/>
        <v>220</v>
      </c>
    </row>
    <row r="134">
      <c r="A134" s="41">
        <v>42866.0</v>
      </c>
      <c r="B134" s="42" t="s">
        <v>219</v>
      </c>
      <c r="C134" s="28">
        <f t="shared" si="14"/>
        <v>128</v>
      </c>
      <c r="D134" s="42">
        <v>21.295799</v>
      </c>
      <c r="E134" s="42">
        <v>-158.103699</v>
      </c>
      <c r="F134" s="42" t="s">
        <v>479</v>
      </c>
      <c r="G134" s="43">
        <v>0.4</v>
      </c>
      <c r="H134" s="43">
        <v>0.4583333333333333</v>
      </c>
      <c r="I134" s="42">
        <v>7.0</v>
      </c>
      <c r="J134" s="42">
        <v>10.0</v>
      </c>
      <c r="K134" s="42" t="s">
        <v>415</v>
      </c>
      <c r="L134" s="42">
        <v>1.0</v>
      </c>
      <c r="M134" s="42">
        <v>6.0</v>
      </c>
      <c r="N134" s="42" t="s">
        <v>480</v>
      </c>
      <c r="O134" s="44"/>
      <c r="P134" s="42"/>
      <c r="Q134" s="44"/>
      <c r="R134" s="42">
        <v>1.0</v>
      </c>
      <c r="S134" s="42"/>
      <c r="T134" s="44"/>
      <c r="U134" s="44"/>
      <c r="V134" s="44"/>
      <c r="W134" s="44"/>
      <c r="X134" s="44"/>
      <c r="Y134" s="44"/>
      <c r="Z134" s="44"/>
      <c r="AA134" s="44"/>
      <c r="AB134" s="44"/>
      <c r="AC134" s="44"/>
      <c r="AD134" s="44"/>
      <c r="AE134" s="44"/>
      <c r="AF134" s="44"/>
      <c r="AG134" s="44"/>
      <c r="AH134" s="44"/>
      <c r="AI134" s="42"/>
      <c r="AJ134" s="44"/>
      <c r="AK134" s="44"/>
      <c r="AL134" s="44"/>
      <c r="AM134" s="42"/>
      <c r="AN134" s="44"/>
      <c r="AO134" s="44"/>
      <c r="AP134" s="44"/>
      <c r="AQ134" s="44"/>
      <c r="AR134" s="44"/>
      <c r="AS134" s="44"/>
      <c r="AT134" s="44"/>
      <c r="AU134" s="44"/>
      <c r="AV134" s="44"/>
      <c r="AW134" s="44"/>
      <c r="AX134" s="44"/>
      <c r="AY134" s="44"/>
      <c r="AZ134" s="44"/>
      <c r="BA134" s="44"/>
      <c r="BB134" s="44"/>
      <c r="BC134" s="44"/>
      <c r="BD134" s="44"/>
      <c r="BE134" s="42">
        <v>1.0</v>
      </c>
      <c r="BF134" s="44"/>
      <c r="BG134" s="44"/>
      <c r="BH134" s="44"/>
      <c r="BI134" s="44"/>
      <c r="BJ134" s="44"/>
      <c r="BK134" s="44"/>
      <c r="BL134" s="44"/>
      <c r="BM134" s="42"/>
      <c r="BN134" s="42"/>
      <c r="BO134" s="44"/>
      <c r="BP134" s="44"/>
      <c r="BQ134" s="42"/>
      <c r="BR134" s="44"/>
      <c r="BS134" s="44"/>
      <c r="BT134" s="44"/>
      <c r="BU134" s="44"/>
      <c r="BV134" s="42">
        <v>1.0</v>
      </c>
      <c r="BW134" s="44"/>
      <c r="BX134" s="44"/>
      <c r="BY134" s="44"/>
      <c r="BZ134" s="42">
        <v>3.0</v>
      </c>
      <c r="CA134" s="44"/>
      <c r="CB134" s="44"/>
      <c r="CC134" s="42"/>
      <c r="CD134" s="44"/>
      <c r="CE134" s="44"/>
      <c r="CF134" s="44"/>
      <c r="CG134" s="44"/>
      <c r="CH134" s="44"/>
      <c r="CI134" s="44"/>
      <c r="CJ134" s="44"/>
      <c r="CK134" s="44"/>
      <c r="CL134" s="44"/>
      <c r="CM134" s="44"/>
      <c r="CN134" s="44"/>
      <c r="CO134" s="44"/>
      <c r="CP134" s="44"/>
      <c r="CQ134" s="44"/>
      <c r="CR134" s="44"/>
      <c r="CS134" s="42">
        <v>2.0</v>
      </c>
      <c r="CT134" s="44"/>
      <c r="CU134" s="44"/>
      <c r="CV134" s="44"/>
      <c r="CW134" s="44"/>
      <c r="CX134" s="44"/>
      <c r="CY134" s="44"/>
      <c r="CZ134" s="44"/>
      <c r="DA134" s="44"/>
      <c r="DB134" s="44"/>
      <c r="DC134" s="44"/>
      <c r="DD134" s="44"/>
      <c r="DE134" s="44"/>
      <c r="DF134" s="44"/>
      <c r="DG134" s="44"/>
      <c r="DH134" s="44"/>
      <c r="DI134" s="44"/>
      <c r="DJ134" s="44"/>
      <c r="DK134" s="44"/>
      <c r="DL134" s="44"/>
      <c r="DM134" s="42">
        <v>13.0</v>
      </c>
      <c r="DN134" s="44"/>
      <c r="DO134" s="44"/>
      <c r="DP134" s="44"/>
      <c r="DQ134" s="44"/>
      <c r="DR134" s="44"/>
      <c r="DS134" s="42">
        <v>2.0</v>
      </c>
      <c r="DT134" s="44"/>
      <c r="DU134" s="44"/>
      <c r="DV134" s="44"/>
      <c r="DW134" s="44"/>
      <c r="DX134" s="44"/>
      <c r="DY134" s="44"/>
      <c r="DZ134" s="44"/>
      <c r="EA134" s="44"/>
      <c r="EB134" s="44"/>
      <c r="EC134" s="42"/>
      <c r="ED134" s="44"/>
      <c r="EE134" s="44"/>
      <c r="EF134" s="44"/>
      <c r="EG134" s="44"/>
      <c r="EH134" s="44"/>
      <c r="EI134" s="44"/>
      <c r="EJ134" s="42">
        <v>58.0</v>
      </c>
      <c r="EK134" s="44"/>
      <c r="EL134" s="44"/>
      <c r="EM134" s="44"/>
      <c r="EN134" s="44"/>
      <c r="EO134" s="44"/>
      <c r="EP134" s="44"/>
      <c r="EQ134" s="44"/>
      <c r="ER134" s="44"/>
      <c r="ES134" s="44"/>
      <c r="ET134" s="44"/>
      <c r="EU134" s="44"/>
      <c r="EV134" s="44"/>
      <c r="EW134" s="44"/>
      <c r="EX134" s="44"/>
      <c r="EY134" s="44"/>
      <c r="EZ134" s="44"/>
      <c r="FA134" s="44"/>
      <c r="FB134" s="42">
        <v>10.0</v>
      </c>
      <c r="FC134" s="44"/>
      <c r="FD134" s="44"/>
      <c r="FE134" s="44"/>
      <c r="FF134" s="42">
        <v>1.0</v>
      </c>
      <c r="FG134" s="44"/>
      <c r="FH134" s="44"/>
      <c r="FI134" s="44"/>
      <c r="FJ134" s="42"/>
      <c r="FK134" s="42"/>
      <c r="FL134" s="42"/>
      <c r="FM134" s="44"/>
      <c r="FN134" s="44"/>
      <c r="FO134" s="44"/>
      <c r="FP134" s="44"/>
      <c r="FQ134" s="44"/>
      <c r="FR134" s="42"/>
      <c r="FS134" s="42">
        <v>7.0</v>
      </c>
      <c r="FT134" s="44"/>
      <c r="FU134" s="44"/>
      <c r="FV134" s="44"/>
      <c r="FW134" s="44"/>
      <c r="FX134" s="44"/>
      <c r="FY134" s="44"/>
      <c r="FZ134" s="44"/>
      <c r="GA134" s="44"/>
      <c r="GB134" s="44"/>
      <c r="GC134" s="44"/>
      <c r="GD134" s="44"/>
      <c r="GE134" s="44"/>
      <c r="GF134" s="44"/>
      <c r="GG134" s="44"/>
      <c r="GH134" s="44"/>
      <c r="GI134" s="44"/>
      <c r="GJ134" s="44"/>
      <c r="GK134" s="44"/>
      <c r="GL134" s="44"/>
      <c r="GM134" s="44"/>
      <c r="GN134" s="44"/>
      <c r="GO134" s="44"/>
      <c r="GP134" s="44"/>
      <c r="GQ134" s="44"/>
      <c r="GR134" s="44"/>
      <c r="GS134" s="44"/>
      <c r="GT134" s="44"/>
      <c r="GU134" s="44"/>
      <c r="GV134" s="44"/>
      <c r="GW134" s="44"/>
      <c r="GX134" s="44"/>
      <c r="GY134" s="44"/>
      <c r="GZ134" s="44"/>
      <c r="HA134" s="44"/>
      <c r="HB134" s="44"/>
      <c r="HC134" s="44"/>
      <c r="HD134" s="44"/>
      <c r="HE134" s="44"/>
      <c r="HF134" s="44"/>
      <c r="HG134" s="44"/>
      <c r="HH134" s="44"/>
      <c r="HI134" s="44"/>
    </row>
    <row r="135">
      <c r="A135" s="41">
        <v>42866.0</v>
      </c>
      <c r="B135" s="42" t="s">
        <v>377</v>
      </c>
      <c r="C135" s="28">
        <f t="shared" si="14"/>
        <v>129</v>
      </c>
      <c r="D135" s="42">
        <v>20.705</v>
      </c>
      <c r="E135" s="42">
        <v>-156.446945</v>
      </c>
      <c r="F135" s="42" t="s">
        <v>378</v>
      </c>
      <c r="G135" s="43">
        <v>0.3645833333333333</v>
      </c>
      <c r="H135" s="43">
        <v>0.4479166666666667</v>
      </c>
      <c r="I135" s="42">
        <v>11.0</v>
      </c>
      <c r="J135" s="42">
        <v>20.0</v>
      </c>
      <c r="K135" s="42" t="s">
        <v>227</v>
      </c>
      <c r="L135" s="42">
        <v>7.0</v>
      </c>
      <c r="M135" s="42">
        <v>7.0</v>
      </c>
      <c r="N135" s="42" t="s">
        <v>485</v>
      </c>
      <c r="O135" s="44"/>
      <c r="P135" s="42"/>
      <c r="Q135" s="44"/>
      <c r="R135" s="42">
        <v>7.0</v>
      </c>
      <c r="S135" s="42"/>
      <c r="T135" s="44"/>
      <c r="U135" s="44"/>
      <c r="V135" s="44"/>
      <c r="W135" s="44"/>
      <c r="X135" s="44"/>
      <c r="Y135" s="44"/>
      <c r="Z135" s="44"/>
      <c r="AA135" s="44"/>
      <c r="AB135" s="44"/>
      <c r="AC135" s="44"/>
      <c r="AD135" s="44"/>
      <c r="AE135" s="44"/>
      <c r="AF135" s="44"/>
      <c r="AG135" s="44"/>
      <c r="AH135" s="44"/>
      <c r="AI135" s="42"/>
      <c r="AJ135" s="44"/>
      <c r="AK135" s="44"/>
      <c r="AL135" s="44"/>
      <c r="AM135" s="42"/>
      <c r="AN135" s="44"/>
      <c r="AO135" s="44"/>
      <c r="AP135" s="44"/>
      <c r="AQ135" s="44"/>
      <c r="AR135" s="44"/>
      <c r="AS135" s="44"/>
      <c r="AT135" s="44"/>
      <c r="AU135" s="44"/>
      <c r="AV135" s="44"/>
      <c r="AW135" s="44"/>
      <c r="AX135" s="44"/>
      <c r="AY135" s="44"/>
      <c r="AZ135" s="44"/>
      <c r="BA135" s="44"/>
      <c r="BB135" s="42">
        <v>2.0</v>
      </c>
      <c r="BC135" s="44"/>
      <c r="BD135" s="44"/>
      <c r="BE135" s="44"/>
      <c r="BF135" s="44"/>
      <c r="BG135" s="44"/>
      <c r="BH135" s="44"/>
      <c r="BI135" s="44"/>
      <c r="BJ135" s="44"/>
      <c r="BK135" s="44"/>
      <c r="BL135" s="44"/>
      <c r="BM135" s="42"/>
      <c r="BN135" s="42"/>
      <c r="BO135" s="44"/>
      <c r="BP135" s="44"/>
      <c r="BQ135" s="42"/>
      <c r="BR135" s="44"/>
      <c r="BS135" s="44"/>
      <c r="BT135" s="44"/>
      <c r="BU135" s="44"/>
      <c r="BV135" s="44"/>
      <c r="BW135" s="44"/>
      <c r="BX135" s="44"/>
      <c r="BY135" s="44"/>
      <c r="BZ135" s="44"/>
      <c r="CA135" s="44"/>
      <c r="CB135" s="44"/>
      <c r="CC135" s="42"/>
      <c r="CD135" s="44"/>
      <c r="CE135" s="44"/>
      <c r="CF135" s="44"/>
      <c r="CG135" s="44"/>
      <c r="CH135" s="44"/>
      <c r="CI135" s="44"/>
      <c r="CJ135" s="44"/>
      <c r="CK135" s="42">
        <v>24.0</v>
      </c>
      <c r="CL135" s="44"/>
      <c r="CM135" s="44"/>
      <c r="CN135" s="44"/>
      <c r="CO135" s="44"/>
      <c r="CP135" s="44"/>
      <c r="CQ135" s="44"/>
      <c r="CR135" s="44"/>
      <c r="CS135" s="44"/>
      <c r="CT135" s="44"/>
      <c r="CU135" s="44"/>
      <c r="CV135" s="44"/>
      <c r="CW135" s="44"/>
      <c r="CX135" s="44"/>
      <c r="CY135" s="44"/>
      <c r="CZ135" s="44"/>
      <c r="DA135" s="44"/>
      <c r="DB135" s="44"/>
      <c r="DC135" s="44"/>
      <c r="DD135" s="44"/>
      <c r="DE135" s="44"/>
      <c r="DF135" s="44"/>
      <c r="DG135" s="44"/>
      <c r="DH135" s="42">
        <v>4.0</v>
      </c>
      <c r="DI135" s="44"/>
      <c r="DJ135" s="44"/>
      <c r="DK135" s="44"/>
      <c r="DL135" s="44"/>
      <c r="DM135" s="44"/>
      <c r="DN135" s="44"/>
      <c r="DO135" s="44"/>
      <c r="DP135" s="44"/>
      <c r="DQ135" s="44"/>
      <c r="DR135" s="44"/>
      <c r="DS135" s="42"/>
      <c r="DT135" s="44"/>
      <c r="DU135" s="44"/>
      <c r="DV135" s="44"/>
      <c r="DW135" s="44"/>
      <c r="DX135" s="44"/>
      <c r="DY135" s="44"/>
      <c r="DZ135" s="44"/>
      <c r="EA135" s="44"/>
      <c r="EB135" s="44"/>
      <c r="EC135" s="42"/>
      <c r="ED135" s="44"/>
      <c r="EE135" s="44"/>
      <c r="EF135" s="44"/>
      <c r="EG135" s="44"/>
      <c r="EH135" s="44"/>
      <c r="EI135" s="44"/>
      <c r="EJ135" s="42"/>
      <c r="EK135" s="44"/>
      <c r="EL135" s="44"/>
      <c r="EM135" s="44"/>
      <c r="EN135" s="44"/>
      <c r="EO135" s="44"/>
      <c r="EP135" s="44"/>
      <c r="EQ135" s="44"/>
      <c r="ER135" s="44"/>
      <c r="ES135" s="44"/>
      <c r="ET135" s="44"/>
      <c r="EU135" s="44"/>
      <c r="EV135" s="44"/>
      <c r="EW135" s="44"/>
      <c r="EX135" s="42">
        <v>3.0</v>
      </c>
      <c r="EY135" s="44"/>
      <c r="EZ135" s="44"/>
      <c r="FA135" s="44"/>
      <c r="FB135" s="44"/>
      <c r="FC135" s="44"/>
      <c r="FD135" s="44"/>
      <c r="FE135" s="44"/>
      <c r="FF135" s="44"/>
      <c r="FG135" s="44"/>
      <c r="FH135" s="44"/>
      <c r="FI135" s="44"/>
      <c r="FJ135" s="42"/>
      <c r="FK135" s="42"/>
      <c r="FL135" s="42"/>
      <c r="FM135" s="44"/>
      <c r="FN135" s="44"/>
      <c r="FO135" s="44"/>
      <c r="FP135" s="44"/>
      <c r="FQ135" s="44"/>
      <c r="FR135" s="42"/>
      <c r="FS135" s="42"/>
      <c r="FT135" s="44"/>
      <c r="FU135" s="44"/>
      <c r="FV135" s="44"/>
      <c r="FW135" s="44"/>
      <c r="FX135" s="44"/>
      <c r="FY135" s="44"/>
      <c r="FZ135" s="44"/>
      <c r="GA135" s="44"/>
      <c r="GB135" s="44"/>
      <c r="GC135" s="44"/>
      <c r="GD135" s="42">
        <v>10.0</v>
      </c>
      <c r="GE135" s="44"/>
      <c r="GF135" s="44"/>
      <c r="GG135" s="44"/>
      <c r="GH135" s="44"/>
      <c r="GI135" s="44"/>
      <c r="GJ135" s="44"/>
      <c r="GK135" s="44"/>
      <c r="GL135" s="44"/>
      <c r="GM135" s="44"/>
      <c r="GN135" s="44"/>
      <c r="GO135" s="44"/>
      <c r="GP135" s="44"/>
      <c r="GQ135" s="44"/>
      <c r="GR135" s="44"/>
      <c r="GS135" s="44"/>
      <c r="GT135" s="44"/>
      <c r="GU135" s="44"/>
      <c r="GV135" s="44"/>
      <c r="GW135" s="44"/>
      <c r="GX135" s="44"/>
      <c r="GY135" s="44"/>
      <c r="GZ135" s="44"/>
      <c r="HA135" s="44"/>
      <c r="HB135" s="44"/>
      <c r="HC135" s="44"/>
      <c r="HD135" s="44"/>
      <c r="HE135" s="44"/>
      <c r="HF135" s="44"/>
      <c r="HG135" s="44"/>
      <c r="HH135" s="44"/>
      <c r="HI135" s="44"/>
    </row>
    <row r="136">
      <c r="A136" s="23">
        <v>42867.0</v>
      </c>
      <c r="B136" s="4" t="s">
        <v>216</v>
      </c>
      <c r="C136" s="28">
        <f t="shared" si="14"/>
        <v>130</v>
      </c>
      <c r="D136" s="4">
        <v>21.3002</v>
      </c>
      <c r="E136" s="4">
        <v>-157.882599</v>
      </c>
      <c r="F136" s="4" t="s">
        <v>299</v>
      </c>
      <c r="G136" s="24">
        <v>0.4583333333333333</v>
      </c>
      <c r="H136" s="24">
        <v>0.5104166666666666</v>
      </c>
      <c r="I136" s="4">
        <v>4.0</v>
      </c>
      <c r="J136" s="4">
        <v>20.0</v>
      </c>
      <c r="K136" s="4" t="s">
        <v>217</v>
      </c>
      <c r="L136" s="4">
        <v>10.0</v>
      </c>
      <c r="M136" s="4">
        <v>32.0</v>
      </c>
      <c r="N136" s="4" t="s">
        <v>404</v>
      </c>
      <c r="P136" s="4">
        <v>32.0</v>
      </c>
      <c r="S136" s="4">
        <v>2.0</v>
      </c>
      <c r="AI136" s="4">
        <v>1.0</v>
      </c>
      <c r="AM136" s="4">
        <v>6.0</v>
      </c>
      <c r="BM136" s="4">
        <v>45.0</v>
      </c>
      <c r="BN136" s="4">
        <v>16.0</v>
      </c>
      <c r="BQ136" s="4">
        <v>7.0</v>
      </c>
      <c r="CC136" s="4">
        <v>2.0</v>
      </c>
      <c r="DS136" s="4">
        <v>6.0</v>
      </c>
      <c r="EC136" s="4">
        <v>17.0</v>
      </c>
      <c r="EJ136" s="4">
        <v>2.0</v>
      </c>
      <c r="FJ136" s="4"/>
      <c r="FK136" s="4"/>
      <c r="FL136" s="4">
        <v>1.0</v>
      </c>
      <c r="FR136" s="4">
        <v>4.0</v>
      </c>
      <c r="FS136" s="4">
        <v>455.0</v>
      </c>
      <c r="GH136" s="25">
        <f>count(R136:GG136)</f>
        <v>13</v>
      </c>
      <c r="GI136" s="25">
        <f>countif(R136:GG136,"&gt;=2")</f>
        <v>11</v>
      </c>
      <c r="GJ136" s="25">
        <f>countif(R136:GG136,"&gt;=5")</f>
        <v>7</v>
      </c>
      <c r="GK136" s="25">
        <f>sum(R136:GG136)</f>
        <v>564</v>
      </c>
      <c r="GL136" s="25">
        <f>25*P136</f>
        <v>800</v>
      </c>
      <c r="GM136" s="25">
        <f>GL136-GK136</f>
        <v>236</v>
      </c>
    </row>
    <row r="137">
      <c r="A137" s="41">
        <v>42874.0</v>
      </c>
      <c r="B137" s="42" t="s">
        <v>400</v>
      </c>
      <c r="C137" s="28">
        <f t="shared" si="14"/>
        <v>131</v>
      </c>
      <c r="D137" s="42">
        <v>21.900562</v>
      </c>
      <c r="E137" s="42">
        <v>-159.609818</v>
      </c>
      <c r="F137" s="42" t="s">
        <v>401</v>
      </c>
      <c r="G137" s="43">
        <v>0.3625</v>
      </c>
      <c r="H137" s="43">
        <v>0.4111111111111111</v>
      </c>
      <c r="I137" s="42">
        <v>6.0</v>
      </c>
      <c r="J137" s="42">
        <v>15.0</v>
      </c>
      <c r="K137" s="42" t="s">
        <v>198</v>
      </c>
      <c r="L137" s="42">
        <v>5.0</v>
      </c>
      <c r="M137" s="42">
        <v>22.0</v>
      </c>
      <c r="N137" s="42" t="s">
        <v>490</v>
      </c>
      <c r="O137" s="44"/>
      <c r="P137" s="42"/>
      <c r="Q137" s="44"/>
      <c r="R137" s="44"/>
      <c r="S137" s="44"/>
      <c r="T137" s="44"/>
      <c r="U137" s="44"/>
      <c r="V137" s="44"/>
      <c r="W137" s="44"/>
      <c r="X137" s="44"/>
      <c r="Y137" s="44"/>
      <c r="Z137" s="44"/>
      <c r="AA137" s="44"/>
      <c r="AB137" s="44"/>
      <c r="AC137" s="44"/>
      <c r="AD137" s="44"/>
      <c r="AE137" s="44"/>
      <c r="AF137" s="42"/>
      <c r="AG137" s="44"/>
      <c r="AH137" s="44"/>
      <c r="AI137" s="42"/>
      <c r="AJ137" s="44"/>
      <c r="AK137" s="44"/>
      <c r="AL137" s="44"/>
      <c r="AM137" s="42"/>
      <c r="AN137" s="44"/>
      <c r="AO137" s="44"/>
      <c r="AP137" s="44"/>
      <c r="AQ137" s="44"/>
      <c r="AR137" s="44"/>
      <c r="AS137" s="44"/>
      <c r="AT137" s="44"/>
      <c r="AU137" s="44"/>
      <c r="AV137" s="44"/>
      <c r="AW137" s="44"/>
      <c r="AX137" s="44"/>
      <c r="AY137" s="44"/>
      <c r="AZ137" s="44"/>
      <c r="BA137" s="44"/>
      <c r="BB137" s="44"/>
      <c r="BC137" s="44"/>
      <c r="BD137" s="44"/>
      <c r="BE137" s="44"/>
      <c r="BF137" s="44"/>
      <c r="BG137" s="44"/>
      <c r="BH137" s="44"/>
      <c r="BI137" s="44"/>
      <c r="BJ137" s="44"/>
      <c r="BK137" s="44"/>
      <c r="BL137" s="44"/>
      <c r="BM137" s="42"/>
      <c r="BN137" s="42"/>
      <c r="BO137" s="44"/>
      <c r="BP137" s="44"/>
      <c r="BQ137" s="44"/>
      <c r="BR137" s="44"/>
      <c r="BS137" s="44"/>
      <c r="BT137" s="44"/>
      <c r="BU137" s="44"/>
      <c r="BV137" s="42">
        <v>61.0</v>
      </c>
      <c r="BW137" s="44"/>
      <c r="BX137" s="44"/>
      <c r="BY137" s="44"/>
      <c r="BZ137" s="44"/>
      <c r="CA137" s="44"/>
      <c r="CB137" s="44"/>
      <c r="CC137" s="42"/>
      <c r="CD137" s="42">
        <v>1.0</v>
      </c>
      <c r="CE137" s="44"/>
      <c r="CF137" s="44"/>
      <c r="CG137" s="44"/>
      <c r="CH137" s="42">
        <v>25.0</v>
      </c>
      <c r="CI137" s="44"/>
      <c r="CJ137" s="44"/>
      <c r="CK137" s="44"/>
      <c r="CL137" s="44"/>
      <c r="CM137" s="44"/>
      <c r="CN137" s="44"/>
      <c r="CO137" s="44"/>
      <c r="CP137" s="44"/>
      <c r="CQ137" s="44"/>
      <c r="CR137" s="44"/>
      <c r="CS137" s="44"/>
      <c r="CT137" s="44"/>
      <c r="CU137" s="44"/>
      <c r="CV137" s="42">
        <v>2.0</v>
      </c>
      <c r="CW137" s="44"/>
      <c r="CX137" s="44"/>
      <c r="CY137" s="44"/>
      <c r="CZ137" s="44"/>
      <c r="DA137" s="44"/>
      <c r="DB137" s="44"/>
      <c r="DC137" s="44"/>
      <c r="DD137" s="44"/>
      <c r="DE137" s="44"/>
      <c r="DF137" s="44"/>
      <c r="DG137" s="44"/>
      <c r="DH137" s="44"/>
      <c r="DI137" s="44"/>
      <c r="DJ137" s="44"/>
      <c r="DK137" s="44"/>
      <c r="DL137" s="44"/>
      <c r="DM137" s="44"/>
      <c r="DN137" s="44"/>
      <c r="DO137" s="44"/>
      <c r="DP137" s="44"/>
      <c r="DQ137" s="44"/>
      <c r="DR137" s="44"/>
      <c r="DS137" s="44"/>
      <c r="DT137" s="44"/>
      <c r="DU137" s="44"/>
      <c r="DV137" s="44"/>
      <c r="DW137" s="44"/>
      <c r="DX137" s="44"/>
      <c r="DY137" s="44"/>
      <c r="DZ137" s="44"/>
      <c r="EA137" s="44"/>
      <c r="EB137" s="44"/>
      <c r="EC137" s="44"/>
      <c r="ED137" s="44"/>
      <c r="EE137" s="44"/>
      <c r="EF137" s="44"/>
      <c r="EG137" s="44"/>
      <c r="EH137" s="44"/>
      <c r="EI137" s="44"/>
      <c r="EJ137" s="44"/>
      <c r="EK137" s="42"/>
      <c r="EL137" s="44"/>
      <c r="EM137" s="44"/>
      <c r="EN137" s="44"/>
      <c r="EO137" s="44"/>
      <c r="EP137" s="42"/>
      <c r="EQ137" s="44"/>
      <c r="ER137" s="42"/>
      <c r="ES137" s="44"/>
      <c r="ET137" s="44"/>
      <c r="EU137" s="44"/>
      <c r="EV137" s="44"/>
      <c r="EW137" s="44"/>
      <c r="EX137" s="42">
        <v>3.0</v>
      </c>
      <c r="EY137" s="44"/>
      <c r="EZ137" s="44"/>
      <c r="FA137" s="44"/>
      <c r="FB137" s="44"/>
      <c r="FC137" s="44"/>
      <c r="FD137" s="44"/>
      <c r="FE137" s="44"/>
      <c r="FF137" s="42"/>
      <c r="FG137" s="44"/>
      <c r="FH137" s="44"/>
      <c r="FI137" s="42"/>
      <c r="FJ137" s="44"/>
      <c r="FK137" s="44"/>
      <c r="FL137" s="44"/>
      <c r="FM137" s="42"/>
      <c r="FN137" s="44"/>
      <c r="FO137" s="44"/>
      <c r="FP137" s="44"/>
      <c r="FQ137" s="44"/>
      <c r="FR137" s="44"/>
      <c r="FS137" s="42">
        <v>123.0</v>
      </c>
      <c r="FT137" s="44"/>
      <c r="FU137" s="44"/>
      <c r="FV137" s="44"/>
      <c r="FW137" s="44"/>
      <c r="FX137" s="44"/>
      <c r="FY137" s="44"/>
      <c r="FZ137" s="44"/>
      <c r="GA137" s="44"/>
      <c r="GB137" s="44"/>
      <c r="GC137" s="44"/>
      <c r="GD137" s="44"/>
      <c r="GE137" s="44"/>
      <c r="GF137" s="42">
        <v>11.0</v>
      </c>
      <c r="GG137" s="44"/>
      <c r="GH137" s="44"/>
      <c r="GI137" s="44"/>
      <c r="GJ137" s="44"/>
      <c r="GK137" s="44"/>
      <c r="GL137" s="44"/>
      <c r="GM137" s="44"/>
      <c r="GN137" s="44"/>
      <c r="GO137" s="44"/>
      <c r="GP137" s="44"/>
      <c r="GQ137" s="44"/>
      <c r="GR137" s="44"/>
      <c r="GS137" s="44"/>
      <c r="GT137" s="44"/>
      <c r="GU137" s="44"/>
      <c r="GV137" s="44"/>
      <c r="GW137" s="44"/>
      <c r="GX137" s="44"/>
      <c r="GY137" s="44"/>
      <c r="GZ137" s="44"/>
      <c r="HA137" s="44"/>
      <c r="HB137" s="44"/>
      <c r="HC137" s="44"/>
      <c r="HD137" s="44"/>
      <c r="HE137" s="44"/>
      <c r="HF137" s="44"/>
      <c r="HG137" s="44"/>
      <c r="HH137" s="44"/>
      <c r="HI137" s="44"/>
    </row>
    <row r="138">
      <c r="A138" s="23">
        <v>42879.0</v>
      </c>
      <c r="B138" s="4" t="s">
        <v>247</v>
      </c>
      <c r="C138" s="28">
        <f t="shared" si="14"/>
        <v>132</v>
      </c>
      <c r="D138" s="4">
        <v>19.488199</v>
      </c>
      <c r="E138" s="4">
        <v>-154.819305</v>
      </c>
      <c r="F138" s="4" t="s">
        <v>289</v>
      </c>
      <c r="G138" s="24">
        <v>0.3854166666666667</v>
      </c>
      <c r="H138" s="24">
        <v>0.46875</v>
      </c>
      <c r="I138" s="4">
        <v>5.0</v>
      </c>
      <c r="J138" s="4">
        <v>20.0</v>
      </c>
      <c r="K138" s="4" t="s">
        <v>198</v>
      </c>
      <c r="L138" s="4">
        <v>5.0</v>
      </c>
      <c r="M138" s="4">
        <v>25.0</v>
      </c>
      <c r="P138" s="4">
        <v>25.0</v>
      </c>
      <c r="AF138" s="4">
        <v>3.0</v>
      </c>
      <c r="AI138" s="4">
        <v>1.0</v>
      </c>
      <c r="AM138" s="4">
        <v>22.0</v>
      </c>
      <c r="BM138" s="4">
        <v>22.0</v>
      </c>
      <c r="BN138" s="4">
        <v>3.0</v>
      </c>
      <c r="CC138" s="4">
        <v>3.0</v>
      </c>
      <c r="EK138" s="4">
        <v>2.0</v>
      </c>
      <c r="EP138" s="4">
        <v>2.0</v>
      </c>
      <c r="ER138" s="4">
        <v>4.0</v>
      </c>
      <c r="FF138" s="4">
        <v>1.0</v>
      </c>
      <c r="FI138" s="4">
        <v>1.0</v>
      </c>
      <c r="FM138" s="4">
        <v>15.0</v>
      </c>
      <c r="FS138" s="4">
        <v>514.0</v>
      </c>
      <c r="GH138" s="25">
        <f t="shared" ref="GH138:GH142" si="69">count(R138:GG138)</f>
        <v>13</v>
      </c>
      <c r="GI138" s="25">
        <f t="shared" ref="GI138:GI142" si="70">countif(R138:GG138,"&gt;=2")</f>
        <v>10</v>
      </c>
      <c r="GJ138" s="25">
        <f t="shared" ref="GJ138:GJ142" si="71">countif(R138:GG138,"&gt;=5")</f>
        <v>4</v>
      </c>
      <c r="GK138" s="25">
        <f t="shared" ref="GK138:GK142" si="72">sum(R138:GG138)</f>
        <v>593</v>
      </c>
      <c r="GL138" s="25">
        <f t="shared" ref="GL138:GL142" si="73">25*P138</f>
        <v>625</v>
      </c>
      <c r="GM138" s="25">
        <f t="shared" ref="GM138:GM142" si="74">GL138-GK138</f>
        <v>32</v>
      </c>
    </row>
    <row r="139">
      <c r="A139" s="23">
        <v>42908.0</v>
      </c>
      <c r="B139" s="4" t="s">
        <v>246</v>
      </c>
      <c r="C139" s="28">
        <f t="shared" si="14"/>
        <v>133</v>
      </c>
      <c r="D139" s="4">
        <v>21.2882</v>
      </c>
      <c r="E139" s="4">
        <v>-157.667999</v>
      </c>
      <c r="F139" s="4" t="s">
        <v>197</v>
      </c>
      <c r="G139" s="24">
        <v>0.3194444444444444</v>
      </c>
      <c r="H139" s="24">
        <v>0.3958333333333333</v>
      </c>
      <c r="I139" s="4">
        <v>3.0</v>
      </c>
      <c r="J139" s="4">
        <v>20.0</v>
      </c>
      <c r="K139" s="4" t="s">
        <v>217</v>
      </c>
      <c r="L139" s="4">
        <v>10.0</v>
      </c>
      <c r="M139" s="4">
        <v>26.0</v>
      </c>
      <c r="N139" s="4" t="s">
        <v>405</v>
      </c>
      <c r="P139" s="4">
        <v>26.0</v>
      </c>
      <c r="U139" s="4">
        <v>1.0</v>
      </c>
      <c r="W139" s="4"/>
      <c r="X139" s="4">
        <v>1.0</v>
      </c>
      <c r="AB139" s="4">
        <v>111.0</v>
      </c>
      <c r="AH139" s="4">
        <v>3.0</v>
      </c>
      <c r="AM139" s="4">
        <v>4.0</v>
      </c>
      <c r="AW139" s="4">
        <v>10.0</v>
      </c>
      <c r="BA139" s="4"/>
      <c r="BB139" s="4">
        <v>1.0</v>
      </c>
      <c r="BD139" s="4">
        <v>3.0</v>
      </c>
      <c r="BF139" s="4">
        <v>9.0</v>
      </c>
      <c r="BK139" s="4">
        <v>16.0</v>
      </c>
      <c r="BM139" s="4">
        <v>7.0</v>
      </c>
      <c r="BN139" s="4">
        <v>18.0</v>
      </c>
      <c r="BQ139" s="4">
        <v>4.0</v>
      </c>
      <c r="BZ139" s="4">
        <v>22.0</v>
      </c>
      <c r="CC139" s="4">
        <v>1.0</v>
      </c>
      <c r="CG139" s="4"/>
      <c r="CH139" s="4">
        <v>4.0</v>
      </c>
      <c r="CK139" s="4">
        <v>42.0</v>
      </c>
      <c r="CL139" s="4">
        <v>3.0</v>
      </c>
      <c r="CQ139" s="4"/>
      <c r="CR139" s="4">
        <v>3.0</v>
      </c>
      <c r="CU139" s="4">
        <v>2.0</v>
      </c>
      <c r="DE139" s="4">
        <v>2.0</v>
      </c>
      <c r="DG139" s="4">
        <v>1.0</v>
      </c>
      <c r="DM139" s="4">
        <v>8.0</v>
      </c>
      <c r="DN139" s="4">
        <v>3.0</v>
      </c>
      <c r="DO139" s="4">
        <v>3.0</v>
      </c>
      <c r="DU139" s="4"/>
      <c r="DV139" s="4">
        <v>27.0</v>
      </c>
      <c r="EJ139" s="4">
        <v>1.0</v>
      </c>
      <c r="EK139" s="4">
        <v>3.0</v>
      </c>
      <c r="EL139" s="4"/>
      <c r="EM139" s="4">
        <v>1.0</v>
      </c>
      <c r="ET139" s="4"/>
      <c r="EU139" s="4"/>
      <c r="EV139" s="4">
        <v>52.0</v>
      </c>
      <c r="FD139" s="4"/>
      <c r="FE139" s="4">
        <v>1.0</v>
      </c>
      <c r="FF139" s="4">
        <v>3.0</v>
      </c>
      <c r="FM139" s="4">
        <v>7.0</v>
      </c>
      <c r="FR139" s="4">
        <v>3.0</v>
      </c>
      <c r="FS139" s="4">
        <v>218.0</v>
      </c>
      <c r="FX139" s="4"/>
      <c r="FY139" s="4">
        <v>1.0</v>
      </c>
      <c r="GE139" s="4">
        <v>6.0</v>
      </c>
      <c r="GH139" s="25">
        <f t="shared" si="69"/>
        <v>37</v>
      </c>
      <c r="GI139" s="25">
        <f t="shared" si="70"/>
        <v>28</v>
      </c>
      <c r="GJ139" s="25">
        <f t="shared" si="71"/>
        <v>14</v>
      </c>
      <c r="GK139" s="25">
        <f t="shared" si="72"/>
        <v>605</v>
      </c>
      <c r="GL139" s="25">
        <f t="shared" si="73"/>
        <v>650</v>
      </c>
      <c r="GM139" s="25">
        <f t="shared" si="74"/>
        <v>45</v>
      </c>
    </row>
    <row r="140">
      <c r="A140" s="23">
        <v>42910.0</v>
      </c>
      <c r="B140" s="4" t="s">
        <v>219</v>
      </c>
      <c r="C140" s="28">
        <f t="shared" si="14"/>
        <v>134</v>
      </c>
      <c r="D140" s="4">
        <v>21.295799</v>
      </c>
      <c r="E140" s="4">
        <v>-158.103699</v>
      </c>
      <c r="F140" s="4" t="s">
        <v>197</v>
      </c>
      <c r="G140" s="24">
        <v>0.3472222222222222</v>
      </c>
      <c r="H140" s="24">
        <v>0.4583333333333333</v>
      </c>
      <c r="I140" s="4">
        <v>4.0</v>
      </c>
      <c r="J140" s="4">
        <v>24.0</v>
      </c>
      <c r="K140" s="4" t="s">
        <v>227</v>
      </c>
      <c r="L140" s="4">
        <v>8.0</v>
      </c>
      <c r="M140" s="4">
        <v>27.0</v>
      </c>
      <c r="N140" s="4" t="s">
        <v>406</v>
      </c>
      <c r="P140" s="4">
        <v>27.0</v>
      </c>
      <c r="R140" s="4">
        <v>6.0</v>
      </c>
      <c r="W140" s="4"/>
      <c r="X140" s="4">
        <v>3.0</v>
      </c>
      <c r="AB140" s="4">
        <v>27.0</v>
      </c>
      <c r="AE140" s="4">
        <v>1.0</v>
      </c>
      <c r="AI140" s="4">
        <v>8.0</v>
      </c>
      <c r="AM140" s="4">
        <v>10.0</v>
      </c>
      <c r="AW140" s="4">
        <v>3.0</v>
      </c>
      <c r="BA140" s="4">
        <v>7.0</v>
      </c>
      <c r="BB140" s="4">
        <v>42.0</v>
      </c>
      <c r="BC140" s="4">
        <v>3.0</v>
      </c>
      <c r="BD140" s="4">
        <v>5.0</v>
      </c>
      <c r="BE140" s="4">
        <v>2.0</v>
      </c>
      <c r="BH140" s="4">
        <v>2.0</v>
      </c>
      <c r="BM140" s="4">
        <v>7.0</v>
      </c>
      <c r="BN140" s="4">
        <v>4.0</v>
      </c>
      <c r="BQ140" s="4">
        <v>6.0</v>
      </c>
      <c r="BV140" s="4">
        <v>8.0</v>
      </c>
      <c r="BW140" s="4">
        <v>10.0</v>
      </c>
      <c r="BX140" s="4">
        <v>3.0</v>
      </c>
      <c r="BY140" s="4">
        <v>4.0</v>
      </c>
      <c r="BZ140" s="4">
        <v>34.0</v>
      </c>
      <c r="CQ140" s="4"/>
      <c r="CR140" s="4">
        <v>6.0</v>
      </c>
      <c r="CS140" s="4">
        <v>29.0</v>
      </c>
      <c r="DA140" s="4">
        <v>1.0</v>
      </c>
      <c r="DD140" s="4">
        <v>4.0</v>
      </c>
      <c r="DE140" s="4">
        <v>6.0</v>
      </c>
      <c r="DG140" s="4">
        <v>20.0</v>
      </c>
      <c r="DJ140" s="4">
        <v>1.0</v>
      </c>
      <c r="DK140" s="4">
        <v>6.0</v>
      </c>
      <c r="DL140" s="4">
        <v>28.0</v>
      </c>
      <c r="DM140" s="4">
        <v>105.0</v>
      </c>
      <c r="DO140" s="4">
        <v>2.0</v>
      </c>
      <c r="DQ140" s="4">
        <v>5.0</v>
      </c>
      <c r="DS140" s="4">
        <v>1.0</v>
      </c>
      <c r="DU140" s="4"/>
      <c r="DV140" s="4">
        <v>2.0</v>
      </c>
      <c r="EC140" s="4">
        <v>3.0</v>
      </c>
      <c r="EJ140" s="4">
        <v>61.0</v>
      </c>
      <c r="EK140" s="4">
        <v>23.0</v>
      </c>
      <c r="EL140" s="4">
        <v>4.0</v>
      </c>
      <c r="ET140" s="4">
        <v>2.0</v>
      </c>
      <c r="FA140" s="4">
        <v>9.0</v>
      </c>
      <c r="FB140" s="4">
        <v>38.0</v>
      </c>
      <c r="FD140" s="4"/>
      <c r="FE140" s="4">
        <v>1.0</v>
      </c>
      <c r="FF140" s="4">
        <v>21.0</v>
      </c>
      <c r="FI140" s="4">
        <v>9.0</v>
      </c>
      <c r="FM140" s="4">
        <v>3.0</v>
      </c>
      <c r="FR140" s="4">
        <v>2.0</v>
      </c>
      <c r="FS140" s="4">
        <v>18.0</v>
      </c>
      <c r="FX140" s="4"/>
      <c r="FY140" s="4">
        <v>7.0</v>
      </c>
      <c r="GH140" s="25">
        <f t="shared" si="69"/>
        <v>49</v>
      </c>
      <c r="GI140" s="25">
        <f t="shared" si="70"/>
        <v>44</v>
      </c>
      <c r="GJ140" s="25">
        <f t="shared" si="71"/>
        <v>28</v>
      </c>
      <c r="GK140" s="25">
        <f t="shared" si="72"/>
        <v>612</v>
      </c>
      <c r="GL140" s="25">
        <f t="shared" si="73"/>
        <v>675</v>
      </c>
      <c r="GM140" s="25">
        <f t="shared" si="74"/>
        <v>63</v>
      </c>
    </row>
    <row r="141">
      <c r="A141" s="23">
        <v>42911.0</v>
      </c>
      <c r="B141" s="4" t="s">
        <v>250</v>
      </c>
      <c r="C141" s="28">
        <f t="shared" si="14"/>
        <v>135</v>
      </c>
      <c r="D141" s="4">
        <v>21.4104</v>
      </c>
      <c r="E141" s="4">
        <v>-158.177704</v>
      </c>
      <c r="F141" s="4" t="s">
        <v>197</v>
      </c>
      <c r="G141" s="24">
        <v>0.375</v>
      </c>
      <c r="H141" s="24">
        <v>0.4583333333333333</v>
      </c>
      <c r="I141" s="4">
        <v>3.0</v>
      </c>
      <c r="J141" s="4">
        <v>33.0</v>
      </c>
      <c r="K141" s="4" t="s">
        <v>227</v>
      </c>
      <c r="L141" s="4">
        <v>12.0</v>
      </c>
      <c r="M141" s="4">
        <v>26.0</v>
      </c>
      <c r="N141" s="4" t="s">
        <v>407</v>
      </c>
      <c r="P141" s="4">
        <v>26.0</v>
      </c>
      <c r="R141" s="4">
        <v>159.0</v>
      </c>
      <c r="AB141" s="4">
        <v>5.0</v>
      </c>
      <c r="AD141" s="4">
        <v>7.0</v>
      </c>
      <c r="AM141" s="4">
        <v>1.0</v>
      </c>
      <c r="AW141" s="4">
        <v>2.0</v>
      </c>
      <c r="AY141" s="4">
        <v>1.0</v>
      </c>
      <c r="BB141" s="4">
        <v>5.0</v>
      </c>
      <c r="BK141" s="4">
        <v>2.0</v>
      </c>
      <c r="BM141" s="4">
        <v>8.0</v>
      </c>
      <c r="BN141" s="4">
        <v>7.0</v>
      </c>
      <c r="BQ141" s="4">
        <v>6.0</v>
      </c>
      <c r="BZ141" s="4">
        <v>42.0</v>
      </c>
      <c r="CC141" s="4">
        <v>2.0</v>
      </c>
      <c r="CD141" s="4">
        <v>1.0</v>
      </c>
      <c r="CJ141" s="4">
        <v>10.0</v>
      </c>
      <c r="CK141" s="4">
        <v>64.0</v>
      </c>
      <c r="CL141" s="4">
        <v>11.0</v>
      </c>
      <c r="CN141" s="4">
        <v>6.0</v>
      </c>
      <c r="CO141" s="4">
        <v>29.0</v>
      </c>
      <c r="CQ141" s="4">
        <v>1.0</v>
      </c>
      <c r="DA141" s="4">
        <v>1.0</v>
      </c>
      <c r="DE141" s="4">
        <v>1.0</v>
      </c>
      <c r="DF141" s="4">
        <v>8.0</v>
      </c>
      <c r="DG141" s="4">
        <v>30.0</v>
      </c>
      <c r="DM141" s="4">
        <v>34.0</v>
      </c>
      <c r="EK141" s="4">
        <v>1.0</v>
      </c>
      <c r="EL141" s="4">
        <v>1.0</v>
      </c>
      <c r="EU141" s="4"/>
      <c r="EV141" s="4">
        <v>25.0</v>
      </c>
      <c r="EX141" s="4">
        <v>150.0</v>
      </c>
      <c r="FJ141" s="4"/>
      <c r="FK141" s="4"/>
      <c r="FL141" s="4">
        <v>1.0</v>
      </c>
      <c r="FS141" s="4">
        <v>13.0</v>
      </c>
      <c r="FT141" s="4">
        <v>2.0</v>
      </c>
      <c r="GH141" s="25">
        <f t="shared" si="69"/>
        <v>32</v>
      </c>
      <c r="GI141" s="25">
        <f t="shared" si="70"/>
        <v>23</v>
      </c>
      <c r="GJ141" s="25">
        <f t="shared" si="71"/>
        <v>19</v>
      </c>
      <c r="GK141" s="25">
        <f t="shared" si="72"/>
        <v>636</v>
      </c>
      <c r="GL141" s="25">
        <f t="shared" si="73"/>
        <v>650</v>
      </c>
      <c r="GM141" s="25">
        <f t="shared" si="74"/>
        <v>14</v>
      </c>
    </row>
    <row r="142">
      <c r="A142" s="23">
        <v>43134.0</v>
      </c>
      <c r="B142" s="4" t="s">
        <v>201</v>
      </c>
      <c r="C142" s="28">
        <f t="shared" si="14"/>
        <v>136</v>
      </c>
      <c r="D142" s="4">
        <v>21.25544</v>
      </c>
      <c r="E142" s="4">
        <v>-157.810303</v>
      </c>
      <c r="F142" s="4" t="s">
        <v>197</v>
      </c>
      <c r="G142" s="24">
        <v>0.4895833333333333</v>
      </c>
      <c r="H142" s="24">
        <v>0.5625</v>
      </c>
      <c r="I142" s="4">
        <v>3.0</v>
      </c>
      <c r="J142" s="4">
        <v>13.0</v>
      </c>
      <c r="K142" s="4" t="s">
        <v>198</v>
      </c>
      <c r="L142" s="4">
        <v>13.0</v>
      </c>
      <c r="M142" s="4">
        <v>35.0</v>
      </c>
      <c r="N142" s="4" t="s">
        <v>408</v>
      </c>
      <c r="P142" s="4">
        <v>35.0</v>
      </c>
      <c r="R142" s="4">
        <v>11.0</v>
      </c>
      <c r="AE142" s="4">
        <v>1.0</v>
      </c>
      <c r="AF142" s="4">
        <v>1.0</v>
      </c>
      <c r="AI142" s="4">
        <v>4.0</v>
      </c>
      <c r="BE142" s="4">
        <v>3.0</v>
      </c>
      <c r="BM142" s="4">
        <v>29.0</v>
      </c>
      <c r="BQ142" s="4">
        <v>8.0</v>
      </c>
      <c r="BV142" s="4">
        <v>6.0</v>
      </c>
      <c r="BY142" s="4">
        <v>10.0</v>
      </c>
      <c r="BZ142" s="4">
        <v>6.0</v>
      </c>
      <c r="CP142" s="4"/>
      <c r="CQ142" s="4"/>
      <c r="CR142" s="4"/>
      <c r="CS142" s="4">
        <v>4.0</v>
      </c>
      <c r="DF142" s="4"/>
      <c r="DG142" s="4">
        <v>1.0</v>
      </c>
      <c r="DM142" s="4">
        <v>58.0</v>
      </c>
      <c r="DR142" s="4"/>
      <c r="DS142" s="4">
        <v>28.0</v>
      </c>
      <c r="DT142" s="4"/>
      <c r="DU142" s="4"/>
      <c r="DV142" s="4">
        <v>9.0</v>
      </c>
      <c r="EA142" s="4">
        <v>1.0</v>
      </c>
      <c r="EC142" s="4">
        <v>3.0</v>
      </c>
      <c r="EE142" s="4"/>
      <c r="EF142" s="4"/>
      <c r="EG142" s="4"/>
      <c r="EH142" s="4"/>
      <c r="EI142" s="4"/>
      <c r="EJ142" s="4">
        <v>145.0</v>
      </c>
      <c r="EL142" s="4"/>
      <c r="EM142" s="4"/>
      <c r="EN142" s="4">
        <v>4.0</v>
      </c>
      <c r="FB142" s="4">
        <v>47.0</v>
      </c>
      <c r="FC142" s="4">
        <v>2.0</v>
      </c>
      <c r="FI142" s="4">
        <v>5.0</v>
      </c>
      <c r="FR142" s="4">
        <v>84.0</v>
      </c>
      <c r="FS142" s="4">
        <v>139.0</v>
      </c>
      <c r="GG142" s="4">
        <v>1.0</v>
      </c>
      <c r="GH142" s="25">
        <f t="shared" si="69"/>
        <v>25</v>
      </c>
      <c r="GI142" s="25">
        <f t="shared" si="70"/>
        <v>20</v>
      </c>
      <c r="GJ142" s="25">
        <f t="shared" si="71"/>
        <v>14</v>
      </c>
      <c r="GK142" s="25">
        <f t="shared" si="72"/>
        <v>610</v>
      </c>
      <c r="GL142" s="25">
        <f t="shared" si="73"/>
        <v>875</v>
      </c>
      <c r="GM142" s="25">
        <f t="shared" si="74"/>
        <v>265</v>
      </c>
    </row>
    <row r="143">
      <c r="A143" s="31">
        <v>43147.0</v>
      </c>
      <c r="B143" s="32" t="s">
        <v>201</v>
      </c>
      <c r="C143" s="28">
        <f t="shared" si="14"/>
        <v>137</v>
      </c>
      <c r="D143" s="32">
        <v>21.25544</v>
      </c>
      <c r="E143" s="32">
        <v>-157.810303</v>
      </c>
      <c r="F143" s="32" t="s">
        <v>389</v>
      </c>
      <c r="G143" s="33">
        <v>0.4583333333333333</v>
      </c>
      <c r="H143" s="33">
        <v>0.5208333333333334</v>
      </c>
      <c r="I143" s="32">
        <v>10.0</v>
      </c>
      <c r="J143" s="32">
        <v>15.0</v>
      </c>
      <c r="K143" s="32" t="s">
        <v>198</v>
      </c>
      <c r="L143" s="32">
        <v>5.0</v>
      </c>
      <c r="M143" s="32"/>
      <c r="N143" s="32"/>
      <c r="O143" s="34"/>
      <c r="P143" s="32"/>
      <c r="Q143" s="34"/>
      <c r="R143" s="32"/>
      <c r="S143" s="34"/>
      <c r="T143" s="34"/>
      <c r="U143" s="34"/>
      <c r="V143" s="34"/>
      <c r="W143" s="34"/>
      <c r="X143" s="34"/>
      <c r="Y143" s="32"/>
      <c r="Z143" s="32"/>
      <c r="AA143" s="32"/>
      <c r="AB143" s="32"/>
      <c r="AC143" s="34"/>
      <c r="AD143" s="34"/>
      <c r="AE143" s="32"/>
      <c r="AF143" s="34"/>
      <c r="AG143" s="34"/>
      <c r="AH143" s="34"/>
      <c r="AI143" s="32"/>
      <c r="AJ143" s="32"/>
      <c r="AK143" s="32"/>
      <c r="AL143" s="32"/>
      <c r="AM143" s="32"/>
      <c r="AN143" s="34"/>
      <c r="AO143" s="34"/>
      <c r="AP143" s="34"/>
      <c r="AQ143" s="32"/>
      <c r="AR143" s="32"/>
      <c r="AS143" s="32"/>
      <c r="AT143" s="34"/>
      <c r="AU143" s="34"/>
      <c r="AV143" s="34"/>
      <c r="AW143" s="34"/>
      <c r="AX143" s="34"/>
      <c r="AY143" s="34"/>
      <c r="AZ143" s="34"/>
      <c r="BA143" s="32"/>
      <c r="BB143" s="32"/>
      <c r="BC143" s="32"/>
      <c r="BD143" s="34"/>
      <c r="BE143" s="32"/>
      <c r="BF143" s="34"/>
      <c r="BG143" s="34"/>
      <c r="BH143" s="34"/>
      <c r="BI143" s="34"/>
      <c r="BJ143" s="34"/>
      <c r="BK143" s="34"/>
      <c r="BL143" s="34"/>
      <c r="BM143" s="32"/>
      <c r="BN143" s="34"/>
      <c r="BO143" s="34"/>
      <c r="BP143" s="34"/>
      <c r="BQ143" s="32"/>
      <c r="BR143" s="34"/>
      <c r="BS143" s="34"/>
      <c r="BT143" s="34"/>
      <c r="BU143" s="32"/>
      <c r="BV143" s="32"/>
      <c r="BW143" s="32"/>
      <c r="BX143" s="32"/>
      <c r="BY143" s="32"/>
      <c r="BZ143" s="32"/>
      <c r="CA143" s="34"/>
      <c r="CB143" s="34"/>
      <c r="CC143" s="34"/>
      <c r="CD143" s="34"/>
      <c r="CE143" s="34"/>
      <c r="CF143" s="34"/>
      <c r="CG143" s="34"/>
      <c r="CH143" s="34"/>
      <c r="CI143" s="34"/>
      <c r="CJ143" s="34"/>
      <c r="CK143" s="34"/>
      <c r="CL143" s="34"/>
      <c r="CM143" s="34"/>
      <c r="CN143" s="34"/>
      <c r="CO143" s="34"/>
      <c r="CP143" s="32"/>
      <c r="CQ143" s="32"/>
      <c r="CR143" s="32"/>
      <c r="CS143" s="32"/>
      <c r="CT143" s="32"/>
      <c r="CU143" s="34"/>
      <c r="CV143" s="32"/>
      <c r="CW143" s="34"/>
      <c r="CX143" s="34"/>
      <c r="CY143" s="34"/>
      <c r="CZ143" s="34"/>
      <c r="DA143" s="34"/>
      <c r="DB143" s="34"/>
      <c r="DC143" s="34"/>
      <c r="DD143" s="32"/>
      <c r="DE143" s="34"/>
      <c r="DF143" s="32"/>
      <c r="DG143" s="32"/>
      <c r="DH143" s="34"/>
      <c r="DI143" s="34"/>
      <c r="DJ143" s="34"/>
      <c r="DK143" s="32"/>
      <c r="DL143" s="32"/>
      <c r="DM143" s="32"/>
      <c r="DN143" s="34"/>
      <c r="DO143" s="32"/>
      <c r="DP143" s="34"/>
      <c r="DQ143" s="34"/>
      <c r="DR143" s="34"/>
      <c r="DS143" s="34"/>
      <c r="DT143" s="32"/>
      <c r="DU143" s="32"/>
      <c r="DV143" s="32"/>
      <c r="DW143" s="34"/>
      <c r="DX143" s="34"/>
      <c r="DY143" s="34"/>
      <c r="DZ143" s="34"/>
      <c r="EA143" s="34"/>
      <c r="EB143" s="34"/>
      <c r="EC143" s="32"/>
      <c r="ED143" s="34"/>
      <c r="EE143" s="32"/>
      <c r="EF143" s="32"/>
      <c r="EG143" s="32"/>
      <c r="EH143" s="32"/>
      <c r="EI143" s="32"/>
      <c r="EJ143" s="32"/>
      <c r="EK143" s="34"/>
      <c r="EL143" s="34"/>
      <c r="EM143" s="34"/>
      <c r="EN143" s="34"/>
      <c r="EO143" s="32"/>
      <c r="EP143" s="34"/>
      <c r="EQ143" s="34"/>
      <c r="ER143" s="34"/>
      <c r="ES143" s="34"/>
      <c r="ET143" s="34"/>
      <c r="EU143" s="34"/>
      <c r="EV143" s="34"/>
      <c r="EW143" s="34"/>
      <c r="EX143" s="34"/>
      <c r="EY143" s="34"/>
      <c r="EZ143" s="34"/>
      <c r="FA143" s="34"/>
      <c r="FB143" s="34"/>
      <c r="FC143" s="34"/>
      <c r="FD143" s="34"/>
      <c r="FE143" s="34"/>
      <c r="FF143" s="34"/>
      <c r="FG143" s="34"/>
      <c r="FH143" s="34"/>
      <c r="FI143" s="34"/>
      <c r="FJ143" s="34"/>
      <c r="FK143" s="34"/>
      <c r="FL143" s="34"/>
      <c r="FM143" s="34"/>
      <c r="FN143" s="34"/>
      <c r="FO143" s="34"/>
      <c r="FP143" s="34"/>
      <c r="FQ143" s="34"/>
      <c r="FR143" s="34"/>
      <c r="FS143" s="32"/>
      <c r="FT143" s="34"/>
      <c r="FU143" s="34"/>
      <c r="FV143" s="32"/>
      <c r="FW143" s="32"/>
      <c r="FX143" s="34"/>
      <c r="FY143" s="34"/>
      <c r="FZ143" s="34"/>
      <c r="GA143" s="34"/>
      <c r="GB143" s="34"/>
      <c r="GC143" s="34"/>
      <c r="GD143" s="34"/>
      <c r="GE143" s="34"/>
      <c r="GF143" s="34"/>
      <c r="GG143" s="34"/>
      <c r="GH143" s="34"/>
      <c r="GI143" s="34"/>
      <c r="GJ143" s="34"/>
      <c r="GK143" s="34"/>
      <c r="GL143" s="34"/>
      <c r="GM143" s="34"/>
      <c r="GN143" s="34"/>
      <c r="GO143" s="34"/>
      <c r="GP143" s="34"/>
      <c r="GQ143" s="34"/>
      <c r="GR143" s="34"/>
      <c r="GS143" s="34"/>
      <c r="GT143" s="34"/>
      <c r="GU143" s="34"/>
      <c r="GV143" s="34"/>
      <c r="GW143" s="34"/>
      <c r="GX143" s="34"/>
      <c r="GY143" s="34"/>
      <c r="GZ143" s="34"/>
      <c r="HA143" s="34"/>
      <c r="HB143" s="34"/>
      <c r="HC143" s="34"/>
      <c r="HD143" s="34"/>
      <c r="HE143" s="34"/>
      <c r="HF143" s="34"/>
      <c r="HG143" s="34"/>
      <c r="HH143" s="34"/>
      <c r="HI143" s="34"/>
    </row>
    <row r="144">
      <c r="A144" s="23">
        <v>43148.0</v>
      </c>
      <c r="B144" s="4" t="s">
        <v>244</v>
      </c>
      <c r="C144" s="28">
        <f t="shared" si="14"/>
        <v>138</v>
      </c>
      <c r="D144" s="4">
        <v>21.310612</v>
      </c>
      <c r="E144" s="4">
        <v>-158.00441</v>
      </c>
      <c r="F144" s="4" t="s">
        <v>197</v>
      </c>
      <c r="G144" s="24">
        <v>0.4986111111111111</v>
      </c>
      <c r="H144" s="24">
        <v>0.56875</v>
      </c>
      <c r="I144" s="4">
        <v>3.0</v>
      </c>
      <c r="J144" s="4">
        <v>11.0</v>
      </c>
      <c r="K144" s="4" t="s">
        <v>198</v>
      </c>
      <c r="L144" s="4">
        <v>11.0</v>
      </c>
      <c r="M144" s="4">
        <v>29.0</v>
      </c>
      <c r="N144" s="4" t="s">
        <v>409</v>
      </c>
      <c r="P144" s="4">
        <v>29.0</v>
      </c>
      <c r="R144" s="4">
        <v>7.0</v>
      </c>
      <c r="Y144" s="4"/>
      <c r="Z144" s="4"/>
      <c r="AA144" s="4"/>
      <c r="AB144" s="4">
        <v>1.0</v>
      </c>
      <c r="AE144" s="4">
        <v>19.0</v>
      </c>
      <c r="AI144" s="4">
        <v>13.0</v>
      </c>
      <c r="AJ144" s="4"/>
      <c r="AK144" s="4"/>
      <c r="AL144" s="4"/>
      <c r="AM144" s="4">
        <v>7.0</v>
      </c>
      <c r="AQ144" s="4"/>
      <c r="AR144" s="4">
        <v>2.0</v>
      </c>
      <c r="AS144" s="4">
        <v>4.0</v>
      </c>
      <c r="BA144" s="4"/>
      <c r="BB144" s="4">
        <v>5.0</v>
      </c>
      <c r="BC144" s="4">
        <v>2.0</v>
      </c>
      <c r="BE144" s="4">
        <v>1.0</v>
      </c>
      <c r="BM144" s="4">
        <v>30.0</v>
      </c>
      <c r="BQ144" s="4">
        <v>6.0</v>
      </c>
      <c r="BU144" s="4">
        <v>4.0</v>
      </c>
      <c r="BV144" s="4">
        <v>10.0</v>
      </c>
      <c r="BW144" s="4">
        <v>8.0</v>
      </c>
      <c r="BX144" s="4">
        <v>7.0</v>
      </c>
      <c r="BY144" s="4">
        <v>13.0</v>
      </c>
      <c r="BZ144" s="4">
        <v>36.0</v>
      </c>
      <c r="CP144" s="4"/>
      <c r="CQ144" s="4"/>
      <c r="CR144" s="4">
        <v>5.0</v>
      </c>
      <c r="CS144" s="4">
        <v>2.0</v>
      </c>
      <c r="CT144" s="4">
        <v>3.0</v>
      </c>
      <c r="CV144" s="4">
        <v>1.0</v>
      </c>
      <c r="DD144" s="4">
        <v>5.0</v>
      </c>
      <c r="DF144" s="4"/>
      <c r="DG144" s="4">
        <v>1.0</v>
      </c>
      <c r="DK144" s="4"/>
      <c r="DL144" s="4">
        <v>2.0</v>
      </c>
      <c r="DM144" s="4">
        <v>7.0</v>
      </c>
      <c r="DO144" s="4">
        <v>6.0</v>
      </c>
      <c r="DT144" s="4"/>
      <c r="DU144" s="4"/>
      <c r="DV144" s="4">
        <v>18.0</v>
      </c>
      <c r="EC144" s="4">
        <v>4.0</v>
      </c>
      <c r="EE144" s="4"/>
      <c r="EF144" s="4"/>
      <c r="EG144" s="4"/>
      <c r="EH144" s="4"/>
      <c r="EI144" s="4"/>
      <c r="EJ144" s="4">
        <v>161.0</v>
      </c>
      <c r="EO144" s="4">
        <v>8.0</v>
      </c>
      <c r="FS144" s="4">
        <v>154.0</v>
      </c>
      <c r="FV144" s="4"/>
      <c r="FW144" s="4">
        <v>1.0</v>
      </c>
      <c r="GH144" s="25">
        <f t="shared" ref="GH144:GH147" si="75">count(R144:GG144)</f>
        <v>33</v>
      </c>
      <c r="GI144" s="25">
        <f t="shared" ref="GI144:GI147" si="76">countif(R144:GG144,"&gt;=2")</f>
        <v>28</v>
      </c>
      <c r="GJ144" s="25">
        <f t="shared" ref="GJ144:GJ147" si="77">countif(R144:GG144,"&gt;=5")</f>
        <v>20</v>
      </c>
      <c r="GK144" s="25">
        <f t="shared" ref="GK144:GK147" si="78">sum(R144:GG144)</f>
        <v>553</v>
      </c>
      <c r="GL144" s="25">
        <f t="shared" ref="GL144:GL147" si="79">25*P144</f>
        <v>725</v>
      </c>
      <c r="GM144" s="25">
        <f t="shared" ref="GM144:GM147" si="80">GL144-GK144</f>
        <v>172</v>
      </c>
    </row>
    <row r="145">
      <c r="A145" s="37">
        <v>43160.0</v>
      </c>
      <c r="B145" s="38" t="s">
        <v>219</v>
      </c>
      <c r="C145" s="28">
        <f t="shared" si="14"/>
        <v>139</v>
      </c>
      <c r="D145" s="38">
        <v>21.295799</v>
      </c>
      <c r="E145" s="38">
        <v>-158.103699</v>
      </c>
      <c r="F145" s="38" t="s">
        <v>333</v>
      </c>
      <c r="G145" s="39">
        <v>0.375</v>
      </c>
      <c r="H145" s="39">
        <v>0.4513888888888889</v>
      </c>
      <c r="I145" s="38">
        <v>10.0</v>
      </c>
      <c r="J145" s="38">
        <v>10.0</v>
      </c>
      <c r="K145" s="38" t="s">
        <v>318</v>
      </c>
      <c r="L145" s="38">
        <v>5.0</v>
      </c>
      <c r="M145" s="38">
        <v>46.0</v>
      </c>
      <c r="N145" s="38" t="s">
        <v>410</v>
      </c>
      <c r="O145" s="38"/>
      <c r="P145" s="38"/>
      <c r="Q145" s="40"/>
      <c r="R145" s="38">
        <v>4.0</v>
      </c>
      <c r="S145" s="40"/>
      <c r="T145" s="40"/>
      <c r="U145" s="38"/>
      <c r="V145" s="38"/>
      <c r="W145" s="38"/>
      <c r="X145" s="38">
        <v>4.0</v>
      </c>
      <c r="Y145" s="38"/>
      <c r="Z145" s="38">
        <v>12.0</v>
      </c>
      <c r="AA145" s="38"/>
      <c r="AB145" s="38">
        <v>10.0</v>
      </c>
      <c r="AC145" s="38">
        <v>20.0</v>
      </c>
      <c r="AD145" s="40"/>
      <c r="AE145" s="38">
        <v>5.0</v>
      </c>
      <c r="AF145" s="40"/>
      <c r="AG145" s="40"/>
      <c r="AH145" s="40"/>
      <c r="AI145" s="38">
        <v>10.0</v>
      </c>
      <c r="AJ145" s="40"/>
      <c r="AK145" s="40"/>
      <c r="AL145" s="40"/>
      <c r="AM145" s="40"/>
      <c r="AN145" s="38">
        <v>11.0</v>
      </c>
      <c r="AO145" s="40"/>
      <c r="AP145" s="40"/>
      <c r="AQ145" s="40"/>
      <c r="AR145" s="40"/>
      <c r="AS145" s="40"/>
      <c r="AT145" s="40"/>
      <c r="AU145" s="40"/>
      <c r="AV145" s="40"/>
      <c r="AW145" s="40"/>
      <c r="AX145" s="40"/>
      <c r="AY145" s="40"/>
      <c r="AZ145" s="40"/>
      <c r="BA145" s="40"/>
      <c r="BB145" s="40"/>
      <c r="BC145" s="38">
        <v>33.0</v>
      </c>
      <c r="BD145" s="38">
        <v>8.0</v>
      </c>
      <c r="BE145" s="38">
        <v>6.0</v>
      </c>
      <c r="BF145" s="40"/>
      <c r="BG145" s="40"/>
      <c r="BH145" s="40"/>
      <c r="BI145" s="40"/>
      <c r="BJ145" s="40"/>
      <c r="BK145" s="40"/>
      <c r="BL145" s="40"/>
      <c r="BM145" s="38">
        <v>14.0</v>
      </c>
      <c r="BN145" s="38">
        <v>45.0</v>
      </c>
      <c r="BO145" s="40"/>
      <c r="BP145" s="40"/>
      <c r="BQ145" s="38">
        <v>42.0</v>
      </c>
      <c r="BR145" s="40"/>
      <c r="BS145" s="40"/>
      <c r="BT145" s="40"/>
      <c r="BU145" s="40"/>
      <c r="BV145" s="38">
        <v>44.0</v>
      </c>
      <c r="BW145" s="40"/>
      <c r="BX145" s="40"/>
      <c r="BY145" s="40"/>
      <c r="BZ145" s="38">
        <v>25.0</v>
      </c>
      <c r="CA145" s="40"/>
      <c r="CB145" s="40"/>
      <c r="CC145" s="40"/>
      <c r="CD145" s="40"/>
      <c r="CE145" s="40"/>
      <c r="CF145" s="40"/>
      <c r="CG145" s="40"/>
      <c r="CH145" s="40"/>
      <c r="CI145" s="40"/>
      <c r="CJ145" s="40"/>
      <c r="CK145" s="40"/>
      <c r="CL145" s="40"/>
      <c r="CM145" s="40"/>
      <c r="CN145" s="40"/>
      <c r="CO145" s="40"/>
      <c r="CP145" s="40"/>
      <c r="CQ145" s="40"/>
      <c r="CR145" s="40"/>
      <c r="CS145" s="38">
        <v>51.0</v>
      </c>
      <c r="CT145" s="40"/>
      <c r="CU145" s="38">
        <v>1.0</v>
      </c>
      <c r="CV145" s="40"/>
      <c r="CW145" s="40"/>
      <c r="CX145" s="40"/>
      <c r="CY145" s="40"/>
      <c r="CZ145" s="40"/>
      <c r="DA145" s="40"/>
      <c r="DB145" s="40"/>
      <c r="DC145" s="40"/>
      <c r="DD145" s="38">
        <v>3.0</v>
      </c>
      <c r="DE145" s="40"/>
      <c r="DF145" s="38"/>
      <c r="DG145" s="38">
        <v>1.0</v>
      </c>
      <c r="DH145" s="40"/>
      <c r="DI145" s="40"/>
      <c r="DJ145" s="40"/>
      <c r="DK145" s="40"/>
      <c r="DL145" s="40"/>
      <c r="DM145" s="38">
        <v>23.0</v>
      </c>
      <c r="DN145" s="38">
        <v>1.0</v>
      </c>
      <c r="DO145" s="38">
        <v>1.0</v>
      </c>
      <c r="DP145" s="38">
        <v>1.0</v>
      </c>
      <c r="DQ145" s="40"/>
      <c r="DR145" s="38"/>
      <c r="DS145" s="38">
        <v>5.0</v>
      </c>
      <c r="DT145" s="38"/>
      <c r="DU145" s="38"/>
      <c r="DV145" s="38">
        <v>4.0</v>
      </c>
      <c r="DW145" s="40"/>
      <c r="DX145" s="40"/>
      <c r="DY145" s="40"/>
      <c r="DZ145" s="40"/>
      <c r="EA145" s="40"/>
      <c r="EB145" s="40"/>
      <c r="EC145" s="38">
        <v>40.0</v>
      </c>
      <c r="ED145" s="40"/>
      <c r="EE145" s="38"/>
      <c r="EF145" s="38"/>
      <c r="EG145" s="38"/>
      <c r="EH145" s="38"/>
      <c r="EI145" s="38"/>
      <c r="EJ145" s="38">
        <v>310.0</v>
      </c>
      <c r="EK145" s="40"/>
      <c r="EL145" s="40"/>
      <c r="EM145" s="40"/>
      <c r="EN145" s="40"/>
      <c r="EO145" s="40"/>
      <c r="EP145" s="40"/>
      <c r="EQ145" s="40"/>
      <c r="ER145" s="40"/>
      <c r="ES145" s="40"/>
      <c r="ET145" s="40"/>
      <c r="EU145" s="40"/>
      <c r="EV145" s="40"/>
      <c r="EW145" s="40"/>
      <c r="EX145" s="40"/>
      <c r="EY145" s="40"/>
      <c r="EZ145" s="40"/>
      <c r="FA145" s="40"/>
      <c r="FB145" s="38">
        <v>15.0</v>
      </c>
      <c r="FC145" s="40"/>
      <c r="FD145" s="40"/>
      <c r="FE145" s="40"/>
      <c r="FF145" s="38">
        <v>3.0</v>
      </c>
      <c r="FG145" s="40"/>
      <c r="FH145" s="40"/>
      <c r="FI145" s="38">
        <v>15.0</v>
      </c>
      <c r="FJ145" s="40"/>
      <c r="FK145" s="40"/>
      <c r="FL145" s="40"/>
      <c r="FM145" s="40"/>
      <c r="FN145" s="40"/>
      <c r="FO145" s="40"/>
      <c r="FP145" s="40"/>
      <c r="FQ145" s="40"/>
      <c r="FR145" s="40"/>
      <c r="FS145" s="38">
        <v>76.0</v>
      </c>
      <c r="FT145" s="40"/>
      <c r="FU145" s="40"/>
      <c r="FV145" s="40"/>
      <c r="FW145" s="40"/>
      <c r="FX145" s="40"/>
      <c r="FY145" s="40"/>
      <c r="FZ145" s="40"/>
      <c r="GA145" s="40"/>
      <c r="GB145" s="40"/>
      <c r="GC145" s="40"/>
      <c r="GD145" s="40"/>
      <c r="GE145" s="40"/>
      <c r="GF145" s="40"/>
      <c r="GG145" s="38">
        <v>1.0</v>
      </c>
      <c r="GH145" s="40">
        <f t="shared" si="75"/>
        <v>33</v>
      </c>
      <c r="GI145" s="40">
        <f t="shared" si="76"/>
        <v>27</v>
      </c>
      <c r="GJ145" s="40">
        <f t="shared" si="77"/>
        <v>22</v>
      </c>
      <c r="GK145" s="40">
        <f t="shared" si="78"/>
        <v>844</v>
      </c>
      <c r="GL145" s="40">
        <f t="shared" si="79"/>
        <v>0</v>
      </c>
      <c r="GM145" s="40">
        <f t="shared" si="80"/>
        <v>-844</v>
      </c>
      <c r="GN145" s="40"/>
      <c r="GO145" s="40"/>
      <c r="GP145" s="40"/>
      <c r="GQ145" s="40"/>
      <c r="GR145" s="40"/>
      <c r="GS145" s="40"/>
      <c r="GT145" s="40"/>
      <c r="GU145" s="40"/>
      <c r="GV145" s="40"/>
      <c r="GW145" s="40"/>
      <c r="GX145" s="40"/>
      <c r="GY145" s="40"/>
      <c r="GZ145" s="40"/>
      <c r="HA145" s="40"/>
      <c r="HB145" s="40"/>
      <c r="HC145" s="40"/>
      <c r="HD145" s="40"/>
      <c r="HE145" s="40"/>
      <c r="HF145" s="40"/>
      <c r="HG145" s="40"/>
      <c r="HH145" s="40"/>
      <c r="HI145" s="40"/>
    </row>
    <row r="146">
      <c r="A146" s="23">
        <v>43160.0</v>
      </c>
      <c r="B146" s="4" t="s">
        <v>233</v>
      </c>
      <c r="C146" s="28">
        <f t="shared" si="14"/>
        <v>140</v>
      </c>
      <c r="D146" s="36">
        <v>21.066799</v>
      </c>
      <c r="E146" s="36">
        <v>-156.804993</v>
      </c>
      <c r="F146" s="4" t="s">
        <v>286</v>
      </c>
      <c r="G146" s="24">
        <v>0.3958333333333333</v>
      </c>
      <c r="H146" s="24">
        <v>0.4388888888888889</v>
      </c>
      <c r="I146" s="4">
        <v>4.0</v>
      </c>
      <c r="J146" s="4">
        <v>9.0</v>
      </c>
      <c r="K146" s="4" t="s">
        <v>198</v>
      </c>
      <c r="L146" s="4">
        <v>9.0</v>
      </c>
      <c r="M146" s="4">
        <v>28.0</v>
      </c>
      <c r="N146" s="4" t="s">
        <v>412</v>
      </c>
      <c r="P146" s="4">
        <v>28.0</v>
      </c>
      <c r="Y146" s="4"/>
      <c r="Z146" s="4">
        <v>7.0</v>
      </c>
      <c r="AQ146" s="4"/>
      <c r="BA146" s="4"/>
      <c r="BB146" s="4">
        <v>15.0</v>
      </c>
      <c r="BI146" s="4"/>
      <c r="BJ146" s="4"/>
      <c r="BK146" s="4"/>
      <c r="BM146" s="4">
        <v>70.0</v>
      </c>
      <c r="BV146" s="4"/>
      <c r="BZ146" s="4">
        <v>1.0</v>
      </c>
      <c r="CC146" s="4"/>
      <c r="CD146" s="4"/>
      <c r="CE146" s="4"/>
      <c r="CF146" s="4"/>
      <c r="CI146" s="4"/>
      <c r="CO146" s="4">
        <v>5.0</v>
      </c>
      <c r="DM146" s="4">
        <v>25.0</v>
      </c>
      <c r="DX146" s="4"/>
      <c r="EE146" s="4"/>
      <c r="EF146" s="4"/>
      <c r="EJ146" s="4">
        <v>101.0</v>
      </c>
      <c r="EP146" s="4"/>
      <c r="ES146" s="4"/>
      <c r="FB146" s="4">
        <v>4.0</v>
      </c>
      <c r="FF146" s="4">
        <v>11.0</v>
      </c>
      <c r="FG146" s="4"/>
      <c r="FH146" s="4">
        <v>1.0</v>
      </c>
      <c r="FM146" s="4"/>
      <c r="FS146" s="4">
        <v>6.0</v>
      </c>
      <c r="GH146" s="25">
        <f t="shared" si="75"/>
        <v>11</v>
      </c>
      <c r="GI146" s="25">
        <f t="shared" si="76"/>
        <v>9</v>
      </c>
      <c r="GJ146" s="25">
        <f t="shared" si="77"/>
        <v>8</v>
      </c>
      <c r="GK146" s="25">
        <f t="shared" si="78"/>
        <v>246</v>
      </c>
      <c r="GL146" s="25">
        <f t="shared" si="79"/>
        <v>700</v>
      </c>
      <c r="GM146" s="25">
        <f t="shared" si="80"/>
        <v>454</v>
      </c>
    </row>
    <row r="147">
      <c r="A147" s="23">
        <v>43163.0</v>
      </c>
      <c r="B147" s="4" t="s">
        <v>293</v>
      </c>
      <c r="C147" s="28">
        <f t="shared" si="14"/>
        <v>141</v>
      </c>
      <c r="D147" s="4">
        <v>19.738602</v>
      </c>
      <c r="E147" s="4">
        <v>-155.038879</v>
      </c>
      <c r="F147" s="4" t="s">
        <v>197</v>
      </c>
      <c r="G147" s="24">
        <v>0.4270833333333333</v>
      </c>
      <c r="H147" s="24">
        <v>0.53125</v>
      </c>
      <c r="I147" s="4">
        <v>3.0</v>
      </c>
      <c r="J147" s="4">
        <v>21.0</v>
      </c>
      <c r="K147" s="4" t="s">
        <v>415</v>
      </c>
      <c r="L147" s="4">
        <v>14.0</v>
      </c>
      <c r="M147" s="4">
        <v>25.0</v>
      </c>
      <c r="N147" s="4" t="s">
        <v>416</v>
      </c>
      <c r="P147" s="4">
        <v>25.0</v>
      </c>
      <c r="AQ147" s="4">
        <v>1.0</v>
      </c>
      <c r="BI147" s="4"/>
      <c r="BJ147" s="4"/>
      <c r="BK147" s="4">
        <v>2.0</v>
      </c>
      <c r="BM147" s="4">
        <v>79.0</v>
      </c>
      <c r="BV147" s="4">
        <v>2.0</v>
      </c>
      <c r="CC147" s="4">
        <v>9.0</v>
      </c>
      <c r="CD147" s="4">
        <v>2.0</v>
      </c>
      <c r="CE147" s="4">
        <v>2.0</v>
      </c>
      <c r="CF147" s="4">
        <v>1.0</v>
      </c>
      <c r="CI147" s="4">
        <v>1.0</v>
      </c>
      <c r="CO147" s="4">
        <v>8.0</v>
      </c>
      <c r="DX147" s="4">
        <v>6.0</v>
      </c>
      <c r="EE147" s="4"/>
      <c r="EF147" s="4">
        <v>2.0</v>
      </c>
      <c r="EP147" s="4">
        <v>1.0</v>
      </c>
      <c r="ES147" s="4">
        <v>5.0</v>
      </c>
      <c r="FG147" s="4">
        <v>1.0</v>
      </c>
      <c r="FM147" s="4">
        <v>65.0</v>
      </c>
      <c r="FS147" s="4">
        <v>236.0</v>
      </c>
      <c r="GH147" s="25">
        <f t="shared" si="75"/>
        <v>17</v>
      </c>
      <c r="GI147" s="25">
        <f t="shared" si="76"/>
        <v>12</v>
      </c>
      <c r="GJ147" s="25">
        <f t="shared" si="77"/>
        <v>7</v>
      </c>
      <c r="GK147" s="25">
        <f t="shared" si="78"/>
        <v>423</v>
      </c>
      <c r="GL147" s="25">
        <f t="shared" si="79"/>
        <v>625</v>
      </c>
      <c r="GM147" s="25">
        <f t="shared" si="80"/>
        <v>202</v>
      </c>
    </row>
    <row r="148">
      <c r="A148" s="41">
        <v>43175.0</v>
      </c>
      <c r="B148" s="42" t="s">
        <v>230</v>
      </c>
      <c r="C148" s="28">
        <f t="shared" si="14"/>
        <v>142</v>
      </c>
      <c r="D148" s="42">
        <v>20.7537</v>
      </c>
      <c r="E148" s="42">
        <v>-156.460907</v>
      </c>
      <c r="F148" s="42" t="s">
        <v>513</v>
      </c>
      <c r="G148" s="43">
        <v>0.4166666666666667</v>
      </c>
      <c r="H148" s="43">
        <v>0.5</v>
      </c>
      <c r="I148" s="42">
        <v>5.0</v>
      </c>
      <c r="J148" s="42">
        <v>20.0</v>
      </c>
      <c r="K148" s="42" t="s">
        <v>198</v>
      </c>
      <c r="L148" s="42">
        <v>8.0</v>
      </c>
      <c r="M148" s="42">
        <v>5.0</v>
      </c>
      <c r="N148" s="42" t="s">
        <v>514</v>
      </c>
      <c r="O148" s="42"/>
      <c r="P148" s="42"/>
      <c r="Q148" s="44"/>
      <c r="R148" s="42">
        <v>1.0</v>
      </c>
      <c r="S148" s="44"/>
      <c r="T148" s="44"/>
      <c r="U148" s="42"/>
      <c r="V148" s="42"/>
      <c r="W148" s="42"/>
      <c r="X148" s="42"/>
      <c r="Y148" s="44"/>
      <c r="Z148" s="44"/>
      <c r="AA148" s="42"/>
      <c r="AB148" s="42"/>
      <c r="AC148" s="44"/>
      <c r="AD148" s="44"/>
      <c r="AE148" s="42"/>
      <c r="AF148" s="44"/>
      <c r="AG148" s="44"/>
      <c r="AH148" s="44"/>
      <c r="AI148" s="42"/>
      <c r="AJ148" s="44"/>
      <c r="AK148" s="44"/>
      <c r="AL148" s="44"/>
      <c r="AM148" s="44"/>
      <c r="AN148" s="44"/>
      <c r="AO148" s="44"/>
      <c r="AP148" s="44"/>
      <c r="AQ148" s="44"/>
      <c r="AR148" s="44"/>
      <c r="AS148" s="44"/>
      <c r="AT148" s="44"/>
      <c r="AU148" s="44"/>
      <c r="AV148" s="44"/>
      <c r="AW148" s="44"/>
      <c r="AX148" s="44"/>
      <c r="AY148" s="44"/>
      <c r="AZ148" s="44"/>
      <c r="BA148" s="44"/>
      <c r="BB148" s="44"/>
      <c r="BC148" s="42"/>
      <c r="BD148" s="44"/>
      <c r="BE148" s="42"/>
      <c r="BF148" s="44"/>
      <c r="BG148" s="44"/>
      <c r="BH148" s="44"/>
      <c r="BI148" s="44"/>
      <c r="BJ148" s="44"/>
      <c r="BK148" s="42">
        <v>3.0</v>
      </c>
      <c r="BL148" s="44"/>
      <c r="BM148" s="42"/>
      <c r="BN148" s="44"/>
      <c r="BO148" s="44"/>
      <c r="BP148" s="44"/>
      <c r="BQ148" s="44"/>
      <c r="BR148" s="44"/>
      <c r="BS148" s="44"/>
      <c r="BT148" s="44"/>
      <c r="BU148" s="44"/>
      <c r="BV148" s="42"/>
      <c r="BW148" s="44"/>
      <c r="BX148" s="44"/>
      <c r="BY148" s="44"/>
      <c r="BZ148" s="42"/>
      <c r="CA148" s="44"/>
      <c r="CB148" s="44"/>
      <c r="CC148" s="42">
        <v>1.0</v>
      </c>
      <c r="CD148" s="42">
        <v>1.0</v>
      </c>
      <c r="CE148" s="44"/>
      <c r="CF148" s="44"/>
      <c r="CG148" s="44"/>
      <c r="CH148" s="44"/>
      <c r="CI148" s="44"/>
      <c r="CJ148" s="42"/>
      <c r="CK148" s="42"/>
      <c r="CL148" s="44"/>
      <c r="CM148" s="44"/>
      <c r="CN148" s="44"/>
      <c r="CO148" s="44"/>
      <c r="CP148" s="44"/>
      <c r="CQ148" s="44"/>
      <c r="CR148" s="44"/>
      <c r="CS148" s="42"/>
      <c r="CT148" s="44"/>
      <c r="CU148" s="44"/>
      <c r="CV148" s="44"/>
      <c r="CW148" s="44"/>
      <c r="CX148" s="44"/>
      <c r="CY148" s="44"/>
      <c r="CZ148" s="44"/>
      <c r="DA148" s="44"/>
      <c r="DB148" s="44"/>
      <c r="DC148" s="44"/>
      <c r="DD148" s="44"/>
      <c r="DE148" s="44"/>
      <c r="DF148" s="44"/>
      <c r="DG148" s="44"/>
      <c r="DH148" s="44"/>
      <c r="DI148" s="44"/>
      <c r="DJ148" s="44"/>
      <c r="DK148" s="44"/>
      <c r="DL148" s="44"/>
      <c r="DM148" s="42"/>
      <c r="DN148" s="44"/>
      <c r="DO148" s="42"/>
      <c r="DP148" s="44"/>
      <c r="DQ148" s="44"/>
      <c r="DR148" s="44"/>
      <c r="DS148" s="44"/>
      <c r="DT148" s="42"/>
      <c r="DU148" s="42"/>
      <c r="DV148" s="42"/>
      <c r="DW148" s="44"/>
      <c r="DX148" s="44"/>
      <c r="DY148" s="44"/>
      <c r="DZ148" s="42"/>
      <c r="EA148" s="44"/>
      <c r="EB148" s="44"/>
      <c r="EC148" s="42"/>
      <c r="ED148" s="44"/>
      <c r="EE148" s="44"/>
      <c r="EF148" s="44"/>
      <c r="EG148" s="42"/>
      <c r="EH148" s="42"/>
      <c r="EI148" s="42"/>
      <c r="EJ148" s="42"/>
      <c r="EK148" s="44"/>
      <c r="EL148" s="44"/>
      <c r="EM148" s="44"/>
      <c r="EN148" s="44"/>
      <c r="EO148" s="44"/>
      <c r="EP148" s="44"/>
      <c r="EQ148" s="44"/>
      <c r="ER148" s="44"/>
      <c r="ES148" s="44"/>
      <c r="ET148" s="44"/>
      <c r="EU148" s="44"/>
      <c r="EV148" s="44"/>
      <c r="EW148" s="44"/>
      <c r="EX148" s="42">
        <v>1.0</v>
      </c>
      <c r="EY148" s="44"/>
      <c r="EZ148" s="44"/>
      <c r="FA148" s="44"/>
      <c r="FB148" s="42"/>
      <c r="FC148" s="44"/>
      <c r="FD148" s="44"/>
      <c r="FE148" s="44"/>
      <c r="FF148" s="44"/>
      <c r="FG148" s="44"/>
      <c r="FH148" s="44"/>
      <c r="FI148" s="42"/>
      <c r="FJ148" s="44"/>
      <c r="FK148" s="44"/>
      <c r="FL148" s="44"/>
      <c r="FM148" s="44"/>
      <c r="FN148" s="44"/>
      <c r="FO148" s="44"/>
      <c r="FP148" s="44"/>
      <c r="FQ148" s="44"/>
      <c r="FR148" s="44"/>
      <c r="FS148" s="42">
        <v>1.0</v>
      </c>
      <c r="FT148" s="44"/>
      <c r="FU148" s="44"/>
      <c r="FV148" s="42"/>
      <c r="FW148" s="42"/>
      <c r="FX148" s="44"/>
      <c r="FY148" s="44"/>
      <c r="FZ148" s="44"/>
      <c r="GA148" s="44"/>
      <c r="GB148" s="44"/>
      <c r="GC148" s="44"/>
      <c r="GD148" s="44"/>
      <c r="GE148" s="44"/>
      <c r="GF148" s="44"/>
      <c r="GG148" s="44"/>
      <c r="GH148" s="44"/>
      <c r="GI148" s="44"/>
      <c r="GJ148" s="44"/>
      <c r="GK148" s="44"/>
      <c r="GL148" s="44"/>
      <c r="GM148" s="44"/>
      <c r="GN148" s="44"/>
      <c r="GO148" s="44"/>
      <c r="GP148" s="44"/>
      <c r="GQ148" s="44"/>
      <c r="GR148" s="44"/>
      <c r="GS148" s="44"/>
      <c r="GT148" s="44"/>
      <c r="GU148" s="44"/>
      <c r="GV148" s="44"/>
      <c r="GW148" s="44"/>
      <c r="GX148" s="44"/>
      <c r="GY148" s="44"/>
      <c r="GZ148" s="44"/>
      <c r="HA148" s="44"/>
      <c r="HB148" s="44"/>
      <c r="HC148" s="44"/>
      <c r="HD148" s="44"/>
      <c r="HE148" s="44"/>
      <c r="HF148" s="44"/>
      <c r="HG148" s="44"/>
      <c r="HH148" s="44"/>
      <c r="HI148" s="44"/>
    </row>
    <row r="149">
      <c r="A149" s="23">
        <v>43207.0</v>
      </c>
      <c r="B149" s="4" t="s">
        <v>244</v>
      </c>
      <c r="C149" s="28">
        <f t="shared" si="14"/>
        <v>143</v>
      </c>
      <c r="D149" s="4">
        <v>21.310612</v>
      </c>
      <c r="E149" s="4">
        <v>-158.00441</v>
      </c>
      <c r="F149" s="4" t="s">
        <v>326</v>
      </c>
      <c r="G149" s="24">
        <v>0.3854166666666667</v>
      </c>
      <c r="H149" s="24">
        <v>0.4444444444444444</v>
      </c>
      <c r="I149" s="4">
        <v>9.0</v>
      </c>
      <c r="J149" s="4">
        <v>8.0</v>
      </c>
      <c r="K149" s="4" t="s">
        <v>198</v>
      </c>
      <c r="L149" s="4">
        <v>5.0</v>
      </c>
      <c r="M149" s="4">
        <v>30.0</v>
      </c>
      <c r="N149" s="4" t="s">
        <v>417</v>
      </c>
      <c r="O149" s="4" t="s">
        <v>396</v>
      </c>
      <c r="P149" s="4">
        <v>30.0</v>
      </c>
      <c r="U149" s="4"/>
      <c r="V149" s="4"/>
      <c r="W149" s="4"/>
      <c r="X149" s="4">
        <v>2.0</v>
      </c>
      <c r="AA149" s="4"/>
      <c r="AB149" s="4">
        <v>22.0</v>
      </c>
      <c r="AE149" s="4">
        <v>6.0</v>
      </c>
      <c r="AI149" s="4">
        <v>7.0</v>
      </c>
      <c r="BC149" s="4">
        <v>2.0</v>
      </c>
      <c r="BE149" s="4">
        <v>24.0</v>
      </c>
      <c r="BM149" s="4">
        <v>27.0</v>
      </c>
      <c r="BV149" s="4">
        <v>9.0</v>
      </c>
      <c r="BZ149" s="4">
        <v>10.0</v>
      </c>
      <c r="CJ149" s="4"/>
      <c r="CK149" s="4">
        <v>19.0</v>
      </c>
      <c r="CS149" s="4">
        <v>1.0</v>
      </c>
      <c r="DM149" s="4">
        <v>7.0</v>
      </c>
      <c r="DO149" s="4">
        <v>1.0</v>
      </c>
      <c r="DT149" s="4"/>
      <c r="DU149" s="4"/>
      <c r="DV149" s="4">
        <v>21.0</v>
      </c>
      <c r="DZ149" s="4">
        <v>1.0</v>
      </c>
      <c r="EC149" s="4">
        <v>5.0</v>
      </c>
      <c r="EG149" s="4"/>
      <c r="EH149" s="4"/>
      <c r="EI149" s="4"/>
      <c r="EJ149" s="4">
        <v>306.0</v>
      </c>
      <c r="FB149" s="4">
        <v>11.0</v>
      </c>
      <c r="FI149" s="4">
        <v>1.0</v>
      </c>
      <c r="FS149" s="4">
        <v>90.0</v>
      </c>
      <c r="FV149" s="4"/>
      <c r="FW149" s="4">
        <v>4.0</v>
      </c>
      <c r="GH149" s="25">
        <f>count(R149:GG149)</f>
        <v>21</v>
      </c>
      <c r="GI149" s="25">
        <f>countif(R149:GG149,"&gt;=2")</f>
        <v>17</v>
      </c>
      <c r="GJ149" s="25">
        <f>countif(R149:GG149,"&gt;=5")</f>
        <v>14</v>
      </c>
      <c r="GK149" s="25">
        <f>sum(R149:GG149)</f>
        <v>576</v>
      </c>
      <c r="GL149" s="25">
        <f>25*P149</f>
        <v>750</v>
      </c>
      <c r="GM149" s="25">
        <f>GL149-GK149</f>
        <v>174</v>
      </c>
    </row>
    <row r="150">
      <c r="A150" s="41">
        <v>43208.0</v>
      </c>
      <c r="B150" s="42" t="s">
        <v>515</v>
      </c>
      <c r="C150" s="28">
        <f t="shared" si="14"/>
        <v>144</v>
      </c>
      <c r="D150" s="42">
        <v>19.13592</v>
      </c>
      <c r="E150" s="42">
        <v>-155.504684</v>
      </c>
      <c r="F150" s="42" t="s">
        <v>383</v>
      </c>
      <c r="G150" s="43">
        <v>0.4111111111111111</v>
      </c>
      <c r="H150" s="43">
        <v>0.4513888888888889</v>
      </c>
      <c r="I150" s="42">
        <v>5.0</v>
      </c>
      <c r="J150" s="42">
        <v>20.0</v>
      </c>
      <c r="K150" s="42" t="s">
        <v>198</v>
      </c>
      <c r="L150" s="42">
        <v>5.0</v>
      </c>
      <c r="M150" s="42">
        <v>25.0</v>
      </c>
      <c r="N150" s="42"/>
      <c r="O150" s="44"/>
      <c r="P150" s="42"/>
      <c r="Q150" s="44"/>
      <c r="R150" s="44"/>
      <c r="S150" s="44"/>
      <c r="T150" s="42">
        <v>9.0</v>
      </c>
      <c r="U150" s="44"/>
      <c r="V150" s="44"/>
      <c r="W150" s="44"/>
      <c r="X150" s="44"/>
      <c r="Y150" s="44"/>
      <c r="Z150" s="44"/>
      <c r="AA150" s="44"/>
      <c r="AB150" s="42">
        <v>13.0</v>
      </c>
      <c r="AC150" s="44"/>
      <c r="AD150" s="44"/>
      <c r="AE150" s="44"/>
      <c r="AF150" s="42">
        <v>3.0</v>
      </c>
      <c r="AG150" s="44"/>
      <c r="AH150" s="44"/>
      <c r="AI150" s="44"/>
      <c r="AJ150" s="44"/>
      <c r="AK150" s="44"/>
      <c r="AL150" s="44"/>
      <c r="AM150" s="44"/>
      <c r="AN150" s="44"/>
      <c r="AO150" s="44"/>
      <c r="AP150" s="44"/>
      <c r="AQ150" s="44"/>
      <c r="AR150" s="44"/>
      <c r="AS150" s="44"/>
      <c r="AT150" s="44"/>
      <c r="AU150" s="44"/>
      <c r="AV150" s="44"/>
      <c r="AW150" s="44"/>
      <c r="AX150" s="44"/>
      <c r="AY150" s="44"/>
      <c r="AZ150" s="44"/>
      <c r="BA150" s="44"/>
      <c r="BB150" s="42">
        <v>18.0</v>
      </c>
      <c r="BC150" s="44"/>
      <c r="BD150" s="44"/>
      <c r="BE150" s="44"/>
      <c r="BF150" s="44"/>
      <c r="BG150" s="44"/>
      <c r="BH150" s="44"/>
      <c r="BI150" s="42"/>
      <c r="BJ150" s="42"/>
      <c r="BK150" s="42"/>
      <c r="BL150" s="44"/>
      <c r="BM150" s="42">
        <v>14.0</v>
      </c>
      <c r="BN150" s="44"/>
      <c r="BO150" s="44"/>
      <c r="BP150" s="44"/>
      <c r="BQ150" s="44"/>
      <c r="BR150" s="44"/>
      <c r="BS150" s="44"/>
      <c r="BT150" s="44"/>
      <c r="BU150" s="44"/>
      <c r="BV150" s="44"/>
      <c r="BW150" s="44"/>
      <c r="BX150" s="44"/>
      <c r="BY150" s="44"/>
      <c r="BZ150" s="44"/>
      <c r="CA150" s="44"/>
      <c r="CB150" s="44"/>
      <c r="CC150" s="42">
        <v>1.0</v>
      </c>
      <c r="CD150" s="42"/>
      <c r="CE150" s="42">
        <v>2.0</v>
      </c>
      <c r="CF150" s="44"/>
      <c r="CG150" s="44"/>
      <c r="CH150" s="44"/>
      <c r="CI150" s="44"/>
      <c r="CJ150" s="44"/>
      <c r="CK150" s="44"/>
      <c r="CL150" s="44"/>
      <c r="CM150" s="44"/>
      <c r="CN150" s="44"/>
      <c r="CO150" s="44"/>
      <c r="CP150" s="44"/>
      <c r="CQ150" s="44"/>
      <c r="CR150" s="44"/>
      <c r="CS150" s="44"/>
      <c r="CT150" s="44"/>
      <c r="CU150" s="44"/>
      <c r="CV150" s="42"/>
      <c r="CW150" s="44"/>
      <c r="CX150" s="44"/>
      <c r="CY150" s="44"/>
      <c r="CZ150" s="44"/>
      <c r="DA150" s="44"/>
      <c r="DB150" s="44"/>
      <c r="DC150" s="44"/>
      <c r="DD150" s="44"/>
      <c r="DE150" s="44"/>
      <c r="DF150" s="44"/>
      <c r="DG150" s="44"/>
      <c r="DH150" s="42">
        <v>38.0</v>
      </c>
      <c r="DI150" s="44"/>
      <c r="DJ150" s="44"/>
      <c r="DK150" s="44"/>
      <c r="DL150" s="44"/>
      <c r="DM150" s="44"/>
      <c r="DN150" s="44"/>
      <c r="DO150" s="44"/>
      <c r="DP150" s="42">
        <v>14.0</v>
      </c>
      <c r="DQ150" s="44"/>
      <c r="DR150" s="44"/>
      <c r="DS150" s="44"/>
      <c r="DT150" s="44"/>
      <c r="DU150" s="44"/>
      <c r="DV150" s="44"/>
      <c r="DW150" s="44"/>
      <c r="DX150" s="44"/>
      <c r="DY150" s="44"/>
      <c r="DZ150" s="44"/>
      <c r="EA150" s="44"/>
      <c r="EB150" s="44"/>
      <c r="EC150" s="44"/>
      <c r="ED150" s="44"/>
      <c r="EE150" s="44"/>
      <c r="EF150" s="42">
        <v>5.0</v>
      </c>
      <c r="EG150" s="44"/>
      <c r="EH150" s="44"/>
      <c r="EI150" s="44"/>
      <c r="EJ150" s="44"/>
      <c r="EK150" s="44"/>
      <c r="EL150" s="44"/>
      <c r="EM150" s="44"/>
      <c r="EN150" s="44"/>
      <c r="EO150" s="44"/>
      <c r="EP150" s="44"/>
      <c r="EQ150" s="44"/>
      <c r="ER150" s="44"/>
      <c r="ES150" s="44"/>
      <c r="ET150" s="44"/>
      <c r="EU150" s="44"/>
      <c r="EV150" s="44"/>
      <c r="EW150" s="44"/>
      <c r="EX150" s="42">
        <v>16.0</v>
      </c>
      <c r="EY150" s="44"/>
      <c r="EZ150" s="44"/>
      <c r="FA150" s="44"/>
      <c r="FB150" s="44"/>
      <c r="FC150" s="44"/>
      <c r="FD150" s="44"/>
      <c r="FE150" s="44"/>
      <c r="FF150" s="44"/>
      <c r="FG150" s="44"/>
      <c r="FH150" s="44"/>
      <c r="FI150" s="44"/>
      <c r="FJ150" s="44"/>
      <c r="FK150" s="44"/>
      <c r="FL150" s="44"/>
      <c r="FM150" s="42"/>
      <c r="FN150" s="42"/>
      <c r="FO150" s="42"/>
      <c r="FP150" s="42"/>
      <c r="FQ150" s="44"/>
      <c r="FR150" s="44"/>
      <c r="FS150" s="42">
        <v>458.0</v>
      </c>
      <c r="FT150" s="44"/>
      <c r="FU150" s="44"/>
      <c r="FV150" s="44"/>
      <c r="FW150" s="44"/>
      <c r="FX150" s="44"/>
      <c r="FY150" s="44"/>
      <c r="FZ150" s="44"/>
      <c r="GA150" s="44"/>
      <c r="GB150" s="44"/>
      <c r="GC150" s="44"/>
      <c r="GD150" s="44"/>
      <c r="GE150" s="44"/>
      <c r="GF150" s="44"/>
      <c r="GG150" s="44"/>
      <c r="GH150" s="44"/>
      <c r="GI150" s="44"/>
      <c r="GJ150" s="44"/>
      <c r="GK150" s="44"/>
      <c r="GL150" s="44"/>
      <c r="GM150" s="44"/>
      <c r="GN150" s="44"/>
      <c r="GO150" s="44"/>
      <c r="GP150" s="44"/>
      <c r="GQ150" s="44"/>
      <c r="GR150" s="44"/>
      <c r="GS150" s="44"/>
      <c r="GT150" s="44"/>
      <c r="GU150" s="44"/>
      <c r="GV150" s="44"/>
      <c r="GW150" s="44"/>
      <c r="GX150" s="44"/>
      <c r="GY150" s="44"/>
      <c r="GZ150" s="44"/>
      <c r="HA150" s="44"/>
      <c r="HB150" s="44"/>
      <c r="HC150" s="44"/>
      <c r="HD150" s="44"/>
      <c r="HE150" s="44"/>
      <c r="HF150" s="44"/>
      <c r="HG150" s="44"/>
      <c r="HH150" s="44"/>
      <c r="HI150" s="44"/>
    </row>
    <row r="151">
      <c r="A151" s="31">
        <v>43209.0</v>
      </c>
      <c r="B151" s="32" t="s">
        <v>250</v>
      </c>
      <c r="C151" s="28"/>
      <c r="D151" s="32"/>
      <c r="E151" s="32"/>
      <c r="F151" s="32"/>
      <c r="G151" s="33"/>
      <c r="H151" s="33"/>
      <c r="I151" s="32"/>
      <c r="J151" s="32"/>
      <c r="K151" s="32"/>
      <c r="L151" s="32"/>
      <c r="M151" s="32"/>
      <c r="N151" s="32"/>
      <c r="O151" s="34"/>
      <c r="P151" s="32"/>
      <c r="Q151" s="34"/>
      <c r="R151" s="34"/>
      <c r="S151" s="34"/>
      <c r="T151" s="34"/>
      <c r="U151" s="34"/>
      <c r="V151" s="34"/>
      <c r="W151" s="34"/>
      <c r="X151" s="34"/>
      <c r="Y151" s="34"/>
      <c r="Z151" s="34"/>
      <c r="AA151" s="34"/>
      <c r="AB151" s="34"/>
      <c r="AC151" s="34"/>
      <c r="AD151" s="34"/>
      <c r="AE151" s="34"/>
      <c r="AF151" s="34"/>
      <c r="AG151" s="34"/>
      <c r="AH151" s="34"/>
      <c r="AI151" s="34"/>
      <c r="AJ151" s="34"/>
      <c r="AK151" s="34"/>
      <c r="AL151" s="34"/>
      <c r="AM151" s="34"/>
      <c r="AN151" s="34"/>
      <c r="AO151" s="34"/>
      <c r="AP151" s="34"/>
      <c r="AQ151" s="34"/>
      <c r="AR151" s="34"/>
      <c r="AS151" s="34"/>
      <c r="AT151" s="34"/>
      <c r="AU151" s="34"/>
      <c r="AV151" s="34"/>
      <c r="AW151" s="34"/>
      <c r="AX151" s="34"/>
      <c r="AY151" s="34"/>
      <c r="AZ151" s="34"/>
      <c r="BA151" s="34"/>
      <c r="BB151" s="34"/>
      <c r="BC151" s="34"/>
      <c r="BD151" s="34"/>
      <c r="BE151" s="34"/>
      <c r="BF151" s="34"/>
      <c r="BG151" s="34"/>
      <c r="BH151" s="34"/>
      <c r="BI151" s="32"/>
      <c r="BJ151" s="32"/>
      <c r="BK151" s="32"/>
      <c r="BL151" s="34"/>
      <c r="BM151" s="32"/>
      <c r="BN151" s="34"/>
      <c r="BO151" s="34"/>
      <c r="BP151" s="34"/>
      <c r="BQ151" s="34"/>
      <c r="BR151" s="34"/>
      <c r="BS151" s="34"/>
      <c r="BT151" s="34"/>
      <c r="BU151" s="34"/>
      <c r="BV151" s="34"/>
      <c r="BW151" s="34"/>
      <c r="BX151" s="34"/>
      <c r="BY151" s="34"/>
      <c r="BZ151" s="34"/>
      <c r="CA151" s="34"/>
      <c r="CB151" s="34"/>
      <c r="CC151" s="32"/>
      <c r="CD151" s="32"/>
      <c r="CE151" s="34"/>
      <c r="CF151" s="34"/>
      <c r="CG151" s="34"/>
      <c r="CH151" s="34"/>
      <c r="CI151" s="34"/>
      <c r="CJ151" s="34"/>
      <c r="CK151" s="34"/>
      <c r="CL151" s="34"/>
      <c r="CM151" s="34"/>
      <c r="CN151" s="34"/>
      <c r="CO151" s="34"/>
      <c r="CP151" s="34"/>
      <c r="CQ151" s="34"/>
      <c r="CR151" s="34"/>
      <c r="CS151" s="34"/>
      <c r="CT151" s="34"/>
      <c r="CU151" s="34"/>
      <c r="CV151" s="32"/>
      <c r="CW151" s="34"/>
      <c r="CX151" s="34"/>
      <c r="CY151" s="34"/>
      <c r="CZ151" s="34"/>
      <c r="DA151" s="34"/>
      <c r="DB151" s="34"/>
      <c r="DC151" s="34"/>
      <c r="DD151" s="34"/>
      <c r="DE151" s="34"/>
      <c r="DF151" s="34"/>
      <c r="DG151" s="34"/>
      <c r="DH151" s="34"/>
      <c r="DI151" s="34"/>
      <c r="DJ151" s="34"/>
      <c r="DK151" s="34"/>
      <c r="DL151" s="34"/>
      <c r="DM151" s="34"/>
      <c r="DN151" s="34"/>
      <c r="DO151" s="34"/>
      <c r="DP151" s="34"/>
      <c r="DQ151" s="34"/>
      <c r="DR151" s="34"/>
      <c r="DS151" s="34"/>
      <c r="DT151" s="34"/>
      <c r="DU151" s="34"/>
      <c r="DV151" s="34"/>
      <c r="DW151" s="34"/>
      <c r="DX151" s="34"/>
      <c r="DY151" s="34"/>
      <c r="DZ151" s="34"/>
      <c r="EA151" s="34"/>
      <c r="EB151" s="34"/>
      <c r="EC151" s="34"/>
      <c r="ED151" s="34"/>
      <c r="EE151" s="34"/>
      <c r="EF151" s="34"/>
      <c r="EG151" s="34"/>
      <c r="EH151" s="34"/>
      <c r="EI151" s="34"/>
      <c r="EJ151" s="34"/>
      <c r="EK151" s="34"/>
      <c r="EL151" s="34"/>
      <c r="EM151" s="34"/>
      <c r="EN151" s="34"/>
      <c r="EO151" s="34"/>
      <c r="EP151" s="34"/>
      <c r="EQ151" s="34"/>
      <c r="ER151" s="34"/>
      <c r="ES151" s="34"/>
      <c r="ET151" s="34"/>
      <c r="EU151" s="34"/>
      <c r="EV151" s="34"/>
      <c r="EW151" s="34"/>
      <c r="EX151" s="34"/>
      <c r="EY151" s="34"/>
      <c r="EZ151" s="34"/>
      <c r="FA151" s="34"/>
      <c r="FB151" s="34"/>
      <c r="FC151" s="34"/>
      <c r="FD151" s="34"/>
      <c r="FE151" s="34"/>
      <c r="FF151" s="34"/>
      <c r="FG151" s="34"/>
      <c r="FH151" s="34"/>
      <c r="FI151" s="34"/>
      <c r="FJ151" s="34"/>
      <c r="FK151" s="34"/>
      <c r="FL151" s="34"/>
      <c r="FM151" s="32"/>
      <c r="FN151" s="32"/>
      <c r="FO151" s="32"/>
      <c r="FP151" s="32"/>
      <c r="FQ151" s="34"/>
      <c r="FR151" s="34"/>
      <c r="FS151" s="32"/>
      <c r="FT151" s="34"/>
      <c r="FU151" s="34"/>
      <c r="FV151" s="34"/>
      <c r="FW151" s="34"/>
      <c r="FX151" s="34"/>
      <c r="FY151" s="34"/>
      <c r="FZ151" s="34"/>
      <c r="GA151" s="34"/>
      <c r="GB151" s="34"/>
      <c r="GC151" s="34"/>
      <c r="GD151" s="34"/>
      <c r="GE151" s="34"/>
      <c r="GF151" s="34"/>
      <c r="GG151" s="34"/>
      <c r="GH151" s="34"/>
      <c r="GI151" s="34"/>
      <c r="GJ151" s="34"/>
      <c r="GK151" s="34"/>
      <c r="GL151" s="34"/>
      <c r="GM151" s="34"/>
      <c r="GN151" s="34"/>
      <c r="GO151" s="34"/>
      <c r="GP151" s="34"/>
      <c r="GQ151" s="34"/>
      <c r="GR151" s="34"/>
      <c r="GS151" s="34"/>
      <c r="GT151" s="34"/>
      <c r="GU151" s="34"/>
      <c r="GV151" s="34"/>
      <c r="GW151" s="34"/>
      <c r="GX151" s="34"/>
      <c r="GY151" s="34"/>
      <c r="GZ151" s="34"/>
      <c r="HA151" s="34"/>
      <c r="HB151" s="34"/>
      <c r="HC151" s="34"/>
      <c r="HD151" s="34"/>
      <c r="HE151" s="34"/>
      <c r="HF151" s="34"/>
      <c r="HG151" s="34"/>
      <c r="HH151" s="34"/>
      <c r="HI151" s="34"/>
    </row>
    <row r="152">
      <c r="A152" s="41">
        <v>43211.0</v>
      </c>
      <c r="B152" s="42" t="s">
        <v>293</v>
      </c>
      <c r="C152" s="28">
        <v>145.0</v>
      </c>
      <c r="D152" s="42">
        <v>19.738602</v>
      </c>
      <c r="E152" s="42">
        <v>-155.038879</v>
      </c>
      <c r="F152" s="42" t="s">
        <v>520</v>
      </c>
      <c r="G152" s="43">
        <v>0.4791666666666667</v>
      </c>
      <c r="H152" s="43">
        <v>0.041666666666666664</v>
      </c>
      <c r="I152" s="42">
        <v>1.0</v>
      </c>
      <c r="J152" s="42">
        <v>18.0</v>
      </c>
      <c r="K152" s="42" t="s">
        <v>277</v>
      </c>
      <c r="L152" s="42">
        <v>10.0</v>
      </c>
      <c r="M152" s="42">
        <v>5.0</v>
      </c>
      <c r="N152" s="42"/>
      <c r="O152" s="44"/>
      <c r="P152" s="42"/>
      <c r="Q152" s="44"/>
      <c r="R152" s="44"/>
      <c r="S152" s="44"/>
      <c r="T152" s="44"/>
      <c r="U152" s="44"/>
      <c r="V152" s="44"/>
      <c r="W152" s="44"/>
      <c r="X152" s="44"/>
      <c r="Y152" s="44"/>
      <c r="Z152" s="44"/>
      <c r="AA152" s="44"/>
      <c r="AB152" s="44"/>
      <c r="AC152" s="44"/>
      <c r="AD152" s="44"/>
      <c r="AE152" s="44"/>
      <c r="AF152" s="44"/>
      <c r="AG152" s="44"/>
      <c r="AH152" s="44"/>
      <c r="AI152" s="44"/>
      <c r="AJ152" s="44"/>
      <c r="AK152" s="44"/>
      <c r="AL152" s="44"/>
      <c r="AM152" s="44"/>
      <c r="AN152" s="44"/>
      <c r="AO152" s="44"/>
      <c r="AP152" s="44"/>
      <c r="AQ152" s="44"/>
      <c r="AR152" s="44"/>
      <c r="AS152" s="44"/>
      <c r="AT152" s="44"/>
      <c r="AU152" s="44"/>
      <c r="AV152" s="44"/>
      <c r="AW152" s="44"/>
      <c r="AX152" s="44"/>
      <c r="AY152" s="44"/>
      <c r="AZ152" s="44"/>
      <c r="BA152" s="44"/>
      <c r="BB152" s="44"/>
      <c r="BC152" s="44"/>
      <c r="BD152" s="44"/>
      <c r="BE152" s="44"/>
      <c r="BF152" s="44"/>
      <c r="BG152" s="44"/>
      <c r="BH152" s="44"/>
      <c r="BI152" s="42"/>
      <c r="BJ152" s="42"/>
      <c r="BK152" s="42"/>
      <c r="BL152" s="44"/>
      <c r="BM152" s="42">
        <v>3.0</v>
      </c>
      <c r="BN152" s="44"/>
      <c r="BO152" s="44"/>
      <c r="BP152" s="44"/>
      <c r="BQ152" s="44"/>
      <c r="BR152" s="44"/>
      <c r="BS152" s="44"/>
      <c r="BT152" s="44"/>
      <c r="BU152" s="44"/>
      <c r="BV152" s="44"/>
      <c r="BW152" s="44"/>
      <c r="BX152" s="44"/>
      <c r="BY152" s="44"/>
      <c r="BZ152" s="44"/>
      <c r="CA152" s="44"/>
      <c r="CB152" s="44"/>
      <c r="CC152" s="42">
        <v>5.0</v>
      </c>
      <c r="CD152" s="42"/>
      <c r="CE152" s="44"/>
      <c r="CF152" s="44"/>
      <c r="CG152" s="44"/>
      <c r="CH152" s="44"/>
      <c r="CI152" s="44"/>
      <c r="CJ152" s="44"/>
      <c r="CK152" s="44"/>
      <c r="CL152" s="44"/>
      <c r="CM152" s="44"/>
      <c r="CN152" s="44"/>
      <c r="CO152" s="42">
        <v>2.0</v>
      </c>
      <c r="CP152" s="44"/>
      <c r="CQ152" s="44"/>
      <c r="CR152" s="44"/>
      <c r="CS152" s="44"/>
      <c r="CT152" s="44"/>
      <c r="CU152" s="44"/>
      <c r="CV152" s="42"/>
      <c r="CW152" s="44"/>
      <c r="CX152" s="44"/>
      <c r="CY152" s="44"/>
      <c r="CZ152" s="44"/>
      <c r="DA152" s="44"/>
      <c r="DB152" s="44"/>
      <c r="DC152" s="44"/>
      <c r="DD152" s="44"/>
      <c r="DE152" s="44"/>
      <c r="DF152" s="44"/>
      <c r="DG152" s="44"/>
      <c r="DH152" s="44"/>
      <c r="DI152" s="44"/>
      <c r="DJ152" s="44"/>
      <c r="DK152" s="44"/>
      <c r="DL152" s="44"/>
      <c r="DM152" s="44"/>
      <c r="DN152" s="44"/>
      <c r="DO152" s="44"/>
      <c r="DP152" s="44"/>
      <c r="DQ152" s="44"/>
      <c r="DR152" s="44"/>
      <c r="DS152" s="44"/>
      <c r="DT152" s="44"/>
      <c r="DU152" s="44"/>
      <c r="DV152" s="44"/>
      <c r="DW152" s="44"/>
      <c r="DX152" s="44"/>
      <c r="DY152" s="44"/>
      <c r="DZ152" s="44"/>
      <c r="EA152" s="44"/>
      <c r="EB152" s="44"/>
      <c r="EC152" s="44"/>
      <c r="ED152" s="44"/>
      <c r="EE152" s="44"/>
      <c r="EF152" s="44"/>
      <c r="EG152" s="44"/>
      <c r="EH152" s="44"/>
      <c r="EI152" s="44"/>
      <c r="EJ152" s="44"/>
      <c r="EK152" s="44"/>
      <c r="EL152" s="44"/>
      <c r="EM152" s="44"/>
      <c r="EN152" s="44"/>
      <c r="EO152" s="44"/>
      <c r="EP152" s="44"/>
      <c r="EQ152" s="44"/>
      <c r="ER152" s="44"/>
      <c r="ES152" s="44"/>
      <c r="ET152" s="44"/>
      <c r="EU152" s="44"/>
      <c r="EV152" s="44"/>
      <c r="EW152" s="44"/>
      <c r="EX152" s="44"/>
      <c r="EY152" s="44"/>
      <c r="EZ152" s="44"/>
      <c r="FA152" s="44"/>
      <c r="FB152" s="44"/>
      <c r="FC152" s="44"/>
      <c r="FD152" s="44"/>
      <c r="FE152" s="44"/>
      <c r="FF152" s="44"/>
      <c r="FG152" s="44"/>
      <c r="FH152" s="44"/>
      <c r="FI152" s="44"/>
      <c r="FJ152" s="44"/>
      <c r="FK152" s="44"/>
      <c r="FL152" s="44"/>
      <c r="FM152" s="42"/>
      <c r="FN152" s="42"/>
      <c r="FO152" s="42"/>
      <c r="FP152" s="42"/>
      <c r="FQ152" s="44"/>
      <c r="FR152" s="44"/>
      <c r="FS152" s="42">
        <v>79.0</v>
      </c>
      <c r="FT152" s="44"/>
      <c r="FU152" s="44"/>
      <c r="FV152" s="44"/>
      <c r="FW152" s="44"/>
      <c r="FX152" s="44"/>
      <c r="FY152" s="44"/>
      <c r="FZ152" s="44"/>
      <c r="GA152" s="44"/>
      <c r="GB152" s="44"/>
      <c r="GC152" s="44"/>
      <c r="GD152" s="44"/>
      <c r="GE152" s="44"/>
      <c r="GF152" s="44"/>
      <c r="GG152" s="42">
        <v>2.0</v>
      </c>
      <c r="GH152" s="44"/>
      <c r="GI152" s="44"/>
      <c r="GJ152" s="44"/>
      <c r="GK152" s="44"/>
      <c r="GL152" s="44"/>
      <c r="GM152" s="44"/>
      <c r="GN152" s="44"/>
      <c r="GO152" s="44"/>
      <c r="GP152" s="44"/>
      <c r="GQ152" s="44"/>
      <c r="GR152" s="44"/>
      <c r="GS152" s="44"/>
      <c r="GT152" s="44"/>
      <c r="GU152" s="44"/>
      <c r="GV152" s="44"/>
      <c r="GW152" s="44"/>
      <c r="GX152" s="44"/>
      <c r="GY152" s="44"/>
      <c r="GZ152" s="44"/>
      <c r="HA152" s="44"/>
      <c r="HB152" s="44"/>
      <c r="HC152" s="44"/>
      <c r="HD152" s="44"/>
      <c r="HE152" s="44"/>
      <c r="HF152" s="44"/>
      <c r="HG152" s="44"/>
      <c r="HH152" s="44"/>
      <c r="HI152" s="44"/>
    </row>
    <row r="153">
      <c r="A153" s="23">
        <v>43212.0</v>
      </c>
      <c r="B153" s="4" t="s">
        <v>293</v>
      </c>
      <c r="C153" s="28">
        <f t="shared" ref="C153:C161" si="81">C152+1</f>
        <v>146</v>
      </c>
      <c r="D153" s="4">
        <v>19.738602</v>
      </c>
      <c r="E153" s="4">
        <v>-155.038879</v>
      </c>
      <c r="F153" s="4" t="s">
        <v>418</v>
      </c>
      <c r="G153" s="24">
        <v>0.5541666666666667</v>
      </c>
      <c r="H153" s="24">
        <v>0.6458333333333334</v>
      </c>
      <c r="I153" s="4">
        <v>3.0</v>
      </c>
      <c r="J153" s="4">
        <v>18.0</v>
      </c>
      <c r="K153" s="4" t="s">
        <v>415</v>
      </c>
      <c r="L153" s="4">
        <v>10.0</v>
      </c>
      <c r="M153" s="4">
        <v>23.0</v>
      </c>
      <c r="N153" s="4" t="s">
        <v>419</v>
      </c>
      <c r="P153" s="4">
        <v>23.0</v>
      </c>
      <c r="BI153" s="4"/>
      <c r="BJ153" s="4"/>
      <c r="BK153" s="4">
        <v>10.0</v>
      </c>
      <c r="BM153" s="4">
        <v>1.0</v>
      </c>
      <c r="CC153" s="4">
        <v>11.0</v>
      </c>
      <c r="CD153" s="4">
        <v>13.0</v>
      </c>
      <c r="CV153" s="4">
        <v>2.0</v>
      </c>
      <c r="FM153" s="4">
        <v>24.0</v>
      </c>
      <c r="FN153" s="4"/>
      <c r="FO153" s="4"/>
      <c r="FP153" s="4">
        <v>1.0</v>
      </c>
      <c r="FS153" s="4">
        <v>363.0</v>
      </c>
      <c r="GH153" s="25">
        <f>count(R153:GG153)</f>
        <v>8</v>
      </c>
      <c r="GI153" s="25">
        <f>countif(R153:GG153,"&gt;=2")</f>
        <v>6</v>
      </c>
      <c r="GJ153" s="25">
        <f>countif(R153:GG153,"&gt;=5")</f>
        <v>5</v>
      </c>
      <c r="GK153" s="25">
        <f>sum(R153:GG153)</f>
        <v>425</v>
      </c>
      <c r="GL153" s="25">
        <f>25*P153</f>
        <v>575</v>
      </c>
      <c r="GM153" s="25">
        <f>GL153-GK153</f>
        <v>150</v>
      </c>
    </row>
    <row r="154">
      <c r="A154" s="41">
        <v>43213.0</v>
      </c>
      <c r="B154" s="42" t="s">
        <v>219</v>
      </c>
      <c r="C154" s="28">
        <f t="shared" si="81"/>
        <v>147</v>
      </c>
      <c r="D154" s="42">
        <v>21.295799</v>
      </c>
      <c r="E154" s="42">
        <v>-158.103699</v>
      </c>
      <c r="F154" s="42" t="s">
        <v>274</v>
      </c>
      <c r="G154" s="43">
        <v>0.3333333333333333</v>
      </c>
      <c r="H154" s="43">
        <v>0.4583333333333333</v>
      </c>
      <c r="I154" s="42">
        <v>4.0</v>
      </c>
      <c r="J154" s="42">
        <v>10.0</v>
      </c>
      <c r="K154" s="42" t="s">
        <v>198</v>
      </c>
      <c r="L154" s="42">
        <v>10.0</v>
      </c>
      <c r="M154" s="42">
        <v>1.0</v>
      </c>
      <c r="N154" s="42" t="s">
        <v>522</v>
      </c>
      <c r="O154" s="44"/>
      <c r="P154" s="42"/>
      <c r="Q154" s="44"/>
      <c r="R154" s="42"/>
      <c r="S154" s="44"/>
      <c r="T154" s="44"/>
      <c r="U154" s="44"/>
      <c r="V154" s="44"/>
      <c r="W154" s="44"/>
      <c r="X154" s="44"/>
      <c r="Y154" s="44"/>
      <c r="Z154" s="44"/>
      <c r="AA154" s="42"/>
      <c r="AB154" s="42"/>
      <c r="AC154" s="42"/>
      <c r="AD154" s="44"/>
      <c r="AE154" s="42"/>
      <c r="AF154" s="44"/>
      <c r="AG154" s="44"/>
      <c r="AH154" s="44"/>
      <c r="AI154" s="42"/>
      <c r="AJ154" s="44"/>
      <c r="AK154" s="44"/>
      <c r="AL154" s="44"/>
      <c r="AM154" s="44"/>
      <c r="AN154" s="44"/>
      <c r="AO154" s="44"/>
      <c r="AP154" s="44"/>
      <c r="AQ154" s="44"/>
      <c r="AR154" s="44"/>
      <c r="AS154" s="44"/>
      <c r="AT154" s="44"/>
      <c r="AU154" s="44"/>
      <c r="AV154" s="44"/>
      <c r="AW154" s="44"/>
      <c r="AX154" s="44"/>
      <c r="AY154" s="44"/>
      <c r="AZ154" s="44"/>
      <c r="BA154" s="44"/>
      <c r="BB154" s="44"/>
      <c r="BC154" s="44"/>
      <c r="BD154" s="44"/>
      <c r="BE154" s="42"/>
      <c r="BF154" s="44"/>
      <c r="BG154" s="44"/>
      <c r="BH154" s="44"/>
      <c r="BI154" s="44"/>
      <c r="BJ154" s="44"/>
      <c r="BK154" s="44"/>
      <c r="BL154" s="44"/>
      <c r="BM154" s="44"/>
      <c r="BN154" s="44"/>
      <c r="BO154" s="44"/>
      <c r="BP154" s="44"/>
      <c r="BQ154" s="44"/>
      <c r="BR154" s="44"/>
      <c r="BS154" s="44"/>
      <c r="BT154" s="44"/>
      <c r="BU154" s="44"/>
      <c r="BV154" s="42"/>
      <c r="BW154" s="44"/>
      <c r="BX154" s="44"/>
      <c r="BY154" s="44"/>
      <c r="BZ154" s="42"/>
      <c r="CA154" s="44"/>
      <c r="CB154" s="44"/>
      <c r="CC154" s="44"/>
      <c r="CD154" s="44"/>
      <c r="CE154" s="44"/>
      <c r="CF154" s="44"/>
      <c r="CG154" s="44"/>
      <c r="CH154" s="44"/>
      <c r="CI154" s="44"/>
      <c r="CJ154" s="44"/>
      <c r="CK154" s="44"/>
      <c r="CL154" s="44"/>
      <c r="CM154" s="44"/>
      <c r="CN154" s="44"/>
      <c r="CO154" s="42"/>
      <c r="CP154" s="44"/>
      <c r="CQ154" s="44"/>
      <c r="CR154" s="44"/>
      <c r="CS154" s="42"/>
      <c r="CT154" s="44"/>
      <c r="CU154" s="44"/>
      <c r="CV154" s="44"/>
      <c r="CW154" s="44"/>
      <c r="CX154" s="44"/>
      <c r="CY154" s="44"/>
      <c r="CZ154" s="44"/>
      <c r="DA154" s="44"/>
      <c r="DB154" s="44"/>
      <c r="DC154" s="44"/>
      <c r="DD154" s="44"/>
      <c r="DE154" s="44"/>
      <c r="DF154" s="42"/>
      <c r="DG154" s="42"/>
      <c r="DH154" s="44"/>
      <c r="DI154" s="44"/>
      <c r="DJ154" s="44"/>
      <c r="DK154" s="44"/>
      <c r="DL154" s="44"/>
      <c r="DM154" s="42"/>
      <c r="DN154" s="44"/>
      <c r="DO154" s="42"/>
      <c r="DP154" s="44"/>
      <c r="DQ154" s="44"/>
      <c r="DR154" s="44"/>
      <c r="DS154" s="44"/>
      <c r="DT154" s="42"/>
      <c r="DU154" s="42"/>
      <c r="DV154" s="42"/>
      <c r="DW154" s="44"/>
      <c r="DX154" s="44"/>
      <c r="DY154" s="44"/>
      <c r="DZ154" s="44"/>
      <c r="EA154" s="44"/>
      <c r="EB154" s="44"/>
      <c r="EC154" s="42"/>
      <c r="ED154" s="44"/>
      <c r="EE154" s="44"/>
      <c r="EF154" s="44"/>
      <c r="EG154" s="42"/>
      <c r="EH154" s="42"/>
      <c r="EI154" s="42"/>
      <c r="EJ154" s="42"/>
      <c r="EK154" s="44"/>
      <c r="EL154" s="44"/>
      <c r="EM154" s="44"/>
      <c r="EN154" s="44"/>
      <c r="EO154" s="44"/>
      <c r="EP154" s="44"/>
      <c r="EQ154" s="44"/>
      <c r="ER154" s="44"/>
      <c r="ES154" s="44"/>
      <c r="ET154" s="42"/>
      <c r="EU154" s="42"/>
      <c r="EV154" s="42"/>
      <c r="EW154" s="42"/>
      <c r="EX154" s="44"/>
      <c r="EY154" s="44"/>
      <c r="EZ154" s="44"/>
      <c r="FA154" s="44"/>
      <c r="FB154" s="42"/>
      <c r="FC154" s="44"/>
      <c r="FD154" s="44"/>
      <c r="FE154" s="44"/>
      <c r="FF154" s="42"/>
      <c r="FG154" s="44"/>
      <c r="FH154" s="44"/>
      <c r="FI154" s="44"/>
      <c r="FJ154" s="44"/>
      <c r="FK154" s="44"/>
      <c r="FL154" s="44"/>
      <c r="FM154" s="44"/>
      <c r="FN154" s="44"/>
      <c r="FO154" s="44"/>
      <c r="FP154" s="44"/>
      <c r="FQ154" s="44"/>
      <c r="FR154" s="42"/>
      <c r="FS154" s="42">
        <v>3.0</v>
      </c>
      <c r="FT154" s="44"/>
      <c r="FU154" s="44"/>
      <c r="FV154" s="44"/>
      <c r="FW154" s="44"/>
      <c r="FX154" s="44"/>
      <c r="FY154" s="44"/>
      <c r="FZ154" s="44"/>
      <c r="GA154" s="44"/>
      <c r="GB154" s="44"/>
      <c r="GC154" s="44"/>
      <c r="GD154" s="44"/>
      <c r="GE154" s="44"/>
      <c r="GF154" s="44"/>
      <c r="GG154" s="42"/>
      <c r="GH154" s="44"/>
      <c r="GI154" s="44"/>
      <c r="GJ154" s="44"/>
      <c r="GK154" s="44"/>
      <c r="GL154" s="44"/>
      <c r="GM154" s="44"/>
      <c r="GN154" s="44"/>
      <c r="GO154" s="44"/>
      <c r="GP154" s="44"/>
      <c r="GQ154" s="44"/>
      <c r="GR154" s="44"/>
      <c r="GS154" s="44"/>
      <c r="GT154" s="44"/>
      <c r="GU154" s="44"/>
      <c r="GV154" s="44"/>
      <c r="GW154" s="44"/>
      <c r="GX154" s="44"/>
      <c r="GY154" s="44"/>
      <c r="GZ154" s="44"/>
      <c r="HA154" s="44"/>
      <c r="HB154" s="44"/>
      <c r="HC154" s="44"/>
      <c r="HD154" s="44"/>
      <c r="HE154" s="44"/>
      <c r="HF154" s="44"/>
      <c r="HG154" s="44"/>
      <c r="HH154" s="44"/>
      <c r="HI154" s="44"/>
    </row>
    <row r="155">
      <c r="A155" s="23">
        <v>43214.0</v>
      </c>
      <c r="B155" s="4" t="s">
        <v>244</v>
      </c>
      <c r="C155" s="28">
        <f t="shared" si="81"/>
        <v>148</v>
      </c>
      <c r="D155" s="4">
        <v>21.310612</v>
      </c>
      <c r="E155" s="4">
        <v>-158.00441</v>
      </c>
      <c r="F155" s="4" t="s">
        <v>326</v>
      </c>
      <c r="G155" s="24">
        <v>0.375</v>
      </c>
      <c r="H155" s="24">
        <v>0.4444444444444444</v>
      </c>
      <c r="I155" s="4">
        <v>6.0</v>
      </c>
      <c r="J155" s="4">
        <v>8.0</v>
      </c>
      <c r="K155" s="4" t="s">
        <v>217</v>
      </c>
      <c r="L155" s="4">
        <v>4.0</v>
      </c>
      <c r="M155" s="4">
        <v>20.0</v>
      </c>
      <c r="N155" s="4" t="s">
        <v>421</v>
      </c>
      <c r="P155" s="4">
        <v>20.0</v>
      </c>
      <c r="R155" s="4">
        <v>1.0</v>
      </c>
      <c r="AA155" s="4"/>
      <c r="AB155" s="4">
        <v>4.0</v>
      </c>
      <c r="AC155" s="4">
        <v>1.0</v>
      </c>
      <c r="AE155" s="4">
        <v>3.0</v>
      </c>
      <c r="AI155" s="4">
        <v>2.0</v>
      </c>
      <c r="BE155" s="4">
        <v>13.0</v>
      </c>
      <c r="BV155" s="4">
        <v>13.0</v>
      </c>
      <c r="BZ155" s="4">
        <v>35.0</v>
      </c>
      <c r="CO155" s="4">
        <v>1.0</v>
      </c>
      <c r="CS155" s="4">
        <v>2.0</v>
      </c>
      <c r="DF155" s="4"/>
      <c r="DG155" s="4">
        <v>4.0</v>
      </c>
      <c r="DM155" s="4">
        <v>2.0</v>
      </c>
      <c r="DO155" s="4">
        <v>1.0</v>
      </c>
      <c r="DT155" s="4"/>
      <c r="DU155" s="4"/>
      <c r="DV155" s="4">
        <v>5.0</v>
      </c>
      <c r="EC155" s="4">
        <v>3.0</v>
      </c>
      <c r="EG155" s="4"/>
      <c r="EH155" s="4"/>
      <c r="EI155" s="4">
        <v>25.0</v>
      </c>
      <c r="EJ155" s="4">
        <v>208.0</v>
      </c>
      <c r="ET155" s="4"/>
      <c r="EU155" s="4"/>
      <c r="EV155" s="4">
        <v>4.0</v>
      </c>
      <c r="EW155" s="4">
        <v>1.0</v>
      </c>
      <c r="FB155" s="4">
        <v>28.0</v>
      </c>
      <c r="FF155" s="4">
        <v>22.0</v>
      </c>
      <c r="FR155" s="4">
        <v>3.0</v>
      </c>
      <c r="FS155" s="4">
        <v>11.0</v>
      </c>
      <c r="GG155" s="4">
        <v>9.0</v>
      </c>
      <c r="GH155" s="25">
        <f t="shared" ref="GH155:GH158" si="82">count(R155:GG155)</f>
        <v>24</v>
      </c>
      <c r="GI155" s="25">
        <f t="shared" ref="GI155:GI158" si="83">countif(R155:GG155,"&gt;=2")</f>
        <v>19</v>
      </c>
      <c r="GJ155" s="25">
        <f t="shared" ref="GJ155:GJ158" si="84">countif(R155:GG155,"&gt;=5")</f>
        <v>10</v>
      </c>
      <c r="GK155" s="25">
        <f t="shared" ref="GK155:GK158" si="85">sum(R155:GG155)</f>
        <v>401</v>
      </c>
      <c r="GL155" s="25">
        <f t="shared" ref="GL155:GL158" si="86">25*P155</f>
        <v>500</v>
      </c>
      <c r="GM155" s="25">
        <f t="shared" ref="GM155:GM158" si="87">GL155-GK155</f>
        <v>99</v>
      </c>
    </row>
    <row r="156">
      <c r="A156" s="37">
        <v>43214.0</v>
      </c>
      <c r="B156" s="38" t="s">
        <v>201</v>
      </c>
      <c r="C156" s="28">
        <f t="shared" si="81"/>
        <v>149</v>
      </c>
      <c r="D156" s="38">
        <v>21.25544</v>
      </c>
      <c r="E156" s="38">
        <v>-157.810303</v>
      </c>
      <c r="F156" s="38" t="s">
        <v>422</v>
      </c>
      <c r="G156" s="39">
        <v>0.3854166666666667</v>
      </c>
      <c r="H156" s="39">
        <v>0.4097222222222222</v>
      </c>
      <c r="I156" s="38">
        <v>7.0</v>
      </c>
      <c r="J156" s="38">
        <v>12.0</v>
      </c>
      <c r="K156" s="38" t="s">
        <v>198</v>
      </c>
      <c r="L156" s="38">
        <v>5.0</v>
      </c>
      <c r="M156" s="38">
        <v>25.0</v>
      </c>
      <c r="N156" s="38" t="s">
        <v>523</v>
      </c>
      <c r="O156" s="38"/>
      <c r="P156" s="38">
        <v>25.0</v>
      </c>
      <c r="Q156" s="40"/>
      <c r="R156" s="40"/>
      <c r="S156" s="40"/>
      <c r="T156" s="40"/>
      <c r="U156" s="40"/>
      <c r="V156" s="40"/>
      <c r="W156" s="40"/>
      <c r="X156" s="40"/>
      <c r="Y156" s="40"/>
      <c r="Z156" s="40"/>
      <c r="AA156" s="40"/>
      <c r="AB156" s="40"/>
      <c r="AC156" s="40"/>
      <c r="AD156" s="40"/>
      <c r="AE156" s="38">
        <v>4.0</v>
      </c>
      <c r="AF156" s="40"/>
      <c r="AG156" s="40"/>
      <c r="AH156" s="40"/>
      <c r="AI156" s="38">
        <v>2.0</v>
      </c>
      <c r="AJ156" s="40"/>
      <c r="AK156" s="40"/>
      <c r="AL156" s="40"/>
      <c r="AM156" s="40"/>
      <c r="AN156" s="40"/>
      <c r="AO156" s="40"/>
      <c r="AP156" s="40"/>
      <c r="AQ156" s="40"/>
      <c r="AR156" s="40"/>
      <c r="AS156" s="40"/>
      <c r="AT156" s="40"/>
      <c r="AU156" s="40"/>
      <c r="AV156" s="38">
        <v>1.0</v>
      </c>
      <c r="AW156" s="40"/>
      <c r="AX156" s="40"/>
      <c r="AY156" s="40"/>
      <c r="AZ156" s="40"/>
      <c r="BA156" s="38"/>
      <c r="BB156" s="38">
        <v>3.0</v>
      </c>
      <c r="BC156" s="40"/>
      <c r="BD156" s="40"/>
      <c r="BE156" s="38">
        <v>1.0</v>
      </c>
      <c r="BF156" s="38">
        <v>3.0</v>
      </c>
      <c r="BG156" s="40"/>
      <c r="BH156" s="40"/>
      <c r="BI156" s="40"/>
      <c r="BJ156" s="40"/>
      <c r="BK156" s="40"/>
      <c r="BL156" s="40"/>
      <c r="BM156" s="38">
        <v>4.0</v>
      </c>
      <c r="BN156" s="40"/>
      <c r="BO156" s="40"/>
      <c r="BP156" s="40"/>
      <c r="BQ156" s="38">
        <v>46.0</v>
      </c>
      <c r="BR156" s="40"/>
      <c r="BS156" s="40"/>
      <c r="BT156" s="40"/>
      <c r="BU156" s="40"/>
      <c r="BV156" s="38">
        <v>2.0</v>
      </c>
      <c r="BW156" s="40"/>
      <c r="BX156" s="40"/>
      <c r="BY156" s="40"/>
      <c r="BZ156" s="38">
        <v>11.0</v>
      </c>
      <c r="CA156" s="40"/>
      <c r="CB156" s="40"/>
      <c r="CC156" s="40"/>
      <c r="CD156" s="40"/>
      <c r="CE156" s="38">
        <v>1.0</v>
      </c>
      <c r="CF156" s="40"/>
      <c r="CG156" s="40"/>
      <c r="CH156" s="40"/>
      <c r="CI156" s="40"/>
      <c r="CJ156" s="40"/>
      <c r="CK156" s="40"/>
      <c r="CL156" s="40"/>
      <c r="CM156" s="40"/>
      <c r="CN156" s="40"/>
      <c r="CO156" s="40"/>
      <c r="CP156" s="40"/>
      <c r="CQ156" s="40"/>
      <c r="CR156" s="40"/>
      <c r="CS156" s="40"/>
      <c r="CT156" s="40"/>
      <c r="CU156" s="40"/>
      <c r="CV156" s="40"/>
      <c r="CW156" s="40"/>
      <c r="CX156" s="40"/>
      <c r="CY156" s="40"/>
      <c r="CZ156" s="40"/>
      <c r="DA156" s="40"/>
      <c r="DB156" s="40"/>
      <c r="DC156" s="40"/>
      <c r="DD156" s="40"/>
      <c r="DE156" s="40"/>
      <c r="DF156" s="40"/>
      <c r="DG156" s="40"/>
      <c r="DH156" s="40"/>
      <c r="DI156" s="40"/>
      <c r="DJ156" s="40"/>
      <c r="DK156" s="40"/>
      <c r="DL156" s="40"/>
      <c r="DM156" s="38">
        <v>5.0</v>
      </c>
      <c r="DN156" s="40"/>
      <c r="DO156" s="40"/>
      <c r="DP156" s="40"/>
      <c r="DQ156" s="40"/>
      <c r="DR156" s="38"/>
      <c r="DS156" s="38">
        <v>5.0</v>
      </c>
      <c r="DT156" s="40"/>
      <c r="DU156" s="40"/>
      <c r="DV156" s="40"/>
      <c r="DW156" s="40"/>
      <c r="DX156" s="40"/>
      <c r="DY156" s="40"/>
      <c r="DZ156" s="40"/>
      <c r="EA156" s="40"/>
      <c r="EB156" s="40"/>
      <c r="EC156" s="40"/>
      <c r="ED156" s="40"/>
      <c r="EE156" s="40"/>
      <c r="EF156" s="40"/>
      <c r="EG156" s="40"/>
      <c r="EH156" s="40"/>
      <c r="EI156" s="40"/>
      <c r="EJ156" s="38">
        <v>315.0</v>
      </c>
      <c r="EK156" s="40"/>
      <c r="EL156" s="40"/>
      <c r="EM156" s="40"/>
      <c r="EN156" s="40"/>
      <c r="EO156" s="40"/>
      <c r="EP156" s="40"/>
      <c r="EQ156" s="40"/>
      <c r="ER156" s="40"/>
      <c r="ES156" s="40"/>
      <c r="ET156" s="40"/>
      <c r="EU156" s="40"/>
      <c r="EV156" s="40"/>
      <c r="EW156" s="40"/>
      <c r="EX156" s="40"/>
      <c r="EY156" s="40"/>
      <c r="EZ156" s="40"/>
      <c r="FA156" s="40"/>
      <c r="FB156" s="38">
        <v>5.0</v>
      </c>
      <c r="FC156" s="40"/>
      <c r="FD156" s="40"/>
      <c r="FE156" s="40"/>
      <c r="FF156" s="38">
        <v>5.0</v>
      </c>
      <c r="FG156" s="40"/>
      <c r="FH156" s="40"/>
      <c r="FI156" s="40"/>
      <c r="FJ156" s="40"/>
      <c r="FK156" s="40"/>
      <c r="FL156" s="40"/>
      <c r="FM156" s="40"/>
      <c r="FN156" s="40"/>
      <c r="FO156" s="40"/>
      <c r="FP156" s="40"/>
      <c r="FQ156" s="40"/>
      <c r="FR156" s="38">
        <v>34.0</v>
      </c>
      <c r="FS156" s="38">
        <v>23.0</v>
      </c>
      <c r="FT156" s="40"/>
      <c r="FU156" s="40"/>
      <c r="FV156" s="38"/>
      <c r="FW156" s="38">
        <v>4.0</v>
      </c>
      <c r="FX156" s="40"/>
      <c r="FY156" s="40"/>
      <c r="FZ156" s="40"/>
      <c r="GA156" s="40"/>
      <c r="GB156" s="38"/>
      <c r="GC156" s="38">
        <v>2.0</v>
      </c>
      <c r="GD156" s="40"/>
      <c r="GE156" s="40"/>
      <c r="GF156" s="40"/>
      <c r="GG156" s="38">
        <v>2.0</v>
      </c>
      <c r="GH156" s="40">
        <f t="shared" si="82"/>
        <v>21</v>
      </c>
      <c r="GI156" s="40">
        <f t="shared" si="83"/>
        <v>18</v>
      </c>
      <c r="GJ156" s="40">
        <f t="shared" si="84"/>
        <v>9</v>
      </c>
      <c r="GK156" s="40">
        <f t="shared" si="85"/>
        <v>478</v>
      </c>
      <c r="GL156" s="40">
        <f t="shared" si="86"/>
        <v>625</v>
      </c>
      <c r="GM156" s="40">
        <f t="shared" si="87"/>
        <v>147</v>
      </c>
      <c r="GN156" s="40"/>
      <c r="GO156" s="40"/>
      <c r="GP156" s="40"/>
      <c r="GQ156" s="40"/>
      <c r="GR156" s="40"/>
      <c r="GS156" s="40"/>
      <c r="GT156" s="40"/>
      <c r="GU156" s="40"/>
      <c r="GV156" s="40"/>
      <c r="GW156" s="40"/>
      <c r="GX156" s="40"/>
      <c r="GY156" s="40"/>
      <c r="GZ156" s="40"/>
      <c r="HA156" s="40"/>
      <c r="HB156" s="40"/>
      <c r="HC156" s="40"/>
      <c r="HD156" s="40"/>
      <c r="HE156" s="40"/>
      <c r="HF156" s="40"/>
      <c r="HG156" s="40"/>
      <c r="HH156" s="40"/>
      <c r="HI156" s="40"/>
    </row>
    <row r="157">
      <c r="A157" s="23">
        <v>43215.0</v>
      </c>
      <c r="B157" s="4" t="s">
        <v>340</v>
      </c>
      <c r="C157" s="28">
        <f t="shared" si="81"/>
        <v>150</v>
      </c>
      <c r="D157" s="4">
        <v>19.643276</v>
      </c>
      <c r="E157" s="4">
        <v>-156.010193</v>
      </c>
      <c r="F157" s="4" t="s">
        <v>381</v>
      </c>
      <c r="G157" s="24">
        <v>0.3159722222222222</v>
      </c>
      <c r="H157" s="24">
        <v>0.34375</v>
      </c>
      <c r="I157" s="4">
        <v>5.0</v>
      </c>
      <c r="J157" s="4">
        <v>21.0</v>
      </c>
      <c r="K157" s="4" t="s">
        <v>198</v>
      </c>
      <c r="L157" s="4">
        <v>11.0</v>
      </c>
      <c r="M157" s="4">
        <v>50.0</v>
      </c>
      <c r="N157" s="4" t="s">
        <v>425</v>
      </c>
      <c r="P157" s="4">
        <v>50.0</v>
      </c>
      <c r="S157" s="4">
        <v>7.0</v>
      </c>
      <c r="AJ157" s="4"/>
      <c r="AK157" s="4"/>
      <c r="AL157" s="4"/>
      <c r="AM157" s="4">
        <v>371.0</v>
      </c>
      <c r="BM157" s="4">
        <v>8.0</v>
      </c>
      <c r="CC157" s="4">
        <v>23.0</v>
      </c>
      <c r="CD157" s="4">
        <v>7.0</v>
      </c>
      <c r="EB157" s="4">
        <v>1.0</v>
      </c>
      <c r="FF157" s="4">
        <v>12.0</v>
      </c>
      <c r="FM157" s="4">
        <v>7.0</v>
      </c>
      <c r="FR157" s="4">
        <v>1.0</v>
      </c>
      <c r="FS157" s="4">
        <v>398.0</v>
      </c>
      <c r="FT157" s="4">
        <v>6.0</v>
      </c>
      <c r="GH157" s="25">
        <f t="shared" si="82"/>
        <v>11</v>
      </c>
      <c r="GI157" s="25">
        <f t="shared" si="83"/>
        <v>9</v>
      </c>
      <c r="GJ157" s="25">
        <f t="shared" si="84"/>
        <v>9</v>
      </c>
      <c r="GK157" s="25">
        <f t="shared" si="85"/>
        <v>841</v>
      </c>
      <c r="GL157" s="25">
        <f t="shared" si="86"/>
        <v>1250</v>
      </c>
      <c r="GM157" s="25">
        <f t="shared" si="87"/>
        <v>409</v>
      </c>
    </row>
    <row r="158">
      <c r="A158" s="23">
        <v>43216.0</v>
      </c>
      <c r="B158" s="4" t="s">
        <v>329</v>
      </c>
      <c r="C158" s="28">
        <f t="shared" si="81"/>
        <v>151</v>
      </c>
      <c r="D158" s="4">
        <v>21.1408</v>
      </c>
      <c r="E158" s="4">
        <v>-157.290115</v>
      </c>
      <c r="F158" s="4" t="s">
        <v>330</v>
      </c>
      <c r="G158" s="24">
        <v>0.3958333333333333</v>
      </c>
      <c r="H158" s="24">
        <v>0.4236111111111111</v>
      </c>
      <c r="I158" s="4">
        <v>5.0</v>
      </c>
      <c r="J158" s="4">
        <v>9.5</v>
      </c>
      <c r="K158" s="4" t="s">
        <v>318</v>
      </c>
      <c r="L158" s="4">
        <v>5.0</v>
      </c>
      <c r="M158" s="4">
        <v>23.0</v>
      </c>
      <c r="N158" s="4" t="s">
        <v>426</v>
      </c>
      <c r="P158" s="4">
        <v>23.0</v>
      </c>
      <c r="S158" s="4">
        <v>4.0</v>
      </c>
      <c r="BE158" s="4">
        <v>8.0</v>
      </c>
      <c r="BZ158" s="4">
        <v>9.0</v>
      </c>
      <c r="CS158" s="4">
        <v>24.0</v>
      </c>
      <c r="DM158" s="4">
        <v>4.0</v>
      </c>
      <c r="DO158" s="4">
        <v>10.0</v>
      </c>
      <c r="EJ158" s="4">
        <v>34.0</v>
      </c>
      <c r="FD158" s="4"/>
      <c r="FE158" s="4">
        <v>6.0</v>
      </c>
      <c r="FQ158" s="4">
        <v>10.0</v>
      </c>
      <c r="FS158" s="4">
        <v>128.0</v>
      </c>
      <c r="GH158" s="25">
        <f t="shared" si="82"/>
        <v>10</v>
      </c>
      <c r="GI158" s="25">
        <f t="shared" si="83"/>
        <v>10</v>
      </c>
      <c r="GJ158" s="25">
        <f t="shared" si="84"/>
        <v>8</v>
      </c>
      <c r="GK158" s="25">
        <f t="shared" si="85"/>
        <v>237</v>
      </c>
      <c r="GL158" s="25">
        <f t="shared" si="86"/>
        <v>575</v>
      </c>
      <c r="GM158" s="25">
        <f t="shared" si="87"/>
        <v>338</v>
      </c>
    </row>
    <row r="159">
      <c r="A159" s="41">
        <v>43217.0</v>
      </c>
      <c r="B159" s="42" t="s">
        <v>377</v>
      </c>
      <c r="C159" s="28">
        <f t="shared" si="81"/>
        <v>152</v>
      </c>
      <c r="D159" s="42">
        <v>20.705</v>
      </c>
      <c r="E159" s="42">
        <v>-156.446945</v>
      </c>
      <c r="F159" s="42" t="s">
        <v>378</v>
      </c>
      <c r="G159" s="43">
        <v>0.4284722222222222</v>
      </c>
      <c r="H159" s="43">
        <v>0.4736111111111111</v>
      </c>
      <c r="I159" s="42">
        <v>7.0</v>
      </c>
      <c r="J159" s="42">
        <v>16.0</v>
      </c>
      <c r="K159" s="42" t="s">
        <v>198</v>
      </c>
      <c r="L159" s="42">
        <v>7.0</v>
      </c>
      <c r="M159" s="42">
        <v>17.0</v>
      </c>
      <c r="N159" s="42" t="s">
        <v>524</v>
      </c>
      <c r="O159" s="44"/>
      <c r="P159" s="42"/>
      <c r="Q159" s="44"/>
      <c r="R159" s="44"/>
      <c r="S159" s="42"/>
      <c r="T159" s="44"/>
      <c r="U159" s="44"/>
      <c r="V159" s="44"/>
      <c r="W159" s="44"/>
      <c r="X159" s="44"/>
      <c r="Y159" s="44"/>
      <c r="Z159" s="44"/>
      <c r="AA159" s="44"/>
      <c r="AB159" s="44"/>
      <c r="AC159" s="44"/>
      <c r="AD159" s="44"/>
      <c r="AE159" s="44"/>
      <c r="AF159" s="44"/>
      <c r="AG159" s="44"/>
      <c r="AH159" s="44"/>
      <c r="AI159" s="44"/>
      <c r="AJ159" s="44"/>
      <c r="AK159" s="44"/>
      <c r="AL159" s="44"/>
      <c r="AM159" s="44"/>
      <c r="AN159" s="44"/>
      <c r="AO159" s="44"/>
      <c r="AP159" s="44"/>
      <c r="AQ159" s="44"/>
      <c r="AR159" s="44"/>
      <c r="AS159" s="44"/>
      <c r="AT159" s="44"/>
      <c r="AU159" s="44"/>
      <c r="AV159" s="44"/>
      <c r="AW159" s="44"/>
      <c r="AX159" s="44"/>
      <c r="AY159" s="44"/>
      <c r="AZ159" s="42">
        <v>2.0</v>
      </c>
      <c r="BA159" s="42"/>
      <c r="BB159" s="42"/>
      <c r="BC159" s="44"/>
      <c r="BD159" s="44"/>
      <c r="BE159" s="44"/>
      <c r="BF159" s="44"/>
      <c r="BG159" s="44"/>
      <c r="BH159" s="44"/>
      <c r="BI159" s="44"/>
      <c r="BJ159" s="44"/>
      <c r="BK159" s="44"/>
      <c r="BL159" s="44"/>
      <c r="BM159" s="44"/>
      <c r="BN159" s="42"/>
      <c r="BO159" s="44"/>
      <c r="BP159" s="44"/>
      <c r="BQ159" s="42"/>
      <c r="BR159" s="44"/>
      <c r="BS159" s="44"/>
      <c r="BT159" s="44"/>
      <c r="BU159" s="44"/>
      <c r="BV159" s="44"/>
      <c r="BW159" s="44"/>
      <c r="BX159" s="44"/>
      <c r="BY159" s="44"/>
      <c r="BZ159" s="42"/>
      <c r="CA159" s="44"/>
      <c r="CB159" s="44"/>
      <c r="CC159" s="44"/>
      <c r="CD159" s="44"/>
      <c r="CE159" s="42">
        <v>2.0</v>
      </c>
      <c r="CF159" s="44"/>
      <c r="CG159" s="44"/>
      <c r="CH159" s="44"/>
      <c r="CI159" s="44"/>
      <c r="CJ159" s="42">
        <v>9.0</v>
      </c>
      <c r="CK159" s="44"/>
      <c r="CL159" s="44"/>
      <c r="CM159" s="44"/>
      <c r="CN159" s="44"/>
      <c r="CO159" s="44"/>
      <c r="CP159" s="44"/>
      <c r="CQ159" s="44"/>
      <c r="CR159" s="44"/>
      <c r="CS159" s="44"/>
      <c r="CT159" s="44"/>
      <c r="CU159" s="44"/>
      <c r="CV159" s="44"/>
      <c r="CW159" s="44"/>
      <c r="CX159" s="44"/>
      <c r="CY159" s="44"/>
      <c r="CZ159" s="44"/>
      <c r="DA159" s="44"/>
      <c r="DB159" s="44"/>
      <c r="DC159" s="44"/>
      <c r="DD159" s="44"/>
      <c r="DE159" s="44"/>
      <c r="DF159" s="42"/>
      <c r="DG159" s="42"/>
      <c r="DH159" s="44"/>
      <c r="DI159" s="44"/>
      <c r="DJ159" s="44"/>
      <c r="DK159" s="44"/>
      <c r="DL159" s="44"/>
      <c r="DM159" s="42"/>
      <c r="DN159" s="44"/>
      <c r="DO159" s="44"/>
      <c r="DP159" s="42"/>
      <c r="DQ159" s="44"/>
      <c r="DR159" s="44"/>
      <c r="DS159" s="44"/>
      <c r="DT159" s="42"/>
      <c r="DU159" s="42"/>
      <c r="DV159" s="42"/>
      <c r="DW159" s="44"/>
      <c r="DX159" s="44"/>
      <c r="DY159" s="44"/>
      <c r="DZ159" s="44"/>
      <c r="EA159" s="44"/>
      <c r="EB159" s="44"/>
      <c r="EC159" s="44"/>
      <c r="ED159" s="44"/>
      <c r="EE159" s="42"/>
      <c r="EF159" s="42"/>
      <c r="EG159" s="44"/>
      <c r="EH159" s="44"/>
      <c r="EI159" s="44"/>
      <c r="EJ159" s="42"/>
      <c r="EK159" s="44"/>
      <c r="EL159" s="44"/>
      <c r="EM159" s="44"/>
      <c r="EN159" s="44"/>
      <c r="EO159" s="44"/>
      <c r="EP159" s="44"/>
      <c r="EQ159" s="44"/>
      <c r="ER159" s="44"/>
      <c r="ES159" s="44"/>
      <c r="ET159" s="44"/>
      <c r="EU159" s="44"/>
      <c r="EV159" s="42">
        <v>1.0</v>
      </c>
      <c r="EW159" s="42">
        <v>5.0</v>
      </c>
      <c r="EX159" s="42">
        <v>17.0</v>
      </c>
      <c r="EY159" s="42"/>
      <c r="EZ159" s="42"/>
      <c r="FA159" s="44"/>
      <c r="FB159" s="42"/>
      <c r="FC159" s="44"/>
      <c r="FD159" s="44"/>
      <c r="FE159" s="44"/>
      <c r="FF159" s="44"/>
      <c r="FG159" s="44"/>
      <c r="FH159" s="44"/>
      <c r="FI159" s="44"/>
      <c r="FJ159" s="44"/>
      <c r="FK159" s="44"/>
      <c r="FL159" s="44"/>
      <c r="FM159" s="44"/>
      <c r="FN159" s="44"/>
      <c r="FO159" s="44"/>
      <c r="FP159" s="44"/>
      <c r="FQ159" s="44"/>
      <c r="FR159" s="42"/>
      <c r="FS159" s="42">
        <v>226.0</v>
      </c>
      <c r="FT159" s="44"/>
      <c r="FU159" s="44"/>
      <c r="FV159" s="44"/>
      <c r="FW159" s="44"/>
      <c r="FX159" s="44"/>
      <c r="FY159" s="44"/>
      <c r="FZ159" s="44"/>
      <c r="GA159" s="44"/>
      <c r="GB159" s="44"/>
      <c r="GC159" s="44"/>
      <c r="GD159" s="44"/>
      <c r="GE159" s="44"/>
      <c r="GF159" s="44"/>
      <c r="GG159" s="44"/>
      <c r="GH159" s="44"/>
      <c r="GI159" s="44"/>
      <c r="GJ159" s="44"/>
      <c r="GK159" s="44"/>
      <c r="GL159" s="44"/>
      <c r="GM159" s="44"/>
      <c r="GN159" s="44"/>
      <c r="GO159" s="44"/>
      <c r="GP159" s="44"/>
      <c r="GQ159" s="44"/>
      <c r="GR159" s="44"/>
      <c r="GS159" s="44"/>
      <c r="GT159" s="44"/>
      <c r="GU159" s="44"/>
      <c r="GV159" s="44"/>
      <c r="GW159" s="44"/>
      <c r="GX159" s="44"/>
      <c r="GY159" s="44"/>
      <c r="GZ159" s="44"/>
      <c r="HA159" s="44"/>
      <c r="HB159" s="44"/>
      <c r="HC159" s="44"/>
      <c r="HD159" s="44"/>
      <c r="HE159" s="44"/>
      <c r="HF159" s="44"/>
      <c r="HG159" s="44"/>
      <c r="HH159" s="44"/>
      <c r="HI159" s="44"/>
    </row>
    <row r="160">
      <c r="A160" s="41">
        <v>43219.0</v>
      </c>
      <c r="B160" s="42" t="s">
        <v>374</v>
      </c>
      <c r="C160" s="28">
        <f t="shared" si="81"/>
        <v>153</v>
      </c>
      <c r="D160" s="42">
        <v>20.738001</v>
      </c>
      <c r="E160" s="42">
        <v>-156.895004</v>
      </c>
      <c r="F160" s="42" t="s">
        <v>375</v>
      </c>
      <c r="G160" s="43">
        <v>0.35625</v>
      </c>
      <c r="H160" s="43">
        <v>0.4479166666666667</v>
      </c>
      <c r="I160" s="42">
        <v>5.0</v>
      </c>
      <c r="J160" s="42">
        <v>20.0</v>
      </c>
      <c r="K160" s="42" t="s">
        <v>460</v>
      </c>
      <c r="L160" s="42">
        <v>5.0</v>
      </c>
      <c r="M160" s="42">
        <v>19.0</v>
      </c>
      <c r="N160" s="42" t="s">
        <v>525</v>
      </c>
      <c r="O160" s="44"/>
      <c r="P160" s="42"/>
      <c r="Q160" s="44"/>
      <c r="R160" s="44"/>
      <c r="S160" s="42"/>
      <c r="T160" s="44"/>
      <c r="U160" s="44"/>
      <c r="V160" s="44"/>
      <c r="W160" s="44"/>
      <c r="X160" s="44"/>
      <c r="Y160" s="44"/>
      <c r="Z160" s="44"/>
      <c r="AA160" s="44"/>
      <c r="AB160" s="44"/>
      <c r="AC160" s="44"/>
      <c r="AD160" s="44"/>
      <c r="AE160" s="42">
        <v>1.0</v>
      </c>
      <c r="AF160" s="44"/>
      <c r="AG160" s="44"/>
      <c r="AH160" s="44"/>
      <c r="AI160" s="44"/>
      <c r="AJ160" s="44"/>
      <c r="AK160" s="44"/>
      <c r="AL160" s="44"/>
      <c r="AM160" s="44"/>
      <c r="AN160" s="42">
        <v>4.0</v>
      </c>
      <c r="AO160" s="44"/>
      <c r="AP160" s="44"/>
      <c r="AQ160" s="44"/>
      <c r="AR160" s="44"/>
      <c r="AS160" s="44"/>
      <c r="AT160" s="44"/>
      <c r="AU160" s="44"/>
      <c r="AV160" s="44"/>
      <c r="AW160" s="44"/>
      <c r="AX160" s="44"/>
      <c r="AY160" s="44"/>
      <c r="AZ160" s="44"/>
      <c r="BA160" s="42"/>
      <c r="BB160" s="42">
        <v>7.0</v>
      </c>
      <c r="BC160" s="44"/>
      <c r="BD160" s="44"/>
      <c r="BE160" s="44"/>
      <c r="BF160" s="44"/>
      <c r="BG160" s="44"/>
      <c r="BH160" s="44"/>
      <c r="BI160" s="44"/>
      <c r="BJ160" s="44"/>
      <c r="BK160" s="44"/>
      <c r="BL160" s="44"/>
      <c r="BM160" s="42">
        <v>69.0</v>
      </c>
      <c r="BN160" s="42"/>
      <c r="BO160" s="44"/>
      <c r="BP160" s="44"/>
      <c r="BQ160" s="42"/>
      <c r="BR160" s="44"/>
      <c r="BS160" s="44"/>
      <c r="BT160" s="44"/>
      <c r="BU160" s="44"/>
      <c r="BV160" s="44"/>
      <c r="BW160" s="44"/>
      <c r="BX160" s="44"/>
      <c r="BY160" s="44"/>
      <c r="BZ160" s="42"/>
      <c r="CA160" s="44"/>
      <c r="CB160" s="44"/>
      <c r="CC160" s="44"/>
      <c r="CD160" s="44"/>
      <c r="CE160" s="44"/>
      <c r="CF160" s="44"/>
      <c r="CG160" s="44"/>
      <c r="CH160" s="44"/>
      <c r="CI160" s="44"/>
      <c r="CJ160" s="44"/>
      <c r="CK160" s="44"/>
      <c r="CL160" s="44"/>
      <c r="CM160" s="44"/>
      <c r="CN160" s="44"/>
      <c r="CO160" s="44"/>
      <c r="CP160" s="44"/>
      <c r="CQ160" s="44"/>
      <c r="CR160" s="44"/>
      <c r="CS160" s="44"/>
      <c r="CT160" s="44"/>
      <c r="CU160" s="44"/>
      <c r="CV160" s="44"/>
      <c r="CW160" s="44"/>
      <c r="CX160" s="44"/>
      <c r="CY160" s="44"/>
      <c r="CZ160" s="44"/>
      <c r="DA160" s="44"/>
      <c r="DB160" s="44"/>
      <c r="DC160" s="44"/>
      <c r="DD160" s="44"/>
      <c r="DE160" s="44"/>
      <c r="DF160" s="42"/>
      <c r="DG160" s="42"/>
      <c r="DH160" s="44"/>
      <c r="DI160" s="44"/>
      <c r="DJ160" s="44"/>
      <c r="DK160" s="44"/>
      <c r="DL160" s="44"/>
      <c r="DM160" s="42"/>
      <c r="DN160" s="44"/>
      <c r="DO160" s="44"/>
      <c r="DP160" s="42">
        <v>1.0</v>
      </c>
      <c r="DQ160" s="44"/>
      <c r="DR160" s="44"/>
      <c r="DS160" s="44"/>
      <c r="DT160" s="42"/>
      <c r="DU160" s="42"/>
      <c r="DV160" s="42"/>
      <c r="DW160" s="44"/>
      <c r="DX160" s="44"/>
      <c r="DY160" s="44"/>
      <c r="DZ160" s="44"/>
      <c r="EA160" s="44"/>
      <c r="EB160" s="44"/>
      <c r="EC160" s="44"/>
      <c r="ED160" s="44"/>
      <c r="EE160" s="42"/>
      <c r="EF160" s="42"/>
      <c r="EG160" s="44"/>
      <c r="EH160" s="44"/>
      <c r="EI160" s="44"/>
      <c r="EJ160" s="42">
        <v>2.0</v>
      </c>
      <c r="EK160" s="44"/>
      <c r="EL160" s="44"/>
      <c r="EM160" s="44"/>
      <c r="EN160" s="44"/>
      <c r="EO160" s="44"/>
      <c r="EP160" s="44"/>
      <c r="EQ160" s="44"/>
      <c r="ER160" s="44"/>
      <c r="ES160" s="44"/>
      <c r="ET160" s="44"/>
      <c r="EU160" s="44"/>
      <c r="EV160" s="44"/>
      <c r="EW160" s="44"/>
      <c r="EX160" s="44"/>
      <c r="EY160" s="42"/>
      <c r="EZ160" s="42"/>
      <c r="FA160" s="44"/>
      <c r="FB160" s="42"/>
      <c r="FC160" s="44"/>
      <c r="FD160" s="44"/>
      <c r="FE160" s="44"/>
      <c r="FF160" s="44"/>
      <c r="FG160" s="44"/>
      <c r="FH160" s="44"/>
      <c r="FI160" s="44"/>
      <c r="FJ160" s="44"/>
      <c r="FK160" s="44"/>
      <c r="FL160" s="44"/>
      <c r="FM160" s="44"/>
      <c r="FN160" s="44"/>
      <c r="FO160" s="44"/>
      <c r="FP160" s="44"/>
      <c r="FQ160" s="44"/>
      <c r="FR160" s="42"/>
      <c r="FS160" s="42">
        <v>148.0</v>
      </c>
      <c r="FT160" s="44"/>
      <c r="FU160" s="44"/>
      <c r="FV160" s="44"/>
      <c r="FW160" s="44"/>
      <c r="FX160" s="44"/>
      <c r="FY160" s="44"/>
      <c r="FZ160" s="44"/>
      <c r="GA160" s="44"/>
      <c r="GB160" s="44"/>
      <c r="GC160" s="44"/>
      <c r="GD160" s="44"/>
      <c r="GE160" s="44"/>
      <c r="GF160" s="44"/>
      <c r="GG160" s="44"/>
      <c r="GH160" s="44"/>
      <c r="GI160" s="44"/>
      <c r="GJ160" s="44"/>
      <c r="GK160" s="44"/>
      <c r="GL160" s="44"/>
      <c r="GM160" s="44"/>
      <c r="GN160" s="44"/>
      <c r="GO160" s="44"/>
      <c r="GP160" s="44"/>
      <c r="GQ160" s="44"/>
      <c r="GR160" s="44"/>
      <c r="GS160" s="44"/>
      <c r="GT160" s="44"/>
      <c r="GU160" s="44"/>
      <c r="GV160" s="44"/>
      <c r="GW160" s="44"/>
      <c r="GX160" s="44"/>
      <c r="GY160" s="44"/>
      <c r="GZ160" s="44"/>
      <c r="HA160" s="44"/>
      <c r="HB160" s="44"/>
      <c r="HC160" s="44"/>
      <c r="HD160" s="44"/>
      <c r="HE160" s="44"/>
      <c r="HF160" s="44"/>
      <c r="HG160" s="44"/>
      <c r="HH160" s="44"/>
      <c r="HI160" s="44"/>
    </row>
    <row r="161">
      <c r="A161" s="41">
        <v>43221.0</v>
      </c>
      <c r="B161" s="42" t="s">
        <v>456</v>
      </c>
      <c r="C161" s="28">
        <f t="shared" si="81"/>
        <v>154</v>
      </c>
      <c r="D161" s="42">
        <v>21.316488</v>
      </c>
      <c r="E161" s="42">
        <v>-157.664261</v>
      </c>
      <c r="F161" s="42" t="s">
        <v>385</v>
      </c>
      <c r="G161" s="43">
        <v>0.3854166666666667</v>
      </c>
      <c r="H161" s="43">
        <v>0.4409722222222222</v>
      </c>
      <c r="I161" s="42">
        <v>6.0</v>
      </c>
      <c r="J161" s="42">
        <v>57.0</v>
      </c>
      <c r="K161" s="42" t="s">
        <v>227</v>
      </c>
      <c r="L161" s="42">
        <v>5.0</v>
      </c>
      <c r="M161" s="42">
        <v>18.0</v>
      </c>
      <c r="N161" s="42" t="s">
        <v>526</v>
      </c>
      <c r="O161" s="44"/>
      <c r="P161" s="42"/>
      <c r="Q161" s="44"/>
      <c r="R161" s="44"/>
      <c r="S161" s="42"/>
      <c r="T161" s="44"/>
      <c r="U161" s="44"/>
      <c r="V161" s="44"/>
      <c r="W161" s="44"/>
      <c r="X161" s="44"/>
      <c r="Y161" s="44"/>
      <c r="Z161" s="44"/>
      <c r="AA161" s="44"/>
      <c r="AB161" s="42">
        <v>31.0</v>
      </c>
      <c r="AC161" s="44"/>
      <c r="AD161" s="44"/>
      <c r="AE161" s="44"/>
      <c r="AF161" s="44"/>
      <c r="AG161" s="44"/>
      <c r="AH161" s="44"/>
      <c r="AI161" s="44"/>
      <c r="AJ161" s="44"/>
      <c r="AK161" s="44"/>
      <c r="AL161" s="44"/>
      <c r="AM161" s="44"/>
      <c r="AN161" s="44"/>
      <c r="AO161" s="44"/>
      <c r="AP161" s="44"/>
      <c r="AQ161" s="44"/>
      <c r="AR161" s="44"/>
      <c r="AS161" s="44"/>
      <c r="AT161" s="44"/>
      <c r="AU161" s="44"/>
      <c r="AV161" s="44"/>
      <c r="AW161" s="44"/>
      <c r="AX161" s="44"/>
      <c r="AY161" s="44"/>
      <c r="AZ161" s="44"/>
      <c r="BA161" s="42"/>
      <c r="BB161" s="42"/>
      <c r="BC161" s="44"/>
      <c r="BD161" s="44"/>
      <c r="BE161" s="44"/>
      <c r="BF161" s="44"/>
      <c r="BG161" s="44"/>
      <c r="BH161" s="44"/>
      <c r="BI161" s="44"/>
      <c r="BJ161" s="44"/>
      <c r="BK161" s="44"/>
      <c r="BL161" s="44"/>
      <c r="BM161" s="42">
        <v>50.0</v>
      </c>
      <c r="BN161" s="42"/>
      <c r="BO161" s="44"/>
      <c r="BP161" s="44"/>
      <c r="BQ161" s="42"/>
      <c r="BR161" s="44"/>
      <c r="BS161" s="44"/>
      <c r="BT161" s="44"/>
      <c r="BU161" s="44"/>
      <c r="BV161" s="44"/>
      <c r="BW161" s="44"/>
      <c r="BX161" s="44"/>
      <c r="BY161" s="44"/>
      <c r="BZ161" s="42"/>
      <c r="CA161" s="44"/>
      <c r="CB161" s="44"/>
      <c r="CC161" s="42">
        <v>6.0</v>
      </c>
      <c r="CD161" s="44"/>
      <c r="CE161" s="44"/>
      <c r="CF161" s="44"/>
      <c r="CG161" s="44"/>
      <c r="CH161" s="42">
        <v>3.0</v>
      </c>
      <c r="CI161" s="44"/>
      <c r="CJ161" s="44"/>
      <c r="CK161" s="44"/>
      <c r="CL161" s="44"/>
      <c r="CM161" s="44"/>
      <c r="CN161" s="44"/>
      <c r="CO161" s="44"/>
      <c r="CP161" s="44"/>
      <c r="CQ161" s="44"/>
      <c r="CR161" s="44"/>
      <c r="CS161" s="44"/>
      <c r="CT161" s="44"/>
      <c r="CU161" s="44"/>
      <c r="CV161" s="44"/>
      <c r="CW161" s="44"/>
      <c r="CX161" s="44"/>
      <c r="CY161" s="44"/>
      <c r="CZ161" s="44"/>
      <c r="DA161" s="44"/>
      <c r="DB161" s="44"/>
      <c r="DC161" s="44"/>
      <c r="DD161" s="44"/>
      <c r="DE161" s="44"/>
      <c r="DF161" s="42"/>
      <c r="DG161" s="42"/>
      <c r="DH161" s="44"/>
      <c r="DI161" s="44"/>
      <c r="DJ161" s="44"/>
      <c r="DK161" s="44"/>
      <c r="DL161" s="44"/>
      <c r="DM161" s="42"/>
      <c r="DN161" s="44"/>
      <c r="DO161" s="44"/>
      <c r="DP161" s="42"/>
      <c r="DQ161" s="44"/>
      <c r="DR161" s="44"/>
      <c r="DS161" s="44"/>
      <c r="DT161" s="42"/>
      <c r="DU161" s="42"/>
      <c r="DV161" s="42"/>
      <c r="DW161" s="44"/>
      <c r="DX161" s="44"/>
      <c r="DY161" s="44"/>
      <c r="DZ161" s="44"/>
      <c r="EA161" s="44"/>
      <c r="EB161" s="44"/>
      <c r="EC161" s="44"/>
      <c r="ED161" s="44"/>
      <c r="EE161" s="42"/>
      <c r="EF161" s="42"/>
      <c r="EG161" s="44"/>
      <c r="EH161" s="44"/>
      <c r="EI161" s="44"/>
      <c r="EJ161" s="42"/>
      <c r="EK161" s="44"/>
      <c r="EL161" s="44"/>
      <c r="EM161" s="44"/>
      <c r="EN161" s="44"/>
      <c r="EO161" s="44"/>
      <c r="EP161" s="44"/>
      <c r="EQ161" s="44"/>
      <c r="ER161" s="44"/>
      <c r="ES161" s="44"/>
      <c r="ET161" s="44"/>
      <c r="EU161" s="44"/>
      <c r="EV161" s="44"/>
      <c r="EW161" s="44"/>
      <c r="EX161" s="44"/>
      <c r="EY161" s="42"/>
      <c r="EZ161" s="42"/>
      <c r="FA161" s="44"/>
      <c r="FB161" s="42"/>
      <c r="FC161" s="44"/>
      <c r="FD161" s="44"/>
      <c r="FE161" s="44"/>
      <c r="FF161" s="42">
        <v>1.0</v>
      </c>
      <c r="FG161" s="44"/>
      <c r="FH161" s="44"/>
      <c r="FI161" s="44"/>
      <c r="FJ161" s="44"/>
      <c r="FK161" s="44"/>
      <c r="FL161" s="44"/>
      <c r="FM161" s="44"/>
      <c r="FN161" s="44"/>
      <c r="FO161" s="44"/>
      <c r="FP161" s="44"/>
      <c r="FQ161" s="44"/>
      <c r="FR161" s="42"/>
      <c r="FS161" s="42">
        <v>309.0</v>
      </c>
      <c r="FT161" s="44"/>
      <c r="FU161" s="44"/>
      <c r="FV161" s="44"/>
      <c r="FW161" s="44"/>
      <c r="FX161" s="44"/>
      <c r="FY161" s="44"/>
      <c r="FZ161" s="44"/>
      <c r="GA161" s="44"/>
      <c r="GB161" s="44"/>
      <c r="GC161" s="44"/>
      <c r="GD161" s="44"/>
      <c r="GE161" s="44"/>
      <c r="GF161" s="44"/>
      <c r="GG161" s="44"/>
      <c r="GH161" s="44"/>
      <c r="GI161" s="44"/>
      <c r="GJ161" s="44"/>
      <c r="GK161" s="44"/>
      <c r="GL161" s="44"/>
      <c r="GM161" s="44"/>
      <c r="GN161" s="44"/>
      <c r="GO161" s="44"/>
      <c r="GP161" s="44"/>
      <c r="GQ161" s="44"/>
      <c r="GR161" s="44"/>
      <c r="GS161" s="44"/>
      <c r="GT161" s="44"/>
      <c r="GU161" s="44"/>
      <c r="GV161" s="44"/>
      <c r="GW161" s="44"/>
      <c r="GX161" s="44"/>
      <c r="GY161" s="44"/>
      <c r="GZ161" s="44"/>
      <c r="HA161" s="44"/>
      <c r="HB161" s="44"/>
      <c r="HC161" s="44"/>
      <c r="HD161" s="44"/>
      <c r="HE161" s="44"/>
      <c r="HF161" s="44"/>
      <c r="HG161" s="44"/>
      <c r="HH161" s="44"/>
      <c r="HI161" s="44"/>
    </row>
    <row r="162">
      <c r="A162" s="31">
        <v>43222.0</v>
      </c>
      <c r="B162" s="32" t="s">
        <v>246</v>
      </c>
      <c r="C162" s="28"/>
      <c r="D162" s="34"/>
      <c r="E162" s="34"/>
      <c r="F162" s="34"/>
      <c r="G162" s="34"/>
      <c r="H162" s="34"/>
      <c r="I162" s="34"/>
      <c r="J162" s="34"/>
      <c r="K162" s="34"/>
      <c r="L162" s="34"/>
      <c r="M162" s="34"/>
      <c r="N162" s="34"/>
      <c r="O162" s="34"/>
      <c r="P162" s="34"/>
      <c r="Q162" s="34"/>
      <c r="R162" s="34"/>
      <c r="S162" s="34"/>
      <c r="T162" s="34"/>
      <c r="U162" s="34"/>
      <c r="V162" s="34"/>
      <c r="W162" s="34"/>
      <c r="X162" s="34"/>
      <c r="Y162" s="34"/>
      <c r="Z162" s="34"/>
      <c r="AA162" s="34"/>
      <c r="AB162" s="34"/>
      <c r="AC162" s="34"/>
      <c r="AD162" s="34"/>
      <c r="AE162" s="34"/>
      <c r="AF162" s="34"/>
      <c r="AG162" s="34"/>
      <c r="AH162" s="34"/>
      <c r="AI162" s="34"/>
      <c r="AJ162" s="34"/>
      <c r="AK162" s="34"/>
      <c r="AL162" s="34"/>
      <c r="AM162" s="34"/>
      <c r="AN162" s="34"/>
      <c r="AO162" s="34"/>
      <c r="AP162" s="34"/>
      <c r="AQ162" s="34"/>
      <c r="AR162" s="34"/>
      <c r="AS162" s="34"/>
      <c r="AT162" s="34"/>
      <c r="AU162" s="34"/>
      <c r="AV162" s="34"/>
      <c r="AW162" s="34"/>
      <c r="AX162" s="34"/>
      <c r="AY162" s="34"/>
      <c r="AZ162" s="34"/>
      <c r="BA162" s="34"/>
      <c r="BB162" s="34"/>
      <c r="BC162" s="34"/>
      <c r="BD162" s="34"/>
      <c r="BE162" s="34"/>
      <c r="BF162" s="34"/>
      <c r="BG162" s="34"/>
      <c r="BH162" s="34"/>
      <c r="BI162" s="34"/>
      <c r="BJ162" s="34"/>
      <c r="BK162" s="34"/>
      <c r="BL162" s="34"/>
      <c r="BM162" s="34"/>
      <c r="BN162" s="34"/>
      <c r="BO162" s="34"/>
      <c r="BP162" s="34"/>
      <c r="BQ162" s="34"/>
      <c r="BR162" s="34"/>
      <c r="BS162" s="34"/>
      <c r="BT162" s="34"/>
      <c r="BU162" s="34"/>
      <c r="BV162" s="34"/>
      <c r="BW162" s="34"/>
      <c r="BX162" s="34"/>
      <c r="BY162" s="34"/>
      <c r="BZ162" s="34"/>
      <c r="CA162" s="34"/>
      <c r="CB162" s="34"/>
      <c r="CC162" s="34"/>
      <c r="CD162" s="34"/>
      <c r="CE162" s="34"/>
      <c r="CF162" s="34"/>
      <c r="CG162" s="34"/>
      <c r="CH162" s="34"/>
      <c r="CI162" s="34"/>
      <c r="CJ162" s="34"/>
      <c r="CK162" s="34"/>
      <c r="CL162" s="34"/>
      <c r="CM162" s="34"/>
      <c r="CN162" s="34"/>
      <c r="CO162" s="34"/>
      <c r="CP162" s="34"/>
      <c r="CQ162" s="34"/>
      <c r="CR162" s="34"/>
      <c r="CS162" s="34"/>
      <c r="CT162" s="34"/>
      <c r="CU162" s="34"/>
      <c r="CV162" s="34"/>
      <c r="CW162" s="34"/>
      <c r="CX162" s="34"/>
      <c r="CY162" s="34"/>
      <c r="CZ162" s="34"/>
      <c r="DA162" s="34"/>
      <c r="DB162" s="34"/>
      <c r="DC162" s="34"/>
      <c r="DD162" s="34"/>
      <c r="DE162" s="34"/>
      <c r="DF162" s="34"/>
      <c r="DG162" s="34"/>
      <c r="DH162" s="34"/>
      <c r="DI162" s="34"/>
      <c r="DJ162" s="34"/>
      <c r="DK162" s="34"/>
      <c r="DL162" s="34"/>
      <c r="DM162" s="34"/>
      <c r="DN162" s="34"/>
      <c r="DO162" s="34"/>
      <c r="DP162" s="34"/>
      <c r="DQ162" s="34"/>
      <c r="DR162" s="34"/>
      <c r="DS162" s="34"/>
      <c r="DT162" s="34"/>
      <c r="DU162" s="34"/>
      <c r="DV162" s="34"/>
      <c r="DW162" s="34"/>
      <c r="DX162" s="34"/>
      <c r="DY162" s="34"/>
      <c r="DZ162" s="34"/>
      <c r="EA162" s="34"/>
      <c r="EB162" s="34"/>
      <c r="EC162" s="34"/>
      <c r="ED162" s="34"/>
      <c r="EE162" s="34"/>
      <c r="EF162" s="34"/>
      <c r="EG162" s="34"/>
      <c r="EH162" s="34"/>
      <c r="EI162" s="34"/>
      <c r="EJ162" s="34"/>
      <c r="EK162" s="34"/>
      <c r="EL162" s="34"/>
      <c r="EM162" s="34"/>
      <c r="EN162" s="34"/>
      <c r="EO162" s="34"/>
      <c r="EP162" s="34"/>
      <c r="EQ162" s="34"/>
      <c r="ER162" s="34"/>
      <c r="ES162" s="34"/>
      <c r="ET162" s="34"/>
      <c r="EU162" s="34"/>
      <c r="EV162" s="34"/>
      <c r="EW162" s="34"/>
      <c r="EX162" s="34"/>
      <c r="EY162" s="34"/>
      <c r="EZ162" s="34"/>
      <c r="FA162" s="34"/>
      <c r="FB162" s="34"/>
      <c r="FC162" s="34"/>
      <c r="FD162" s="34"/>
      <c r="FE162" s="34"/>
      <c r="FF162" s="34"/>
      <c r="FG162" s="34"/>
      <c r="FH162" s="34"/>
      <c r="FI162" s="34"/>
      <c r="FJ162" s="34"/>
      <c r="FK162" s="34"/>
      <c r="FL162" s="34"/>
      <c r="FM162" s="34"/>
      <c r="FN162" s="34"/>
      <c r="FO162" s="34"/>
      <c r="FP162" s="34"/>
      <c r="FQ162" s="34"/>
      <c r="FR162" s="34"/>
      <c r="FS162" s="34"/>
      <c r="FT162" s="34"/>
      <c r="FU162" s="34"/>
      <c r="FV162" s="34"/>
      <c r="FW162" s="34"/>
      <c r="FX162" s="34"/>
      <c r="FY162" s="34"/>
      <c r="FZ162" s="34"/>
      <c r="GA162" s="34"/>
      <c r="GB162" s="34"/>
      <c r="GC162" s="34"/>
      <c r="GD162" s="34"/>
      <c r="GE162" s="34"/>
      <c r="GF162" s="34"/>
      <c r="GG162" s="34"/>
      <c r="GH162" s="34"/>
      <c r="GI162" s="34"/>
      <c r="GJ162" s="34"/>
      <c r="GK162" s="34"/>
      <c r="GL162" s="34"/>
      <c r="GM162" s="34"/>
      <c r="GN162" s="34"/>
      <c r="GO162" s="34"/>
      <c r="GP162" s="34"/>
      <c r="GQ162" s="34"/>
      <c r="GR162" s="34"/>
      <c r="GS162" s="34"/>
      <c r="GT162" s="34"/>
      <c r="GU162" s="34"/>
      <c r="GV162" s="34"/>
      <c r="GW162" s="34"/>
      <c r="GX162" s="34"/>
      <c r="GY162" s="34"/>
      <c r="GZ162" s="34"/>
      <c r="HA162" s="34"/>
      <c r="HB162" s="34"/>
      <c r="HC162" s="34"/>
      <c r="HD162" s="34"/>
      <c r="HE162" s="34"/>
      <c r="HF162" s="34"/>
      <c r="HG162" s="34"/>
      <c r="HH162" s="34"/>
      <c r="HI162" s="34"/>
    </row>
    <row r="163">
      <c r="A163" s="41">
        <v>43222.0</v>
      </c>
      <c r="B163" s="42" t="s">
        <v>216</v>
      </c>
      <c r="C163" s="28">
        <v>155.0</v>
      </c>
      <c r="D163" s="42">
        <v>21.3002</v>
      </c>
      <c r="E163" s="42">
        <v>-157.882599</v>
      </c>
      <c r="F163" s="42" t="s">
        <v>385</v>
      </c>
      <c r="G163" s="43">
        <v>0.3854166666666667</v>
      </c>
      <c r="H163" s="43">
        <v>0.4375</v>
      </c>
      <c r="I163" s="42">
        <v>6.0</v>
      </c>
      <c r="J163" s="42">
        <v>19.0</v>
      </c>
      <c r="K163" s="42" t="s">
        <v>198</v>
      </c>
      <c r="L163" s="42">
        <v>5.0</v>
      </c>
      <c r="M163" s="42">
        <v>27.0</v>
      </c>
      <c r="N163" s="42" t="s">
        <v>527</v>
      </c>
      <c r="O163" s="44"/>
      <c r="P163" s="42"/>
      <c r="Q163" s="44"/>
      <c r="R163" s="44"/>
      <c r="S163" s="42"/>
      <c r="T163" s="44"/>
      <c r="U163" s="44"/>
      <c r="V163" s="44"/>
      <c r="W163" s="44"/>
      <c r="X163" s="44"/>
      <c r="Y163" s="44"/>
      <c r="Z163" s="44"/>
      <c r="AA163" s="44"/>
      <c r="AB163" s="44"/>
      <c r="AC163" s="44"/>
      <c r="AD163" s="44"/>
      <c r="AE163" s="42">
        <v>5.0</v>
      </c>
      <c r="AF163" s="44"/>
      <c r="AG163" s="44"/>
      <c r="AH163" s="44"/>
      <c r="AI163" s="44"/>
      <c r="AJ163" s="44"/>
      <c r="AK163" s="44"/>
      <c r="AL163" s="44"/>
      <c r="AM163" s="44"/>
      <c r="AN163" s="44"/>
      <c r="AO163" s="44"/>
      <c r="AP163" s="44"/>
      <c r="AQ163" s="44"/>
      <c r="AR163" s="44"/>
      <c r="AS163" s="44"/>
      <c r="AT163" s="44"/>
      <c r="AU163" s="44"/>
      <c r="AV163" s="44"/>
      <c r="AW163" s="44"/>
      <c r="AX163" s="44"/>
      <c r="AY163" s="44"/>
      <c r="AZ163" s="44"/>
      <c r="BA163" s="42"/>
      <c r="BB163" s="42"/>
      <c r="BC163" s="44"/>
      <c r="BD163" s="44"/>
      <c r="BE163" s="44"/>
      <c r="BF163" s="44"/>
      <c r="BG163" s="44"/>
      <c r="BH163" s="44"/>
      <c r="BI163" s="44"/>
      <c r="BJ163" s="44"/>
      <c r="BK163" s="44"/>
      <c r="BL163" s="44"/>
      <c r="BM163" s="42">
        <v>5.0</v>
      </c>
      <c r="BN163" s="42"/>
      <c r="BO163" s="44"/>
      <c r="BP163" s="44"/>
      <c r="BQ163" s="42"/>
      <c r="BR163" s="44"/>
      <c r="BS163" s="44"/>
      <c r="BT163" s="44"/>
      <c r="BU163" s="44"/>
      <c r="BV163" s="44"/>
      <c r="BW163" s="42">
        <v>1.0</v>
      </c>
      <c r="BX163" s="44"/>
      <c r="BY163" s="44"/>
      <c r="BZ163" s="42"/>
      <c r="CA163" s="44"/>
      <c r="CB163" s="44"/>
      <c r="CC163" s="42">
        <v>9.0</v>
      </c>
      <c r="CD163" s="44"/>
      <c r="CE163" s="44"/>
      <c r="CF163" s="44"/>
      <c r="CG163" s="44"/>
      <c r="CH163" s="44"/>
      <c r="CI163" s="44"/>
      <c r="CJ163" s="44"/>
      <c r="CK163" s="44"/>
      <c r="CL163" s="44"/>
      <c r="CM163" s="44"/>
      <c r="CN163" s="44"/>
      <c r="CO163" s="44"/>
      <c r="CP163" s="44"/>
      <c r="CQ163" s="44"/>
      <c r="CR163" s="44"/>
      <c r="CS163" s="44"/>
      <c r="CT163" s="44"/>
      <c r="CU163" s="44"/>
      <c r="CV163" s="44"/>
      <c r="CW163" s="44"/>
      <c r="CX163" s="44"/>
      <c r="CY163" s="44"/>
      <c r="CZ163" s="44"/>
      <c r="DA163" s="44"/>
      <c r="DB163" s="44"/>
      <c r="DC163" s="44"/>
      <c r="DD163" s="44"/>
      <c r="DE163" s="44"/>
      <c r="DF163" s="42"/>
      <c r="DG163" s="42"/>
      <c r="DH163" s="44"/>
      <c r="DI163" s="44"/>
      <c r="DJ163" s="44"/>
      <c r="DK163" s="44"/>
      <c r="DL163" s="44"/>
      <c r="DM163" s="42"/>
      <c r="DN163" s="44"/>
      <c r="DO163" s="44"/>
      <c r="DP163" s="42"/>
      <c r="DQ163" s="44"/>
      <c r="DR163" s="44"/>
      <c r="DS163" s="44"/>
      <c r="DT163" s="42"/>
      <c r="DU163" s="42"/>
      <c r="DV163" s="42"/>
      <c r="DW163" s="44"/>
      <c r="DX163" s="44"/>
      <c r="DY163" s="44"/>
      <c r="DZ163" s="44"/>
      <c r="EA163" s="44"/>
      <c r="EB163" s="44"/>
      <c r="EC163" s="44"/>
      <c r="ED163" s="44"/>
      <c r="EE163" s="42"/>
      <c r="EF163" s="42"/>
      <c r="EG163" s="44"/>
      <c r="EH163" s="44"/>
      <c r="EI163" s="44"/>
      <c r="EJ163" s="42">
        <v>8.0</v>
      </c>
      <c r="EK163" s="44"/>
      <c r="EL163" s="44"/>
      <c r="EM163" s="44"/>
      <c r="EN163" s="44"/>
      <c r="EO163" s="44"/>
      <c r="EP163" s="44"/>
      <c r="EQ163" s="44"/>
      <c r="ER163" s="44"/>
      <c r="ES163" s="44"/>
      <c r="ET163" s="44"/>
      <c r="EU163" s="44"/>
      <c r="EV163" s="44"/>
      <c r="EW163" s="44"/>
      <c r="EX163" s="44"/>
      <c r="EY163" s="42"/>
      <c r="EZ163" s="42"/>
      <c r="FA163" s="44"/>
      <c r="FB163" s="42"/>
      <c r="FC163" s="44"/>
      <c r="FD163" s="44"/>
      <c r="FE163" s="44"/>
      <c r="FF163" s="42">
        <v>47.0</v>
      </c>
      <c r="FG163" s="44"/>
      <c r="FH163" s="44"/>
      <c r="FI163" s="44"/>
      <c r="FJ163" s="44"/>
      <c r="FK163" s="44"/>
      <c r="FL163" s="44"/>
      <c r="FM163" s="44"/>
      <c r="FN163" s="44"/>
      <c r="FO163" s="44"/>
      <c r="FP163" s="44"/>
      <c r="FQ163" s="44"/>
      <c r="FR163" s="42"/>
      <c r="FS163" s="42">
        <v>363.0</v>
      </c>
      <c r="FT163" s="44"/>
      <c r="FU163" s="44"/>
      <c r="FV163" s="44"/>
      <c r="FW163" s="44"/>
      <c r="FX163" s="44"/>
      <c r="FY163" s="44"/>
      <c r="FZ163" s="44"/>
      <c r="GA163" s="44"/>
      <c r="GB163" s="44"/>
      <c r="GC163" s="44"/>
      <c r="GD163" s="44"/>
      <c r="GE163" s="44"/>
      <c r="GF163" s="44"/>
      <c r="GG163" s="44"/>
      <c r="GH163" s="44"/>
      <c r="GI163" s="44"/>
      <c r="GJ163" s="44"/>
      <c r="GK163" s="44"/>
      <c r="GL163" s="44"/>
      <c r="GM163" s="44"/>
      <c r="GN163" s="44"/>
      <c r="GO163" s="44"/>
      <c r="GP163" s="44"/>
      <c r="GQ163" s="44"/>
      <c r="GR163" s="44"/>
      <c r="GS163" s="44"/>
      <c r="GT163" s="44"/>
      <c r="GU163" s="44"/>
      <c r="GV163" s="44"/>
      <c r="GW163" s="44"/>
      <c r="GX163" s="44"/>
      <c r="GY163" s="44"/>
      <c r="GZ163" s="44"/>
      <c r="HA163" s="44"/>
      <c r="HB163" s="44"/>
      <c r="HC163" s="44"/>
      <c r="HD163" s="44"/>
      <c r="HE163" s="44"/>
      <c r="HF163" s="44"/>
      <c r="HG163" s="44"/>
      <c r="HH163" s="44"/>
      <c r="HI163" s="44"/>
    </row>
    <row r="164">
      <c r="A164" s="23">
        <v>43230.0</v>
      </c>
      <c r="B164" s="4" t="s">
        <v>201</v>
      </c>
      <c r="C164" s="28">
        <f t="shared" ref="C164:C168" si="88">C163+1</f>
        <v>156</v>
      </c>
      <c r="D164" s="4">
        <v>21.25544</v>
      </c>
      <c r="E164" s="4">
        <v>-157.810303</v>
      </c>
      <c r="F164" s="4" t="s">
        <v>299</v>
      </c>
      <c r="G164" s="24">
        <v>0.3611111111111111</v>
      </c>
      <c r="H164" s="24">
        <v>0.4027777777777778</v>
      </c>
      <c r="I164" s="4">
        <v>5.0</v>
      </c>
      <c r="J164" s="4">
        <v>16.0</v>
      </c>
      <c r="K164" s="4" t="s">
        <v>217</v>
      </c>
      <c r="L164" s="4">
        <v>8.0</v>
      </c>
      <c r="M164" s="4">
        <v>25.0</v>
      </c>
      <c r="N164" s="4" t="s">
        <v>427</v>
      </c>
      <c r="P164" s="4">
        <v>25.0</v>
      </c>
      <c r="S164" s="4">
        <v>1.0</v>
      </c>
      <c r="BA164" s="4"/>
      <c r="BB164" s="4">
        <v>6.0</v>
      </c>
      <c r="BN164" s="4">
        <v>5.0</v>
      </c>
      <c r="BQ164" s="4">
        <v>8.0</v>
      </c>
      <c r="BZ164" s="4">
        <v>13.0</v>
      </c>
      <c r="DF164" s="4"/>
      <c r="DG164" s="4">
        <v>6.0</v>
      </c>
      <c r="DM164" s="4">
        <v>8.0</v>
      </c>
      <c r="DP164" s="4">
        <v>3.0</v>
      </c>
      <c r="DT164" s="4"/>
      <c r="DU164" s="4"/>
      <c r="DV164" s="4">
        <v>2.0</v>
      </c>
      <c r="EE164" s="4"/>
      <c r="EF164" s="4">
        <v>7.0</v>
      </c>
      <c r="EJ164" s="4">
        <v>208.0</v>
      </c>
      <c r="EY164" s="4"/>
      <c r="EZ164" s="4">
        <v>1.0</v>
      </c>
      <c r="FB164" s="4">
        <v>51.0</v>
      </c>
      <c r="FR164" s="4">
        <v>38.0</v>
      </c>
      <c r="FS164" s="4">
        <v>51.0</v>
      </c>
      <c r="GH164" s="25">
        <f t="shared" ref="GH164:GH165" si="89">count(R164:GG164)</f>
        <v>15</v>
      </c>
      <c r="GI164" s="25">
        <f t="shared" ref="GI164:GI165" si="90">countif(R164:GG164,"&gt;=2")</f>
        <v>13</v>
      </c>
      <c r="GJ164" s="25">
        <f t="shared" ref="GJ164:GJ165" si="91">countif(R164:GG164,"&gt;=5")</f>
        <v>11</v>
      </c>
      <c r="GK164" s="25">
        <f t="shared" ref="GK164:GK165" si="92">sum(R164:GG164)</f>
        <v>408</v>
      </c>
      <c r="GL164" s="25">
        <f t="shared" ref="GL164:GL165" si="93">25*P164</f>
        <v>625</v>
      </c>
      <c r="GM164" s="25">
        <f t="shared" ref="GM164:GM165" si="94">GL164-GK164</f>
        <v>217</v>
      </c>
    </row>
    <row r="165">
      <c r="A165" s="23">
        <v>43231.0</v>
      </c>
      <c r="B165" s="4" t="s">
        <v>201</v>
      </c>
      <c r="C165" s="28">
        <f t="shared" si="88"/>
        <v>157</v>
      </c>
      <c r="D165" s="4">
        <v>21.25544</v>
      </c>
      <c r="E165" s="4">
        <v>-157.810303</v>
      </c>
      <c r="F165" s="4" t="s">
        <v>299</v>
      </c>
      <c r="G165" s="24">
        <v>0.375</v>
      </c>
      <c r="H165" s="24">
        <v>0.4097222222222222</v>
      </c>
      <c r="I165" s="4">
        <v>5.0</v>
      </c>
      <c r="J165" s="4">
        <v>16.0</v>
      </c>
      <c r="K165" s="4" t="s">
        <v>198</v>
      </c>
      <c r="L165" s="4">
        <v>7.0</v>
      </c>
      <c r="M165" s="4">
        <v>26.0</v>
      </c>
      <c r="N165" s="4" t="s">
        <v>430</v>
      </c>
      <c r="P165" s="4">
        <v>26.0</v>
      </c>
      <c r="R165" s="4">
        <v>3.0</v>
      </c>
      <c r="AA165" s="4"/>
      <c r="AB165" s="4">
        <v>6.0</v>
      </c>
      <c r="AI165" s="4">
        <v>6.0</v>
      </c>
      <c r="AJ165" s="4"/>
      <c r="AK165" s="4">
        <v>1.0</v>
      </c>
      <c r="AU165" s="4">
        <v>1.0</v>
      </c>
      <c r="BI165" s="4"/>
      <c r="BJ165" s="4"/>
      <c r="BK165" s="4">
        <v>1.0</v>
      </c>
      <c r="BM165" s="4">
        <v>29.0</v>
      </c>
      <c r="BQ165" s="4">
        <v>12.0</v>
      </c>
      <c r="BV165" s="4">
        <v>1.0</v>
      </c>
      <c r="BZ165" s="4">
        <v>3.0</v>
      </c>
      <c r="DE165" s="4">
        <v>2.0</v>
      </c>
      <c r="DK165" s="4">
        <v>2.0</v>
      </c>
      <c r="DM165" s="4">
        <v>11.0</v>
      </c>
      <c r="DO165" s="4">
        <v>3.0</v>
      </c>
      <c r="DR165" s="4"/>
      <c r="DS165" s="4">
        <v>1.0</v>
      </c>
      <c r="EC165" s="4">
        <v>2.0</v>
      </c>
      <c r="EE165" s="4"/>
      <c r="EF165" s="4">
        <v>3.0</v>
      </c>
      <c r="EJ165" s="4">
        <v>143.0</v>
      </c>
      <c r="EY165" s="4"/>
      <c r="EZ165" s="4">
        <v>2.0</v>
      </c>
      <c r="FB165" s="4">
        <v>51.0</v>
      </c>
      <c r="FR165" s="4">
        <v>42.0</v>
      </c>
      <c r="FS165" s="4">
        <v>121.0</v>
      </c>
      <c r="FV165" s="4"/>
      <c r="FW165" s="4">
        <v>3.0</v>
      </c>
      <c r="GB165" s="4">
        <v>8.0</v>
      </c>
      <c r="GH165" s="25">
        <f t="shared" si="89"/>
        <v>24</v>
      </c>
      <c r="GI165" s="25">
        <f t="shared" si="90"/>
        <v>19</v>
      </c>
      <c r="GJ165" s="25">
        <f t="shared" si="91"/>
        <v>10</v>
      </c>
      <c r="GK165" s="25">
        <f t="shared" si="92"/>
        <v>457</v>
      </c>
      <c r="GL165" s="25">
        <f t="shared" si="93"/>
        <v>650</v>
      </c>
      <c r="GM165" s="25">
        <f t="shared" si="94"/>
        <v>193</v>
      </c>
    </row>
    <row r="166">
      <c r="A166" s="41">
        <v>43232.0</v>
      </c>
      <c r="B166" s="42" t="s">
        <v>374</v>
      </c>
      <c r="C166" s="28">
        <f t="shared" si="88"/>
        <v>158</v>
      </c>
      <c r="D166" s="42">
        <v>20.738001</v>
      </c>
      <c r="E166" s="42">
        <v>-156.895004</v>
      </c>
      <c r="F166" s="42" t="s">
        <v>391</v>
      </c>
      <c r="G166" s="43">
        <v>0.3715277777777778</v>
      </c>
      <c r="H166" s="43">
        <v>0.42083333333333334</v>
      </c>
      <c r="I166" s="42">
        <v>3.0</v>
      </c>
      <c r="J166" s="42">
        <v>25.0</v>
      </c>
      <c r="K166" s="42" t="s">
        <v>198</v>
      </c>
      <c r="L166" s="42">
        <v>13.0</v>
      </c>
      <c r="M166" s="42">
        <v>18.0</v>
      </c>
      <c r="N166" s="42" t="s">
        <v>528</v>
      </c>
      <c r="O166" s="42"/>
      <c r="P166" s="42"/>
      <c r="Q166" s="44"/>
      <c r="R166" s="44"/>
      <c r="S166" s="44"/>
      <c r="T166" s="44"/>
      <c r="U166" s="44"/>
      <c r="V166" s="44"/>
      <c r="W166" s="44"/>
      <c r="X166" s="44"/>
      <c r="Y166" s="44"/>
      <c r="Z166" s="44"/>
      <c r="AA166" s="44"/>
      <c r="AB166" s="44"/>
      <c r="AC166" s="44"/>
      <c r="AD166" s="42">
        <v>20.0</v>
      </c>
      <c r="AE166" s="44"/>
      <c r="AF166" s="44"/>
      <c r="AG166" s="44"/>
      <c r="AH166" s="44"/>
      <c r="AI166" s="44"/>
      <c r="AJ166" s="44"/>
      <c r="AK166" s="44"/>
      <c r="AL166" s="44"/>
      <c r="AM166" s="44"/>
      <c r="AN166" s="44"/>
      <c r="AO166" s="44"/>
      <c r="AP166" s="44"/>
      <c r="AQ166" s="44"/>
      <c r="AR166" s="44"/>
      <c r="AS166" s="44"/>
      <c r="AT166" s="44"/>
      <c r="AU166" s="44"/>
      <c r="AV166" s="44"/>
      <c r="AW166" s="44"/>
      <c r="AX166" s="44"/>
      <c r="AY166" s="44"/>
      <c r="AZ166" s="44"/>
      <c r="BA166" s="44"/>
      <c r="BB166" s="44"/>
      <c r="BC166" s="44"/>
      <c r="BD166" s="44"/>
      <c r="BE166" s="42"/>
      <c r="BF166" s="44"/>
      <c r="BG166" s="44"/>
      <c r="BH166" s="42"/>
      <c r="BI166" s="42"/>
      <c r="BJ166" s="42"/>
      <c r="BK166" s="44"/>
      <c r="BL166" s="42"/>
      <c r="BM166" s="42">
        <v>301.0</v>
      </c>
      <c r="BN166" s="44"/>
      <c r="BO166" s="44"/>
      <c r="BP166" s="44"/>
      <c r="BQ166" s="42"/>
      <c r="BR166" s="44"/>
      <c r="BS166" s="44"/>
      <c r="BT166" s="44"/>
      <c r="BU166" s="44"/>
      <c r="BV166" s="42"/>
      <c r="BW166" s="44"/>
      <c r="BX166" s="44"/>
      <c r="BY166" s="42">
        <v>13.0</v>
      </c>
      <c r="BZ166" s="44"/>
      <c r="CA166" s="44"/>
      <c r="CB166" s="44"/>
      <c r="CC166" s="42">
        <v>6.0</v>
      </c>
      <c r="CD166" s="44"/>
      <c r="CE166" s="42"/>
      <c r="CF166" s="44"/>
      <c r="CG166" s="44"/>
      <c r="CH166" s="42">
        <v>3.0</v>
      </c>
      <c r="CI166" s="44"/>
      <c r="CJ166" s="44"/>
      <c r="CK166" s="44"/>
      <c r="CL166" s="44"/>
      <c r="CM166" s="44"/>
      <c r="CN166" s="44"/>
      <c r="CO166" s="44"/>
      <c r="CP166" s="44"/>
      <c r="CQ166" s="44"/>
      <c r="CR166" s="44"/>
      <c r="CS166" s="44"/>
      <c r="CT166" s="44"/>
      <c r="CU166" s="44"/>
      <c r="CV166" s="44"/>
      <c r="CW166" s="44"/>
      <c r="CX166" s="44"/>
      <c r="CY166" s="44"/>
      <c r="CZ166" s="44"/>
      <c r="DA166" s="44"/>
      <c r="DB166" s="44"/>
      <c r="DC166" s="44"/>
      <c r="DD166" s="44"/>
      <c r="DE166" s="44"/>
      <c r="DF166" s="44"/>
      <c r="DG166" s="42">
        <v>11.0</v>
      </c>
      <c r="DH166" s="44"/>
      <c r="DI166" s="44"/>
      <c r="DJ166" s="44"/>
      <c r="DK166" s="44"/>
      <c r="DL166" s="44"/>
      <c r="DM166" s="44"/>
      <c r="DN166" s="44"/>
      <c r="DO166" s="44"/>
      <c r="DP166" s="44"/>
      <c r="DQ166" s="44"/>
      <c r="DR166" s="44"/>
      <c r="DS166" s="44"/>
      <c r="DT166" s="44"/>
      <c r="DU166" s="44"/>
      <c r="DV166" s="44"/>
      <c r="DW166" s="44"/>
      <c r="DX166" s="44"/>
      <c r="DY166" s="44"/>
      <c r="DZ166" s="44"/>
      <c r="EA166" s="44"/>
      <c r="EB166" s="44"/>
      <c r="EC166" s="42"/>
      <c r="ED166" s="44"/>
      <c r="EE166" s="44"/>
      <c r="EF166" s="44"/>
      <c r="EG166" s="44"/>
      <c r="EH166" s="44"/>
      <c r="EI166" s="44"/>
      <c r="EJ166" s="42">
        <v>6.0</v>
      </c>
      <c r="EK166" s="44"/>
      <c r="EL166" s="44"/>
      <c r="EM166" s="44"/>
      <c r="EN166" s="44"/>
      <c r="EO166" s="44"/>
      <c r="EP166" s="44"/>
      <c r="EQ166" s="44"/>
      <c r="ER166" s="44"/>
      <c r="ES166" s="44"/>
      <c r="ET166" s="44"/>
      <c r="EU166" s="44"/>
      <c r="EV166" s="44"/>
      <c r="EW166" s="44"/>
      <c r="EX166" s="42"/>
      <c r="EY166" s="44"/>
      <c r="EZ166" s="42">
        <v>8.0</v>
      </c>
      <c r="FA166" s="44"/>
      <c r="FB166" s="42">
        <v>1.0</v>
      </c>
      <c r="FC166" s="44"/>
      <c r="FD166" s="44"/>
      <c r="FE166" s="44"/>
      <c r="FF166" s="44"/>
      <c r="FG166" s="44"/>
      <c r="FH166" s="44"/>
      <c r="FI166" s="44"/>
      <c r="FJ166" s="44"/>
      <c r="FK166" s="44"/>
      <c r="FL166" s="44"/>
      <c r="FM166" s="44"/>
      <c r="FN166" s="44"/>
      <c r="FO166" s="44"/>
      <c r="FP166" s="44"/>
      <c r="FQ166" s="44"/>
      <c r="FR166" s="42">
        <v>29.0</v>
      </c>
      <c r="FS166" s="42"/>
      <c r="FT166" s="44"/>
      <c r="FU166" s="44"/>
      <c r="FV166" s="44"/>
      <c r="FW166" s="44"/>
      <c r="FX166" s="44"/>
      <c r="FY166" s="44"/>
      <c r="FZ166" s="44"/>
      <c r="GA166" s="44"/>
      <c r="GB166" s="44"/>
      <c r="GC166" s="44"/>
      <c r="GD166" s="44"/>
      <c r="GE166" s="44"/>
      <c r="GF166" s="44"/>
      <c r="GG166" s="44"/>
      <c r="GH166" s="44"/>
      <c r="GI166" s="44"/>
      <c r="GJ166" s="44"/>
      <c r="GK166" s="44"/>
      <c r="GL166" s="44"/>
      <c r="GM166" s="44"/>
      <c r="GN166" s="44"/>
      <c r="GO166" s="44"/>
      <c r="GP166" s="44"/>
      <c r="GQ166" s="44"/>
      <c r="GR166" s="44"/>
      <c r="GS166" s="44"/>
      <c r="GT166" s="44"/>
      <c r="GU166" s="44"/>
      <c r="GV166" s="44"/>
      <c r="GW166" s="44"/>
      <c r="GX166" s="44"/>
      <c r="GY166" s="44"/>
      <c r="GZ166" s="44"/>
      <c r="HA166" s="44"/>
      <c r="HB166" s="44"/>
      <c r="HC166" s="44"/>
      <c r="HD166" s="44"/>
      <c r="HE166" s="44"/>
      <c r="HF166" s="44"/>
      <c r="HG166" s="44"/>
      <c r="HH166" s="44"/>
      <c r="HI166" s="44"/>
    </row>
    <row r="167">
      <c r="A167" s="37">
        <v>43234.0</v>
      </c>
      <c r="B167" s="38" t="s">
        <v>216</v>
      </c>
      <c r="C167" s="28">
        <f t="shared" si="88"/>
        <v>159</v>
      </c>
      <c r="D167" s="38">
        <v>21.3002</v>
      </c>
      <c r="E167" s="38">
        <v>-157.882599</v>
      </c>
      <c r="F167" s="38" t="s">
        <v>272</v>
      </c>
      <c r="G167" s="39">
        <v>0.38263888888888886</v>
      </c>
      <c r="H167" s="39">
        <v>0.41944444444444445</v>
      </c>
      <c r="I167" s="38">
        <v>6.0</v>
      </c>
      <c r="J167" s="38">
        <v>26.0</v>
      </c>
      <c r="K167" s="38" t="s">
        <v>198</v>
      </c>
      <c r="L167" s="38">
        <v>5.0</v>
      </c>
      <c r="M167" s="38">
        <v>27.0</v>
      </c>
      <c r="N167" s="38" t="s">
        <v>431</v>
      </c>
      <c r="O167" s="38"/>
      <c r="P167" s="38"/>
      <c r="Q167" s="40"/>
      <c r="R167" s="40"/>
      <c r="S167" s="40"/>
      <c r="T167" s="40"/>
      <c r="U167" s="40"/>
      <c r="V167" s="40"/>
      <c r="W167" s="40"/>
      <c r="X167" s="40"/>
      <c r="Y167" s="40"/>
      <c r="Z167" s="40"/>
      <c r="AA167" s="40"/>
      <c r="AB167" s="40"/>
      <c r="AC167" s="40"/>
      <c r="AD167" s="40"/>
      <c r="AE167" s="40"/>
      <c r="AF167" s="40"/>
      <c r="AG167" s="40"/>
      <c r="AH167" s="40"/>
      <c r="AI167" s="38">
        <v>1.0</v>
      </c>
      <c r="AJ167" s="40"/>
      <c r="AK167" s="40"/>
      <c r="AL167" s="40"/>
      <c r="AM167" s="40"/>
      <c r="AN167" s="40"/>
      <c r="AO167" s="40"/>
      <c r="AP167" s="40"/>
      <c r="AQ167" s="40"/>
      <c r="AR167" s="40"/>
      <c r="AS167" s="40"/>
      <c r="AT167" s="40"/>
      <c r="AU167" s="40"/>
      <c r="AV167" s="40"/>
      <c r="AW167" s="40"/>
      <c r="AX167" s="40"/>
      <c r="AY167" s="40"/>
      <c r="AZ167" s="40"/>
      <c r="BA167" s="40"/>
      <c r="BB167" s="40"/>
      <c r="BC167" s="40"/>
      <c r="BD167" s="40"/>
      <c r="BE167" s="38">
        <v>1.0</v>
      </c>
      <c r="BF167" s="40"/>
      <c r="BG167" s="40"/>
      <c r="BH167" s="38">
        <v>1.0</v>
      </c>
      <c r="BI167" s="38"/>
      <c r="BJ167" s="38">
        <v>1.0</v>
      </c>
      <c r="BK167" s="40"/>
      <c r="BL167" s="38">
        <v>1.0</v>
      </c>
      <c r="BM167" s="38">
        <v>10.0</v>
      </c>
      <c r="BN167" s="40"/>
      <c r="BO167" s="40"/>
      <c r="BP167" s="40"/>
      <c r="BQ167" s="38">
        <v>8.0</v>
      </c>
      <c r="BR167" s="40"/>
      <c r="BS167" s="40"/>
      <c r="BT167" s="40"/>
      <c r="BU167" s="40"/>
      <c r="BV167" s="38">
        <v>2.0</v>
      </c>
      <c r="BW167" s="40"/>
      <c r="BX167" s="40"/>
      <c r="BY167" s="40"/>
      <c r="BZ167" s="40"/>
      <c r="CA167" s="40"/>
      <c r="CB167" s="40"/>
      <c r="CC167" s="40"/>
      <c r="CD167" s="40"/>
      <c r="CE167" s="38">
        <v>1.0</v>
      </c>
      <c r="CF167" s="40"/>
      <c r="CG167" s="40"/>
      <c r="CH167" s="40"/>
      <c r="CI167" s="40"/>
      <c r="CJ167" s="40"/>
      <c r="CK167" s="40"/>
      <c r="CL167" s="40"/>
      <c r="CM167" s="40"/>
      <c r="CN167" s="40"/>
      <c r="CO167" s="40"/>
      <c r="CP167" s="40"/>
      <c r="CQ167" s="40"/>
      <c r="CR167" s="40"/>
      <c r="CS167" s="40"/>
      <c r="CT167" s="40"/>
      <c r="CU167" s="40"/>
      <c r="CV167" s="40"/>
      <c r="CW167" s="40"/>
      <c r="CX167" s="40"/>
      <c r="CY167" s="40"/>
      <c r="CZ167" s="40"/>
      <c r="DA167" s="40"/>
      <c r="DB167" s="40"/>
      <c r="DC167" s="40"/>
      <c r="DD167" s="40"/>
      <c r="DE167" s="40"/>
      <c r="DF167" s="40"/>
      <c r="DG167" s="40"/>
      <c r="DH167" s="40"/>
      <c r="DI167" s="40"/>
      <c r="DJ167" s="40"/>
      <c r="DK167" s="40"/>
      <c r="DL167" s="40"/>
      <c r="DM167" s="40"/>
      <c r="DN167" s="40"/>
      <c r="DO167" s="40"/>
      <c r="DP167" s="40"/>
      <c r="DQ167" s="40"/>
      <c r="DR167" s="40"/>
      <c r="DS167" s="40"/>
      <c r="DT167" s="40"/>
      <c r="DU167" s="40"/>
      <c r="DV167" s="40"/>
      <c r="DW167" s="40"/>
      <c r="DX167" s="40"/>
      <c r="DY167" s="40"/>
      <c r="DZ167" s="40"/>
      <c r="EA167" s="40"/>
      <c r="EB167" s="40"/>
      <c r="EC167" s="38">
        <v>3.0</v>
      </c>
      <c r="ED167" s="40"/>
      <c r="EE167" s="40"/>
      <c r="EF167" s="40"/>
      <c r="EG167" s="40"/>
      <c r="EH167" s="40"/>
      <c r="EI167" s="40"/>
      <c r="EJ167" s="38">
        <v>2.0</v>
      </c>
      <c r="EK167" s="40"/>
      <c r="EL167" s="40"/>
      <c r="EM167" s="40"/>
      <c r="EN167" s="40"/>
      <c r="EO167" s="40"/>
      <c r="EP167" s="40"/>
      <c r="EQ167" s="40"/>
      <c r="ER167" s="40"/>
      <c r="ES167" s="40"/>
      <c r="ET167" s="40"/>
      <c r="EU167" s="40"/>
      <c r="EV167" s="40"/>
      <c r="EW167" s="40"/>
      <c r="EX167" s="38">
        <v>1.0</v>
      </c>
      <c r="EY167" s="40"/>
      <c r="EZ167" s="40"/>
      <c r="FA167" s="40"/>
      <c r="FB167" s="40"/>
      <c r="FC167" s="40"/>
      <c r="FD167" s="40"/>
      <c r="FE167" s="40"/>
      <c r="FF167" s="40"/>
      <c r="FG167" s="40"/>
      <c r="FH167" s="40"/>
      <c r="FI167" s="40"/>
      <c r="FJ167" s="40"/>
      <c r="FK167" s="40"/>
      <c r="FL167" s="38">
        <v>1.0</v>
      </c>
      <c r="FM167" s="40"/>
      <c r="FN167" s="40"/>
      <c r="FO167" s="40"/>
      <c r="FP167" s="40"/>
      <c r="FQ167" s="40"/>
      <c r="FR167" s="40"/>
      <c r="FS167" s="38">
        <v>508.0</v>
      </c>
      <c r="FT167" s="40"/>
      <c r="FU167" s="40"/>
      <c r="FV167" s="40"/>
      <c r="FW167" s="40"/>
      <c r="FX167" s="40"/>
      <c r="FY167" s="40"/>
      <c r="FZ167" s="40"/>
      <c r="GA167" s="40"/>
      <c r="GB167" s="40"/>
      <c r="GC167" s="40"/>
      <c r="GD167" s="40"/>
      <c r="GE167" s="40"/>
      <c r="GF167" s="40"/>
      <c r="GG167" s="40"/>
      <c r="GH167" s="40">
        <f>count(R167:GG167)</f>
        <v>14</v>
      </c>
      <c r="GI167" s="40">
        <f>countif(R167:GG167,"&gt;=2")</f>
        <v>6</v>
      </c>
      <c r="GJ167" s="40">
        <f>countif(R167:GG167,"&gt;=5")</f>
        <v>3</v>
      </c>
      <c r="GK167" s="40">
        <f>sum(R167:GG167)</f>
        <v>541</v>
      </c>
      <c r="GL167" s="40">
        <f>25*P167</f>
        <v>0</v>
      </c>
      <c r="GM167" s="40">
        <f>GL167-GK167</f>
        <v>-541</v>
      </c>
      <c r="GN167" s="40"/>
      <c r="GO167" s="40"/>
      <c r="GP167" s="40"/>
      <c r="GQ167" s="40"/>
      <c r="GR167" s="40"/>
      <c r="GS167" s="40"/>
      <c r="GT167" s="40"/>
      <c r="GU167" s="40"/>
      <c r="GV167" s="40"/>
      <c r="GW167" s="40"/>
      <c r="GX167" s="40"/>
      <c r="GY167" s="40"/>
      <c r="GZ167" s="40"/>
      <c r="HA167" s="40"/>
      <c r="HB167" s="40"/>
      <c r="HC167" s="40"/>
      <c r="HD167" s="40"/>
      <c r="HE167" s="40"/>
      <c r="HF167" s="40"/>
      <c r="HG167" s="40"/>
      <c r="HH167" s="40"/>
      <c r="HI167" s="40"/>
    </row>
    <row r="168">
      <c r="A168" s="41">
        <v>43235.0</v>
      </c>
      <c r="B168" s="42" t="s">
        <v>216</v>
      </c>
      <c r="C168" s="28">
        <f t="shared" si="88"/>
        <v>160</v>
      </c>
      <c r="D168" s="42">
        <v>21.3002</v>
      </c>
      <c r="E168" s="42">
        <v>-157.882599</v>
      </c>
      <c r="F168" s="42" t="s">
        <v>272</v>
      </c>
      <c r="G168" s="43">
        <v>0.38263888888888886</v>
      </c>
      <c r="H168" s="43">
        <v>0.4083333333333333</v>
      </c>
      <c r="I168" s="42">
        <v>6.0</v>
      </c>
      <c r="J168" s="42">
        <v>30.0</v>
      </c>
      <c r="K168" s="42" t="s">
        <v>198</v>
      </c>
      <c r="L168" s="42">
        <v>5.0</v>
      </c>
      <c r="M168" s="42">
        <v>26.0</v>
      </c>
      <c r="N168" s="42" t="s">
        <v>529</v>
      </c>
      <c r="O168" s="44"/>
      <c r="P168" s="42"/>
      <c r="Q168" s="44"/>
      <c r="R168" s="44"/>
      <c r="S168" s="44"/>
      <c r="T168" s="44"/>
      <c r="U168" s="42"/>
      <c r="V168" s="42"/>
      <c r="W168" s="42"/>
      <c r="X168" s="42"/>
      <c r="Y168" s="44"/>
      <c r="Z168" s="44"/>
      <c r="AA168" s="42"/>
      <c r="AB168" s="42"/>
      <c r="AC168" s="42"/>
      <c r="AD168" s="42"/>
      <c r="AE168" s="44"/>
      <c r="AF168" s="44"/>
      <c r="AG168" s="44"/>
      <c r="AH168" s="44"/>
      <c r="AI168" s="42">
        <v>1.0</v>
      </c>
      <c r="AJ168" s="44"/>
      <c r="AK168" s="44"/>
      <c r="AL168" s="42"/>
      <c r="AM168" s="42"/>
      <c r="AN168" s="42"/>
      <c r="AO168" s="44"/>
      <c r="AP168" s="44"/>
      <c r="AQ168" s="44"/>
      <c r="AR168" s="44"/>
      <c r="AS168" s="44"/>
      <c r="AT168" s="42"/>
      <c r="AU168" s="44"/>
      <c r="AV168" s="44"/>
      <c r="AW168" s="44"/>
      <c r="AX168" s="44"/>
      <c r="AY168" s="44"/>
      <c r="AZ168" s="44"/>
      <c r="BA168" s="42"/>
      <c r="BB168" s="42"/>
      <c r="BC168" s="44"/>
      <c r="BD168" s="44"/>
      <c r="BE168" s="42"/>
      <c r="BF168" s="44"/>
      <c r="BG168" s="44"/>
      <c r="BH168" s="44"/>
      <c r="BI168" s="44"/>
      <c r="BJ168" s="44"/>
      <c r="BK168" s="42"/>
      <c r="BL168" s="44"/>
      <c r="BM168" s="44"/>
      <c r="BN168" s="42"/>
      <c r="BO168" s="44"/>
      <c r="BP168" s="44"/>
      <c r="BQ168" s="42">
        <v>42.0</v>
      </c>
      <c r="BR168" s="44"/>
      <c r="BS168" s="44"/>
      <c r="BT168" s="42"/>
      <c r="BU168" s="44"/>
      <c r="BV168" s="42"/>
      <c r="BW168" s="42"/>
      <c r="BX168" s="44"/>
      <c r="BY168" s="44"/>
      <c r="BZ168" s="42"/>
      <c r="CA168" s="44"/>
      <c r="CB168" s="44"/>
      <c r="CC168" s="44"/>
      <c r="CD168" s="42"/>
      <c r="CE168" s="42">
        <v>1.0</v>
      </c>
      <c r="CF168" s="42"/>
      <c r="CG168" s="44"/>
      <c r="CH168" s="44"/>
      <c r="CI168" s="44"/>
      <c r="CJ168" s="42"/>
      <c r="CK168" s="42"/>
      <c r="CL168" s="44"/>
      <c r="CM168" s="44"/>
      <c r="CN168" s="44"/>
      <c r="CO168" s="44"/>
      <c r="CP168" s="44"/>
      <c r="CQ168" s="44"/>
      <c r="CR168" s="44"/>
      <c r="CS168" s="42"/>
      <c r="CT168" s="44"/>
      <c r="CU168" s="42">
        <v>1.0</v>
      </c>
      <c r="CV168" s="44"/>
      <c r="CW168" s="44"/>
      <c r="CX168" s="44"/>
      <c r="CY168" s="44"/>
      <c r="CZ168" s="44"/>
      <c r="DA168" s="44"/>
      <c r="DB168" s="44"/>
      <c r="DC168" s="44"/>
      <c r="DD168" s="42"/>
      <c r="DE168" s="44"/>
      <c r="DF168" s="42"/>
      <c r="DG168" s="42"/>
      <c r="DH168" s="44"/>
      <c r="DI168" s="44"/>
      <c r="DJ168" s="44"/>
      <c r="DK168" s="44"/>
      <c r="DL168" s="44"/>
      <c r="DM168" s="42"/>
      <c r="DN168" s="42">
        <v>1.0</v>
      </c>
      <c r="DO168" s="44"/>
      <c r="DP168" s="44"/>
      <c r="DQ168" s="44"/>
      <c r="DR168" s="42"/>
      <c r="DS168" s="42"/>
      <c r="DT168" s="42"/>
      <c r="DU168" s="42"/>
      <c r="DV168" s="42"/>
      <c r="DW168" s="44"/>
      <c r="DX168" s="44"/>
      <c r="DY168" s="44"/>
      <c r="DZ168" s="44"/>
      <c r="EA168" s="42"/>
      <c r="EB168" s="44"/>
      <c r="EC168" s="42">
        <v>3.0</v>
      </c>
      <c r="ED168" s="44"/>
      <c r="EE168" s="44"/>
      <c r="EF168" s="44"/>
      <c r="EG168" s="44"/>
      <c r="EH168" s="44"/>
      <c r="EI168" s="42">
        <v>1.0</v>
      </c>
      <c r="EJ168" s="42">
        <v>1.0</v>
      </c>
      <c r="EK168" s="44"/>
      <c r="EL168" s="44"/>
      <c r="EM168" s="44"/>
      <c r="EN168" s="44"/>
      <c r="EO168" s="44"/>
      <c r="EP168" s="44"/>
      <c r="EQ168" s="44"/>
      <c r="ER168" s="44"/>
      <c r="ES168" s="44"/>
      <c r="ET168" s="42"/>
      <c r="EU168" s="42"/>
      <c r="EV168" s="42"/>
      <c r="EW168" s="44"/>
      <c r="EX168" s="44"/>
      <c r="EY168" s="44"/>
      <c r="EZ168" s="44"/>
      <c r="FA168" s="44"/>
      <c r="FB168" s="42"/>
      <c r="FC168" s="44"/>
      <c r="FD168" s="44"/>
      <c r="FE168" s="44"/>
      <c r="FF168" s="42"/>
      <c r="FG168" s="44"/>
      <c r="FH168" s="44"/>
      <c r="FI168" s="44"/>
      <c r="FJ168" s="44"/>
      <c r="FK168" s="44"/>
      <c r="FL168" s="44"/>
      <c r="FM168" s="44"/>
      <c r="FN168" s="44"/>
      <c r="FO168" s="44"/>
      <c r="FP168" s="44"/>
      <c r="FQ168" s="44"/>
      <c r="FR168" s="42"/>
      <c r="FS168" s="42">
        <v>394.0</v>
      </c>
      <c r="FT168" s="44"/>
      <c r="FU168" s="44"/>
      <c r="FV168" s="44"/>
      <c r="FW168" s="44"/>
      <c r="FX168" s="44"/>
      <c r="FY168" s="44"/>
      <c r="FZ168" s="44"/>
      <c r="GA168" s="42"/>
      <c r="GB168" s="44"/>
      <c r="GC168" s="44"/>
      <c r="GD168" s="44"/>
      <c r="GE168" s="42"/>
      <c r="GF168" s="42"/>
      <c r="GG168" s="42"/>
      <c r="GH168" s="44"/>
      <c r="GI168" s="44"/>
      <c r="GJ168" s="44"/>
      <c r="GK168" s="44"/>
      <c r="GL168" s="44"/>
      <c r="GM168" s="44"/>
      <c r="GN168" s="44"/>
      <c r="GO168" s="44"/>
      <c r="GP168" s="44"/>
      <c r="GQ168" s="44"/>
      <c r="GR168" s="44"/>
      <c r="GS168" s="44"/>
      <c r="GT168" s="44"/>
      <c r="GU168" s="44"/>
      <c r="GV168" s="44"/>
      <c r="GW168" s="44"/>
      <c r="GX168" s="44"/>
      <c r="GY168" s="44"/>
      <c r="GZ168" s="44"/>
      <c r="HA168" s="44"/>
      <c r="HB168" s="44"/>
      <c r="HC168" s="44"/>
      <c r="HD168" s="44"/>
      <c r="HE168" s="44"/>
      <c r="HF168" s="44"/>
      <c r="HG168" s="44"/>
      <c r="HH168" s="44"/>
      <c r="HI168" s="44"/>
    </row>
    <row r="169">
      <c r="A169" s="31">
        <v>43235.0</v>
      </c>
      <c r="B169" s="32" t="s">
        <v>467</v>
      </c>
      <c r="C169" s="28"/>
      <c r="D169" s="32"/>
      <c r="E169" s="32"/>
      <c r="F169" s="32"/>
      <c r="G169" s="33"/>
      <c r="H169" s="33"/>
      <c r="I169" s="32"/>
      <c r="J169" s="32"/>
      <c r="K169" s="32"/>
      <c r="L169" s="32"/>
      <c r="M169" s="32"/>
      <c r="N169" s="32"/>
      <c r="O169" s="34"/>
      <c r="P169" s="32"/>
      <c r="Q169" s="34"/>
      <c r="R169" s="34"/>
      <c r="S169" s="34"/>
      <c r="T169" s="34"/>
      <c r="U169" s="32"/>
      <c r="V169" s="32"/>
      <c r="W169" s="32"/>
      <c r="X169" s="32"/>
      <c r="Y169" s="34"/>
      <c r="Z169" s="34"/>
      <c r="AA169" s="32"/>
      <c r="AB169" s="32"/>
      <c r="AC169" s="32"/>
      <c r="AD169" s="32"/>
      <c r="AE169" s="34"/>
      <c r="AF169" s="34"/>
      <c r="AG169" s="34"/>
      <c r="AH169" s="34"/>
      <c r="AI169" s="32"/>
      <c r="AJ169" s="34"/>
      <c r="AK169" s="34"/>
      <c r="AL169" s="32"/>
      <c r="AM169" s="32"/>
      <c r="AN169" s="32"/>
      <c r="AO169" s="34"/>
      <c r="AP169" s="34"/>
      <c r="AQ169" s="34"/>
      <c r="AR169" s="34"/>
      <c r="AS169" s="34"/>
      <c r="AT169" s="32"/>
      <c r="AU169" s="34"/>
      <c r="AV169" s="34"/>
      <c r="AW169" s="34"/>
      <c r="AX169" s="34"/>
      <c r="AY169" s="34"/>
      <c r="AZ169" s="34"/>
      <c r="BA169" s="32"/>
      <c r="BB169" s="32"/>
      <c r="BC169" s="34"/>
      <c r="BD169" s="34"/>
      <c r="BE169" s="32"/>
      <c r="BF169" s="34"/>
      <c r="BG169" s="34"/>
      <c r="BH169" s="34"/>
      <c r="BI169" s="34"/>
      <c r="BJ169" s="34"/>
      <c r="BK169" s="32"/>
      <c r="BL169" s="34"/>
      <c r="BM169" s="34"/>
      <c r="BN169" s="32"/>
      <c r="BO169" s="34"/>
      <c r="BP169" s="34"/>
      <c r="BQ169" s="34"/>
      <c r="BR169" s="34"/>
      <c r="BS169" s="34"/>
      <c r="BT169" s="32"/>
      <c r="BU169" s="34"/>
      <c r="BV169" s="32"/>
      <c r="BW169" s="32"/>
      <c r="BX169" s="34"/>
      <c r="BY169" s="34"/>
      <c r="BZ169" s="32"/>
      <c r="CA169" s="34"/>
      <c r="CB169" s="34"/>
      <c r="CC169" s="34"/>
      <c r="CD169" s="32"/>
      <c r="CE169" s="34"/>
      <c r="CF169" s="32"/>
      <c r="CG169" s="34"/>
      <c r="CH169" s="34"/>
      <c r="CI169" s="34"/>
      <c r="CJ169" s="32"/>
      <c r="CK169" s="32"/>
      <c r="CL169" s="34"/>
      <c r="CM169" s="34"/>
      <c r="CN169" s="34"/>
      <c r="CO169" s="34"/>
      <c r="CP169" s="34"/>
      <c r="CQ169" s="34"/>
      <c r="CR169" s="34"/>
      <c r="CS169" s="32"/>
      <c r="CT169" s="34"/>
      <c r="CU169" s="34"/>
      <c r="CV169" s="34"/>
      <c r="CW169" s="34"/>
      <c r="CX169" s="34"/>
      <c r="CY169" s="34"/>
      <c r="CZ169" s="34"/>
      <c r="DA169" s="34"/>
      <c r="DB169" s="34"/>
      <c r="DC169" s="34"/>
      <c r="DD169" s="32"/>
      <c r="DE169" s="34"/>
      <c r="DF169" s="32"/>
      <c r="DG169" s="32"/>
      <c r="DH169" s="34"/>
      <c r="DI169" s="34"/>
      <c r="DJ169" s="34"/>
      <c r="DK169" s="34"/>
      <c r="DL169" s="34"/>
      <c r="DM169" s="32"/>
      <c r="DN169" s="34"/>
      <c r="DO169" s="34"/>
      <c r="DP169" s="34"/>
      <c r="DQ169" s="34"/>
      <c r="DR169" s="32"/>
      <c r="DS169" s="32"/>
      <c r="DT169" s="32"/>
      <c r="DU169" s="32"/>
      <c r="DV169" s="32"/>
      <c r="DW169" s="34"/>
      <c r="DX169" s="34"/>
      <c r="DY169" s="34"/>
      <c r="DZ169" s="34"/>
      <c r="EA169" s="32"/>
      <c r="EB169" s="34"/>
      <c r="EC169" s="34"/>
      <c r="ED169" s="34"/>
      <c r="EE169" s="34"/>
      <c r="EF169" s="34"/>
      <c r="EG169" s="34"/>
      <c r="EH169" s="34"/>
      <c r="EI169" s="34"/>
      <c r="EJ169" s="32"/>
      <c r="EK169" s="34"/>
      <c r="EL169" s="34"/>
      <c r="EM169" s="34"/>
      <c r="EN169" s="34"/>
      <c r="EO169" s="34"/>
      <c r="EP169" s="34"/>
      <c r="EQ169" s="34"/>
      <c r="ER169" s="34"/>
      <c r="ES169" s="34"/>
      <c r="ET169" s="32"/>
      <c r="EU169" s="32"/>
      <c r="EV169" s="32"/>
      <c r="EW169" s="34"/>
      <c r="EX169" s="34"/>
      <c r="EY169" s="34"/>
      <c r="EZ169" s="34"/>
      <c r="FA169" s="34"/>
      <c r="FB169" s="32"/>
      <c r="FC169" s="34"/>
      <c r="FD169" s="34"/>
      <c r="FE169" s="34"/>
      <c r="FF169" s="32"/>
      <c r="FG169" s="34"/>
      <c r="FH169" s="34"/>
      <c r="FI169" s="34"/>
      <c r="FJ169" s="34"/>
      <c r="FK169" s="34"/>
      <c r="FL169" s="34"/>
      <c r="FM169" s="34"/>
      <c r="FN169" s="34"/>
      <c r="FO169" s="34"/>
      <c r="FP169" s="34"/>
      <c r="FQ169" s="34"/>
      <c r="FR169" s="32"/>
      <c r="FS169" s="32"/>
      <c r="FT169" s="34"/>
      <c r="FU169" s="34"/>
      <c r="FV169" s="34"/>
      <c r="FW169" s="34"/>
      <c r="FX169" s="34"/>
      <c r="FY169" s="34"/>
      <c r="FZ169" s="34"/>
      <c r="GA169" s="32"/>
      <c r="GB169" s="34"/>
      <c r="GC169" s="34"/>
      <c r="GD169" s="34"/>
      <c r="GE169" s="32"/>
      <c r="GF169" s="32"/>
      <c r="GG169" s="32"/>
      <c r="GH169" s="34"/>
      <c r="GI169" s="34"/>
      <c r="GJ169" s="34"/>
      <c r="GK169" s="34"/>
      <c r="GL169" s="34"/>
      <c r="GM169" s="34"/>
      <c r="GN169" s="34"/>
      <c r="GO169" s="34"/>
      <c r="GP169" s="34"/>
      <c r="GQ169" s="34"/>
      <c r="GR169" s="34"/>
      <c r="GS169" s="34"/>
      <c r="GT169" s="34"/>
      <c r="GU169" s="34"/>
      <c r="GV169" s="34"/>
      <c r="GW169" s="34"/>
      <c r="GX169" s="34"/>
      <c r="GY169" s="34"/>
      <c r="GZ169" s="34"/>
      <c r="HA169" s="34"/>
      <c r="HB169" s="34"/>
      <c r="HC169" s="34"/>
      <c r="HD169" s="34"/>
      <c r="HE169" s="34"/>
      <c r="HF169" s="34"/>
      <c r="HG169" s="34"/>
      <c r="HH169" s="34"/>
      <c r="HI169" s="34"/>
    </row>
    <row r="170">
      <c r="A170" s="41">
        <v>43236.0</v>
      </c>
      <c r="B170" s="42" t="s">
        <v>259</v>
      </c>
      <c r="C170" s="28">
        <v>161.0</v>
      </c>
      <c r="D170" s="42">
        <v>19.737894</v>
      </c>
      <c r="E170" s="42">
        <v>-155.034058</v>
      </c>
      <c r="F170" s="42" t="s">
        <v>358</v>
      </c>
      <c r="G170" s="43">
        <v>0.375</v>
      </c>
      <c r="H170" s="43">
        <v>0.4166666666666667</v>
      </c>
      <c r="I170" s="42">
        <v>7.0</v>
      </c>
      <c r="J170" s="42">
        <v>20.0</v>
      </c>
      <c r="K170" s="42" t="s">
        <v>198</v>
      </c>
      <c r="L170" s="42">
        <v>4.0</v>
      </c>
      <c r="M170" s="42">
        <v>16.0</v>
      </c>
      <c r="N170" s="42" t="s">
        <v>530</v>
      </c>
      <c r="O170" s="44"/>
      <c r="P170" s="42"/>
      <c r="Q170" s="44"/>
      <c r="R170" s="44"/>
      <c r="S170" s="44"/>
      <c r="T170" s="44"/>
      <c r="U170" s="42"/>
      <c r="V170" s="42"/>
      <c r="W170" s="42"/>
      <c r="X170" s="42"/>
      <c r="Y170" s="44"/>
      <c r="Z170" s="44"/>
      <c r="AA170" s="42"/>
      <c r="AB170" s="42"/>
      <c r="AC170" s="42"/>
      <c r="AD170" s="42"/>
      <c r="AE170" s="44"/>
      <c r="AF170" s="44"/>
      <c r="AG170" s="44"/>
      <c r="AH170" s="44"/>
      <c r="AI170" s="42"/>
      <c r="AJ170" s="44"/>
      <c r="AK170" s="44"/>
      <c r="AL170" s="42"/>
      <c r="AM170" s="42"/>
      <c r="AN170" s="42"/>
      <c r="AO170" s="44"/>
      <c r="AP170" s="44"/>
      <c r="AQ170" s="44"/>
      <c r="AR170" s="44"/>
      <c r="AS170" s="44"/>
      <c r="AT170" s="42"/>
      <c r="AU170" s="44"/>
      <c r="AV170" s="44"/>
      <c r="AW170" s="44"/>
      <c r="AX170" s="44"/>
      <c r="AY170" s="44"/>
      <c r="AZ170" s="44"/>
      <c r="BA170" s="42"/>
      <c r="BB170" s="42"/>
      <c r="BC170" s="44"/>
      <c r="BD170" s="44"/>
      <c r="BE170" s="42"/>
      <c r="BF170" s="44"/>
      <c r="BG170" s="44"/>
      <c r="BH170" s="42">
        <v>35.0</v>
      </c>
      <c r="BI170" s="44"/>
      <c r="BJ170" s="44"/>
      <c r="BK170" s="42">
        <v>4.0</v>
      </c>
      <c r="BL170" s="44"/>
      <c r="BM170" s="42">
        <v>68.0</v>
      </c>
      <c r="BN170" s="42"/>
      <c r="BO170" s="44"/>
      <c r="BP170" s="44"/>
      <c r="BQ170" s="44"/>
      <c r="BR170" s="44"/>
      <c r="BS170" s="44"/>
      <c r="BT170" s="42"/>
      <c r="BU170" s="44"/>
      <c r="BV170" s="42"/>
      <c r="BW170" s="42"/>
      <c r="BX170" s="44"/>
      <c r="BY170" s="44"/>
      <c r="BZ170" s="42"/>
      <c r="CA170" s="44"/>
      <c r="CB170" s="44"/>
      <c r="CC170" s="42">
        <v>2.0</v>
      </c>
      <c r="CD170" s="42"/>
      <c r="CE170" s="44"/>
      <c r="CF170" s="42"/>
      <c r="CG170" s="44"/>
      <c r="CH170" s="44"/>
      <c r="CI170" s="44"/>
      <c r="CJ170" s="42"/>
      <c r="CK170" s="42"/>
      <c r="CL170" s="44"/>
      <c r="CM170" s="44"/>
      <c r="CN170" s="44"/>
      <c r="CO170" s="44"/>
      <c r="CP170" s="44"/>
      <c r="CQ170" s="44"/>
      <c r="CR170" s="44"/>
      <c r="CS170" s="42"/>
      <c r="CT170" s="44"/>
      <c r="CU170" s="42">
        <v>1.0</v>
      </c>
      <c r="CV170" s="42">
        <v>10.0</v>
      </c>
      <c r="CW170" s="44"/>
      <c r="CX170" s="44"/>
      <c r="CY170" s="44"/>
      <c r="CZ170" s="44"/>
      <c r="DA170" s="44"/>
      <c r="DB170" s="44"/>
      <c r="DC170" s="44"/>
      <c r="DD170" s="42"/>
      <c r="DE170" s="44"/>
      <c r="DF170" s="42"/>
      <c r="DG170" s="42"/>
      <c r="DH170" s="42">
        <v>4.0</v>
      </c>
      <c r="DI170" s="44"/>
      <c r="DJ170" s="42">
        <v>6.0</v>
      </c>
      <c r="DK170" s="44"/>
      <c r="DL170" s="44"/>
      <c r="DM170" s="42"/>
      <c r="DN170" s="44"/>
      <c r="DO170" s="44"/>
      <c r="DP170" s="42">
        <v>4.0</v>
      </c>
      <c r="DQ170" s="44"/>
      <c r="DR170" s="42"/>
      <c r="DS170" s="42"/>
      <c r="DT170" s="42"/>
      <c r="DU170" s="42"/>
      <c r="DV170" s="42"/>
      <c r="DW170" s="44"/>
      <c r="DX170" s="44"/>
      <c r="DY170" s="44"/>
      <c r="DZ170" s="44"/>
      <c r="EA170" s="42"/>
      <c r="EB170" s="44"/>
      <c r="EC170" s="42">
        <v>7.0</v>
      </c>
      <c r="ED170" s="42">
        <v>13.0</v>
      </c>
      <c r="EE170" s="44"/>
      <c r="EF170" s="44"/>
      <c r="EG170" s="44"/>
      <c r="EH170" s="44"/>
      <c r="EI170" s="44"/>
      <c r="EJ170" s="42"/>
      <c r="EK170" s="44"/>
      <c r="EL170" s="44"/>
      <c r="EM170" s="44"/>
      <c r="EN170" s="44"/>
      <c r="EO170" s="44"/>
      <c r="EP170" s="44"/>
      <c r="EQ170" s="44"/>
      <c r="ER170" s="44"/>
      <c r="ES170" s="44"/>
      <c r="ET170" s="42"/>
      <c r="EU170" s="42"/>
      <c r="EV170" s="42"/>
      <c r="EW170" s="44"/>
      <c r="EX170" s="44"/>
      <c r="EY170" s="44"/>
      <c r="EZ170" s="44"/>
      <c r="FA170" s="44"/>
      <c r="FB170" s="42"/>
      <c r="FC170" s="42">
        <v>3.0</v>
      </c>
      <c r="FD170" s="44"/>
      <c r="FE170" s="44"/>
      <c r="FF170" s="42"/>
      <c r="FG170" s="44"/>
      <c r="FH170" s="44"/>
      <c r="FI170" s="44"/>
      <c r="FJ170" s="44"/>
      <c r="FK170" s="44"/>
      <c r="FL170" s="44"/>
      <c r="FM170" s="42">
        <v>12.0</v>
      </c>
      <c r="FN170" s="44"/>
      <c r="FO170" s="44"/>
      <c r="FP170" s="44"/>
      <c r="FQ170" s="44"/>
      <c r="FR170" s="42"/>
      <c r="FS170" s="42">
        <v>56.0</v>
      </c>
      <c r="FT170" s="44"/>
      <c r="FU170" s="44"/>
      <c r="FV170" s="44"/>
      <c r="FW170" s="42">
        <v>1.0</v>
      </c>
      <c r="FX170" s="44"/>
      <c r="FY170" s="44"/>
      <c r="FZ170" s="44"/>
      <c r="GA170" s="42"/>
      <c r="GB170" s="44"/>
      <c r="GC170" s="44"/>
      <c r="GD170" s="44"/>
      <c r="GE170" s="42"/>
      <c r="GF170" s="42"/>
      <c r="GG170" s="42">
        <v>1.0</v>
      </c>
      <c r="GH170" s="44"/>
      <c r="GI170" s="44"/>
      <c r="GJ170" s="44"/>
      <c r="GK170" s="44"/>
      <c r="GL170" s="44"/>
      <c r="GM170" s="44"/>
      <c r="GN170" s="44"/>
      <c r="GO170" s="44"/>
      <c r="GP170" s="44"/>
      <c r="GQ170" s="44"/>
      <c r="GR170" s="44"/>
      <c r="GS170" s="44"/>
      <c r="GT170" s="44"/>
      <c r="GU170" s="44"/>
      <c r="GV170" s="44"/>
      <c r="GW170" s="44"/>
      <c r="GX170" s="44"/>
      <c r="GY170" s="44"/>
      <c r="GZ170" s="44"/>
      <c r="HA170" s="44"/>
      <c r="HB170" s="44"/>
      <c r="HC170" s="44"/>
      <c r="HD170" s="44"/>
      <c r="HE170" s="44"/>
      <c r="HF170" s="44"/>
      <c r="HG170" s="44"/>
      <c r="HH170" s="44"/>
      <c r="HI170" s="44"/>
    </row>
    <row r="171">
      <c r="A171" s="23">
        <v>43236.0</v>
      </c>
      <c r="B171" s="4" t="s">
        <v>266</v>
      </c>
      <c r="C171" s="28">
        <f t="shared" ref="C171:C174" si="95">C170+1</f>
        <v>162</v>
      </c>
      <c r="D171" s="4">
        <v>22.060684</v>
      </c>
      <c r="E171" s="4">
        <v>-159.318512</v>
      </c>
      <c r="F171" s="4" t="s">
        <v>347</v>
      </c>
      <c r="G171" s="24">
        <v>0.40625</v>
      </c>
      <c r="H171" s="24">
        <v>0.45555555555555555</v>
      </c>
      <c r="I171" s="4">
        <v>10.0</v>
      </c>
      <c r="J171" s="4">
        <v>7.0</v>
      </c>
      <c r="K171" s="4" t="s">
        <v>198</v>
      </c>
      <c r="L171" s="4">
        <v>10.0</v>
      </c>
      <c r="M171" s="4">
        <v>69.0</v>
      </c>
      <c r="N171" s="4" t="s">
        <v>433</v>
      </c>
      <c r="P171" s="4">
        <v>69.0</v>
      </c>
      <c r="U171" s="4"/>
      <c r="V171" s="4"/>
      <c r="W171" s="4"/>
      <c r="X171" s="4">
        <v>1.0</v>
      </c>
      <c r="AA171" s="4"/>
      <c r="AB171" s="4">
        <v>3.0</v>
      </c>
      <c r="AC171" s="4">
        <v>1.0</v>
      </c>
      <c r="AD171" s="4">
        <v>11.0</v>
      </c>
      <c r="AI171" s="4">
        <v>1.0</v>
      </c>
      <c r="AL171" s="4"/>
      <c r="AM171" s="4">
        <v>52.0</v>
      </c>
      <c r="AN171" s="4">
        <v>1.0</v>
      </c>
      <c r="AT171" s="4">
        <v>2.0</v>
      </c>
      <c r="BA171" s="4"/>
      <c r="BB171" s="4">
        <v>3.0</v>
      </c>
      <c r="BE171" s="4">
        <v>5.0</v>
      </c>
      <c r="BK171" s="4">
        <v>15.0</v>
      </c>
      <c r="BN171" s="4">
        <v>21.0</v>
      </c>
      <c r="BT171" s="4">
        <v>7.0</v>
      </c>
      <c r="BV171" s="4">
        <v>43.0</v>
      </c>
      <c r="BW171" s="4">
        <v>4.0</v>
      </c>
      <c r="BZ171" s="4">
        <v>4.0</v>
      </c>
      <c r="CD171" s="4">
        <v>7.0</v>
      </c>
      <c r="CF171" s="4">
        <v>3.0</v>
      </c>
      <c r="CJ171" s="4"/>
      <c r="CK171" s="4">
        <v>2.0</v>
      </c>
      <c r="CS171" s="4">
        <v>5.0</v>
      </c>
      <c r="DD171" s="4">
        <v>1.0</v>
      </c>
      <c r="DF171" s="4"/>
      <c r="DG171" s="4">
        <v>2.0</v>
      </c>
      <c r="DM171" s="4">
        <v>16.0</v>
      </c>
      <c r="DR171" s="4"/>
      <c r="DS171" s="4">
        <v>71.0</v>
      </c>
      <c r="DT171" s="4"/>
      <c r="DU171" s="4"/>
      <c r="DV171" s="4">
        <v>37.0</v>
      </c>
      <c r="EA171" s="4">
        <v>3.0</v>
      </c>
      <c r="EJ171" s="4">
        <v>193.0</v>
      </c>
      <c r="ET171" s="4"/>
      <c r="EU171" s="4"/>
      <c r="EV171" s="4">
        <v>1.0</v>
      </c>
      <c r="FB171" s="4">
        <v>6.0</v>
      </c>
      <c r="FF171" s="4">
        <v>19.0</v>
      </c>
      <c r="FR171" s="4">
        <v>26.0</v>
      </c>
      <c r="FS171" s="4">
        <v>649.0</v>
      </c>
      <c r="GA171" s="4">
        <v>5.0</v>
      </c>
      <c r="GE171" s="4"/>
      <c r="GF171" s="4">
        <v>1.0</v>
      </c>
      <c r="GG171" s="4">
        <v>4.0</v>
      </c>
      <c r="GH171" s="25">
        <f>count(R171:GG171)</f>
        <v>35</v>
      </c>
      <c r="GI171" s="25">
        <f>countif(R171:GG171,"&gt;=2")</f>
        <v>28</v>
      </c>
      <c r="GJ171" s="25">
        <f>countif(R171:GG171,"&gt;=5")</f>
        <v>18</v>
      </c>
      <c r="GK171" s="25">
        <f>sum(R171:GG171)</f>
        <v>1225</v>
      </c>
      <c r="GL171" s="25">
        <f>25*P171</f>
        <v>1725</v>
      </c>
      <c r="GM171" s="25">
        <f>GL171-GK171</f>
        <v>500</v>
      </c>
    </row>
    <row r="172">
      <c r="A172" s="41">
        <v>43237.0</v>
      </c>
      <c r="B172" s="42" t="s">
        <v>216</v>
      </c>
      <c r="C172" s="28">
        <f t="shared" si="95"/>
        <v>163</v>
      </c>
      <c r="D172" s="42">
        <v>21.3002</v>
      </c>
      <c r="E172" s="42">
        <v>-157.882599</v>
      </c>
      <c r="F172" s="42" t="s">
        <v>413</v>
      </c>
      <c r="G172" s="43">
        <v>0.375</v>
      </c>
      <c r="H172" s="43">
        <v>0.4583333333333333</v>
      </c>
      <c r="I172" s="42">
        <v>7.0</v>
      </c>
      <c r="J172" s="42">
        <v>15.0</v>
      </c>
      <c r="K172" s="42" t="s">
        <v>198</v>
      </c>
      <c r="L172" s="42">
        <v>5.0</v>
      </c>
      <c r="M172" s="42">
        <v>26.0</v>
      </c>
      <c r="N172" s="42" t="s">
        <v>531</v>
      </c>
      <c r="O172" s="44"/>
      <c r="P172" s="42"/>
      <c r="Q172" s="44"/>
      <c r="R172" s="42"/>
      <c r="S172" s="44"/>
      <c r="T172" s="44"/>
      <c r="U172" s="44"/>
      <c r="V172" s="44"/>
      <c r="W172" s="44"/>
      <c r="X172" s="44"/>
      <c r="Y172" s="44"/>
      <c r="Z172" s="42">
        <v>5.0</v>
      </c>
      <c r="AA172" s="44"/>
      <c r="AB172" s="42">
        <v>74.0</v>
      </c>
      <c r="AC172" s="42">
        <v>1.0</v>
      </c>
      <c r="AD172" s="44"/>
      <c r="AE172" s="44"/>
      <c r="AF172" s="44"/>
      <c r="AG172" s="44"/>
      <c r="AH172" s="44"/>
      <c r="AI172" s="42"/>
      <c r="AJ172" s="44"/>
      <c r="AK172" s="44"/>
      <c r="AL172" s="42"/>
      <c r="AM172" s="42">
        <v>1.0</v>
      </c>
      <c r="AN172" s="44"/>
      <c r="AO172" s="42"/>
      <c r="AP172" s="42"/>
      <c r="AQ172" s="44"/>
      <c r="AR172" s="44"/>
      <c r="AS172" s="44"/>
      <c r="AT172" s="44"/>
      <c r="AU172" s="44"/>
      <c r="AV172" s="44"/>
      <c r="AW172" s="44"/>
      <c r="AX172" s="44"/>
      <c r="AY172" s="44"/>
      <c r="AZ172" s="42"/>
      <c r="BA172" s="44"/>
      <c r="BB172" s="44"/>
      <c r="BC172" s="42">
        <v>2.0</v>
      </c>
      <c r="BD172" s="44"/>
      <c r="BE172" s="42">
        <v>7.0</v>
      </c>
      <c r="BF172" s="44"/>
      <c r="BG172" s="44"/>
      <c r="BH172" s="44"/>
      <c r="BI172" s="44"/>
      <c r="BJ172" s="44"/>
      <c r="BK172" s="44"/>
      <c r="BL172" s="42"/>
      <c r="BM172" s="42">
        <v>1.0</v>
      </c>
      <c r="BN172" s="44"/>
      <c r="BO172" s="44"/>
      <c r="BP172" s="44"/>
      <c r="BQ172" s="42"/>
      <c r="BR172" s="44"/>
      <c r="BS172" s="44"/>
      <c r="BT172" s="42">
        <v>2.0</v>
      </c>
      <c r="BU172" s="44"/>
      <c r="BV172" s="44"/>
      <c r="BW172" s="42"/>
      <c r="BX172" s="42"/>
      <c r="BY172" s="44"/>
      <c r="BZ172" s="42">
        <v>17.0</v>
      </c>
      <c r="CA172" s="44"/>
      <c r="CB172" s="44"/>
      <c r="CC172" s="44"/>
      <c r="CD172" s="44"/>
      <c r="CE172" s="44"/>
      <c r="CF172" s="42">
        <v>2.0</v>
      </c>
      <c r="CG172" s="44"/>
      <c r="CH172" s="44"/>
      <c r="CI172" s="42"/>
      <c r="CJ172" s="42"/>
      <c r="CK172" s="42"/>
      <c r="CL172" s="44"/>
      <c r="CM172" s="44"/>
      <c r="CN172" s="44"/>
      <c r="CO172" s="44"/>
      <c r="CP172" s="44"/>
      <c r="CQ172" s="44"/>
      <c r="CR172" s="44"/>
      <c r="CS172" s="42"/>
      <c r="CT172" s="44"/>
      <c r="CU172" s="44"/>
      <c r="CV172" s="44"/>
      <c r="CW172" s="44"/>
      <c r="CX172" s="44"/>
      <c r="CY172" s="44"/>
      <c r="CZ172" s="44"/>
      <c r="DA172" s="44"/>
      <c r="DB172" s="44"/>
      <c r="DC172" s="44"/>
      <c r="DD172" s="42"/>
      <c r="DE172" s="44"/>
      <c r="DF172" s="42"/>
      <c r="DG172" s="42">
        <v>1.0</v>
      </c>
      <c r="DH172" s="44"/>
      <c r="DI172" s="44"/>
      <c r="DJ172" s="44"/>
      <c r="DK172" s="44"/>
      <c r="DL172" s="44"/>
      <c r="DM172" s="44"/>
      <c r="DN172" s="44"/>
      <c r="DO172" s="44"/>
      <c r="DP172" s="44"/>
      <c r="DQ172" s="44"/>
      <c r="DR172" s="42"/>
      <c r="DS172" s="42"/>
      <c r="DT172" s="42"/>
      <c r="DU172" s="42"/>
      <c r="DV172" s="42"/>
      <c r="DW172" s="44"/>
      <c r="DX172" s="44"/>
      <c r="DY172" s="44"/>
      <c r="DZ172" s="42"/>
      <c r="EA172" s="44"/>
      <c r="EB172" s="44"/>
      <c r="EC172" s="42">
        <v>5.0</v>
      </c>
      <c r="ED172" s="44"/>
      <c r="EE172" s="44"/>
      <c r="EF172" s="44"/>
      <c r="EG172" s="44"/>
      <c r="EH172" s="44"/>
      <c r="EI172" s="44"/>
      <c r="EJ172" s="42"/>
      <c r="EK172" s="44"/>
      <c r="EL172" s="44"/>
      <c r="EM172" s="44"/>
      <c r="EN172" s="44"/>
      <c r="EO172" s="44"/>
      <c r="EP172" s="44"/>
      <c r="EQ172" s="44"/>
      <c r="ER172" s="44"/>
      <c r="ES172" s="44"/>
      <c r="ET172" s="44"/>
      <c r="EU172" s="44"/>
      <c r="EV172" s="44"/>
      <c r="EW172" s="44"/>
      <c r="EX172" s="42"/>
      <c r="EY172" s="44"/>
      <c r="EZ172" s="44"/>
      <c r="FA172" s="44"/>
      <c r="FB172" s="42"/>
      <c r="FC172" s="44"/>
      <c r="FD172" s="44"/>
      <c r="FE172" s="44"/>
      <c r="FF172" s="44"/>
      <c r="FG172" s="44"/>
      <c r="FH172" s="44"/>
      <c r="FI172" s="44"/>
      <c r="FJ172" s="44"/>
      <c r="FK172" s="44"/>
      <c r="FL172" s="44"/>
      <c r="FM172" s="42"/>
      <c r="FN172" s="44"/>
      <c r="FO172" s="44"/>
      <c r="FP172" s="44"/>
      <c r="FQ172" s="44"/>
      <c r="FR172" s="44"/>
      <c r="FS172" s="42">
        <v>138.0</v>
      </c>
      <c r="FT172" s="44"/>
      <c r="FU172" s="44"/>
      <c r="FV172" s="44"/>
      <c r="FW172" s="44"/>
      <c r="FX172" s="44"/>
      <c r="FY172" s="44"/>
      <c r="FZ172" s="44"/>
      <c r="GA172" s="44"/>
      <c r="GB172" s="44"/>
      <c r="GC172" s="44"/>
      <c r="GD172" s="44"/>
      <c r="GE172" s="44"/>
      <c r="GF172" s="44"/>
      <c r="GG172" s="44"/>
      <c r="GH172" s="44"/>
      <c r="GI172" s="44"/>
      <c r="GJ172" s="44"/>
      <c r="GK172" s="44"/>
      <c r="GL172" s="44"/>
      <c r="GM172" s="44"/>
      <c r="GN172" s="44"/>
      <c r="GO172" s="44"/>
      <c r="GP172" s="44"/>
      <c r="GQ172" s="44"/>
      <c r="GR172" s="44"/>
      <c r="GS172" s="44"/>
      <c r="GT172" s="44"/>
      <c r="GU172" s="44"/>
      <c r="GV172" s="44"/>
      <c r="GW172" s="44"/>
      <c r="GX172" s="44"/>
      <c r="GY172" s="44"/>
      <c r="GZ172" s="44"/>
      <c r="HA172" s="44"/>
      <c r="HB172" s="44"/>
      <c r="HC172" s="44"/>
      <c r="HD172" s="44"/>
      <c r="HE172" s="44"/>
      <c r="HF172" s="44"/>
      <c r="HG172" s="44"/>
      <c r="HH172" s="44"/>
      <c r="HI172" s="44"/>
    </row>
    <row r="173">
      <c r="A173" s="23">
        <v>43238.0</v>
      </c>
      <c r="B173" s="4" t="s">
        <v>201</v>
      </c>
      <c r="C173" s="28">
        <f t="shared" si="95"/>
        <v>164</v>
      </c>
      <c r="D173" s="4">
        <v>21.25544</v>
      </c>
      <c r="E173" s="4">
        <v>-157.810303</v>
      </c>
      <c r="F173" s="4" t="s">
        <v>325</v>
      </c>
      <c r="G173" s="24">
        <v>0.4270833333333333</v>
      </c>
      <c r="H173" s="24">
        <v>0.4673611111111111</v>
      </c>
      <c r="I173" s="4">
        <v>5.0</v>
      </c>
      <c r="J173" s="4">
        <v>10.0</v>
      </c>
      <c r="K173" s="4" t="s">
        <v>318</v>
      </c>
      <c r="L173" s="4">
        <v>5.0</v>
      </c>
      <c r="M173" s="4">
        <v>25.0</v>
      </c>
      <c r="P173" s="4">
        <v>25.0</v>
      </c>
      <c r="R173" s="4">
        <v>5.0</v>
      </c>
      <c r="AI173" s="4">
        <v>18.0</v>
      </c>
      <c r="AL173" s="4">
        <v>1.0</v>
      </c>
      <c r="AO173" s="4"/>
      <c r="AP173" s="4">
        <v>1.0</v>
      </c>
      <c r="AZ173" s="4">
        <v>1.0</v>
      </c>
      <c r="BC173" s="4">
        <v>1.0</v>
      </c>
      <c r="BL173" s="4">
        <v>1.0</v>
      </c>
      <c r="BM173" s="4">
        <v>8.0</v>
      </c>
      <c r="BQ173" s="4">
        <v>14.0</v>
      </c>
      <c r="BW173" s="4">
        <v>3.0</v>
      </c>
      <c r="BX173" s="4">
        <v>1.0</v>
      </c>
      <c r="CI173" s="4">
        <v>1.0</v>
      </c>
      <c r="CJ173" s="4"/>
      <c r="CK173" s="4">
        <v>1.0</v>
      </c>
      <c r="CS173" s="4">
        <v>1.0</v>
      </c>
      <c r="DD173" s="4">
        <v>8.0</v>
      </c>
      <c r="DF173" s="4"/>
      <c r="DG173" s="4">
        <v>2.0</v>
      </c>
      <c r="DR173" s="4"/>
      <c r="DS173" s="4">
        <v>7.0</v>
      </c>
      <c r="DT173" s="4"/>
      <c r="DU173" s="4"/>
      <c r="DV173" s="4">
        <v>5.0</v>
      </c>
      <c r="DZ173" s="4">
        <v>1.0</v>
      </c>
      <c r="EC173" s="4">
        <v>1.0</v>
      </c>
      <c r="EJ173" s="4">
        <v>156.0</v>
      </c>
      <c r="EX173" s="4">
        <v>2.0</v>
      </c>
      <c r="FB173" s="4">
        <v>1.0</v>
      </c>
      <c r="FM173" s="4">
        <v>5.0</v>
      </c>
      <c r="FS173" s="4">
        <v>320.0</v>
      </c>
      <c r="GH173" s="25">
        <f t="shared" ref="GH173:GH174" si="96">count(R173:GG173)</f>
        <v>25</v>
      </c>
      <c r="GI173" s="25">
        <f t="shared" ref="GI173:GI174" si="97">countif(R173:GG173,"&gt;=2")</f>
        <v>13</v>
      </c>
      <c r="GJ173" s="25">
        <f t="shared" ref="GJ173:GJ174" si="98">countif(R173:GG173,"&gt;=5")</f>
        <v>10</v>
      </c>
      <c r="GK173" s="25">
        <f t="shared" ref="GK173:GK174" si="99">sum(R173:GG173)</f>
        <v>565</v>
      </c>
      <c r="GL173" s="25">
        <f t="shared" ref="GL173:GL174" si="100">25*P173</f>
        <v>625</v>
      </c>
      <c r="GM173" s="25">
        <f t="shared" ref="GM173:GM174" si="101">GL173-GK173</f>
        <v>60</v>
      </c>
    </row>
    <row r="174">
      <c r="A174" s="37">
        <v>43238.0</v>
      </c>
      <c r="B174" s="38" t="s">
        <v>259</v>
      </c>
      <c r="C174" s="28">
        <f t="shared" si="95"/>
        <v>165</v>
      </c>
      <c r="D174" s="38">
        <v>19.737894</v>
      </c>
      <c r="E174" s="38">
        <v>-155.034058</v>
      </c>
      <c r="F174" s="38" t="s">
        <v>358</v>
      </c>
      <c r="G174" s="39">
        <v>0.3888888888888889</v>
      </c>
      <c r="H174" s="39">
        <v>0.4166666666666667</v>
      </c>
      <c r="I174" s="38">
        <v>7.0</v>
      </c>
      <c r="J174" s="38">
        <v>20.0</v>
      </c>
      <c r="K174" s="38" t="s">
        <v>198</v>
      </c>
      <c r="L174" s="38">
        <v>12.0</v>
      </c>
      <c r="M174" s="38">
        <v>52.0</v>
      </c>
      <c r="N174" s="38" t="s">
        <v>434</v>
      </c>
      <c r="O174" s="38"/>
      <c r="P174" s="38"/>
      <c r="Q174" s="40"/>
      <c r="R174" s="40"/>
      <c r="S174" s="38">
        <v>6.0</v>
      </c>
      <c r="T174" s="40"/>
      <c r="U174" s="40"/>
      <c r="V174" s="40"/>
      <c r="W174" s="40"/>
      <c r="X174" s="40"/>
      <c r="Y174" s="40"/>
      <c r="Z174" s="40"/>
      <c r="AA174" s="40"/>
      <c r="AB174" s="40"/>
      <c r="AC174" s="40"/>
      <c r="AD174" s="40"/>
      <c r="AE174" s="40"/>
      <c r="AF174" s="38">
        <v>15.0</v>
      </c>
      <c r="AG174" s="38">
        <v>49.0</v>
      </c>
      <c r="AH174" s="40"/>
      <c r="AI174" s="40"/>
      <c r="AJ174" s="40"/>
      <c r="AK174" s="40"/>
      <c r="AL174" s="38">
        <v>5.0</v>
      </c>
      <c r="AM174" s="40"/>
      <c r="AN174" s="40"/>
      <c r="AO174" s="38"/>
      <c r="AP174" s="38">
        <v>1.0</v>
      </c>
      <c r="AQ174" s="40"/>
      <c r="AR174" s="40"/>
      <c r="AS174" s="40"/>
      <c r="AT174" s="40"/>
      <c r="AU174" s="40"/>
      <c r="AV174" s="40"/>
      <c r="AW174" s="40"/>
      <c r="AX174" s="40"/>
      <c r="AY174" s="40"/>
      <c r="AZ174" s="40"/>
      <c r="BA174" s="38"/>
      <c r="BB174" s="38">
        <v>11.0</v>
      </c>
      <c r="BC174" s="40"/>
      <c r="BD174" s="40"/>
      <c r="BE174" s="40"/>
      <c r="BF174" s="40"/>
      <c r="BG174" s="40"/>
      <c r="BH174" s="40"/>
      <c r="BI174" s="40"/>
      <c r="BJ174" s="40"/>
      <c r="BK174" s="38">
        <v>6.0</v>
      </c>
      <c r="BL174" s="38">
        <v>4.0</v>
      </c>
      <c r="BM174" s="38">
        <v>155.0</v>
      </c>
      <c r="BN174" s="40"/>
      <c r="BO174" s="40"/>
      <c r="BP174" s="40"/>
      <c r="BQ174" s="40"/>
      <c r="BR174" s="40"/>
      <c r="BS174" s="40"/>
      <c r="BT174" s="40"/>
      <c r="BU174" s="40"/>
      <c r="BV174" s="40"/>
      <c r="BW174" s="40"/>
      <c r="BX174" s="40"/>
      <c r="BY174" s="40"/>
      <c r="BZ174" s="40"/>
      <c r="CA174" s="40"/>
      <c r="CB174" s="40"/>
      <c r="CC174" s="38">
        <v>31.0</v>
      </c>
      <c r="CD174" s="38">
        <v>1.0</v>
      </c>
      <c r="CE174" s="40"/>
      <c r="CF174" s="40"/>
      <c r="CG174" s="40"/>
      <c r="CH174" s="40"/>
      <c r="CI174" s="40"/>
      <c r="CJ174" s="40"/>
      <c r="CK174" s="40"/>
      <c r="CL174" s="40"/>
      <c r="CM174" s="40"/>
      <c r="CN174" s="40"/>
      <c r="CO174" s="40"/>
      <c r="CP174" s="40"/>
      <c r="CQ174" s="40"/>
      <c r="CR174" s="40"/>
      <c r="CS174" s="40"/>
      <c r="CT174" s="40"/>
      <c r="CU174" s="38">
        <v>6.0</v>
      </c>
      <c r="CV174" s="40"/>
      <c r="CW174" s="40"/>
      <c r="CX174" s="40"/>
      <c r="CY174" s="40"/>
      <c r="CZ174" s="40"/>
      <c r="DA174" s="40"/>
      <c r="DB174" s="40"/>
      <c r="DC174" s="40"/>
      <c r="DD174" s="40"/>
      <c r="DE174" s="40"/>
      <c r="DF174" s="40"/>
      <c r="DG174" s="40"/>
      <c r="DH174" s="38">
        <v>8.0</v>
      </c>
      <c r="DI174" s="40"/>
      <c r="DJ174" s="40"/>
      <c r="DK174" s="40"/>
      <c r="DL174" s="40"/>
      <c r="DM174" s="40"/>
      <c r="DN174" s="40"/>
      <c r="DO174" s="40"/>
      <c r="DP174" s="40"/>
      <c r="DQ174" s="40"/>
      <c r="DR174" s="40"/>
      <c r="DS174" s="40"/>
      <c r="DT174" s="40"/>
      <c r="DU174" s="40"/>
      <c r="DV174" s="40"/>
      <c r="DW174" s="40"/>
      <c r="DX174" s="40"/>
      <c r="DY174" s="40"/>
      <c r="DZ174" s="40"/>
      <c r="EA174" s="40"/>
      <c r="EB174" s="40"/>
      <c r="EC174" s="40"/>
      <c r="ED174" s="38">
        <v>52.0</v>
      </c>
      <c r="EE174" s="40"/>
      <c r="EF174" s="40"/>
      <c r="EG174" s="38"/>
      <c r="EH174" s="38"/>
      <c r="EI174" s="38">
        <v>1.0</v>
      </c>
      <c r="EJ174" s="40"/>
      <c r="EK174" s="40"/>
      <c r="EL174" s="40"/>
      <c r="EM174" s="40"/>
      <c r="EN174" s="40"/>
      <c r="EO174" s="40"/>
      <c r="EP174" s="40"/>
      <c r="EQ174" s="40"/>
      <c r="ER174" s="40"/>
      <c r="ES174" s="40"/>
      <c r="ET174" s="40"/>
      <c r="EU174" s="40"/>
      <c r="EV174" s="40"/>
      <c r="EW174" s="40"/>
      <c r="EX174" s="38">
        <v>25.0</v>
      </c>
      <c r="EY174" s="40"/>
      <c r="EZ174" s="40"/>
      <c r="FA174" s="40"/>
      <c r="FB174" s="40"/>
      <c r="FC174" s="38">
        <v>2.0</v>
      </c>
      <c r="FD174" s="40"/>
      <c r="FE174" s="40"/>
      <c r="FF174" s="38">
        <v>45.0</v>
      </c>
      <c r="FG174" s="40"/>
      <c r="FH174" s="40"/>
      <c r="FI174" s="40"/>
      <c r="FJ174" s="40"/>
      <c r="FK174" s="40"/>
      <c r="FL174" s="40"/>
      <c r="FM174" s="38">
        <v>31.0</v>
      </c>
      <c r="FN174" s="40"/>
      <c r="FO174" s="40"/>
      <c r="FP174" s="40"/>
      <c r="FQ174" s="38">
        <v>3.0</v>
      </c>
      <c r="FR174" s="40"/>
      <c r="FS174" s="38">
        <v>485.0</v>
      </c>
      <c r="FT174" s="38">
        <v>32.0</v>
      </c>
      <c r="FU174" s="40"/>
      <c r="FV174" s="38"/>
      <c r="FW174" s="38">
        <v>25.0</v>
      </c>
      <c r="FX174" s="40"/>
      <c r="FY174" s="40"/>
      <c r="FZ174" s="40"/>
      <c r="GA174" s="38">
        <v>67.0</v>
      </c>
      <c r="GB174" s="40"/>
      <c r="GC174" s="40"/>
      <c r="GD174" s="40"/>
      <c r="GE174" s="38"/>
      <c r="GF174" s="38">
        <v>4.0</v>
      </c>
      <c r="GG174" s="38">
        <v>1.0</v>
      </c>
      <c r="GH174" s="40">
        <f t="shared" si="96"/>
        <v>26</v>
      </c>
      <c r="GI174" s="40">
        <f t="shared" si="97"/>
        <v>22</v>
      </c>
      <c r="GJ174" s="40">
        <f t="shared" si="98"/>
        <v>18</v>
      </c>
      <c r="GK174" s="40">
        <f t="shared" si="99"/>
        <v>1071</v>
      </c>
      <c r="GL174" s="40">
        <f t="shared" si="100"/>
        <v>0</v>
      </c>
      <c r="GM174" s="40">
        <f t="shared" si="101"/>
        <v>-1071</v>
      </c>
      <c r="GN174" s="40"/>
      <c r="GO174" s="40"/>
      <c r="GP174" s="40"/>
      <c r="GQ174" s="40"/>
      <c r="GR174" s="40"/>
      <c r="GS174" s="40"/>
      <c r="GT174" s="40"/>
      <c r="GU174" s="40"/>
      <c r="GV174" s="40"/>
      <c r="GW174" s="40"/>
      <c r="GX174" s="40"/>
      <c r="GY174" s="40"/>
      <c r="GZ174" s="40"/>
      <c r="HA174" s="40"/>
      <c r="HB174" s="40"/>
      <c r="HC174" s="40"/>
      <c r="HD174" s="40"/>
      <c r="HE174" s="40"/>
      <c r="HF174" s="40"/>
      <c r="HG174" s="40"/>
      <c r="HH174" s="40"/>
      <c r="HI174" s="40"/>
    </row>
    <row r="175">
      <c r="A175" s="31">
        <v>43238.0</v>
      </c>
      <c r="B175" s="32" t="s">
        <v>246</v>
      </c>
      <c r="C175" s="28"/>
      <c r="D175" s="32"/>
      <c r="E175" s="32"/>
      <c r="F175" s="32"/>
      <c r="G175" s="33"/>
      <c r="H175" s="33"/>
      <c r="I175" s="32"/>
      <c r="J175" s="32"/>
      <c r="K175" s="32"/>
      <c r="L175" s="32"/>
      <c r="M175" s="32"/>
      <c r="N175" s="32"/>
      <c r="O175" s="32"/>
      <c r="P175" s="32"/>
      <c r="Q175" s="34"/>
      <c r="R175" s="32"/>
      <c r="S175" s="32"/>
      <c r="T175" s="34"/>
      <c r="U175" s="34"/>
      <c r="V175" s="34"/>
      <c r="W175" s="34"/>
      <c r="X175" s="34"/>
      <c r="Y175" s="34"/>
      <c r="Z175" s="34"/>
      <c r="AA175" s="34"/>
      <c r="AB175" s="34"/>
      <c r="AC175" s="32"/>
      <c r="AD175" s="34"/>
      <c r="AE175" s="34"/>
      <c r="AF175" s="34"/>
      <c r="AG175" s="34"/>
      <c r="AH175" s="34"/>
      <c r="AI175" s="34"/>
      <c r="AJ175" s="34"/>
      <c r="AK175" s="34"/>
      <c r="AL175" s="34"/>
      <c r="AM175" s="34"/>
      <c r="AN175" s="34"/>
      <c r="AO175" s="34"/>
      <c r="AP175" s="34"/>
      <c r="AQ175" s="34"/>
      <c r="AR175" s="34"/>
      <c r="AS175" s="34"/>
      <c r="AT175" s="34"/>
      <c r="AU175" s="34"/>
      <c r="AV175" s="34"/>
      <c r="AW175" s="34"/>
      <c r="AX175" s="34"/>
      <c r="AY175" s="34"/>
      <c r="AZ175" s="34"/>
      <c r="BA175" s="34"/>
      <c r="BB175" s="34"/>
      <c r="BC175" s="34"/>
      <c r="BD175" s="34"/>
      <c r="BE175" s="34"/>
      <c r="BF175" s="34"/>
      <c r="BG175" s="34"/>
      <c r="BH175" s="32"/>
      <c r="BI175" s="34"/>
      <c r="BJ175" s="34"/>
      <c r="BK175" s="32"/>
      <c r="BL175" s="32"/>
      <c r="BM175" s="32"/>
      <c r="BN175" s="32"/>
      <c r="BO175" s="34"/>
      <c r="BP175" s="34"/>
      <c r="BQ175" s="34"/>
      <c r="BR175" s="34"/>
      <c r="BS175" s="34"/>
      <c r="BT175" s="34"/>
      <c r="BU175" s="34"/>
      <c r="BV175" s="34"/>
      <c r="BW175" s="34"/>
      <c r="BX175" s="34"/>
      <c r="BY175" s="34"/>
      <c r="BZ175" s="34"/>
      <c r="CA175" s="32"/>
      <c r="CB175" s="34"/>
      <c r="CC175" s="32"/>
      <c r="CD175" s="34"/>
      <c r="CE175" s="34"/>
      <c r="CF175" s="34"/>
      <c r="CG175" s="34"/>
      <c r="CH175" s="34"/>
      <c r="CI175" s="34"/>
      <c r="CJ175" s="34"/>
      <c r="CK175" s="34"/>
      <c r="CL175" s="34"/>
      <c r="CM175" s="34"/>
      <c r="CN175" s="34"/>
      <c r="CO175" s="34"/>
      <c r="CP175" s="34"/>
      <c r="CQ175" s="34"/>
      <c r="CR175" s="34"/>
      <c r="CS175" s="34"/>
      <c r="CT175" s="34"/>
      <c r="CU175" s="34"/>
      <c r="CV175" s="34"/>
      <c r="CW175" s="34"/>
      <c r="CX175" s="34"/>
      <c r="CY175" s="34"/>
      <c r="CZ175" s="34"/>
      <c r="DA175" s="34"/>
      <c r="DB175" s="34"/>
      <c r="DC175" s="34"/>
      <c r="DD175" s="34"/>
      <c r="DE175" s="34"/>
      <c r="DF175" s="32"/>
      <c r="DG175" s="32"/>
      <c r="DH175" s="34"/>
      <c r="DI175" s="34"/>
      <c r="DJ175" s="34"/>
      <c r="DK175" s="34"/>
      <c r="DL175" s="34"/>
      <c r="DM175" s="32"/>
      <c r="DN175" s="34"/>
      <c r="DO175" s="32"/>
      <c r="DP175" s="34"/>
      <c r="DQ175" s="34"/>
      <c r="DR175" s="34"/>
      <c r="DS175" s="34"/>
      <c r="DT175" s="34"/>
      <c r="DU175" s="34"/>
      <c r="DV175" s="34"/>
      <c r="DW175" s="34"/>
      <c r="DX175" s="34"/>
      <c r="DY175" s="34"/>
      <c r="DZ175" s="32"/>
      <c r="EA175" s="34"/>
      <c r="EB175" s="34"/>
      <c r="EC175" s="34"/>
      <c r="ED175" s="34"/>
      <c r="EE175" s="34"/>
      <c r="EF175" s="34"/>
      <c r="EG175" s="34"/>
      <c r="EH175" s="34"/>
      <c r="EI175" s="34"/>
      <c r="EJ175" s="32"/>
      <c r="EK175" s="34"/>
      <c r="EL175" s="34"/>
      <c r="EM175" s="34"/>
      <c r="EN175" s="34"/>
      <c r="EO175" s="34"/>
      <c r="EP175" s="34"/>
      <c r="EQ175" s="34"/>
      <c r="ER175" s="34"/>
      <c r="ES175" s="34"/>
      <c r="ET175" s="34"/>
      <c r="EU175" s="34"/>
      <c r="EV175" s="34"/>
      <c r="EW175" s="34"/>
      <c r="EX175" s="34"/>
      <c r="EY175" s="32"/>
      <c r="EZ175" s="32"/>
      <c r="FA175" s="34"/>
      <c r="FB175" s="32"/>
      <c r="FC175" s="34"/>
      <c r="FD175" s="34"/>
      <c r="FE175" s="34"/>
      <c r="FF175" s="34"/>
      <c r="FG175" s="34"/>
      <c r="FH175" s="34"/>
      <c r="FI175" s="34"/>
      <c r="FJ175" s="34"/>
      <c r="FK175" s="34"/>
      <c r="FL175" s="34"/>
      <c r="FM175" s="32"/>
      <c r="FN175" s="32"/>
      <c r="FO175" s="32"/>
      <c r="FP175" s="32"/>
      <c r="FQ175" s="34"/>
      <c r="FR175" s="32"/>
      <c r="FS175" s="32"/>
      <c r="FT175" s="34"/>
      <c r="FU175" s="34"/>
      <c r="FV175" s="32"/>
      <c r="FW175" s="32"/>
      <c r="FX175" s="34"/>
      <c r="FY175" s="34"/>
      <c r="FZ175" s="34"/>
      <c r="GA175" s="34"/>
      <c r="GB175" s="34"/>
      <c r="GC175" s="34"/>
      <c r="GD175" s="34"/>
      <c r="GE175" s="34"/>
      <c r="GF175" s="34"/>
      <c r="GG175" s="32"/>
      <c r="GH175" s="34"/>
      <c r="GI175" s="34"/>
      <c r="GJ175" s="34"/>
      <c r="GK175" s="34"/>
      <c r="GL175" s="34"/>
      <c r="GM175" s="34"/>
      <c r="GN175" s="34"/>
      <c r="GO175" s="34"/>
      <c r="GP175" s="34"/>
      <c r="GQ175" s="34"/>
      <c r="GR175" s="34"/>
      <c r="GS175" s="34"/>
      <c r="GT175" s="34"/>
      <c r="GU175" s="34"/>
      <c r="GV175" s="34"/>
      <c r="GW175" s="34"/>
      <c r="GX175" s="34"/>
      <c r="GY175" s="34"/>
      <c r="GZ175" s="34"/>
      <c r="HA175" s="34"/>
      <c r="HB175" s="34"/>
      <c r="HC175" s="34"/>
      <c r="HD175" s="34"/>
      <c r="HE175" s="34"/>
      <c r="HF175" s="34"/>
      <c r="HG175" s="34"/>
      <c r="HH175" s="34"/>
      <c r="HI175" s="34"/>
    </row>
    <row r="176">
      <c r="A176" s="41">
        <v>43239.0</v>
      </c>
      <c r="B176" s="42" t="s">
        <v>369</v>
      </c>
      <c r="C176" s="28">
        <v>166.0</v>
      </c>
      <c r="D176" s="42">
        <v>21.888725</v>
      </c>
      <c r="E176" s="42">
        <v>-159.416412</v>
      </c>
      <c r="F176" s="42" t="s">
        <v>321</v>
      </c>
      <c r="G176" s="43">
        <v>0.45694444444444443</v>
      </c>
      <c r="H176" s="43">
        <v>0.4756944444444444</v>
      </c>
      <c r="I176" s="42">
        <v>3.0</v>
      </c>
      <c r="J176" s="42">
        <v>4.5</v>
      </c>
      <c r="K176" s="42" t="s">
        <v>314</v>
      </c>
      <c r="L176" s="42">
        <v>10.0</v>
      </c>
      <c r="M176" s="42">
        <v>9.0</v>
      </c>
      <c r="N176" s="42" t="s">
        <v>532</v>
      </c>
      <c r="O176" s="42"/>
      <c r="P176" s="42"/>
      <c r="Q176" s="44"/>
      <c r="R176" s="42"/>
      <c r="S176" s="42"/>
      <c r="T176" s="44"/>
      <c r="U176" s="44"/>
      <c r="V176" s="44"/>
      <c r="W176" s="44"/>
      <c r="X176" s="44"/>
      <c r="Y176" s="44"/>
      <c r="Z176" s="44"/>
      <c r="AA176" s="44"/>
      <c r="AB176" s="42">
        <v>25.0</v>
      </c>
      <c r="AC176" s="42"/>
      <c r="AD176" s="44"/>
      <c r="AE176" s="44"/>
      <c r="AF176" s="44"/>
      <c r="AG176" s="44"/>
      <c r="AH176" s="44"/>
      <c r="AI176" s="44"/>
      <c r="AJ176" s="44"/>
      <c r="AK176" s="44"/>
      <c r="AL176" s="44"/>
      <c r="AM176" s="44"/>
      <c r="AN176" s="44"/>
      <c r="AO176" s="44"/>
      <c r="AP176" s="44"/>
      <c r="AQ176" s="44"/>
      <c r="AR176" s="44"/>
      <c r="AS176" s="44"/>
      <c r="AT176" s="44"/>
      <c r="AU176" s="44"/>
      <c r="AV176" s="44"/>
      <c r="AW176" s="44"/>
      <c r="AX176" s="42">
        <v>6.0</v>
      </c>
      <c r="AY176" s="44"/>
      <c r="AZ176" s="44"/>
      <c r="BA176" s="44"/>
      <c r="BB176" s="44"/>
      <c r="BC176" s="44"/>
      <c r="BD176" s="44"/>
      <c r="BE176" s="44"/>
      <c r="BF176" s="44"/>
      <c r="BG176" s="44"/>
      <c r="BH176" s="42"/>
      <c r="BI176" s="44"/>
      <c r="BJ176" s="44"/>
      <c r="BK176" s="42"/>
      <c r="BL176" s="42"/>
      <c r="BM176" s="42"/>
      <c r="BN176" s="42"/>
      <c r="BO176" s="44"/>
      <c r="BP176" s="44"/>
      <c r="BQ176" s="44"/>
      <c r="BR176" s="44"/>
      <c r="BS176" s="44"/>
      <c r="BT176" s="44"/>
      <c r="BU176" s="44"/>
      <c r="BV176" s="44"/>
      <c r="BW176" s="44"/>
      <c r="BX176" s="44"/>
      <c r="BY176" s="44"/>
      <c r="BZ176" s="44"/>
      <c r="CA176" s="42"/>
      <c r="CB176" s="44"/>
      <c r="CC176" s="42"/>
      <c r="CD176" s="44"/>
      <c r="CE176" s="44"/>
      <c r="CF176" s="44"/>
      <c r="CG176" s="44"/>
      <c r="CH176" s="44"/>
      <c r="CI176" s="44"/>
      <c r="CJ176" s="44"/>
      <c r="CK176" s="44"/>
      <c r="CL176" s="44"/>
      <c r="CM176" s="44"/>
      <c r="CN176" s="44"/>
      <c r="CO176" s="44"/>
      <c r="CP176" s="44"/>
      <c r="CQ176" s="44"/>
      <c r="CR176" s="44"/>
      <c r="CS176" s="44"/>
      <c r="CT176" s="44"/>
      <c r="CU176" s="44"/>
      <c r="CV176" s="44"/>
      <c r="CW176" s="44"/>
      <c r="CX176" s="44"/>
      <c r="CY176" s="44"/>
      <c r="CZ176" s="44"/>
      <c r="DA176" s="44"/>
      <c r="DB176" s="44"/>
      <c r="DC176" s="44"/>
      <c r="DD176" s="44"/>
      <c r="DE176" s="44"/>
      <c r="DF176" s="42"/>
      <c r="DG176" s="42"/>
      <c r="DH176" s="44"/>
      <c r="DI176" s="44"/>
      <c r="DJ176" s="44"/>
      <c r="DK176" s="44"/>
      <c r="DL176" s="44"/>
      <c r="DM176" s="42"/>
      <c r="DN176" s="44"/>
      <c r="DO176" s="42"/>
      <c r="DP176" s="44"/>
      <c r="DQ176" s="44"/>
      <c r="DR176" s="44"/>
      <c r="DS176" s="42">
        <v>56.0</v>
      </c>
      <c r="DT176" s="44"/>
      <c r="DU176" s="44"/>
      <c r="DV176" s="44"/>
      <c r="DW176" s="44"/>
      <c r="DX176" s="44"/>
      <c r="DY176" s="44"/>
      <c r="DZ176" s="42"/>
      <c r="EA176" s="44"/>
      <c r="EB176" s="44"/>
      <c r="EC176" s="44"/>
      <c r="ED176" s="44"/>
      <c r="EE176" s="44"/>
      <c r="EF176" s="44"/>
      <c r="EG176" s="44"/>
      <c r="EH176" s="44"/>
      <c r="EI176" s="44"/>
      <c r="EJ176" s="42"/>
      <c r="EK176" s="44"/>
      <c r="EL176" s="44"/>
      <c r="EM176" s="44"/>
      <c r="EN176" s="44"/>
      <c r="EO176" s="44"/>
      <c r="EP176" s="44"/>
      <c r="EQ176" s="44"/>
      <c r="ER176" s="44"/>
      <c r="ES176" s="44"/>
      <c r="ET176" s="44"/>
      <c r="EU176" s="44"/>
      <c r="EV176" s="44"/>
      <c r="EW176" s="44"/>
      <c r="EX176" s="44"/>
      <c r="EY176" s="42"/>
      <c r="EZ176" s="42"/>
      <c r="FA176" s="44"/>
      <c r="FB176" s="42">
        <v>1.0</v>
      </c>
      <c r="FC176" s="44"/>
      <c r="FD176" s="44"/>
      <c r="FE176" s="44"/>
      <c r="FF176" s="44"/>
      <c r="FG176" s="44"/>
      <c r="FH176" s="44"/>
      <c r="FI176" s="44"/>
      <c r="FJ176" s="44"/>
      <c r="FK176" s="44"/>
      <c r="FL176" s="44"/>
      <c r="FM176" s="42"/>
      <c r="FN176" s="42"/>
      <c r="FO176" s="42"/>
      <c r="FP176" s="42"/>
      <c r="FQ176" s="44"/>
      <c r="FR176" s="42"/>
      <c r="FS176" s="42">
        <v>1.0</v>
      </c>
      <c r="FT176" s="44"/>
      <c r="FU176" s="42">
        <v>22.0</v>
      </c>
      <c r="FV176" s="42"/>
      <c r="FW176" s="42">
        <v>7.0</v>
      </c>
      <c r="FX176" s="44"/>
      <c r="FY176" s="44"/>
      <c r="FZ176" s="44"/>
      <c r="GA176" s="44"/>
      <c r="GB176" s="44"/>
      <c r="GC176" s="44"/>
      <c r="GD176" s="44"/>
      <c r="GE176" s="44"/>
      <c r="GF176" s="44"/>
      <c r="GG176" s="42"/>
      <c r="GH176" s="44"/>
      <c r="GI176" s="44"/>
      <c r="GJ176" s="44"/>
      <c r="GK176" s="44"/>
      <c r="GL176" s="44"/>
      <c r="GM176" s="44"/>
      <c r="GN176" s="44"/>
      <c r="GO176" s="44"/>
      <c r="GP176" s="44"/>
      <c r="GQ176" s="44"/>
      <c r="GR176" s="44"/>
      <c r="GS176" s="44"/>
      <c r="GT176" s="44"/>
      <c r="GU176" s="44"/>
      <c r="GV176" s="44"/>
      <c r="GW176" s="44"/>
      <c r="GX176" s="44"/>
      <c r="GY176" s="44"/>
      <c r="GZ176" s="44"/>
      <c r="HA176" s="44"/>
      <c r="HB176" s="44"/>
      <c r="HC176" s="44"/>
      <c r="HD176" s="44"/>
      <c r="HE176" s="44"/>
      <c r="HF176" s="44"/>
      <c r="HG176" s="44"/>
      <c r="HH176" s="44"/>
      <c r="HI176" s="44"/>
    </row>
    <row r="177">
      <c r="A177" s="41">
        <v>43241.0</v>
      </c>
      <c r="B177" s="42" t="s">
        <v>230</v>
      </c>
      <c r="C177" s="28">
        <f>C176+1</f>
        <v>167</v>
      </c>
      <c r="D177" s="42">
        <v>20.7537</v>
      </c>
      <c r="E177" s="42">
        <v>-156.460907</v>
      </c>
      <c r="F177" s="42" t="s">
        <v>397</v>
      </c>
      <c r="G177" s="43">
        <v>0.46875</v>
      </c>
      <c r="H177" s="43">
        <v>0.5416666666666666</v>
      </c>
      <c r="I177" s="42">
        <v>5.0</v>
      </c>
      <c r="J177" s="42">
        <v>12.0</v>
      </c>
      <c r="K177" s="42" t="s">
        <v>198</v>
      </c>
      <c r="L177" s="42">
        <v>7.0</v>
      </c>
      <c r="M177" s="42">
        <v>19.0</v>
      </c>
      <c r="N177" s="42" t="s">
        <v>533</v>
      </c>
      <c r="O177" s="42"/>
      <c r="P177" s="42"/>
      <c r="Q177" s="44"/>
      <c r="R177" s="42">
        <v>26.0</v>
      </c>
      <c r="S177" s="42"/>
      <c r="T177" s="44"/>
      <c r="U177" s="44"/>
      <c r="V177" s="44"/>
      <c r="W177" s="44"/>
      <c r="X177" s="44"/>
      <c r="Y177" s="44"/>
      <c r="Z177" s="44"/>
      <c r="AA177" s="44"/>
      <c r="AB177" s="42">
        <v>5.0</v>
      </c>
      <c r="AC177" s="42"/>
      <c r="AD177" s="44"/>
      <c r="AE177" s="44"/>
      <c r="AF177" s="44"/>
      <c r="AG177" s="44"/>
      <c r="AH177" s="44"/>
      <c r="AI177" s="44"/>
      <c r="AJ177" s="44"/>
      <c r="AK177" s="44"/>
      <c r="AL177" s="44"/>
      <c r="AM177" s="42">
        <v>61.0</v>
      </c>
      <c r="AN177" s="44"/>
      <c r="AO177" s="44"/>
      <c r="AP177" s="44"/>
      <c r="AQ177" s="44"/>
      <c r="AR177" s="44"/>
      <c r="AS177" s="44"/>
      <c r="AT177" s="44"/>
      <c r="AU177" s="44"/>
      <c r="AV177" s="44"/>
      <c r="AW177" s="44"/>
      <c r="AX177" s="44"/>
      <c r="AY177" s="44"/>
      <c r="AZ177" s="44"/>
      <c r="BA177" s="44"/>
      <c r="BB177" s="44"/>
      <c r="BC177" s="44"/>
      <c r="BD177" s="44"/>
      <c r="BE177" s="44"/>
      <c r="BF177" s="44"/>
      <c r="BG177" s="44"/>
      <c r="BH177" s="42"/>
      <c r="BI177" s="44"/>
      <c r="BJ177" s="44"/>
      <c r="BK177" s="42"/>
      <c r="BL177" s="42"/>
      <c r="BM177" s="42">
        <v>54.0</v>
      </c>
      <c r="BN177" s="42"/>
      <c r="BO177" s="44"/>
      <c r="BP177" s="44"/>
      <c r="BQ177" s="44"/>
      <c r="BR177" s="44"/>
      <c r="BS177" s="44"/>
      <c r="BT177" s="44"/>
      <c r="BU177" s="44"/>
      <c r="BV177" s="44"/>
      <c r="BW177" s="44"/>
      <c r="BX177" s="44"/>
      <c r="BY177" s="44"/>
      <c r="BZ177" s="44"/>
      <c r="CA177" s="42"/>
      <c r="CB177" s="44"/>
      <c r="CC177" s="42"/>
      <c r="CD177" s="44"/>
      <c r="CE177" s="44"/>
      <c r="CF177" s="44"/>
      <c r="CG177" s="44"/>
      <c r="CH177" s="44"/>
      <c r="CI177" s="44"/>
      <c r="CJ177" s="44"/>
      <c r="CK177" s="42">
        <v>1.0</v>
      </c>
      <c r="CL177" s="44"/>
      <c r="CM177" s="44"/>
      <c r="CN177" s="42">
        <v>2.0</v>
      </c>
      <c r="CO177" s="44"/>
      <c r="CP177" s="44"/>
      <c r="CQ177" s="44"/>
      <c r="CR177" s="44"/>
      <c r="CS177" s="44"/>
      <c r="CT177" s="44"/>
      <c r="CU177" s="44"/>
      <c r="CV177" s="44"/>
      <c r="CW177" s="44"/>
      <c r="CX177" s="44"/>
      <c r="CY177" s="44"/>
      <c r="CZ177" s="44"/>
      <c r="DA177" s="44"/>
      <c r="DB177" s="44"/>
      <c r="DC177" s="44"/>
      <c r="DD177" s="44"/>
      <c r="DE177" s="44"/>
      <c r="DF177" s="42"/>
      <c r="DG177" s="42">
        <v>1.0</v>
      </c>
      <c r="DH177" s="44"/>
      <c r="DI177" s="44"/>
      <c r="DJ177" s="44"/>
      <c r="DK177" s="44"/>
      <c r="DL177" s="44"/>
      <c r="DM177" s="42"/>
      <c r="DN177" s="44"/>
      <c r="DO177" s="42"/>
      <c r="DP177" s="44"/>
      <c r="DQ177" s="44"/>
      <c r="DR177" s="44"/>
      <c r="DS177" s="42">
        <v>2.0</v>
      </c>
      <c r="DT177" s="44"/>
      <c r="DU177" s="44"/>
      <c r="DV177" s="44"/>
      <c r="DW177" s="44"/>
      <c r="DX177" s="44"/>
      <c r="DY177" s="44"/>
      <c r="DZ177" s="42"/>
      <c r="EA177" s="44"/>
      <c r="EB177" s="44"/>
      <c r="EC177" s="44"/>
      <c r="ED177" s="44"/>
      <c r="EE177" s="44"/>
      <c r="EF177" s="44"/>
      <c r="EG177" s="44"/>
      <c r="EH177" s="44"/>
      <c r="EI177" s="44"/>
      <c r="EJ177" s="42"/>
      <c r="EK177" s="44"/>
      <c r="EL177" s="44"/>
      <c r="EM177" s="44"/>
      <c r="EN177" s="44"/>
      <c r="EO177" s="44"/>
      <c r="EP177" s="44"/>
      <c r="EQ177" s="44"/>
      <c r="ER177" s="44"/>
      <c r="ES177" s="44"/>
      <c r="ET177" s="44"/>
      <c r="EU177" s="44"/>
      <c r="EV177" s="44"/>
      <c r="EW177" s="44"/>
      <c r="EX177" s="44"/>
      <c r="EY177" s="42"/>
      <c r="EZ177" s="42"/>
      <c r="FA177" s="44"/>
      <c r="FB177" s="42"/>
      <c r="FC177" s="44"/>
      <c r="FD177" s="44"/>
      <c r="FE177" s="44"/>
      <c r="FF177" s="44"/>
      <c r="FG177" s="44"/>
      <c r="FH177" s="44"/>
      <c r="FI177" s="44"/>
      <c r="FJ177" s="44"/>
      <c r="FK177" s="44"/>
      <c r="FL177" s="44"/>
      <c r="FM177" s="42"/>
      <c r="FN177" s="42"/>
      <c r="FO177" s="42"/>
      <c r="FP177" s="42"/>
      <c r="FQ177" s="44"/>
      <c r="FR177" s="42"/>
      <c r="FS177" s="42">
        <v>42.0</v>
      </c>
      <c r="FT177" s="44"/>
      <c r="FU177" s="44"/>
      <c r="FV177" s="42"/>
      <c r="FW177" s="42"/>
      <c r="FX177" s="44"/>
      <c r="FY177" s="44"/>
      <c r="FZ177" s="44"/>
      <c r="GA177" s="44"/>
      <c r="GB177" s="44"/>
      <c r="GC177" s="44"/>
      <c r="GD177" s="44"/>
      <c r="GE177" s="44"/>
      <c r="GF177" s="44"/>
      <c r="GG177" s="42"/>
      <c r="GH177" s="44"/>
      <c r="GI177" s="44"/>
      <c r="GJ177" s="44"/>
      <c r="GK177" s="44"/>
      <c r="GL177" s="44"/>
      <c r="GM177" s="44"/>
      <c r="GN177" s="44"/>
      <c r="GO177" s="44"/>
      <c r="GP177" s="44"/>
      <c r="GQ177" s="44"/>
      <c r="GR177" s="44"/>
      <c r="GS177" s="44"/>
      <c r="GT177" s="44"/>
      <c r="GU177" s="44"/>
      <c r="GV177" s="44"/>
      <c r="GW177" s="44"/>
      <c r="GX177" s="44"/>
      <c r="GY177" s="44"/>
      <c r="GZ177" s="44"/>
      <c r="HA177" s="44"/>
      <c r="HB177" s="44"/>
      <c r="HC177" s="44"/>
      <c r="HD177" s="44"/>
      <c r="HE177" s="44"/>
      <c r="HF177" s="44"/>
      <c r="HG177" s="44"/>
      <c r="HH177" s="44"/>
      <c r="HI177" s="44"/>
    </row>
    <row r="178">
      <c r="A178" s="31">
        <v>43248.0</v>
      </c>
      <c r="B178" s="32" t="s">
        <v>246</v>
      </c>
      <c r="C178" s="28"/>
      <c r="D178" s="32"/>
      <c r="E178" s="32"/>
      <c r="F178" s="32"/>
      <c r="G178" s="33"/>
      <c r="H178" s="33"/>
      <c r="I178" s="32"/>
      <c r="J178" s="32"/>
      <c r="K178" s="32"/>
      <c r="L178" s="32"/>
      <c r="M178" s="32"/>
      <c r="N178" s="32"/>
      <c r="O178" s="32"/>
      <c r="P178" s="32"/>
      <c r="Q178" s="34"/>
      <c r="R178" s="32"/>
      <c r="S178" s="32"/>
      <c r="T178" s="34"/>
      <c r="U178" s="34"/>
      <c r="V178" s="34"/>
      <c r="W178" s="34"/>
      <c r="X178" s="34"/>
      <c r="Y178" s="34"/>
      <c r="Z178" s="34"/>
      <c r="AA178" s="34"/>
      <c r="AB178" s="34"/>
      <c r="AC178" s="32"/>
      <c r="AD178" s="34"/>
      <c r="AE178" s="34"/>
      <c r="AF178" s="34"/>
      <c r="AG178" s="34"/>
      <c r="AH178" s="34"/>
      <c r="AI178" s="34"/>
      <c r="AJ178" s="34"/>
      <c r="AK178" s="34"/>
      <c r="AL178" s="34"/>
      <c r="AM178" s="34"/>
      <c r="AN178" s="34"/>
      <c r="AO178" s="34"/>
      <c r="AP178" s="34"/>
      <c r="AQ178" s="34"/>
      <c r="AR178" s="34"/>
      <c r="AS178" s="34"/>
      <c r="AT178" s="34"/>
      <c r="AU178" s="34"/>
      <c r="AV178" s="34"/>
      <c r="AW178" s="34"/>
      <c r="AX178" s="34"/>
      <c r="AY178" s="34"/>
      <c r="AZ178" s="34"/>
      <c r="BA178" s="34"/>
      <c r="BB178" s="34"/>
      <c r="BC178" s="34"/>
      <c r="BD178" s="34"/>
      <c r="BE178" s="34"/>
      <c r="BF178" s="34"/>
      <c r="BG178" s="34"/>
      <c r="BH178" s="32"/>
      <c r="BI178" s="34"/>
      <c r="BJ178" s="34"/>
      <c r="BK178" s="32"/>
      <c r="BL178" s="32"/>
      <c r="BM178" s="32"/>
      <c r="BN178" s="32"/>
      <c r="BO178" s="34"/>
      <c r="BP178" s="34"/>
      <c r="BQ178" s="34"/>
      <c r="BR178" s="34"/>
      <c r="BS178" s="34"/>
      <c r="BT178" s="34"/>
      <c r="BU178" s="34"/>
      <c r="BV178" s="34"/>
      <c r="BW178" s="34"/>
      <c r="BX178" s="34"/>
      <c r="BY178" s="34"/>
      <c r="BZ178" s="34"/>
      <c r="CA178" s="32"/>
      <c r="CB178" s="34"/>
      <c r="CC178" s="32"/>
      <c r="CD178" s="34"/>
      <c r="CE178" s="34"/>
      <c r="CF178" s="34"/>
      <c r="CG178" s="34"/>
      <c r="CH178" s="34"/>
      <c r="CI178" s="34"/>
      <c r="CJ178" s="34"/>
      <c r="CK178" s="34"/>
      <c r="CL178" s="34"/>
      <c r="CM178" s="34"/>
      <c r="CN178" s="34"/>
      <c r="CO178" s="34"/>
      <c r="CP178" s="34"/>
      <c r="CQ178" s="34"/>
      <c r="CR178" s="34"/>
      <c r="CS178" s="34"/>
      <c r="CT178" s="34"/>
      <c r="CU178" s="34"/>
      <c r="CV178" s="34"/>
      <c r="CW178" s="34"/>
      <c r="CX178" s="34"/>
      <c r="CY178" s="34"/>
      <c r="CZ178" s="34"/>
      <c r="DA178" s="34"/>
      <c r="DB178" s="34"/>
      <c r="DC178" s="34"/>
      <c r="DD178" s="34"/>
      <c r="DE178" s="34"/>
      <c r="DF178" s="32"/>
      <c r="DG178" s="32"/>
      <c r="DH178" s="34"/>
      <c r="DI178" s="34"/>
      <c r="DJ178" s="34"/>
      <c r="DK178" s="34"/>
      <c r="DL178" s="34"/>
      <c r="DM178" s="32"/>
      <c r="DN178" s="34"/>
      <c r="DO178" s="32"/>
      <c r="DP178" s="34"/>
      <c r="DQ178" s="34"/>
      <c r="DR178" s="34"/>
      <c r="DS178" s="34"/>
      <c r="DT178" s="34"/>
      <c r="DU178" s="34"/>
      <c r="DV178" s="34"/>
      <c r="DW178" s="34"/>
      <c r="DX178" s="34"/>
      <c r="DY178" s="34"/>
      <c r="DZ178" s="32"/>
      <c r="EA178" s="34"/>
      <c r="EB178" s="34"/>
      <c r="EC178" s="34"/>
      <c r="ED178" s="34"/>
      <c r="EE178" s="34"/>
      <c r="EF178" s="34"/>
      <c r="EG178" s="34"/>
      <c r="EH178" s="34"/>
      <c r="EI178" s="34"/>
      <c r="EJ178" s="32"/>
      <c r="EK178" s="34"/>
      <c r="EL178" s="34"/>
      <c r="EM178" s="34"/>
      <c r="EN178" s="34"/>
      <c r="EO178" s="34"/>
      <c r="EP178" s="34"/>
      <c r="EQ178" s="34"/>
      <c r="ER178" s="34"/>
      <c r="ES178" s="34"/>
      <c r="ET178" s="34"/>
      <c r="EU178" s="34"/>
      <c r="EV178" s="34"/>
      <c r="EW178" s="34"/>
      <c r="EX178" s="34"/>
      <c r="EY178" s="32"/>
      <c r="EZ178" s="32"/>
      <c r="FA178" s="34"/>
      <c r="FB178" s="32"/>
      <c r="FC178" s="34"/>
      <c r="FD178" s="34"/>
      <c r="FE178" s="34"/>
      <c r="FF178" s="34"/>
      <c r="FG178" s="34"/>
      <c r="FH178" s="34"/>
      <c r="FI178" s="34"/>
      <c r="FJ178" s="34"/>
      <c r="FK178" s="34"/>
      <c r="FL178" s="34"/>
      <c r="FM178" s="32"/>
      <c r="FN178" s="32"/>
      <c r="FO178" s="32"/>
      <c r="FP178" s="32"/>
      <c r="FQ178" s="34"/>
      <c r="FR178" s="32"/>
      <c r="FS178" s="32"/>
      <c r="FT178" s="34"/>
      <c r="FU178" s="34"/>
      <c r="FV178" s="32"/>
      <c r="FW178" s="32"/>
      <c r="FX178" s="34"/>
      <c r="FY178" s="34"/>
      <c r="FZ178" s="34"/>
      <c r="GA178" s="34"/>
      <c r="GB178" s="34"/>
      <c r="GC178" s="34"/>
      <c r="GD178" s="34"/>
      <c r="GE178" s="34"/>
      <c r="GF178" s="34"/>
      <c r="GG178" s="32"/>
      <c r="GH178" s="34"/>
      <c r="GI178" s="34"/>
      <c r="GJ178" s="34"/>
      <c r="GK178" s="34"/>
      <c r="GL178" s="34"/>
      <c r="GM178" s="34"/>
      <c r="GN178" s="34"/>
      <c r="GO178" s="34"/>
      <c r="GP178" s="34"/>
      <c r="GQ178" s="34"/>
      <c r="GR178" s="34"/>
      <c r="GS178" s="34"/>
      <c r="GT178" s="34"/>
      <c r="GU178" s="34"/>
      <c r="GV178" s="34"/>
      <c r="GW178" s="34"/>
      <c r="GX178" s="34"/>
      <c r="GY178" s="34"/>
      <c r="GZ178" s="34"/>
      <c r="HA178" s="34"/>
      <c r="HB178" s="34"/>
      <c r="HC178" s="34"/>
      <c r="HD178" s="34"/>
      <c r="HE178" s="34"/>
      <c r="HF178" s="34"/>
      <c r="HG178" s="34"/>
      <c r="HH178" s="34"/>
      <c r="HI178" s="34"/>
    </row>
    <row r="179">
      <c r="A179" s="31">
        <v>43250.0</v>
      </c>
      <c r="B179" s="32" t="s">
        <v>400</v>
      </c>
      <c r="C179" s="28"/>
      <c r="D179" s="32"/>
      <c r="E179" s="32"/>
      <c r="F179" s="32"/>
      <c r="G179" s="33"/>
      <c r="H179" s="33"/>
      <c r="I179" s="32"/>
      <c r="J179" s="32"/>
      <c r="K179" s="32"/>
      <c r="L179" s="32"/>
      <c r="M179" s="32"/>
      <c r="N179" s="32"/>
      <c r="O179" s="32"/>
      <c r="P179" s="32"/>
      <c r="Q179" s="34"/>
      <c r="R179" s="32"/>
      <c r="S179" s="32"/>
      <c r="T179" s="34"/>
      <c r="U179" s="34"/>
      <c r="V179" s="34"/>
      <c r="W179" s="34"/>
      <c r="X179" s="34"/>
      <c r="Y179" s="34"/>
      <c r="Z179" s="34"/>
      <c r="AA179" s="34"/>
      <c r="AB179" s="34"/>
      <c r="AC179" s="32"/>
      <c r="AD179" s="34"/>
      <c r="AE179" s="34"/>
      <c r="AF179" s="34"/>
      <c r="AG179" s="34"/>
      <c r="AH179" s="34"/>
      <c r="AI179" s="34"/>
      <c r="AJ179" s="34"/>
      <c r="AK179" s="34"/>
      <c r="AL179" s="34"/>
      <c r="AM179" s="34"/>
      <c r="AN179" s="34"/>
      <c r="AO179" s="34"/>
      <c r="AP179" s="34"/>
      <c r="AQ179" s="34"/>
      <c r="AR179" s="34"/>
      <c r="AS179" s="34"/>
      <c r="AT179" s="34"/>
      <c r="AU179" s="34"/>
      <c r="AV179" s="34"/>
      <c r="AW179" s="34"/>
      <c r="AX179" s="34"/>
      <c r="AY179" s="34"/>
      <c r="AZ179" s="34"/>
      <c r="BA179" s="34"/>
      <c r="BB179" s="34"/>
      <c r="BC179" s="34"/>
      <c r="BD179" s="34"/>
      <c r="BE179" s="34"/>
      <c r="BF179" s="34"/>
      <c r="BG179" s="34"/>
      <c r="BH179" s="32"/>
      <c r="BI179" s="34"/>
      <c r="BJ179" s="34"/>
      <c r="BK179" s="32"/>
      <c r="BL179" s="32"/>
      <c r="BM179" s="32"/>
      <c r="BN179" s="32"/>
      <c r="BO179" s="34"/>
      <c r="BP179" s="34"/>
      <c r="BQ179" s="34"/>
      <c r="BR179" s="34"/>
      <c r="BS179" s="34"/>
      <c r="BT179" s="34"/>
      <c r="BU179" s="34"/>
      <c r="BV179" s="34"/>
      <c r="BW179" s="34"/>
      <c r="BX179" s="34"/>
      <c r="BY179" s="34"/>
      <c r="BZ179" s="34"/>
      <c r="CA179" s="32"/>
      <c r="CB179" s="34"/>
      <c r="CC179" s="32"/>
      <c r="CD179" s="34"/>
      <c r="CE179" s="34"/>
      <c r="CF179" s="34"/>
      <c r="CG179" s="34"/>
      <c r="CH179" s="34"/>
      <c r="CI179" s="34"/>
      <c r="CJ179" s="34"/>
      <c r="CK179" s="34"/>
      <c r="CL179" s="34"/>
      <c r="CM179" s="34"/>
      <c r="CN179" s="34"/>
      <c r="CO179" s="34"/>
      <c r="CP179" s="34"/>
      <c r="CQ179" s="34"/>
      <c r="CR179" s="34"/>
      <c r="CS179" s="34"/>
      <c r="CT179" s="34"/>
      <c r="CU179" s="34"/>
      <c r="CV179" s="34"/>
      <c r="CW179" s="34"/>
      <c r="CX179" s="34"/>
      <c r="CY179" s="34"/>
      <c r="CZ179" s="34"/>
      <c r="DA179" s="34"/>
      <c r="DB179" s="34"/>
      <c r="DC179" s="34"/>
      <c r="DD179" s="34"/>
      <c r="DE179" s="34"/>
      <c r="DF179" s="32"/>
      <c r="DG179" s="32"/>
      <c r="DH179" s="34"/>
      <c r="DI179" s="34"/>
      <c r="DJ179" s="34"/>
      <c r="DK179" s="34"/>
      <c r="DL179" s="34"/>
      <c r="DM179" s="32"/>
      <c r="DN179" s="34"/>
      <c r="DO179" s="32"/>
      <c r="DP179" s="34"/>
      <c r="DQ179" s="34"/>
      <c r="DR179" s="34"/>
      <c r="DS179" s="34"/>
      <c r="DT179" s="34"/>
      <c r="DU179" s="34"/>
      <c r="DV179" s="34"/>
      <c r="DW179" s="34"/>
      <c r="DX179" s="34"/>
      <c r="DY179" s="34"/>
      <c r="DZ179" s="32"/>
      <c r="EA179" s="34"/>
      <c r="EB179" s="34"/>
      <c r="EC179" s="34"/>
      <c r="ED179" s="34"/>
      <c r="EE179" s="34"/>
      <c r="EF179" s="34"/>
      <c r="EG179" s="34"/>
      <c r="EH179" s="34"/>
      <c r="EI179" s="34"/>
      <c r="EJ179" s="32"/>
      <c r="EK179" s="34"/>
      <c r="EL179" s="34"/>
      <c r="EM179" s="34"/>
      <c r="EN179" s="34"/>
      <c r="EO179" s="34"/>
      <c r="EP179" s="34"/>
      <c r="EQ179" s="34"/>
      <c r="ER179" s="34"/>
      <c r="ES179" s="34"/>
      <c r="ET179" s="34"/>
      <c r="EU179" s="34"/>
      <c r="EV179" s="34"/>
      <c r="EW179" s="34"/>
      <c r="EX179" s="34"/>
      <c r="EY179" s="32"/>
      <c r="EZ179" s="32"/>
      <c r="FA179" s="34"/>
      <c r="FB179" s="32"/>
      <c r="FC179" s="34"/>
      <c r="FD179" s="34"/>
      <c r="FE179" s="34"/>
      <c r="FF179" s="34"/>
      <c r="FG179" s="34"/>
      <c r="FH179" s="34"/>
      <c r="FI179" s="34"/>
      <c r="FJ179" s="34"/>
      <c r="FK179" s="34"/>
      <c r="FL179" s="34"/>
      <c r="FM179" s="32"/>
      <c r="FN179" s="32"/>
      <c r="FO179" s="32"/>
      <c r="FP179" s="32"/>
      <c r="FQ179" s="34"/>
      <c r="FR179" s="32"/>
      <c r="FS179" s="32"/>
      <c r="FT179" s="34"/>
      <c r="FU179" s="34"/>
      <c r="FV179" s="32"/>
      <c r="FW179" s="32"/>
      <c r="FX179" s="34"/>
      <c r="FY179" s="34"/>
      <c r="FZ179" s="34"/>
      <c r="GA179" s="34"/>
      <c r="GB179" s="34"/>
      <c r="GC179" s="34"/>
      <c r="GD179" s="34"/>
      <c r="GE179" s="34"/>
      <c r="GF179" s="34"/>
      <c r="GG179" s="32"/>
      <c r="GH179" s="34"/>
      <c r="GI179" s="34"/>
      <c r="GJ179" s="34"/>
      <c r="GK179" s="34"/>
      <c r="GL179" s="34"/>
      <c r="GM179" s="34"/>
      <c r="GN179" s="34"/>
      <c r="GO179" s="34"/>
      <c r="GP179" s="34"/>
      <c r="GQ179" s="34"/>
      <c r="GR179" s="34"/>
      <c r="GS179" s="34"/>
      <c r="GT179" s="34"/>
      <c r="GU179" s="34"/>
      <c r="GV179" s="34"/>
      <c r="GW179" s="34"/>
      <c r="GX179" s="34"/>
      <c r="GY179" s="34"/>
      <c r="GZ179" s="34"/>
      <c r="HA179" s="34"/>
      <c r="HB179" s="34"/>
      <c r="HC179" s="34"/>
      <c r="HD179" s="34"/>
      <c r="HE179" s="34"/>
      <c r="HF179" s="34"/>
      <c r="HG179" s="34"/>
      <c r="HH179" s="34"/>
      <c r="HI179" s="34"/>
    </row>
    <row r="180">
      <c r="A180" s="31">
        <v>43251.0</v>
      </c>
      <c r="B180" s="32" t="s">
        <v>337</v>
      </c>
      <c r="C180" s="28"/>
      <c r="D180" s="32"/>
      <c r="E180" s="32"/>
      <c r="F180" s="32"/>
      <c r="G180" s="33"/>
      <c r="H180" s="33"/>
      <c r="I180" s="32"/>
      <c r="J180" s="32"/>
      <c r="K180" s="32"/>
      <c r="L180" s="32"/>
      <c r="M180" s="32"/>
      <c r="N180" s="32"/>
      <c r="O180" s="32"/>
      <c r="P180" s="32"/>
      <c r="Q180" s="34"/>
      <c r="R180" s="32"/>
      <c r="S180" s="32"/>
      <c r="T180" s="34"/>
      <c r="U180" s="34"/>
      <c r="V180" s="34"/>
      <c r="W180" s="34"/>
      <c r="X180" s="34"/>
      <c r="Y180" s="34"/>
      <c r="Z180" s="34"/>
      <c r="AA180" s="34"/>
      <c r="AB180" s="34"/>
      <c r="AC180" s="32"/>
      <c r="AD180" s="34"/>
      <c r="AE180" s="34"/>
      <c r="AF180" s="34"/>
      <c r="AG180" s="34"/>
      <c r="AH180" s="34"/>
      <c r="AI180" s="34"/>
      <c r="AJ180" s="34"/>
      <c r="AK180" s="34"/>
      <c r="AL180" s="34"/>
      <c r="AM180" s="34"/>
      <c r="AN180" s="34"/>
      <c r="AO180" s="34"/>
      <c r="AP180" s="34"/>
      <c r="AQ180" s="34"/>
      <c r="AR180" s="34"/>
      <c r="AS180" s="34"/>
      <c r="AT180" s="34"/>
      <c r="AU180" s="34"/>
      <c r="AV180" s="34"/>
      <c r="AW180" s="34"/>
      <c r="AX180" s="34"/>
      <c r="AY180" s="34"/>
      <c r="AZ180" s="34"/>
      <c r="BA180" s="34"/>
      <c r="BB180" s="34"/>
      <c r="BC180" s="34"/>
      <c r="BD180" s="34"/>
      <c r="BE180" s="34"/>
      <c r="BF180" s="34"/>
      <c r="BG180" s="34"/>
      <c r="BH180" s="32"/>
      <c r="BI180" s="34"/>
      <c r="BJ180" s="34"/>
      <c r="BK180" s="32"/>
      <c r="BL180" s="32"/>
      <c r="BM180" s="32"/>
      <c r="BN180" s="32"/>
      <c r="BO180" s="34"/>
      <c r="BP180" s="34"/>
      <c r="BQ180" s="34"/>
      <c r="BR180" s="34"/>
      <c r="BS180" s="34"/>
      <c r="BT180" s="34"/>
      <c r="BU180" s="34"/>
      <c r="BV180" s="34"/>
      <c r="BW180" s="34"/>
      <c r="BX180" s="34"/>
      <c r="BY180" s="34"/>
      <c r="BZ180" s="34"/>
      <c r="CA180" s="32"/>
      <c r="CB180" s="34"/>
      <c r="CC180" s="32"/>
      <c r="CD180" s="34"/>
      <c r="CE180" s="34"/>
      <c r="CF180" s="34"/>
      <c r="CG180" s="34"/>
      <c r="CH180" s="34"/>
      <c r="CI180" s="34"/>
      <c r="CJ180" s="34"/>
      <c r="CK180" s="34"/>
      <c r="CL180" s="34"/>
      <c r="CM180" s="34"/>
      <c r="CN180" s="34"/>
      <c r="CO180" s="34"/>
      <c r="CP180" s="34"/>
      <c r="CQ180" s="34"/>
      <c r="CR180" s="34"/>
      <c r="CS180" s="34"/>
      <c r="CT180" s="34"/>
      <c r="CU180" s="34"/>
      <c r="CV180" s="34"/>
      <c r="CW180" s="34"/>
      <c r="CX180" s="34"/>
      <c r="CY180" s="34"/>
      <c r="CZ180" s="34"/>
      <c r="DA180" s="34"/>
      <c r="DB180" s="34"/>
      <c r="DC180" s="34"/>
      <c r="DD180" s="34"/>
      <c r="DE180" s="34"/>
      <c r="DF180" s="32"/>
      <c r="DG180" s="32"/>
      <c r="DH180" s="34"/>
      <c r="DI180" s="34"/>
      <c r="DJ180" s="34"/>
      <c r="DK180" s="34"/>
      <c r="DL180" s="34"/>
      <c r="DM180" s="32"/>
      <c r="DN180" s="34"/>
      <c r="DO180" s="32"/>
      <c r="DP180" s="34"/>
      <c r="DQ180" s="34"/>
      <c r="DR180" s="34"/>
      <c r="DS180" s="34"/>
      <c r="DT180" s="34"/>
      <c r="DU180" s="34"/>
      <c r="DV180" s="34"/>
      <c r="DW180" s="34"/>
      <c r="DX180" s="34"/>
      <c r="DY180" s="34"/>
      <c r="DZ180" s="32"/>
      <c r="EA180" s="34"/>
      <c r="EB180" s="34"/>
      <c r="EC180" s="34"/>
      <c r="ED180" s="34"/>
      <c r="EE180" s="34"/>
      <c r="EF180" s="34"/>
      <c r="EG180" s="34"/>
      <c r="EH180" s="34"/>
      <c r="EI180" s="34"/>
      <c r="EJ180" s="32"/>
      <c r="EK180" s="34"/>
      <c r="EL180" s="34"/>
      <c r="EM180" s="34"/>
      <c r="EN180" s="34"/>
      <c r="EO180" s="34"/>
      <c r="EP180" s="34"/>
      <c r="EQ180" s="34"/>
      <c r="ER180" s="34"/>
      <c r="ES180" s="34"/>
      <c r="ET180" s="34"/>
      <c r="EU180" s="34"/>
      <c r="EV180" s="34"/>
      <c r="EW180" s="34"/>
      <c r="EX180" s="34"/>
      <c r="EY180" s="32"/>
      <c r="EZ180" s="32"/>
      <c r="FA180" s="34"/>
      <c r="FB180" s="32"/>
      <c r="FC180" s="34"/>
      <c r="FD180" s="34"/>
      <c r="FE180" s="34"/>
      <c r="FF180" s="34"/>
      <c r="FG180" s="34"/>
      <c r="FH180" s="34"/>
      <c r="FI180" s="34"/>
      <c r="FJ180" s="34"/>
      <c r="FK180" s="34"/>
      <c r="FL180" s="34"/>
      <c r="FM180" s="32"/>
      <c r="FN180" s="32"/>
      <c r="FO180" s="32"/>
      <c r="FP180" s="32"/>
      <c r="FQ180" s="34"/>
      <c r="FR180" s="32"/>
      <c r="FS180" s="32"/>
      <c r="FT180" s="34"/>
      <c r="FU180" s="34"/>
      <c r="FV180" s="32"/>
      <c r="FW180" s="32"/>
      <c r="FX180" s="34"/>
      <c r="FY180" s="34"/>
      <c r="FZ180" s="34"/>
      <c r="GA180" s="34"/>
      <c r="GB180" s="34"/>
      <c r="GC180" s="34"/>
      <c r="GD180" s="34"/>
      <c r="GE180" s="34"/>
      <c r="GF180" s="34"/>
      <c r="GG180" s="32"/>
      <c r="GH180" s="34"/>
      <c r="GI180" s="34"/>
      <c r="GJ180" s="34"/>
      <c r="GK180" s="34"/>
      <c r="GL180" s="34"/>
      <c r="GM180" s="34"/>
      <c r="GN180" s="34"/>
      <c r="GO180" s="34"/>
      <c r="GP180" s="34"/>
      <c r="GQ180" s="34"/>
      <c r="GR180" s="34"/>
      <c r="GS180" s="34"/>
      <c r="GT180" s="34"/>
      <c r="GU180" s="34"/>
      <c r="GV180" s="34"/>
      <c r="GW180" s="34"/>
      <c r="GX180" s="34"/>
      <c r="GY180" s="34"/>
      <c r="GZ180" s="34"/>
      <c r="HA180" s="34"/>
      <c r="HB180" s="34"/>
      <c r="HC180" s="34"/>
      <c r="HD180" s="34"/>
      <c r="HE180" s="34"/>
      <c r="HF180" s="34"/>
      <c r="HG180" s="34"/>
      <c r="HH180" s="34"/>
      <c r="HI180" s="34"/>
    </row>
    <row r="181">
      <c r="A181" s="37">
        <v>43311.0</v>
      </c>
      <c r="B181" s="38" t="s">
        <v>246</v>
      </c>
      <c r="C181" s="28">
        <v>168.0</v>
      </c>
      <c r="D181" s="38">
        <v>21.2882</v>
      </c>
      <c r="E181" s="38">
        <v>-157.667999</v>
      </c>
      <c r="F181" s="38" t="s">
        <v>353</v>
      </c>
      <c r="G181" s="39">
        <v>0.3902777777777778</v>
      </c>
      <c r="H181" s="39">
        <v>0.4479166666666667</v>
      </c>
      <c r="I181" s="38">
        <v>6.0</v>
      </c>
      <c r="J181" s="38">
        <v>17.0</v>
      </c>
      <c r="K181" s="38" t="s">
        <v>198</v>
      </c>
      <c r="L181" s="38">
        <v>6.0</v>
      </c>
      <c r="M181" s="38">
        <v>26.0</v>
      </c>
      <c r="N181" s="38" t="s">
        <v>436</v>
      </c>
      <c r="O181" s="38"/>
      <c r="P181" s="38"/>
      <c r="Q181" s="40"/>
      <c r="R181" s="38">
        <v>2.0</v>
      </c>
      <c r="S181" s="38">
        <v>2.0</v>
      </c>
      <c r="T181" s="40"/>
      <c r="U181" s="40"/>
      <c r="V181" s="40"/>
      <c r="W181" s="40"/>
      <c r="X181" s="40"/>
      <c r="Y181" s="40"/>
      <c r="Z181" s="40"/>
      <c r="AA181" s="40"/>
      <c r="AB181" s="40"/>
      <c r="AC181" s="38">
        <v>1.0</v>
      </c>
      <c r="AD181" s="40"/>
      <c r="AE181" s="40"/>
      <c r="AF181" s="40"/>
      <c r="AG181" s="40"/>
      <c r="AH181" s="40"/>
      <c r="AI181" s="40"/>
      <c r="AJ181" s="40"/>
      <c r="AK181" s="40"/>
      <c r="AL181" s="40"/>
      <c r="AM181" s="40"/>
      <c r="AN181" s="40"/>
      <c r="AO181" s="40"/>
      <c r="AP181" s="40"/>
      <c r="AQ181" s="40"/>
      <c r="AR181" s="40"/>
      <c r="AS181" s="40"/>
      <c r="AT181" s="40"/>
      <c r="AU181" s="40"/>
      <c r="AV181" s="40"/>
      <c r="AW181" s="40"/>
      <c r="AX181" s="40"/>
      <c r="AY181" s="40"/>
      <c r="AZ181" s="40"/>
      <c r="BA181" s="40"/>
      <c r="BB181" s="40"/>
      <c r="BC181" s="40"/>
      <c r="BD181" s="40"/>
      <c r="BE181" s="40"/>
      <c r="BF181" s="40"/>
      <c r="BG181" s="40"/>
      <c r="BH181" s="38">
        <v>1.0</v>
      </c>
      <c r="BI181" s="40"/>
      <c r="BJ181" s="40"/>
      <c r="BK181" s="38">
        <v>2.0</v>
      </c>
      <c r="BL181" s="38">
        <v>1.0</v>
      </c>
      <c r="BM181" s="38">
        <v>12.0</v>
      </c>
      <c r="BN181" s="38">
        <v>3.0</v>
      </c>
      <c r="BO181" s="40"/>
      <c r="BP181" s="40"/>
      <c r="BQ181" s="40"/>
      <c r="BR181" s="40"/>
      <c r="BS181" s="40"/>
      <c r="BT181" s="40"/>
      <c r="BU181" s="40"/>
      <c r="BV181" s="40"/>
      <c r="BW181" s="40"/>
      <c r="BX181" s="40"/>
      <c r="BY181" s="40"/>
      <c r="BZ181" s="40"/>
      <c r="CA181" s="38">
        <v>3.0</v>
      </c>
      <c r="CB181" s="40"/>
      <c r="CC181" s="38">
        <v>2.0</v>
      </c>
      <c r="CD181" s="40"/>
      <c r="CE181" s="40"/>
      <c r="CF181" s="40"/>
      <c r="CG181" s="40"/>
      <c r="CH181" s="40"/>
      <c r="CI181" s="40"/>
      <c r="CJ181" s="40"/>
      <c r="CK181" s="40"/>
      <c r="CL181" s="40"/>
      <c r="CM181" s="40"/>
      <c r="CN181" s="40"/>
      <c r="CO181" s="40"/>
      <c r="CP181" s="40"/>
      <c r="CQ181" s="40"/>
      <c r="CR181" s="40"/>
      <c r="CS181" s="40"/>
      <c r="CT181" s="40"/>
      <c r="CU181" s="40"/>
      <c r="CV181" s="40"/>
      <c r="CW181" s="40"/>
      <c r="CX181" s="40"/>
      <c r="CY181" s="40"/>
      <c r="CZ181" s="40"/>
      <c r="DA181" s="40"/>
      <c r="DB181" s="40"/>
      <c r="DC181" s="40"/>
      <c r="DD181" s="40"/>
      <c r="DE181" s="40"/>
      <c r="DF181" s="38"/>
      <c r="DG181" s="38">
        <v>1.0</v>
      </c>
      <c r="DH181" s="40"/>
      <c r="DI181" s="40"/>
      <c r="DJ181" s="40"/>
      <c r="DK181" s="40"/>
      <c r="DL181" s="40"/>
      <c r="DM181" s="38">
        <v>2.0</v>
      </c>
      <c r="DN181" s="40"/>
      <c r="DO181" s="38">
        <v>5.0</v>
      </c>
      <c r="DP181" s="40"/>
      <c r="DQ181" s="40"/>
      <c r="DR181" s="40"/>
      <c r="DS181" s="40"/>
      <c r="DT181" s="40"/>
      <c r="DU181" s="40"/>
      <c r="DV181" s="40"/>
      <c r="DW181" s="40"/>
      <c r="DX181" s="40"/>
      <c r="DY181" s="40"/>
      <c r="DZ181" s="38">
        <v>2.0</v>
      </c>
      <c r="EA181" s="40"/>
      <c r="EB181" s="40"/>
      <c r="EC181" s="40"/>
      <c r="ED181" s="40"/>
      <c r="EE181" s="40"/>
      <c r="EF181" s="40"/>
      <c r="EG181" s="40"/>
      <c r="EH181" s="40"/>
      <c r="EI181" s="40"/>
      <c r="EJ181" s="38">
        <v>1.0</v>
      </c>
      <c r="EK181" s="40"/>
      <c r="EL181" s="40"/>
      <c r="EM181" s="40"/>
      <c r="EN181" s="40"/>
      <c r="EO181" s="40"/>
      <c r="EP181" s="40"/>
      <c r="EQ181" s="40"/>
      <c r="ER181" s="40"/>
      <c r="ES181" s="40"/>
      <c r="ET181" s="40"/>
      <c r="EU181" s="40"/>
      <c r="EV181" s="40"/>
      <c r="EW181" s="40"/>
      <c r="EX181" s="40"/>
      <c r="EY181" s="38"/>
      <c r="EZ181" s="38">
        <v>4.0</v>
      </c>
      <c r="FA181" s="40"/>
      <c r="FB181" s="38">
        <v>1.0</v>
      </c>
      <c r="FC181" s="40"/>
      <c r="FD181" s="40"/>
      <c r="FE181" s="40"/>
      <c r="FF181" s="40"/>
      <c r="FG181" s="40"/>
      <c r="FH181" s="40"/>
      <c r="FI181" s="40"/>
      <c r="FJ181" s="40"/>
      <c r="FK181" s="40"/>
      <c r="FL181" s="40"/>
      <c r="FM181" s="38">
        <v>6.0</v>
      </c>
      <c r="FN181" s="38"/>
      <c r="FO181" s="38"/>
      <c r="FP181" s="38">
        <v>1.0</v>
      </c>
      <c r="FQ181" s="40"/>
      <c r="FR181" s="38">
        <v>11.0</v>
      </c>
      <c r="FS181" s="38">
        <v>217.0</v>
      </c>
      <c r="FT181" s="40"/>
      <c r="FU181" s="40"/>
      <c r="FV181" s="38"/>
      <c r="FW181" s="38">
        <v>1.0</v>
      </c>
      <c r="FX181" s="40"/>
      <c r="FY181" s="40"/>
      <c r="FZ181" s="40"/>
      <c r="GA181" s="40"/>
      <c r="GB181" s="40"/>
      <c r="GC181" s="40"/>
      <c r="GD181" s="40"/>
      <c r="GE181" s="40"/>
      <c r="GF181" s="40"/>
      <c r="GG181" s="38">
        <v>7.0</v>
      </c>
      <c r="GH181" s="40">
        <f>count(R181:GG181)</f>
        <v>23</v>
      </c>
      <c r="GI181" s="40">
        <f>countif(R181:GG181,"&gt;=2")</f>
        <v>15</v>
      </c>
      <c r="GJ181" s="40">
        <f>countif(R181:GG181,"&gt;=5")</f>
        <v>6</v>
      </c>
      <c r="GK181" s="40">
        <f>sum(R181:GG181)</f>
        <v>288</v>
      </c>
      <c r="GL181" s="40">
        <f>25*P181</f>
        <v>0</v>
      </c>
      <c r="GM181" s="40">
        <f>GL181-GK181</f>
        <v>-288</v>
      </c>
      <c r="GN181" s="40"/>
      <c r="GO181" s="40"/>
      <c r="GP181" s="40"/>
      <c r="GQ181" s="40"/>
      <c r="GR181" s="40"/>
      <c r="GS181" s="40"/>
      <c r="GT181" s="40"/>
      <c r="GU181" s="40"/>
      <c r="GV181" s="40"/>
      <c r="GW181" s="40"/>
      <c r="GX181" s="40"/>
      <c r="GY181" s="40"/>
      <c r="GZ181" s="40"/>
      <c r="HA181" s="40"/>
      <c r="HB181" s="40"/>
      <c r="HC181" s="40"/>
      <c r="HD181" s="40"/>
      <c r="HE181" s="40"/>
      <c r="HF181" s="40"/>
      <c r="HG181" s="40"/>
      <c r="HH181" s="40"/>
      <c r="HI181" s="40"/>
    </row>
    <row r="182">
      <c r="A182" s="41">
        <v>43416.0</v>
      </c>
      <c r="B182" s="42" t="s">
        <v>216</v>
      </c>
      <c r="C182" s="28">
        <f t="shared" ref="C182:C186" si="102">C181+1</f>
        <v>169</v>
      </c>
      <c r="D182" s="42">
        <v>21.3002</v>
      </c>
      <c r="E182" s="42">
        <v>-157.882599</v>
      </c>
      <c r="F182" s="42" t="s">
        <v>534</v>
      </c>
      <c r="G182" s="43">
        <v>0.6423611111111112</v>
      </c>
      <c r="H182" s="43">
        <v>0.6701388888888888</v>
      </c>
      <c r="I182" s="42">
        <v>5.0</v>
      </c>
      <c r="J182" s="42">
        <v>20.0</v>
      </c>
      <c r="K182" s="42" t="s">
        <v>198</v>
      </c>
      <c r="L182" s="42">
        <v>5.0</v>
      </c>
      <c r="M182" s="42">
        <v>5.0</v>
      </c>
      <c r="N182" s="42" t="s">
        <v>535</v>
      </c>
      <c r="O182" s="44"/>
      <c r="P182" s="42"/>
      <c r="Q182" s="44"/>
      <c r="R182" s="42"/>
      <c r="S182" s="44"/>
      <c r="T182" s="42"/>
      <c r="U182" s="44"/>
      <c r="V182" s="44"/>
      <c r="W182" s="44"/>
      <c r="X182" s="44"/>
      <c r="Y182" s="44"/>
      <c r="Z182" s="44"/>
      <c r="AA182" s="44"/>
      <c r="AB182" s="44"/>
      <c r="AC182" s="44"/>
      <c r="AD182" s="44"/>
      <c r="AE182" s="44"/>
      <c r="AF182" s="42"/>
      <c r="AG182" s="44"/>
      <c r="AH182" s="42"/>
      <c r="AI182" s="42"/>
      <c r="AJ182" s="44"/>
      <c r="AK182" s="44"/>
      <c r="AL182" s="44"/>
      <c r="AM182" s="44"/>
      <c r="AN182" s="44"/>
      <c r="AO182" s="44"/>
      <c r="AP182" s="44"/>
      <c r="AQ182" s="44"/>
      <c r="AR182" s="44"/>
      <c r="AS182" s="44"/>
      <c r="AT182" s="44"/>
      <c r="AU182" s="44"/>
      <c r="AV182" s="44"/>
      <c r="AW182" s="44"/>
      <c r="AX182" s="44"/>
      <c r="AY182" s="44"/>
      <c r="AZ182" s="44"/>
      <c r="BA182" s="44"/>
      <c r="BB182" s="44"/>
      <c r="BC182" s="44"/>
      <c r="BD182" s="44"/>
      <c r="BE182" s="44"/>
      <c r="BF182" s="42"/>
      <c r="BG182" s="42"/>
      <c r="BH182" s="42"/>
      <c r="BI182" s="42"/>
      <c r="BJ182" s="42"/>
      <c r="BK182" s="42"/>
      <c r="BL182" s="42"/>
      <c r="BM182" s="42">
        <v>10.0</v>
      </c>
      <c r="BN182" s="44"/>
      <c r="BO182" s="44"/>
      <c r="BP182" s="44"/>
      <c r="BQ182" s="42"/>
      <c r="BR182" s="42"/>
      <c r="BS182" s="42"/>
      <c r="BT182" s="42"/>
      <c r="BU182" s="42"/>
      <c r="BV182" s="42"/>
      <c r="BW182" s="42"/>
      <c r="BX182" s="44"/>
      <c r="BY182" s="42"/>
      <c r="BZ182" s="42"/>
      <c r="CA182" s="42"/>
      <c r="CB182" s="42"/>
      <c r="CC182" s="44"/>
      <c r="CD182" s="44"/>
      <c r="CE182" s="44"/>
      <c r="CF182" s="44"/>
      <c r="CG182" s="44"/>
      <c r="CH182" s="44"/>
      <c r="CI182" s="42"/>
      <c r="CJ182" s="42"/>
      <c r="CK182" s="42"/>
      <c r="CL182" s="42"/>
      <c r="CM182" s="42"/>
      <c r="CN182" s="42"/>
      <c r="CO182" s="42"/>
      <c r="CP182" s="42"/>
      <c r="CQ182" s="42"/>
      <c r="CR182" s="42"/>
      <c r="CS182" s="42"/>
      <c r="CT182" s="44"/>
      <c r="CU182" s="44"/>
      <c r="CV182" s="44"/>
      <c r="CW182" s="44"/>
      <c r="CX182" s="44"/>
      <c r="CY182" s="44"/>
      <c r="CZ182" s="44"/>
      <c r="DA182" s="44"/>
      <c r="DB182" s="42"/>
      <c r="DC182" s="42"/>
      <c r="DD182" s="42"/>
      <c r="DE182" s="42"/>
      <c r="DF182" s="42"/>
      <c r="DG182" s="42"/>
      <c r="DH182" s="44"/>
      <c r="DI182" s="42"/>
      <c r="DJ182" s="42"/>
      <c r="DK182" s="42"/>
      <c r="DL182" s="42"/>
      <c r="DM182" s="42"/>
      <c r="DN182" s="42"/>
      <c r="DO182" s="42"/>
      <c r="DP182" s="42"/>
      <c r="DQ182" s="42"/>
      <c r="DR182" s="42"/>
      <c r="DS182" s="42"/>
      <c r="DT182" s="42"/>
      <c r="DU182" s="42"/>
      <c r="DV182" s="42"/>
      <c r="DW182" s="42"/>
      <c r="DX182" s="42"/>
      <c r="DY182" s="42"/>
      <c r="DZ182" s="42"/>
      <c r="EA182" s="42"/>
      <c r="EB182" s="42"/>
      <c r="EC182" s="42">
        <v>12.0</v>
      </c>
      <c r="ED182" s="42"/>
      <c r="EE182" s="42"/>
      <c r="EF182" s="42"/>
      <c r="EG182" s="42"/>
      <c r="EH182" s="42"/>
      <c r="EI182" s="42"/>
      <c r="EJ182" s="42"/>
      <c r="EK182" s="42"/>
      <c r="EL182" s="42"/>
      <c r="EM182" s="42"/>
      <c r="EN182" s="42"/>
      <c r="EO182" s="42"/>
      <c r="EP182" s="42"/>
      <c r="EQ182" s="42"/>
      <c r="ER182" s="42"/>
      <c r="ES182" s="42"/>
      <c r="ET182" s="42"/>
      <c r="EU182" s="42"/>
      <c r="EV182" s="42"/>
      <c r="EW182" s="42"/>
      <c r="EX182" s="42"/>
      <c r="EY182" s="42"/>
      <c r="EZ182" s="42"/>
      <c r="FA182" s="42"/>
      <c r="FB182" s="42"/>
      <c r="FC182" s="42"/>
      <c r="FD182" s="44"/>
      <c r="FE182" s="44"/>
      <c r="FF182" s="44"/>
      <c r="FG182" s="42"/>
      <c r="FH182" s="42"/>
      <c r="FI182" s="42"/>
      <c r="FJ182" s="42"/>
      <c r="FK182" s="42"/>
      <c r="FL182" s="42"/>
      <c r="FM182" s="42"/>
      <c r="FN182" s="42"/>
      <c r="FO182" s="42"/>
      <c r="FP182" s="42"/>
      <c r="FQ182" s="42"/>
      <c r="FR182" s="42"/>
      <c r="FS182" s="42">
        <v>103.0</v>
      </c>
      <c r="FT182" s="44"/>
      <c r="FU182" s="44"/>
      <c r="FV182" s="44"/>
      <c r="FW182" s="44"/>
      <c r="FX182" s="44"/>
      <c r="FY182" s="44"/>
      <c r="FZ182" s="44"/>
      <c r="GA182" s="44"/>
      <c r="GB182" s="44"/>
      <c r="GC182" s="44"/>
      <c r="GD182" s="42"/>
      <c r="GE182" s="42"/>
      <c r="GF182" s="42"/>
      <c r="GG182" s="44"/>
      <c r="GH182" s="44"/>
      <c r="GI182" s="44"/>
      <c r="GJ182" s="44"/>
      <c r="GK182" s="44"/>
      <c r="GL182" s="44"/>
      <c r="GM182" s="44"/>
      <c r="GN182" s="44"/>
      <c r="GO182" s="44"/>
      <c r="GP182" s="44"/>
      <c r="GQ182" s="44"/>
      <c r="GR182" s="44"/>
      <c r="GS182" s="44"/>
      <c r="GT182" s="44"/>
      <c r="GU182" s="44"/>
      <c r="GV182" s="44"/>
      <c r="GW182" s="44"/>
      <c r="GX182" s="44"/>
      <c r="GY182" s="44"/>
      <c r="GZ182" s="44"/>
      <c r="HA182" s="44"/>
      <c r="HB182" s="44"/>
      <c r="HC182" s="44"/>
      <c r="HD182" s="44"/>
      <c r="HE182" s="44"/>
      <c r="HF182" s="44"/>
      <c r="HG182" s="44"/>
      <c r="HH182" s="44"/>
      <c r="HI182" s="44"/>
    </row>
    <row r="183">
      <c r="A183" s="23">
        <v>43485.0</v>
      </c>
      <c r="B183" s="4" t="s">
        <v>201</v>
      </c>
      <c r="C183" s="28">
        <f t="shared" si="102"/>
        <v>170</v>
      </c>
      <c r="D183" s="4">
        <v>21.25544</v>
      </c>
      <c r="E183" s="4">
        <v>-157.8103</v>
      </c>
      <c r="F183" s="4" t="s">
        <v>418</v>
      </c>
      <c r="G183" s="24">
        <v>0.40625</v>
      </c>
      <c r="H183" s="24">
        <v>0.4479166666666667</v>
      </c>
      <c r="I183" s="4">
        <v>6.0</v>
      </c>
      <c r="J183" s="4">
        <v>10.0</v>
      </c>
      <c r="K183" s="4" t="s">
        <v>318</v>
      </c>
      <c r="L183" s="4">
        <v>10.0</v>
      </c>
      <c r="M183" s="4">
        <v>52.0</v>
      </c>
      <c r="N183" s="4" t="s">
        <v>438</v>
      </c>
      <c r="P183" s="4">
        <v>52.0</v>
      </c>
      <c r="R183" s="4">
        <v>3.0</v>
      </c>
      <c r="T183" s="4">
        <v>3.0</v>
      </c>
      <c r="AF183" s="4">
        <v>1.0</v>
      </c>
      <c r="AH183" s="4"/>
      <c r="AI183" s="4">
        <v>6.0</v>
      </c>
      <c r="BF183" s="4"/>
      <c r="BG183" s="4"/>
      <c r="BH183" s="4"/>
      <c r="BI183" s="4"/>
      <c r="BJ183" s="4"/>
      <c r="BK183" s="4"/>
      <c r="BL183" s="4"/>
      <c r="BM183" s="4">
        <v>17.0</v>
      </c>
      <c r="BQ183" s="4">
        <v>15.0</v>
      </c>
      <c r="BR183" s="4"/>
      <c r="BS183" s="4"/>
      <c r="BT183" s="4"/>
      <c r="BU183" s="4"/>
      <c r="BV183" s="4">
        <v>1.0</v>
      </c>
      <c r="BW183" s="4"/>
      <c r="BY183" s="4"/>
      <c r="BZ183" s="4">
        <v>3.0</v>
      </c>
      <c r="CA183" s="4"/>
      <c r="CB183" s="4">
        <v>4.0</v>
      </c>
      <c r="CI183" s="4"/>
      <c r="CJ183" s="4"/>
      <c r="CK183" s="4"/>
      <c r="CL183" s="4"/>
      <c r="CM183" s="4"/>
      <c r="CN183" s="4"/>
      <c r="CO183" s="4"/>
      <c r="CP183" s="4"/>
      <c r="CQ183" s="4"/>
      <c r="CR183" s="4"/>
      <c r="CS183" s="4">
        <v>4.0</v>
      </c>
      <c r="DB183" s="4"/>
      <c r="DC183" s="4">
        <v>1.0</v>
      </c>
      <c r="DD183" s="4"/>
      <c r="DE183" s="4"/>
      <c r="DF183" s="4"/>
      <c r="DG183" s="4">
        <v>6.0</v>
      </c>
      <c r="DI183" s="4"/>
      <c r="DJ183" s="4"/>
      <c r="DK183" s="4"/>
      <c r="DL183" s="4"/>
      <c r="DM183" s="4">
        <v>30.0</v>
      </c>
      <c r="DN183" s="4">
        <v>3.0</v>
      </c>
      <c r="DO183" s="4"/>
      <c r="DP183" s="4">
        <v>2.0</v>
      </c>
      <c r="DQ183" s="4"/>
      <c r="DR183" s="4"/>
      <c r="DS183" s="4">
        <v>53.0</v>
      </c>
      <c r="DT183" s="4"/>
      <c r="DU183" s="4"/>
      <c r="DV183" s="4">
        <v>1.0</v>
      </c>
      <c r="DW183" s="4"/>
      <c r="DX183" s="4"/>
      <c r="DY183" s="4"/>
      <c r="DZ183" s="4"/>
      <c r="EA183" s="4">
        <v>1.0</v>
      </c>
      <c r="EB183" s="4"/>
      <c r="EC183" s="4"/>
      <c r="ED183" s="4"/>
      <c r="EE183" s="4"/>
      <c r="EF183" s="4"/>
      <c r="EG183" s="4"/>
      <c r="EH183" s="4"/>
      <c r="EI183" s="4"/>
      <c r="EJ183" s="4">
        <v>201.0</v>
      </c>
      <c r="EK183" s="4"/>
      <c r="EL183" s="4"/>
      <c r="EM183" s="4"/>
      <c r="EN183" s="4"/>
      <c r="EO183" s="4"/>
      <c r="EP183" s="4"/>
      <c r="EQ183" s="4"/>
      <c r="ER183" s="4"/>
      <c r="ES183" s="4"/>
      <c r="ET183" s="4"/>
      <c r="EU183" s="4"/>
      <c r="EV183" s="4"/>
      <c r="EW183" s="4"/>
      <c r="EX183" s="4"/>
      <c r="EY183" s="4"/>
      <c r="EZ183" s="4"/>
      <c r="FA183" s="4"/>
      <c r="FB183" s="4">
        <v>192.0</v>
      </c>
      <c r="FC183" s="4">
        <v>3.0</v>
      </c>
      <c r="FG183" s="4"/>
      <c r="FH183" s="4">
        <v>1.0</v>
      </c>
      <c r="FI183" s="4">
        <v>4.0</v>
      </c>
      <c r="FJ183" s="4"/>
      <c r="FK183" s="4"/>
      <c r="FL183" s="4"/>
      <c r="FM183" s="4">
        <v>3.0</v>
      </c>
      <c r="FN183" s="4"/>
      <c r="FO183" s="4"/>
      <c r="FP183" s="4"/>
      <c r="FQ183" s="4"/>
      <c r="FR183" s="4">
        <v>145.0</v>
      </c>
      <c r="FS183" s="4">
        <v>273.0</v>
      </c>
      <c r="GD183" s="4"/>
      <c r="GE183" s="4"/>
      <c r="GF183" s="4">
        <v>1.0</v>
      </c>
      <c r="GH183" s="25">
        <f>count(R183:GG183)</f>
        <v>27</v>
      </c>
      <c r="GI183" s="25">
        <f>countif(R183:GG183,"&gt;=2")</f>
        <v>20</v>
      </c>
      <c r="GJ183" s="25">
        <f>countif(R183:GG183,"&gt;=5")</f>
        <v>10</v>
      </c>
      <c r="GK183" s="25">
        <f>sum(R183:GG183)</f>
        <v>977</v>
      </c>
      <c r="GL183" s="25">
        <f>25*P183</f>
        <v>1300</v>
      </c>
      <c r="GM183" s="25">
        <f>GL183-GK183</f>
        <v>323</v>
      </c>
    </row>
    <row r="184">
      <c r="A184" s="41">
        <v>43505.0</v>
      </c>
      <c r="B184" s="42" t="s">
        <v>266</v>
      </c>
      <c r="C184" s="28">
        <f t="shared" si="102"/>
        <v>171</v>
      </c>
      <c r="D184" s="42">
        <v>22.060684</v>
      </c>
      <c r="E184" s="42">
        <v>-159.318512</v>
      </c>
      <c r="F184" s="42" t="s">
        <v>536</v>
      </c>
      <c r="G184" s="43">
        <v>1.1574074074074073E-5</v>
      </c>
      <c r="H184" s="43">
        <v>2.3148148148148147E-5</v>
      </c>
      <c r="I184" s="42">
        <v>3.0</v>
      </c>
      <c r="J184" s="42">
        <v>14.0</v>
      </c>
      <c r="K184" s="42" t="s">
        <v>198</v>
      </c>
      <c r="L184" s="42">
        <v>2.0</v>
      </c>
      <c r="M184" s="42">
        <v>2.0</v>
      </c>
      <c r="N184" s="42" t="s">
        <v>537</v>
      </c>
      <c r="O184" s="44"/>
      <c r="P184" s="42"/>
      <c r="Q184" s="44"/>
      <c r="R184" s="42">
        <v>10.0</v>
      </c>
      <c r="S184" s="44"/>
      <c r="T184" s="44"/>
      <c r="U184" s="44"/>
      <c r="V184" s="44"/>
      <c r="W184" s="44"/>
      <c r="X184" s="44"/>
      <c r="Y184" s="44"/>
      <c r="Z184" s="44"/>
      <c r="AA184" s="44"/>
      <c r="AB184" s="44"/>
      <c r="AC184" s="44"/>
      <c r="AD184" s="44"/>
      <c r="AE184" s="44"/>
      <c r="AF184" s="44"/>
      <c r="AG184" s="44"/>
      <c r="AH184" s="42"/>
      <c r="AI184" s="42"/>
      <c r="AJ184" s="44"/>
      <c r="AK184" s="44"/>
      <c r="AL184" s="44"/>
      <c r="AM184" s="44"/>
      <c r="AN184" s="44"/>
      <c r="AO184" s="44"/>
      <c r="AP184" s="44"/>
      <c r="AQ184" s="44"/>
      <c r="AR184" s="44"/>
      <c r="AS184" s="44"/>
      <c r="AT184" s="42"/>
      <c r="AU184" s="42"/>
      <c r="AV184" s="42"/>
      <c r="AW184" s="42"/>
      <c r="AX184" s="42"/>
      <c r="AY184" s="42"/>
      <c r="AZ184" s="42"/>
      <c r="BA184" s="42"/>
      <c r="BB184" s="42"/>
      <c r="BC184" s="42"/>
      <c r="BD184" s="42"/>
      <c r="BE184" s="42"/>
      <c r="BF184" s="42"/>
      <c r="BG184" s="42"/>
      <c r="BH184" s="42"/>
      <c r="BI184" s="42"/>
      <c r="BJ184" s="42"/>
      <c r="BK184" s="42"/>
      <c r="BL184" s="42"/>
      <c r="BM184" s="42">
        <v>3.0</v>
      </c>
      <c r="BN184" s="44"/>
      <c r="BO184" s="44"/>
      <c r="BP184" s="44"/>
      <c r="BQ184" s="44"/>
      <c r="BR184" s="42"/>
      <c r="BS184" s="42"/>
      <c r="BT184" s="42"/>
      <c r="BU184" s="42"/>
      <c r="BV184" s="42"/>
      <c r="BW184" s="42">
        <v>1.0</v>
      </c>
      <c r="BX184" s="44"/>
      <c r="BY184" s="42"/>
      <c r="BZ184" s="42"/>
      <c r="CA184" s="44"/>
      <c r="CB184" s="44"/>
      <c r="CC184" s="44"/>
      <c r="CD184" s="44"/>
      <c r="CE184" s="44"/>
      <c r="CF184" s="44"/>
      <c r="CG184" s="44"/>
      <c r="CH184" s="44"/>
      <c r="CI184" s="44"/>
      <c r="CJ184" s="44"/>
      <c r="CK184" s="44"/>
      <c r="CL184" s="44"/>
      <c r="CM184" s="44"/>
      <c r="CN184" s="44"/>
      <c r="CO184" s="44"/>
      <c r="CP184" s="44"/>
      <c r="CQ184" s="44"/>
      <c r="CR184" s="44"/>
      <c r="CS184" s="44"/>
      <c r="CT184" s="44"/>
      <c r="CU184" s="44"/>
      <c r="CV184" s="42"/>
      <c r="CW184" s="42"/>
      <c r="CX184" s="42"/>
      <c r="CY184" s="42"/>
      <c r="CZ184" s="42"/>
      <c r="DA184" s="42"/>
      <c r="DB184" s="44"/>
      <c r="DC184" s="44"/>
      <c r="DD184" s="44"/>
      <c r="DE184" s="44"/>
      <c r="DF184" s="44"/>
      <c r="DG184" s="44"/>
      <c r="DH184" s="44"/>
      <c r="DI184" s="44"/>
      <c r="DJ184" s="44"/>
      <c r="DK184" s="44"/>
      <c r="DL184" s="42">
        <v>10.0</v>
      </c>
      <c r="DM184" s="44"/>
      <c r="DN184" s="44"/>
      <c r="DO184" s="44"/>
      <c r="DP184" s="44"/>
      <c r="DQ184" s="42"/>
      <c r="DR184" s="42"/>
      <c r="DS184" s="42"/>
      <c r="DT184" s="44"/>
      <c r="DU184" s="44"/>
      <c r="DV184" s="44"/>
      <c r="DW184" s="44"/>
      <c r="DX184" s="44"/>
      <c r="DY184" s="44"/>
      <c r="DZ184" s="44"/>
      <c r="EA184" s="44"/>
      <c r="EB184" s="44"/>
      <c r="EC184" s="44"/>
      <c r="ED184" s="44"/>
      <c r="EE184" s="44"/>
      <c r="EF184" s="44"/>
      <c r="EG184" s="44"/>
      <c r="EH184" s="44"/>
      <c r="EI184" s="44"/>
      <c r="EJ184" s="44"/>
      <c r="EK184" s="42"/>
      <c r="EL184" s="42"/>
      <c r="EM184" s="42"/>
      <c r="EN184" s="42"/>
      <c r="EO184" s="42"/>
      <c r="EP184" s="42"/>
      <c r="EQ184" s="42"/>
      <c r="ER184" s="42"/>
      <c r="ES184" s="42"/>
      <c r="ET184" s="42"/>
      <c r="EU184" s="42"/>
      <c r="EV184" s="42"/>
      <c r="EW184" s="42"/>
      <c r="EX184" s="42"/>
      <c r="EY184" s="42"/>
      <c r="EZ184" s="42"/>
      <c r="FA184" s="42"/>
      <c r="FB184" s="42"/>
      <c r="FC184" s="44"/>
      <c r="FD184" s="42"/>
      <c r="FE184" s="42"/>
      <c r="FF184" s="44"/>
      <c r="FG184" s="44"/>
      <c r="FH184" s="44"/>
      <c r="FI184" s="42">
        <v>5.0</v>
      </c>
      <c r="FJ184" s="44"/>
      <c r="FK184" s="44"/>
      <c r="FL184" s="44"/>
      <c r="FM184" s="44"/>
      <c r="FN184" s="44"/>
      <c r="FO184" s="44"/>
      <c r="FP184" s="44"/>
      <c r="FQ184" s="44"/>
      <c r="FR184" s="42">
        <v>1.0</v>
      </c>
      <c r="FS184" s="42">
        <v>5.0</v>
      </c>
      <c r="FT184" s="44"/>
      <c r="FU184" s="44"/>
      <c r="FV184" s="44"/>
      <c r="FW184" s="44"/>
      <c r="FX184" s="44"/>
      <c r="FY184" s="44"/>
      <c r="FZ184" s="42"/>
      <c r="GA184" s="44"/>
      <c r="GB184" s="44"/>
      <c r="GC184" s="44"/>
      <c r="GD184" s="44"/>
      <c r="GE184" s="44"/>
      <c r="GF184" s="44"/>
      <c r="GG184" s="42"/>
      <c r="GH184" s="44"/>
      <c r="GI184" s="44"/>
      <c r="GJ184" s="44"/>
      <c r="GK184" s="44"/>
      <c r="GL184" s="44"/>
      <c r="GM184" s="44"/>
      <c r="GN184" s="44"/>
      <c r="GO184" s="44"/>
      <c r="GP184" s="44"/>
      <c r="GQ184" s="44"/>
      <c r="GR184" s="44"/>
      <c r="GS184" s="44"/>
      <c r="GT184" s="44"/>
      <c r="GU184" s="44"/>
      <c r="GV184" s="44"/>
      <c r="GW184" s="44"/>
      <c r="GX184" s="44"/>
      <c r="GY184" s="44"/>
      <c r="GZ184" s="44"/>
      <c r="HA184" s="44"/>
      <c r="HB184" s="44"/>
      <c r="HC184" s="44"/>
      <c r="HD184" s="44"/>
      <c r="HE184" s="44"/>
      <c r="HF184" s="44"/>
      <c r="HG184" s="44"/>
      <c r="HH184" s="44"/>
      <c r="HI184" s="44"/>
    </row>
    <row r="185">
      <c r="A185" s="41">
        <v>43515.0</v>
      </c>
      <c r="B185" s="42" t="s">
        <v>244</v>
      </c>
      <c r="C185" s="28">
        <f t="shared" si="102"/>
        <v>172</v>
      </c>
      <c r="D185" s="42">
        <v>21.310612</v>
      </c>
      <c r="E185" s="42">
        <v>-158.00441</v>
      </c>
      <c r="F185" s="42" t="s">
        <v>278</v>
      </c>
      <c r="G185" s="43">
        <v>0.3854166666666667</v>
      </c>
      <c r="H185" s="43">
        <v>0.4270833333333333</v>
      </c>
      <c r="I185" s="42">
        <v>6.0</v>
      </c>
      <c r="J185" s="42">
        <v>5.0</v>
      </c>
      <c r="K185" s="42" t="s">
        <v>198</v>
      </c>
      <c r="L185" s="42">
        <v>5.0</v>
      </c>
      <c r="M185" s="42">
        <v>24.0</v>
      </c>
      <c r="N185" s="42" t="s">
        <v>538</v>
      </c>
      <c r="O185" s="44"/>
      <c r="P185" s="42"/>
      <c r="Q185" s="44"/>
      <c r="R185" s="44"/>
      <c r="S185" s="44"/>
      <c r="T185" s="44"/>
      <c r="U185" s="44"/>
      <c r="V185" s="44"/>
      <c r="W185" s="44"/>
      <c r="X185" s="44"/>
      <c r="Y185" s="44"/>
      <c r="Z185" s="44"/>
      <c r="AA185" s="44"/>
      <c r="AB185" s="44"/>
      <c r="AC185" s="44"/>
      <c r="AD185" s="44"/>
      <c r="AE185" s="42">
        <v>9.0</v>
      </c>
      <c r="AF185" s="44"/>
      <c r="AG185" s="44"/>
      <c r="AH185" s="42"/>
      <c r="AI185" s="42"/>
      <c r="AJ185" s="44"/>
      <c r="AK185" s="44"/>
      <c r="AL185" s="44"/>
      <c r="AM185" s="42">
        <v>1.0</v>
      </c>
      <c r="AN185" s="44"/>
      <c r="AO185" s="44"/>
      <c r="AP185" s="44"/>
      <c r="AQ185" s="44"/>
      <c r="AR185" s="44"/>
      <c r="AS185" s="44"/>
      <c r="AT185" s="42"/>
      <c r="AU185" s="42"/>
      <c r="AV185" s="42"/>
      <c r="AW185" s="42"/>
      <c r="AX185" s="42"/>
      <c r="AY185" s="42"/>
      <c r="AZ185" s="42"/>
      <c r="BA185" s="42"/>
      <c r="BB185" s="42">
        <v>7.0</v>
      </c>
      <c r="BC185" s="42"/>
      <c r="BD185" s="42"/>
      <c r="BE185" s="42">
        <v>2.0</v>
      </c>
      <c r="BF185" s="42"/>
      <c r="BG185" s="42"/>
      <c r="BH185" s="42"/>
      <c r="BI185" s="42"/>
      <c r="BJ185" s="42"/>
      <c r="BK185" s="42"/>
      <c r="BL185" s="42">
        <v>1.0</v>
      </c>
      <c r="BM185" s="42">
        <v>8.0</v>
      </c>
      <c r="BN185" s="44"/>
      <c r="BO185" s="44"/>
      <c r="BP185" s="44"/>
      <c r="BQ185" s="44"/>
      <c r="BR185" s="42"/>
      <c r="BS185" s="42"/>
      <c r="BT185" s="42"/>
      <c r="BU185" s="42"/>
      <c r="BV185" s="42"/>
      <c r="BW185" s="42"/>
      <c r="BX185" s="44"/>
      <c r="BY185" s="42"/>
      <c r="BZ185" s="42"/>
      <c r="CA185" s="44"/>
      <c r="CB185" s="44"/>
      <c r="CC185" s="44"/>
      <c r="CD185" s="44"/>
      <c r="CE185" s="44"/>
      <c r="CF185" s="44"/>
      <c r="CG185" s="44"/>
      <c r="CH185" s="44"/>
      <c r="CI185" s="44"/>
      <c r="CJ185" s="44"/>
      <c r="CK185" s="44"/>
      <c r="CL185" s="44"/>
      <c r="CM185" s="44"/>
      <c r="CN185" s="44"/>
      <c r="CO185" s="44"/>
      <c r="CP185" s="44"/>
      <c r="CQ185" s="44"/>
      <c r="CR185" s="44"/>
      <c r="CS185" s="44"/>
      <c r="CT185" s="44"/>
      <c r="CU185" s="44"/>
      <c r="CV185" s="42"/>
      <c r="CW185" s="42"/>
      <c r="CX185" s="42"/>
      <c r="CY185" s="42"/>
      <c r="CZ185" s="42"/>
      <c r="DA185" s="42"/>
      <c r="DB185" s="44"/>
      <c r="DC185" s="44"/>
      <c r="DD185" s="44"/>
      <c r="DE185" s="44"/>
      <c r="DF185" s="44"/>
      <c r="DG185" s="42">
        <v>1.0</v>
      </c>
      <c r="DH185" s="44"/>
      <c r="DI185" s="44"/>
      <c r="DJ185" s="44"/>
      <c r="DK185" s="44"/>
      <c r="DL185" s="44"/>
      <c r="DM185" s="44"/>
      <c r="DN185" s="44"/>
      <c r="DO185" s="42">
        <v>2.0</v>
      </c>
      <c r="DP185" s="44"/>
      <c r="DQ185" s="42"/>
      <c r="DR185" s="42"/>
      <c r="DS185" s="42"/>
      <c r="DT185" s="44"/>
      <c r="DU185" s="44"/>
      <c r="DV185" s="44"/>
      <c r="DW185" s="44"/>
      <c r="DX185" s="44"/>
      <c r="DY185" s="44"/>
      <c r="DZ185" s="44"/>
      <c r="EA185" s="44"/>
      <c r="EB185" s="44"/>
      <c r="EC185" s="44"/>
      <c r="ED185" s="44"/>
      <c r="EE185" s="44"/>
      <c r="EF185" s="44"/>
      <c r="EG185" s="44"/>
      <c r="EH185" s="44"/>
      <c r="EI185" s="44"/>
      <c r="EJ185" s="42">
        <v>152.0</v>
      </c>
      <c r="EK185" s="42"/>
      <c r="EL185" s="42"/>
      <c r="EM185" s="42"/>
      <c r="EN185" s="42"/>
      <c r="EO185" s="42">
        <v>5.0</v>
      </c>
      <c r="EP185" s="42"/>
      <c r="EQ185" s="42"/>
      <c r="ER185" s="42"/>
      <c r="ES185" s="42"/>
      <c r="ET185" s="42"/>
      <c r="EU185" s="42"/>
      <c r="EV185" s="42"/>
      <c r="EW185" s="42"/>
      <c r="EX185" s="42"/>
      <c r="EY185" s="42"/>
      <c r="EZ185" s="42"/>
      <c r="FA185" s="42"/>
      <c r="FB185" s="42"/>
      <c r="FC185" s="44"/>
      <c r="FD185" s="42"/>
      <c r="FE185" s="42"/>
      <c r="FF185" s="44"/>
      <c r="FG185" s="44"/>
      <c r="FH185" s="44"/>
      <c r="FI185" s="44"/>
      <c r="FJ185" s="44"/>
      <c r="FK185" s="44"/>
      <c r="FL185" s="44"/>
      <c r="FM185" s="44"/>
      <c r="FN185" s="44"/>
      <c r="FO185" s="44"/>
      <c r="FP185" s="44"/>
      <c r="FQ185" s="44"/>
      <c r="FR185" s="44"/>
      <c r="FS185" s="42">
        <v>119.0</v>
      </c>
      <c r="FT185" s="44"/>
      <c r="FU185" s="44"/>
      <c r="FV185" s="44"/>
      <c r="FW185" s="44"/>
      <c r="FX185" s="44"/>
      <c r="FY185" s="44"/>
      <c r="FZ185" s="42"/>
      <c r="GA185" s="44"/>
      <c r="GB185" s="44"/>
      <c r="GC185" s="44"/>
      <c r="GD185" s="44"/>
      <c r="GE185" s="44"/>
      <c r="GF185" s="44"/>
      <c r="GG185" s="42"/>
      <c r="GH185" s="44"/>
      <c r="GI185" s="44"/>
      <c r="GJ185" s="44"/>
      <c r="GK185" s="44"/>
      <c r="GL185" s="44"/>
      <c r="GM185" s="44"/>
      <c r="GN185" s="44"/>
      <c r="GO185" s="44"/>
      <c r="GP185" s="44"/>
      <c r="GQ185" s="44"/>
      <c r="GR185" s="44"/>
      <c r="GS185" s="44"/>
      <c r="GT185" s="44"/>
      <c r="GU185" s="44"/>
      <c r="GV185" s="44"/>
      <c r="GW185" s="44"/>
      <c r="GX185" s="44"/>
      <c r="GY185" s="44"/>
      <c r="GZ185" s="44"/>
      <c r="HA185" s="44"/>
      <c r="HB185" s="44"/>
      <c r="HC185" s="44"/>
      <c r="HD185" s="44"/>
      <c r="HE185" s="44"/>
      <c r="HF185" s="44"/>
      <c r="HG185" s="44"/>
      <c r="HH185" s="44"/>
      <c r="HI185" s="44"/>
    </row>
    <row r="186">
      <c r="A186" s="41">
        <v>43515.0</v>
      </c>
      <c r="B186" s="42" t="s">
        <v>266</v>
      </c>
      <c r="C186" s="28">
        <f t="shared" si="102"/>
        <v>173</v>
      </c>
      <c r="D186" s="42">
        <v>22.060684</v>
      </c>
      <c r="E186" s="42">
        <v>-159.318512</v>
      </c>
      <c r="F186" s="42" t="s">
        <v>418</v>
      </c>
      <c r="G186" s="43">
        <v>0.4201388888888889</v>
      </c>
      <c r="H186" s="43">
        <v>0.5104166666666666</v>
      </c>
      <c r="I186" s="42">
        <v>4.0</v>
      </c>
      <c r="J186" s="42">
        <v>16.0</v>
      </c>
      <c r="K186" s="42" t="s">
        <v>217</v>
      </c>
      <c r="L186" s="42">
        <v>3.0</v>
      </c>
      <c r="M186" s="42">
        <v>10.0</v>
      </c>
      <c r="N186" s="42" t="s">
        <v>539</v>
      </c>
      <c r="O186" s="44"/>
      <c r="P186" s="42"/>
      <c r="Q186" s="44"/>
      <c r="R186" s="44"/>
      <c r="S186" s="44"/>
      <c r="T186" s="44"/>
      <c r="U186" s="44"/>
      <c r="V186" s="44"/>
      <c r="W186" s="44"/>
      <c r="X186" s="44"/>
      <c r="Y186" s="44"/>
      <c r="Z186" s="44"/>
      <c r="AA186" s="44"/>
      <c r="AB186" s="44"/>
      <c r="AC186" s="44"/>
      <c r="AD186" s="44"/>
      <c r="AE186" s="44"/>
      <c r="AF186" s="44"/>
      <c r="AG186" s="44"/>
      <c r="AH186" s="42"/>
      <c r="AI186" s="42"/>
      <c r="AJ186" s="44"/>
      <c r="AK186" s="44"/>
      <c r="AL186" s="44"/>
      <c r="AM186" s="44"/>
      <c r="AN186" s="44"/>
      <c r="AO186" s="44"/>
      <c r="AP186" s="44"/>
      <c r="AQ186" s="44"/>
      <c r="AR186" s="44"/>
      <c r="AS186" s="44"/>
      <c r="AT186" s="42"/>
      <c r="AU186" s="42"/>
      <c r="AV186" s="42"/>
      <c r="AW186" s="42"/>
      <c r="AX186" s="42"/>
      <c r="AY186" s="42"/>
      <c r="AZ186" s="42"/>
      <c r="BA186" s="42"/>
      <c r="BB186" s="42">
        <v>5.0</v>
      </c>
      <c r="BC186" s="42"/>
      <c r="BD186" s="42"/>
      <c r="BE186" s="42"/>
      <c r="BF186" s="42"/>
      <c r="BG186" s="42"/>
      <c r="BH186" s="42"/>
      <c r="BI186" s="42"/>
      <c r="BJ186" s="42"/>
      <c r="BK186" s="42"/>
      <c r="BL186" s="42"/>
      <c r="BM186" s="42">
        <v>10.0</v>
      </c>
      <c r="BN186" s="44"/>
      <c r="BO186" s="44"/>
      <c r="BP186" s="44"/>
      <c r="BQ186" s="44"/>
      <c r="BR186" s="42"/>
      <c r="BS186" s="42"/>
      <c r="BT186" s="42"/>
      <c r="BU186" s="42"/>
      <c r="BV186" s="42">
        <v>15.0</v>
      </c>
      <c r="BW186" s="42"/>
      <c r="BX186" s="44"/>
      <c r="BY186" s="42"/>
      <c r="BZ186" s="42">
        <v>13.0</v>
      </c>
      <c r="CA186" s="44"/>
      <c r="CB186" s="44"/>
      <c r="CC186" s="44"/>
      <c r="CD186" s="44"/>
      <c r="CE186" s="44"/>
      <c r="CF186" s="44"/>
      <c r="CG186" s="44"/>
      <c r="CH186" s="44"/>
      <c r="CI186" s="44"/>
      <c r="CJ186" s="44"/>
      <c r="CK186" s="44"/>
      <c r="CL186" s="44"/>
      <c r="CM186" s="44"/>
      <c r="CN186" s="44"/>
      <c r="CO186" s="44"/>
      <c r="CP186" s="44"/>
      <c r="CQ186" s="44"/>
      <c r="CR186" s="44"/>
      <c r="CS186" s="44"/>
      <c r="CT186" s="44"/>
      <c r="CU186" s="44"/>
      <c r="CV186" s="42"/>
      <c r="CW186" s="42"/>
      <c r="CX186" s="42"/>
      <c r="CY186" s="42"/>
      <c r="CZ186" s="42"/>
      <c r="DA186" s="42"/>
      <c r="DB186" s="44"/>
      <c r="DC186" s="44"/>
      <c r="DD186" s="44"/>
      <c r="DE186" s="44"/>
      <c r="DF186" s="44"/>
      <c r="DG186" s="42">
        <v>2.0</v>
      </c>
      <c r="DH186" s="44"/>
      <c r="DI186" s="44"/>
      <c r="DJ186" s="44"/>
      <c r="DK186" s="44"/>
      <c r="DL186" s="44"/>
      <c r="DM186" s="42">
        <v>18.0</v>
      </c>
      <c r="DN186" s="44"/>
      <c r="DO186" s="44"/>
      <c r="DP186" s="44"/>
      <c r="DQ186" s="42"/>
      <c r="DR186" s="42"/>
      <c r="DS186" s="42">
        <v>11.0</v>
      </c>
      <c r="DT186" s="44"/>
      <c r="DU186" s="44"/>
      <c r="DV186" s="42">
        <v>3.0</v>
      </c>
      <c r="DW186" s="44"/>
      <c r="DX186" s="44"/>
      <c r="DY186" s="44"/>
      <c r="DZ186" s="44"/>
      <c r="EA186" s="44"/>
      <c r="EB186" s="44"/>
      <c r="EC186" s="44"/>
      <c r="ED186" s="44"/>
      <c r="EE186" s="44"/>
      <c r="EF186" s="44"/>
      <c r="EG186" s="44"/>
      <c r="EH186" s="44"/>
      <c r="EI186" s="44"/>
      <c r="EJ186" s="42">
        <v>37.0</v>
      </c>
      <c r="EK186" s="42"/>
      <c r="EL186" s="42"/>
      <c r="EM186" s="42"/>
      <c r="EN186" s="42"/>
      <c r="EO186" s="42"/>
      <c r="EP186" s="42"/>
      <c r="EQ186" s="42"/>
      <c r="ER186" s="42"/>
      <c r="ES186" s="42"/>
      <c r="ET186" s="42"/>
      <c r="EU186" s="42"/>
      <c r="EV186" s="42"/>
      <c r="EW186" s="42"/>
      <c r="EX186" s="42"/>
      <c r="EY186" s="42"/>
      <c r="EZ186" s="42"/>
      <c r="FA186" s="42"/>
      <c r="FB186" s="42">
        <v>5.0</v>
      </c>
      <c r="FC186" s="44"/>
      <c r="FD186" s="42"/>
      <c r="FE186" s="42"/>
      <c r="FF186" s="42">
        <v>7.0</v>
      </c>
      <c r="FG186" s="44"/>
      <c r="FH186" s="44"/>
      <c r="FI186" s="44"/>
      <c r="FJ186" s="44"/>
      <c r="FK186" s="44"/>
      <c r="FL186" s="44"/>
      <c r="FM186" s="44"/>
      <c r="FN186" s="44"/>
      <c r="FO186" s="44"/>
      <c r="FP186" s="44"/>
      <c r="FQ186" s="44"/>
      <c r="FR186" s="42">
        <v>6.0</v>
      </c>
      <c r="FS186" s="42">
        <v>42.0</v>
      </c>
      <c r="FT186" s="44"/>
      <c r="FU186" s="44"/>
      <c r="FV186" s="44"/>
      <c r="FW186" s="44"/>
      <c r="FX186" s="44"/>
      <c r="FY186" s="44"/>
      <c r="FZ186" s="42"/>
      <c r="GA186" s="44"/>
      <c r="GB186" s="44"/>
      <c r="GC186" s="44"/>
      <c r="GD186" s="44"/>
      <c r="GE186" s="44"/>
      <c r="GF186" s="44"/>
      <c r="GG186" s="42"/>
      <c r="GH186" s="44"/>
      <c r="GI186" s="44"/>
      <c r="GJ186" s="44"/>
      <c r="GK186" s="44"/>
      <c r="GL186" s="44"/>
      <c r="GM186" s="44"/>
      <c r="GN186" s="44"/>
      <c r="GO186" s="44"/>
      <c r="GP186" s="44"/>
      <c r="GQ186" s="44"/>
      <c r="GR186" s="44"/>
      <c r="GS186" s="44"/>
      <c r="GT186" s="44"/>
      <c r="GU186" s="44"/>
      <c r="GV186" s="44"/>
      <c r="GW186" s="44"/>
      <c r="GX186" s="44"/>
      <c r="GY186" s="44"/>
      <c r="GZ186" s="44"/>
      <c r="HA186" s="44"/>
      <c r="HB186" s="44"/>
      <c r="HC186" s="44"/>
      <c r="HD186" s="44"/>
      <c r="HE186" s="44"/>
      <c r="HF186" s="44"/>
      <c r="HG186" s="44"/>
      <c r="HH186" s="44"/>
      <c r="HI186" s="44"/>
    </row>
    <row r="187">
      <c r="A187" s="31">
        <v>43516.0</v>
      </c>
      <c r="B187" s="32" t="s">
        <v>216</v>
      </c>
      <c r="C187" s="28"/>
      <c r="D187" s="32"/>
      <c r="E187" s="32"/>
      <c r="F187" s="32"/>
      <c r="G187" s="33"/>
      <c r="H187" s="33"/>
      <c r="I187" s="32"/>
      <c r="J187" s="32"/>
      <c r="K187" s="32"/>
      <c r="L187" s="32"/>
      <c r="M187" s="32"/>
      <c r="N187" s="34"/>
      <c r="O187" s="34"/>
      <c r="P187" s="32"/>
      <c r="Q187" s="34"/>
      <c r="R187" s="34"/>
      <c r="S187" s="34"/>
      <c r="T187" s="34"/>
      <c r="U187" s="34"/>
      <c r="V187" s="34"/>
      <c r="W187" s="34"/>
      <c r="X187" s="34"/>
      <c r="Y187" s="34"/>
      <c r="Z187" s="34"/>
      <c r="AA187" s="34"/>
      <c r="AB187" s="34"/>
      <c r="AC187" s="34"/>
      <c r="AD187" s="34"/>
      <c r="AE187" s="34"/>
      <c r="AF187" s="34"/>
      <c r="AG187" s="34"/>
      <c r="AH187" s="32"/>
      <c r="AI187" s="32"/>
      <c r="AJ187" s="34"/>
      <c r="AK187" s="34"/>
      <c r="AL187" s="34"/>
      <c r="AM187" s="34"/>
      <c r="AN187" s="34"/>
      <c r="AO187" s="34"/>
      <c r="AP187" s="34"/>
      <c r="AQ187" s="34"/>
      <c r="AR187" s="34"/>
      <c r="AS187" s="34"/>
      <c r="AT187" s="32"/>
      <c r="AU187" s="32"/>
      <c r="AV187" s="32"/>
      <c r="AW187" s="32"/>
      <c r="AX187" s="32"/>
      <c r="AY187" s="32"/>
      <c r="AZ187" s="32"/>
      <c r="BA187" s="32"/>
      <c r="BB187" s="32"/>
      <c r="BC187" s="32"/>
      <c r="BD187" s="32"/>
      <c r="BE187" s="32"/>
      <c r="BF187" s="32"/>
      <c r="BG187" s="32"/>
      <c r="BH187" s="32"/>
      <c r="BI187" s="32"/>
      <c r="BJ187" s="32"/>
      <c r="BK187" s="32"/>
      <c r="BL187" s="32"/>
      <c r="BM187" s="32"/>
      <c r="BN187" s="34"/>
      <c r="BO187" s="34"/>
      <c r="BP187" s="34"/>
      <c r="BQ187" s="34"/>
      <c r="BR187" s="32"/>
      <c r="BS187" s="32"/>
      <c r="BT187" s="32"/>
      <c r="BU187" s="32"/>
      <c r="BV187" s="32"/>
      <c r="BW187" s="32"/>
      <c r="BX187" s="34"/>
      <c r="BY187" s="32"/>
      <c r="BZ187" s="32"/>
      <c r="CA187" s="34"/>
      <c r="CB187" s="34"/>
      <c r="CC187" s="34"/>
      <c r="CD187" s="34"/>
      <c r="CE187" s="34"/>
      <c r="CF187" s="34"/>
      <c r="CG187" s="34"/>
      <c r="CH187" s="34"/>
      <c r="CI187" s="34"/>
      <c r="CJ187" s="34"/>
      <c r="CK187" s="34"/>
      <c r="CL187" s="34"/>
      <c r="CM187" s="34"/>
      <c r="CN187" s="34"/>
      <c r="CO187" s="34"/>
      <c r="CP187" s="34"/>
      <c r="CQ187" s="34"/>
      <c r="CR187" s="34"/>
      <c r="CS187" s="34"/>
      <c r="CT187" s="34"/>
      <c r="CU187" s="34"/>
      <c r="CV187" s="32"/>
      <c r="CW187" s="32"/>
      <c r="CX187" s="32"/>
      <c r="CY187" s="32"/>
      <c r="CZ187" s="32"/>
      <c r="DA187" s="32"/>
      <c r="DB187" s="34"/>
      <c r="DC187" s="34"/>
      <c r="DD187" s="34"/>
      <c r="DE187" s="34"/>
      <c r="DF187" s="34"/>
      <c r="DG187" s="34"/>
      <c r="DH187" s="34"/>
      <c r="DI187" s="34"/>
      <c r="DJ187" s="34"/>
      <c r="DK187" s="34"/>
      <c r="DL187" s="34"/>
      <c r="DM187" s="34"/>
      <c r="DN187" s="34"/>
      <c r="DO187" s="34"/>
      <c r="DP187" s="34"/>
      <c r="DQ187" s="32"/>
      <c r="DR187" s="32"/>
      <c r="DS187" s="32"/>
      <c r="DT187" s="34"/>
      <c r="DU187" s="34"/>
      <c r="DV187" s="34"/>
      <c r="DW187" s="34"/>
      <c r="DX187" s="34"/>
      <c r="DY187" s="34"/>
      <c r="DZ187" s="34"/>
      <c r="EA187" s="34"/>
      <c r="EB187" s="34"/>
      <c r="EC187" s="34"/>
      <c r="ED187" s="34"/>
      <c r="EE187" s="34"/>
      <c r="EF187" s="34"/>
      <c r="EG187" s="34"/>
      <c r="EH187" s="34"/>
      <c r="EI187" s="34"/>
      <c r="EJ187" s="34"/>
      <c r="EK187" s="32"/>
      <c r="EL187" s="32"/>
      <c r="EM187" s="32"/>
      <c r="EN187" s="32"/>
      <c r="EO187" s="32"/>
      <c r="EP187" s="32"/>
      <c r="EQ187" s="32"/>
      <c r="ER187" s="32"/>
      <c r="ES187" s="32"/>
      <c r="ET187" s="32"/>
      <c r="EU187" s="32"/>
      <c r="EV187" s="32"/>
      <c r="EW187" s="32"/>
      <c r="EX187" s="32"/>
      <c r="EY187" s="32"/>
      <c r="EZ187" s="32"/>
      <c r="FA187" s="32"/>
      <c r="FB187" s="32"/>
      <c r="FC187" s="34"/>
      <c r="FD187" s="32"/>
      <c r="FE187" s="32"/>
      <c r="FF187" s="34"/>
      <c r="FG187" s="34"/>
      <c r="FH187" s="34"/>
      <c r="FI187" s="34"/>
      <c r="FJ187" s="34"/>
      <c r="FK187" s="34"/>
      <c r="FL187" s="34"/>
      <c r="FM187" s="34"/>
      <c r="FN187" s="34"/>
      <c r="FO187" s="34"/>
      <c r="FP187" s="34"/>
      <c r="FQ187" s="34"/>
      <c r="FR187" s="34"/>
      <c r="FS187" s="32"/>
      <c r="FT187" s="34"/>
      <c r="FU187" s="34"/>
      <c r="FV187" s="34"/>
      <c r="FW187" s="34"/>
      <c r="FX187" s="34"/>
      <c r="FY187" s="34"/>
      <c r="FZ187" s="32"/>
      <c r="GA187" s="34"/>
      <c r="GB187" s="34"/>
      <c r="GC187" s="34"/>
      <c r="GD187" s="34"/>
      <c r="GE187" s="34"/>
      <c r="GF187" s="34"/>
      <c r="GG187" s="32"/>
      <c r="GH187" s="34"/>
      <c r="GI187" s="34"/>
      <c r="GJ187" s="34"/>
      <c r="GK187" s="34"/>
      <c r="GL187" s="34"/>
      <c r="GM187" s="34"/>
      <c r="GN187" s="34"/>
      <c r="GO187" s="34"/>
      <c r="GP187" s="34"/>
      <c r="GQ187" s="34"/>
      <c r="GR187" s="34"/>
      <c r="GS187" s="34"/>
      <c r="GT187" s="34"/>
      <c r="GU187" s="34"/>
      <c r="GV187" s="34"/>
      <c r="GW187" s="34"/>
      <c r="GX187" s="34"/>
      <c r="GY187" s="34"/>
      <c r="GZ187" s="34"/>
      <c r="HA187" s="34"/>
      <c r="HB187" s="34"/>
      <c r="HC187" s="34"/>
      <c r="HD187" s="34"/>
      <c r="HE187" s="34"/>
      <c r="HF187" s="34"/>
      <c r="HG187" s="34"/>
      <c r="HH187" s="34"/>
      <c r="HI187" s="34"/>
    </row>
    <row r="188">
      <c r="A188" s="41">
        <v>43516.0</v>
      </c>
      <c r="B188" s="42" t="s">
        <v>244</v>
      </c>
      <c r="C188" s="28">
        <v>174.0</v>
      </c>
      <c r="D188" s="42">
        <v>21.310612</v>
      </c>
      <c r="E188" s="42">
        <v>-158.00441</v>
      </c>
      <c r="F188" s="42" t="s">
        <v>278</v>
      </c>
      <c r="G188" s="43">
        <v>0.39444444444444443</v>
      </c>
      <c r="H188" s="43">
        <v>0.4791666666666667</v>
      </c>
      <c r="I188" s="42">
        <v>8.0</v>
      </c>
      <c r="J188" s="42">
        <v>10.0</v>
      </c>
      <c r="K188" s="42" t="s">
        <v>314</v>
      </c>
      <c r="L188" s="42">
        <v>6.0</v>
      </c>
      <c r="M188" s="42">
        <v>6.0</v>
      </c>
      <c r="N188" s="42" t="s">
        <v>540</v>
      </c>
      <c r="O188" s="44"/>
      <c r="P188" s="42"/>
      <c r="Q188" s="44"/>
      <c r="R188" s="44"/>
      <c r="S188" s="44"/>
      <c r="T188" s="44"/>
      <c r="U188" s="44"/>
      <c r="V188" s="44"/>
      <c r="W188" s="44"/>
      <c r="X188" s="44"/>
      <c r="Y188" s="44"/>
      <c r="Z188" s="44"/>
      <c r="AA188" s="44"/>
      <c r="AB188" s="44"/>
      <c r="AC188" s="44"/>
      <c r="AD188" s="44"/>
      <c r="AE188" s="42">
        <v>6.0</v>
      </c>
      <c r="AF188" s="44"/>
      <c r="AG188" s="44"/>
      <c r="AH188" s="42"/>
      <c r="AI188" s="42"/>
      <c r="AJ188" s="44"/>
      <c r="AK188" s="44"/>
      <c r="AL188" s="44"/>
      <c r="AM188" s="44"/>
      <c r="AN188" s="44"/>
      <c r="AO188" s="44"/>
      <c r="AP188" s="44"/>
      <c r="AQ188" s="44"/>
      <c r="AR188" s="44"/>
      <c r="AS188" s="44"/>
      <c r="AT188" s="42"/>
      <c r="AU188" s="42"/>
      <c r="AV188" s="42"/>
      <c r="AW188" s="42"/>
      <c r="AX188" s="42"/>
      <c r="AY188" s="42"/>
      <c r="AZ188" s="42"/>
      <c r="BA188" s="42"/>
      <c r="BB188" s="42"/>
      <c r="BC188" s="42"/>
      <c r="BD188" s="42"/>
      <c r="BE188" s="42">
        <v>5.0</v>
      </c>
      <c r="BF188" s="42"/>
      <c r="BG188" s="42"/>
      <c r="BH188" s="42"/>
      <c r="BI188" s="42"/>
      <c r="BJ188" s="42"/>
      <c r="BK188" s="42"/>
      <c r="BL188" s="42"/>
      <c r="BM188" s="42">
        <v>1.0</v>
      </c>
      <c r="BN188" s="44"/>
      <c r="BO188" s="44"/>
      <c r="BP188" s="44"/>
      <c r="BQ188" s="44"/>
      <c r="BR188" s="42"/>
      <c r="BS188" s="42"/>
      <c r="BT188" s="42"/>
      <c r="BU188" s="42"/>
      <c r="BV188" s="42">
        <v>8.0</v>
      </c>
      <c r="BW188" s="42"/>
      <c r="BX188" s="44"/>
      <c r="BY188" s="42"/>
      <c r="BZ188" s="42"/>
      <c r="CA188" s="44"/>
      <c r="CB188" s="44"/>
      <c r="CC188" s="44"/>
      <c r="CD188" s="44"/>
      <c r="CE188" s="44"/>
      <c r="CF188" s="44"/>
      <c r="CG188" s="44"/>
      <c r="CH188" s="44"/>
      <c r="CI188" s="44"/>
      <c r="CJ188" s="44"/>
      <c r="CK188" s="44"/>
      <c r="CL188" s="44"/>
      <c r="CM188" s="44"/>
      <c r="CN188" s="44"/>
      <c r="CO188" s="44"/>
      <c r="CP188" s="44"/>
      <c r="CQ188" s="44"/>
      <c r="CR188" s="44"/>
      <c r="CS188" s="44"/>
      <c r="CT188" s="44"/>
      <c r="CU188" s="44"/>
      <c r="CV188" s="42"/>
      <c r="CW188" s="42"/>
      <c r="CX188" s="42"/>
      <c r="CY188" s="42"/>
      <c r="CZ188" s="42"/>
      <c r="DA188" s="42"/>
      <c r="DB188" s="44"/>
      <c r="DC188" s="44"/>
      <c r="DD188" s="44"/>
      <c r="DE188" s="44"/>
      <c r="DF188" s="44"/>
      <c r="DG188" s="42">
        <v>1.0</v>
      </c>
      <c r="DH188" s="44"/>
      <c r="DI188" s="44"/>
      <c r="DJ188" s="44"/>
      <c r="DK188" s="44"/>
      <c r="DL188" s="42">
        <v>1.0</v>
      </c>
      <c r="DM188" s="44"/>
      <c r="DN188" s="44"/>
      <c r="DO188" s="42">
        <v>1.0</v>
      </c>
      <c r="DP188" s="44"/>
      <c r="DQ188" s="42"/>
      <c r="DR188" s="42"/>
      <c r="DS188" s="42"/>
      <c r="DT188" s="44"/>
      <c r="DU188" s="44"/>
      <c r="DV188" s="44"/>
      <c r="DW188" s="44"/>
      <c r="DX188" s="44"/>
      <c r="DY188" s="44"/>
      <c r="DZ188" s="44"/>
      <c r="EA188" s="44"/>
      <c r="EB188" s="44"/>
      <c r="EC188" s="44"/>
      <c r="ED188" s="44"/>
      <c r="EE188" s="44"/>
      <c r="EF188" s="44"/>
      <c r="EG188" s="44"/>
      <c r="EH188" s="44"/>
      <c r="EI188" s="44"/>
      <c r="EJ188" s="42">
        <v>81.0</v>
      </c>
      <c r="EK188" s="42"/>
      <c r="EL188" s="42"/>
      <c r="EM188" s="42"/>
      <c r="EN188" s="42"/>
      <c r="EO188" s="42">
        <v>13.0</v>
      </c>
      <c r="EP188" s="42"/>
      <c r="EQ188" s="42"/>
      <c r="ER188" s="42"/>
      <c r="ES188" s="42"/>
      <c r="ET188" s="42"/>
      <c r="EU188" s="42"/>
      <c r="EV188" s="42"/>
      <c r="EW188" s="42"/>
      <c r="EX188" s="42"/>
      <c r="EY188" s="42"/>
      <c r="EZ188" s="42"/>
      <c r="FA188" s="42"/>
      <c r="FB188" s="42"/>
      <c r="FC188" s="44"/>
      <c r="FD188" s="42"/>
      <c r="FE188" s="42"/>
      <c r="FF188" s="44"/>
      <c r="FG188" s="44"/>
      <c r="FH188" s="44"/>
      <c r="FI188" s="44"/>
      <c r="FJ188" s="44"/>
      <c r="FK188" s="44"/>
      <c r="FL188" s="44"/>
      <c r="FM188" s="44"/>
      <c r="FN188" s="44"/>
      <c r="FO188" s="44"/>
      <c r="FP188" s="44"/>
      <c r="FQ188" s="44"/>
      <c r="FR188" s="44"/>
      <c r="FS188" s="42"/>
      <c r="FT188" s="44"/>
      <c r="FU188" s="44"/>
      <c r="FV188" s="44"/>
      <c r="FW188" s="42">
        <v>1.0</v>
      </c>
      <c r="FX188" s="44"/>
      <c r="FY188" s="44"/>
      <c r="FZ188" s="42"/>
      <c r="GA188" s="44"/>
      <c r="GB188" s="44"/>
      <c r="GC188" s="44"/>
      <c r="GD188" s="44"/>
      <c r="GE188" s="44"/>
      <c r="GF188" s="44"/>
      <c r="GG188" s="42"/>
      <c r="GH188" s="44"/>
      <c r="GI188" s="44"/>
      <c r="GJ188" s="44"/>
      <c r="GK188" s="44"/>
      <c r="GL188" s="44"/>
      <c r="GM188" s="44"/>
      <c r="GN188" s="44"/>
      <c r="GO188" s="44"/>
      <c r="GP188" s="44"/>
      <c r="GQ188" s="44"/>
      <c r="GR188" s="44"/>
      <c r="GS188" s="44"/>
      <c r="GT188" s="44"/>
      <c r="GU188" s="44"/>
      <c r="GV188" s="44"/>
      <c r="GW188" s="44"/>
      <c r="GX188" s="44"/>
      <c r="GY188" s="44"/>
      <c r="GZ188" s="44"/>
      <c r="HA188" s="44"/>
      <c r="HB188" s="44"/>
      <c r="HC188" s="44"/>
      <c r="HD188" s="44"/>
      <c r="HE188" s="44"/>
      <c r="HF188" s="44"/>
      <c r="HG188" s="44"/>
      <c r="HH188" s="44"/>
      <c r="HI188" s="44"/>
    </row>
    <row r="189">
      <c r="A189" s="23">
        <v>43517.0</v>
      </c>
      <c r="B189" s="4" t="s">
        <v>440</v>
      </c>
      <c r="C189" s="28">
        <f t="shared" ref="C189:C201" si="103">C188+1</f>
        <v>175</v>
      </c>
      <c r="D189" s="4">
        <v>21.311893</v>
      </c>
      <c r="E189" s="4">
        <v>-157.895142</v>
      </c>
      <c r="F189" s="4" t="s">
        <v>418</v>
      </c>
      <c r="G189" s="24">
        <v>0.4583333333333333</v>
      </c>
      <c r="H189" s="24">
        <v>0.49027777777777776</v>
      </c>
      <c r="I189" s="4">
        <v>5.0</v>
      </c>
      <c r="J189" s="4">
        <v>10.0</v>
      </c>
      <c r="K189" s="4" t="s">
        <v>318</v>
      </c>
      <c r="L189" s="4">
        <v>5.0</v>
      </c>
      <c r="M189" s="4">
        <v>25.0</v>
      </c>
      <c r="P189" s="4">
        <v>25.0</v>
      </c>
      <c r="AH189" s="4"/>
      <c r="AI189" s="4">
        <v>1.0</v>
      </c>
      <c r="AT189" s="4"/>
      <c r="AU189" s="4"/>
      <c r="AV189" s="4"/>
      <c r="AW189" s="4"/>
      <c r="AX189" s="4"/>
      <c r="AY189" s="4"/>
      <c r="AZ189" s="4">
        <v>1.0</v>
      </c>
      <c r="BA189" s="4"/>
      <c r="BB189" s="4"/>
      <c r="BC189" s="4"/>
      <c r="BD189" s="4"/>
      <c r="BE189" s="4">
        <v>1.0</v>
      </c>
      <c r="BF189" s="4"/>
      <c r="BG189" s="4"/>
      <c r="BH189" s="4"/>
      <c r="BI189" s="4"/>
      <c r="BJ189" s="4"/>
      <c r="BK189" s="4"/>
      <c r="BL189" s="4">
        <v>1.0</v>
      </c>
      <c r="BM189" s="4">
        <v>15.0</v>
      </c>
      <c r="BR189" s="4"/>
      <c r="BS189" s="4"/>
      <c r="BT189" s="4"/>
      <c r="BU189" s="4"/>
      <c r="BV189" s="4">
        <v>13.0</v>
      </c>
      <c r="BW189" s="4"/>
      <c r="BY189" s="4"/>
      <c r="BZ189" s="4">
        <v>3.0</v>
      </c>
      <c r="CV189" s="4"/>
      <c r="CW189" s="4"/>
      <c r="CX189" s="4"/>
      <c r="CY189" s="4"/>
      <c r="CZ189" s="4"/>
      <c r="DA189" s="4">
        <v>2.0</v>
      </c>
      <c r="DQ189" s="4"/>
      <c r="DR189" s="4"/>
      <c r="DS189" s="4">
        <v>22.0</v>
      </c>
      <c r="EK189" s="4"/>
      <c r="EL189" s="4"/>
      <c r="EM189" s="4"/>
      <c r="EN189" s="4"/>
      <c r="EO189" s="4"/>
      <c r="EP189" s="4"/>
      <c r="EQ189" s="4"/>
      <c r="ER189" s="4"/>
      <c r="ES189" s="4"/>
      <c r="ET189" s="4"/>
      <c r="EU189" s="4"/>
      <c r="EV189" s="4"/>
      <c r="EW189" s="4"/>
      <c r="EX189" s="4"/>
      <c r="EY189" s="4"/>
      <c r="EZ189" s="4"/>
      <c r="FA189" s="4"/>
      <c r="FB189" s="4">
        <v>24.0</v>
      </c>
      <c r="FD189" s="4"/>
      <c r="FE189" s="4">
        <v>3.0</v>
      </c>
      <c r="FS189" s="4">
        <v>223.0</v>
      </c>
      <c r="FZ189" s="4">
        <v>1.0</v>
      </c>
      <c r="GG189" s="4">
        <v>1.0</v>
      </c>
      <c r="GH189" s="25">
        <f t="shared" ref="GH189:GH198" si="104">count(R189:GG189)</f>
        <v>14</v>
      </c>
      <c r="GI189" s="25">
        <f t="shared" ref="GI189:GI198" si="105">countif(R189:GG189,"&gt;=2")</f>
        <v>8</v>
      </c>
      <c r="GJ189" s="25">
        <f t="shared" ref="GJ189:GJ198" si="106">countif(R189:GG189,"&gt;=5")</f>
        <v>5</v>
      </c>
      <c r="GK189" s="25">
        <f t="shared" ref="GK189:GK198" si="107">sum(R189:GG189)</f>
        <v>311</v>
      </c>
      <c r="GL189" s="25">
        <f t="shared" ref="GL189:GL198" si="108">25*P189</f>
        <v>625</v>
      </c>
      <c r="GM189" s="25">
        <f t="shared" ref="GM189:GM198" si="109">GL189-GK189</f>
        <v>314</v>
      </c>
    </row>
    <row r="190">
      <c r="A190" s="23">
        <v>43519.0</v>
      </c>
      <c r="B190" s="4" t="s">
        <v>266</v>
      </c>
      <c r="C190" s="28">
        <f t="shared" si="103"/>
        <v>176</v>
      </c>
      <c r="D190" s="36">
        <v>22.060684</v>
      </c>
      <c r="E190" s="36">
        <v>-159.318512</v>
      </c>
      <c r="F190" s="4" t="s">
        <v>297</v>
      </c>
      <c r="G190" s="24">
        <v>0.36875</v>
      </c>
      <c r="H190" s="24">
        <v>0.40625</v>
      </c>
      <c r="I190" s="4">
        <v>4.0</v>
      </c>
      <c r="J190" s="4">
        <v>20.0</v>
      </c>
      <c r="K190" s="4" t="s">
        <v>198</v>
      </c>
      <c r="L190" s="4">
        <v>5.0</v>
      </c>
      <c r="M190" s="4">
        <v>19.0</v>
      </c>
      <c r="N190" s="4" t="s">
        <v>441</v>
      </c>
      <c r="P190" s="4">
        <v>19.0</v>
      </c>
      <c r="R190" s="4">
        <v>1.0</v>
      </c>
      <c r="AA190" s="4"/>
      <c r="AB190" s="4">
        <v>13.0</v>
      </c>
      <c r="AD190" s="4">
        <v>1.0</v>
      </c>
      <c r="AG190" s="4"/>
      <c r="AW190" s="4"/>
      <c r="AX190" s="4">
        <v>1.0</v>
      </c>
      <c r="BA190" s="4"/>
      <c r="BB190" s="4">
        <v>1.0</v>
      </c>
      <c r="BF190" s="4"/>
      <c r="BG190" s="4"/>
      <c r="BH190" s="4"/>
      <c r="BI190" s="4"/>
      <c r="BJ190" s="4"/>
      <c r="BK190" s="4"/>
      <c r="BM190" s="4">
        <v>1.0</v>
      </c>
      <c r="BN190" s="4">
        <v>43.0</v>
      </c>
      <c r="BQ190" s="4"/>
      <c r="BR190" s="4"/>
      <c r="BV190" s="4">
        <v>9.0</v>
      </c>
      <c r="CC190" s="4"/>
      <c r="CD190" s="4"/>
      <c r="CE190" s="4"/>
      <c r="CF190" s="4"/>
      <c r="CI190" s="4"/>
      <c r="CJ190" s="4"/>
      <c r="CK190" s="4"/>
      <c r="CL190" s="4"/>
      <c r="CM190" s="4"/>
      <c r="CN190" s="4"/>
      <c r="CO190" s="4"/>
      <c r="DM190" s="4">
        <v>37.0</v>
      </c>
      <c r="DN190" s="4">
        <v>1.0</v>
      </c>
      <c r="DR190" s="4"/>
      <c r="DS190" s="4">
        <v>28.0</v>
      </c>
      <c r="DW190" s="4"/>
      <c r="DX190" s="4"/>
      <c r="EB190" s="4"/>
      <c r="EC190" s="4"/>
      <c r="ED190" s="4"/>
      <c r="EJ190" s="4">
        <v>89.0</v>
      </c>
      <c r="EK190" s="4"/>
      <c r="EL190" s="4"/>
      <c r="EM190" s="4"/>
      <c r="EN190" s="4"/>
      <c r="EO190" s="4"/>
      <c r="EP190" s="4"/>
      <c r="EQ190" s="4"/>
      <c r="ER190" s="4"/>
      <c r="FB190" s="4">
        <v>5.0</v>
      </c>
      <c r="FI190" s="4">
        <v>22.0</v>
      </c>
      <c r="FJ190" s="4"/>
      <c r="FK190" s="4"/>
      <c r="FL190" s="4"/>
      <c r="FM190" s="4"/>
      <c r="FR190" s="4">
        <v>31.0</v>
      </c>
      <c r="FS190" s="4">
        <v>63.0</v>
      </c>
      <c r="GB190" s="4">
        <v>21.0</v>
      </c>
      <c r="GH190" s="25">
        <f t="shared" si="104"/>
        <v>17</v>
      </c>
      <c r="GI190" s="25">
        <f t="shared" si="105"/>
        <v>11</v>
      </c>
      <c r="GJ190" s="25">
        <f t="shared" si="106"/>
        <v>11</v>
      </c>
      <c r="GK190" s="25">
        <f t="shared" si="107"/>
        <v>367</v>
      </c>
      <c r="GL190" s="25">
        <f t="shared" si="108"/>
        <v>475</v>
      </c>
      <c r="GM190" s="25">
        <f t="shared" si="109"/>
        <v>108</v>
      </c>
    </row>
    <row r="191">
      <c r="A191" s="23">
        <v>43519.0</v>
      </c>
      <c r="B191" s="4" t="s">
        <v>266</v>
      </c>
      <c r="C191" s="28">
        <f t="shared" si="103"/>
        <v>177</v>
      </c>
      <c r="D191" s="36">
        <v>22.060684</v>
      </c>
      <c r="E191" s="36">
        <v>-159.318512</v>
      </c>
      <c r="F191" s="4" t="s">
        <v>347</v>
      </c>
      <c r="G191" s="24">
        <v>0.5347222222222222</v>
      </c>
      <c r="H191" s="24">
        <v>0.6041666666666666</v>
      </c>
      <c r="I191" s="4">
        <v>3.0</v>
      </c>
      <c r="J191" s="4">
        <v>20.0</v>
      </c>
      <c r="K191" s="4" t="s">
        <v>198</v>
      </c>
      <c r="L191" s="4">
        <v>20.0</v>
      </c>
      <c r="M191" s="4">
        <v>10.0</v>
      </c>
      <c r="N191" s="4" t="s">
        <v>442</v>
      </c>
      <c r="O191" s="4" t="s">
        <v>443</v>
      </c>
      <c r="P191" s="4">
        <v>10.0</v>
      </c>
      <c r="AW191" s="4"/>
      <c r="AX191" s="4">
        <v>1.0</v>
      </c>
      <c r="BK191" s="4">
        <v>2.0</v>
      </c>
      <c r="BM191" s="4">
        <v>1.0</v>
      </c>
      <c r="BV191" s="4">
        <v>1.0</v>
      </c>
      <c r="DM191" s="4">
        <v>10.0</v>
      </c>
      <c r="DR191" s="4"/>
      <c r="DS191" s="4">
        <v>59.0</v>
      </c>
      <c r="EJ191" s="4">
        <v>11.0</v>
      </c>
      <c r="FI191" s="4">
        <v>5.0</v>
      </c>
      <c r="FR191" s="4">
        <v>1.0</v>
      </c>
      <c r="FS191" s="4">
        <v>28.0</v>
      </c>
      <c r="GH191" s="25">
        <f t="shared" si="104"/>
        <v>10</v>
      </c>
      <c r="GI191" s="25">
        <f t="shared" si="105"/>
        <v>6</v>
      </c>
      <c r="GJ191" s="25">
        <f t="shared" si="106"/>
        <v>5</v>
      </c>
      <c r="GK191" s="25">
        <f t="shared" si="107"/>
        <v>119</v>
      </c>
      <c r="GL191" s="25">
        <f t="shared" si="108"/>
        <v>250</v>
      </c>
      <c r="GM191" s="25">
        <f t="shared" si="109"/>
        <v>131</v>
      </c>
    </row>
    <row r="192">
      <c r="A192" s="23">
        <v>43520.0</v>
      </c>
      <c r="B192" s="4" t="s">
        <v>293</v>
      </c>
      <c r="C192" s="28">
        <f t="shared" si="103"/>
        <v>178</v>
      </c>
      <c r="D192" s="4">
        <v>19.738602</v>
      </c>
      <c r="E192" s="4">
        <v>-155.038879</v>
      </c>
      <c r="F192" s="4" t="s">
        <v>418</v>
      </c>
      <c r="G192" s="24">
        <v>0.5520833333333334</v>
      </c>
      <c r="H192" s="24">
        <v>0.59375</v>
      </c>
      <c r="I192" s="4">
        <v>3.0</v>
      </c>
      <c r="J192" s="4">
        <v>13.0</v>
      </c>
      <c r="K192" s="4" t="s">
        <v>198</v>
      </c>
      <c r="L192" s="4">
        <v>11.0</v>
      </c>
      <c r="M192" s="4">
        <v>25.0</v>
      </c>
      <c r="N192" s="4" t="s">
        <v>444</v>
      </c>
      <c r="O192" s="4"/>
      <c r="P192" s="4">
        <v>25.0</v>
      </c>
      <c r="AG192" s="4">
        <v>3.0</v>
      </c>
      <c r="BF192" s="4"/>
      <c r="BG192" s="4"/>
      <c r="BH192" s="4"/>
      <c r="BI192" s="4"/>
      <c r="BJ192" s="4"/>
      <c r="BK192" s="4">
        <v>2.0</v>
      </c>
      <c r="BM192" s="4">
        <v>25.0</v>
      </c>
      <c r="BQ192" s="4">
        <v>1.0</v>
      </c>
      <c r="BR192" s="4">
        <v>6.0</v>
      </c>
      <c r="CC192" s="4">
        <v>5.0</v>
      </c>
      <c r="CD192" s="4"/>
      <c r="CE192" s="4"/>
      <c r="CF192" s="4">
        <v>1.0</v>
      </c>
      <c r="CI192" s="4"/>
      <c r="CJ192" s="4"/>
      <c r="CK192" s="4"/>
      <c r="CL192" s="4"/>
      <c r="CM192" s="4"/>
      <c r="CN192" s="4"/>
      <c r="CO192" s="4">
        <v>12.0</v>
      </c>
      <c r="DW192" s="4"/>
      <c r="DX192" s="4">
        <v>19.0</v>
      </c>
      <c r="EB192" s="4"/>
      <c r="EC192" s="4"/>
      <c r="ED192" s="4">
        <v>1.0</v>
      </c>
      <c r="EK192" s="4"/>
      <c r="EL192" s="4"/>
      <c r="EM192" s="4"/>
      <c r="EN192" s="4"/>
      <c r="EO192" s="4"/>
      <c r="EP192" s="4">
        <v>4.0</v>
      </c>
      <c r="EQ192" s="4"/>
      <c r="ER192" s="4">
        <v>1.0</v>
      </c>
      <c r="FJ192" s="4"/>
      <c r="FK192" s="4"/>
      <c r="FL192" s="4"/>
      <c r="FM192" s="4">
        <v>3.0</v>
      </c>
      <c r="FS192" s="4">
        <v>389.0</v>
      </c>
      <c r="GH192" s="25">
        <f t="shared" si="104"/>
        <v>14</v>
      </c>
      <c r="GI192" s="25">
        <f t="shared" si="105"/>
        <v>10</v>
      </c>
      <c r="GJ192" s="25">
        <f t="shared" si="106"/>
        <v>6</v>
      </c>
      <c r="GK192" s="25">
        <f t="shared" si="107"/>
        <v>472</v>
      </c>
      <c r="GL192" s="25">
        <f t="shared" si="108"/>
        <v>625</v>
      </c>
      <c r="GM192" s="25">
        <f t="shared" si="109"/>
        <v>153</v>
      </c>
    </row>
    <row r="193">
      <c r="A193" s="37">
        <v>43525.0</v>
      </c>
      <c r="B193" s="38" t="s">
        <v>244</v>
      </c>
      <c r="C193" s="28">
        <f t="shared" si="103"/>
        <v>179</v>
      </c>
      <c r="D193" s="38">
        <v>21.310612</v>
      </c>
      <c r="E193" s="38">
        <v>-158.00441</v>
      </c>
      <c r="F193" s="38" t="s">
        <v>278</v>
      </c>
      <c r="G193" s="39">
        <v>0.3854166666666667</v>
      </c>
      <c r="H193" s="39">
        <v>0.4722222222222222</v>
      </c>
      <c r="I193" s="38">
        <v>8.0</v>
      </c>
      <c r="J193" s="38">
        <v>10.0</v>
      </c>
      <c r="K193" s="38" t="s">
        <v>318</v>
      </c>
      <c r="L193" s="38">
        <v>6.0</v>
      </c>
      <c r="M193" s="38">
        <v>32.0</v>
      </c>
      <c r="N193" s="38" t="s">
        <v>445</v>
      </c>
      <c r="O193" s="38"/>
      <c r="P193" s="38"/>
      <c r="Q193" s="40"/>
      <c r="R193" s="38">
        <v>9.0</v>
      </c>
      <c r="S193" s="40"/>
      <c r="T193" s="40"/>
      <c r="U193" s="38"/>
      <c r="V193" s="38"/>
      <c r="W193" s="38"/>
      <c r="X193" s="38"/>
      <c r="Y193" s="38"/>
      <c r="Z193" s="38"/>
      <c r="AA193" s="38"/>
      <c r="AB193" s="38">
        <v>2.0</v>
      </c>
      <c r="AC193" s="40"/>
      <c r="AD193" s="40"/>
      <c r="AE193" s="38">
        <v>12.0</v>
      </c>
      <c r="AF193" s="40"/>
      <c r="AG193" s="40"/>
      <c r="AH193" s="40"/>
      <c r="AI193" s="40"/>
      <c r="AJ193" s="38"/>
      <c r="AK193" s="38"/>
      <c r="AL193" s="38"/>
      <c r="AM193" s="38">
        <v>3.0</v>
      </c>
      <c r="AN193" s="40"/>
      <c r="AO193" s="40"/>
      <c r="AP193" s="40"/>
      <c r="AQ193" s="40"/>
      <c r="AR193" s="40"/>
      <c r="AS193" s="40"/>
      <c r="AT193" s="38">
        <v>7.0</v>
      </c>
      <c r="AU193" s="40"/>
      <c r="AV193" s="40"/>
      <c r="AW193" s="40"/>
      <c r="AX193" s="40"/>
      <c r="AY193" s="40"/>
      <c r="AZ193" s="40"/>
      <c r="BA193" s="38"/>
      <c r="BB193" s="38">
        <v>18.0</v>
      </c>
      <c r="BC193" s="38"/>
      <c r="BD193" s="38">
        <v>27.0</v>
      </c>
      <c r="BE193" s="38">
        <v>13.0</v>
      </c>
      <c r="BF193" s="38"/>
      <c r="BG193" s="38"/>
      <c r="BH193" s="38"/>
      <c r="BI193" s="38"/>
      <c r="BJ193" s="38"/>
      <c r="BK193" s="38">
        <v>25.0</v>
      </c>
      <c r="BL193" s="40"/>
      <c r="BM193" s="38">
        <v>14.0</v>
      </c>
      <c r="BN193" s="40"/>
      <c r="BO193" s="40"/>
      <c r="BP193" s="40"/>
      <c r="BQ193" s="40"/>
      <c r="BR193" s="40"/>
      <c r="BS193" s="38"/>
      <c r="BT193" s="38"/>
      <c r="BU193" s="38"/>
      <c r="BV193" s="38">
        <v>10.0</v>
      </c>
      <c r="BW193" s="40"/>
      <c r="BX193" s="38">
        <v>5.0</v>
      </c>
      <c r="BY193" s="40"/>
      <c r="BZ193" s="40"/>
      <c r="CA193" s="40"/>
      <c r="CB193" s="40"/>
      <c r="CC193" s="40"/>
      <c r="CD193" s="40"/>
      <c r="CE193" s="40"/>
      <c r="CF193" s="40"/>
      <c r="CG193" s="40"/>
      <c r="CH193" s="40"/>
      <c r="CI193" s="38"/>
      <c r="CJ193" s="38"/>
      <c r="CK193" s="38"/>
      <c r="CL193" s="38"/>
      <c r="CM193" s="38">
        <v>18.0</v>
      </c>
      <c r="CN193" s="40"/>
      <c r="CO193" s="40"/>
      <c r="CP193" s="40"/>
      <c r="CQ193" s="40"/>
      <c r="CR193" s="40"/>
      <c r="CS193" s="40"/>
      <c r="CT193" s="40"/>
      <c r="CU193" s="40"/>
      <c r="CV193" s="40"/>
      <c r="CW193" s="40"/>
      <c r="CX193" s="40"/>
      <c r="CY193" s="40"/>
      <c r="CZ193" s="40"/>
      <c r="DA193" s="40"/>
      <c r="DB193" s="38"/>
      <c r="DC193" s="38">
        <v>7.0</v>
      </c>
      <c r="DD193" s="38"/>
      <c r="DE193" s="38">
        <v>9.0</v>
      </c>
      <c r="DF193" s="38"/>
      <c r="DG193" s="38">
        <v>3.0</v>
      </c>
      <c r="DH193" s="40"/>
      <c r="DI193" s="38"/>
      <c r="DJ193" s="38"/>
      <c r="DK193" s="38"/>
      <c r="DL193" s="38"/>
      <c r="DM193" s="38">
        <v>5.0</v>
      </c>
      <c r="DN193" s="40"/>
      <c r="DO193" s="40"/>
      <c r="DP193" s="40"/>
      <c r="DQ193" s="40"/>
      <c r="DR193" s="40"/>
      <c r="DS193" s="40"/>
      <c r="DT193" s="40"/>
      <c r="DU193" s="40"/>
      <c r="DV193" s="40"/>
      <c r="DW193" s="40"/>
      <c r="DX193" s="40"/>
      <c r="DY193" s="40"/>
      <c r="DZ193" s="40"/>
      <c r="EA193" s="40"/>
      <c r="EB193" s="38"/>
      <c r="EC193" s="38">
        <v>2.0</v>
      </c>
      <c r="ED193" s="38">
        <v>15.0</v>
      </c>
      <c r="EE193" s="38"/>
      <c r="EF193" s="38"/>
      <c r="EG193" s="38"/>
      <c r="EH193" s="38"/>
      <c r="EI193" s="38"/>
      <c r="EJ193" s="38">
        <v>91.0</v>
      </c>
      <c r="EK193" s="38">
        <v>1.0</v>
      </c>
      <c r="EL193" s="38"/>
      <c r="EM193" s="38"/>
      <c r="EN193" s="38"/>
      <c r="EO193" s="38">
        <v>1.0</v>
      </c>
      <c r="EP193" s="40"/>
      <c r="EQ193" s="40"/>
      <c r="ER193" s="40"/>
      <c r="ES193" s="38"/>
      <c r="ET193" s="38"/>
      <c r="EU193" s="38"/>
      <c r="EV193" s="38"/>
      <c r="EW193" s="38">
        <v>1.0</v>
      </c>
      <c r="EX193" s="38">
        <v>3.0</v>
      </c>
      <c r="EY193" s="40"/>
      <c r="EZ193" s="40"/>
      <c r="FA193" s="40"/>
      <c r="FB193" s="40"/>
      <c r="FC193" s="40"/>
      <c r="FD193" s="40"/>
      <c r="FE193" s="40"/>
      <c r="FF193" s="40"/>
      <c r="FG193" s="40"/>
      <c r="FH193" s="40"/>
      <c r="FI193" s="40"/>
      <c r="FJ193" s="38"/>
      <c r="FK193" s="38"/>
      <c r="FL193" s="38">
        <v>2.0</v>
      </c>
      <c r="FM193" s="40"/>
      <c r="FN193" s="38"/>
      <c r="FO193" s="38"/>
      <c r="FP193" s="38"/>
      <c r="FQ193" s="38">
        <v>29.0</v>
      </c>
      <c r="FR193" s="40"/>
      <c r="FS193" s="38">
        <v>162.0</v>
      </c>
      <c r="FT193" s="40"/>
      <c r="FU193" s="40"/>
      <c r="FV193" s="40"/>
      <c r="FW193" s="40"/>
      <c r="FX193" s="40"/>
      <c r="FY193" s="40"/>
      <c r="FZ193" s="40"/>
      <c r="GA193" s="40"/>
      <c r="GB193" s="40"/>
      <c r="GC193" s="40"/>
      <c r="GD193" s="40"/>
      <c r="GE193" s="40"/>
      <c r="GF193" s="40"/>
      <c r="GG193" s="40"/>
      <c r="GH193" s="40">
        <f t="shared" si="104"/>
        <v>27</v>
      </c>
      <c r="GI193" s="40">
        <f t="shared" si="105"/>
        <v>24</v>
      </c>
      <c r="GJ193" s="40">
        <f t="shared" si="106"/>
        <v>18</v>
      </c>
      <c r="GK193" s="40">
        <f t="shared" si="107"/>
        <v>494</v>
      </c>
      <c r="GL193" s="40">
        <f t="shared" si="108"/>
        <v>0</v>
      </c>
      <c r="GM193" s="40">
        <f t="shared" si="109"/>
        <v>-494</v>
      </c>
      <c r="GN193" s="40"/>
      <c r="GO193" s="40"/>
      <c r="GP193" s="40"/>
      <c r="GQ193" s="40"/>
      <c r="GR193" s="40"/>
      <c r="GS193" s="40"/>
      <c r="GT193" s="40"/>
      <c r="GU193" s="40"/>
      <c r="GV193" s="40"/>
      <c r="GW193" s="40"/>
      <c r="GX193" s="40"/>
      <c r="GY193" s="40"/>
      <c r="GZ193" s="40"/>
      <c r="HA193" s="40"/>
      <c r="HB193" s="40"/>
      <c r="HC193" s="40"/>
      <c r="HD193" s="40"/>
      <c r="HE193" s="40"/>
      <c r="HF193" s="40"/>
      <c r="HG193" s="40"/>
      <c r="HH193" s="40"/>
      <c r="HI193" s="40"/>
    </row>
    <row r="194">
      <c r="A194" s="37">
        <v>43528.0</v>
      </c>
      <c r="B194" s="38" t="s">
        <v>400</v>
      </c>
      <c r="C194" s="28">
        <f t="shared" si="103"/>
        <v>180</v>
      </c>
      <c r="D194" s="38">
        <v>21.900562</v>
      </c>
      <c r="E194" s="38">
        <v>-159.609818</v>
      </c>
      <c r="F194" s="38" t="s">
        <v>401</v>
      </c>
      <c r="G194" s="39">
        <v>0.3958333333333333</v>
      </c>
      <c r="H194" s="39">
        <v>0.4409722222222222</v>
      </c>
      <c r="I194" s="38">
        <v>6.0</v>
      </c>
      <c r="J194" s="38">
        <v>14.0</v>
      </c>
      <c r="K194" s="38" t="s">
        <v>198</v>
      </c>
      <c r="L194" s="38">
        <v>14.0</v>
      </c>
      <c r="M194" s="38">
        <v>43.0</v>
      </c>
      <c r="N194" s="38" t="s">
        <v>447</v>
      </c>
      <c r="O194" s="38"/>
      <c r="P194" s="38"/>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40"/>
      <c r="AX194" s="40"/>
      <c r="AY194" s="40"/>
      <c r="AZ194" s="40"/>
      <c r="BA194" s="38"/>
      <c r="BB194" s="38">
        <v>12.0</v>
      </c>
      <c r="BC194" s="40"/>
      <c r="BD194" s="40"/>
      <c r="BE194" s="40"/>
      <c r="BF194" s="38"/>
      <c r="BG194" s="38"/>
      <c r="BH194" s="38">
        <v>4.0</v>
      </c>
      <c r="BI194" s="40"/>
      <c r="BJ194" s="40"/>
      <c r="BK194" s="40"/>
      <c r="BL194" s="40"/>
      <c r="BM194" s="40"/>
      <c r="BN194" s="40"/>
      <c r="BO194" s="40"/>
      <c r="BP194" s="40"/>
      <c r="BQ194" s="40"/>
      <c r="BR194" s="40"/>
      <c r="BS194" s="40"/>
      <c r="BT194" s="40"/>
      <c r="BU194" s="40"/>
      <c r="BV194" s="40"/>
      <c r="BW194" s="38">
        <v>53.0</v>
      </c>
      <c r="BX194" s="40"/>
      <c r="BY194" s="40"/>
      <c r="BZ194" s="40"/>
      <c r="CA194" s="40"/>
      <c r="CB194" s="40"/>
      <c r="CC194" s="40"/>
      <c r="CD194" s="40"/>
      <c r="CE194" s="40"/>
      <c r="CF194" s="40"/>
      <c r="CG194" s="40"/>
      <c r="CH194" s="40"/>
      <c r="CI194" s="40"/>
      <c r="CJ194" s="40"/>
      <c r="CK194" s="40"/>
      <c r="CL194" s="40"/>
      <c r="CM194" s="40"/>
      <c r="CN194" s="40"/>
      <c r="CO194" s="40"/>
      <c r="CP194" s="40"/>
      <c r="CQ194" s="40"/>
      <c r="CR194" s="40"/>
      <c r="CS194" s="40"/>
      <c r="CT194" s="40"/>
      <c r="CU194" s="40"/>
      <c r="CV194" s="40"/>
      <c r="CW194" s="40"/>
      <c r="CX194" s="40"/>
      <c r="CY194" s="40"/>
      <c r="CZ194" s="40"/>
      <c r="DA194" s="40"/>
      <c r="DB194" s="40"/>
      <c r="DC194" s="40"/>
      <c r="DD194" s="40"/>
      <c r="DE194" s="40"/>
      <c r="DF194" s="40"/>
      <c r="DG194" s="40"/>
      <c r="DH194" s="40"/>
      <c r="DI194" s="38"/>
      <c r="DJ194" s="38">
        <v>126.0</v>
      </c>
      <c r="DK194" s="38"/>
      <c r="DL194" s="38">
        <v>165.0</v>
      </c>
      <c r="DM194" s="40"/>
      <c r="DN194" s="40"/>
      <c r="DO194" s="40"/>
      <c r="DP194" s="40"/>
      <c r="DQ194" s="40"/>
      <c r="DR194" s="40"/>
      <c r="DS194" s="38">
        <v>65.0</v>
      </c>
      <c r="DT194" s="38"/>
      <c r="DU194" s="38"/>
      <c r="DV194" s="38">
        <v>3.0</v>
      </c>
      <c r="DW194" s="40"/>
      <c r="DX194" s="40"/>
      <c r="DY194" s="40"/>
      <c r="DZ194" s="40"/>
      <c r="EA194" s="40"/>
      <c r="EB194" s="40"/>
      <c r="EC194" s="40"/>
      <c r="ED194" s="38">
        <v>7.0</v>
      </c>
      <c r="EE194" s="38"/>
      <c r="EF194" s="38"/>
      <c r="EG194" s="38"/>
      <c r="EH194" s="38"/>
      <c r="EI194" s="38"/>
      <c r="EJ194" s="38">
        <v>70.0</v>
      </c>
      <c r="EK194" s="40"/>
      <c r="EL194" s="40"/>
      <c r="EM194" s="40"/>
      <c r="EN194" s="40"/>
      <c r="EO194" s="40"/>
      <c r="EP194" s="40"/>
      <c r="EQ194" s="40"/>
      <c r="ER194" s="40"/>
      <c r="ES194" s="40"/>
      <c r="ET194" s="40"/>
      <c r="EU194" s="40"/>
      <c r="EV194" s="40"/>
      <c r="EW194" s="40"/>
      <c r="EX194" s="40"/>
      <c r="EY194" s="38"/>
      <c r="EZ194" s="38"/>
      <c r="FA194" s="38"/>
      <c r="FB194" s="38">
        <v>69.0</v>
      </c>
      <c r="FC194" s="40"/>
      <c r="FD194" s="40"/>
      <c r="FE194" s="40"/>
      <c r="FF194" s="40"/>
      <c r="FG194" s="40"/>
      <c r="FH194" s="40"/>
      <c r="FI194" s="40"/>
      <c r="FJ194" s="40"/>
      <c r="FK194" s="40"/>
      <c r="FL194" s="40"/>
      <c r="FM194" s="40"/>
      <c r="FN194" s="40"/>
      <c r="FO194" s="40"/>
      <c r="FP194" s="40"/>
      <c r="FQ194" s="40"/>
      <c r="FR194" s="38">
        <v>27.0</v>
      </c>
      <c r="FS194" s="38">
        <v>18.0</v>
      </c>
      <c r="FT194" s="40"/>
      <c r="FU194" s="40"/>
      <c r="FV194" s="40"/>
      <c r="FW194" s="40"/>
      <c r="FX194" s="40"/>
      <c r="FY194" s="40"/>
      <c r="FZ194" s="40"/>
      <c r="GA194" s="40"/>
      <c r="GB194" s="40"/>
      <c r="GC194" s="40"/>
      <c r="GD194" s="40"/>
      <c r="GE194" s="40"/>
      <c r="GF194" s="40"/>
      <c r="GG194" s="40"/>
      <c r="GH194" s="40">
        <f t="shared" si="104"/>
        <v>12</v>
      </c>
      <c r="GI194" s="40">
        <f t="shared" si="105"/>
        <v>12</v>
      </c>
      <c r="GJ194" s="40">
        <f t="shared" si="106"/>
        <v>10</v>
      </c>
      <c r="GK194" s="40">
        <f t="shared" si="107"/>
        <v>619</v>
      </c>
      <c r="GL194" s="40">
        <f t="shared" si="108"/>
        <v>0</v>
      </c>
      <c r="GM194" s="40">
        <f t="shared" si="109"/>
        <v>-619</v>
      </c>
      <c r="GN194" s="40"/>
      <c r="GO194" s="40"/>
      <c r="GP194" s="40"/>
      <c r="GQ194" s="40"/>
      <c r="GR194" s="40"/>
      <c r="GS194" s="40"/>
      <c r="GT194" s="40"/>
      <c r="GU194" s="40"/>
      <c r="GV194" s="40"/>
      <c r="GW194" s="40"/>
      <c r="GX194" s="40"/>
      <c r="GY194" s="40"/>
      <c r="GZ194" s="40"/>
      <c r="HA194" s="40"/>
      <c r="HB194" s="40"/>
      <c r="HC194" s="40"/>
      <c r="HD194" s="40"/>
      <c r="HE194" s="40"/>
      <c r="HF194" s="40"/>
      <c r="HG194" s="40"/>
      <c r="HH194" s="40"/>
      <c r="HI194" s="40"/>
    </row>
    <row r="195">
      <c r="A195" s="23">
        <v>43531.0</v>
      </c>
      <c r="B195" s="4" t="s">
        <v>266</v>
      </c>
      <c r="C195" s="28">
        <f t="shared" si="103"/>
        <v>181</v>
      </c>
      <c r="D195" s="4">
        <v>22.060684</v>
      </c>
      <c r="E195" s="4">
        <v>-159.318512</v>
      </c>
      <c r="F195" s="4" t="s">
        <v>418</v>
      </c>
      <c r="G195" s="24">
        <v>0.4375</v>
      </c>
      <c r="H195" s="24">
        <v>0.5020833333333333</v>
      </c>
      <c r="I195" s="4">
        <v>7.0</v>
      </c>
      <c r="J195" s="4">
        <v>18.0</v>
      </c>
      <c r="K195" s="4" t="s">
        <v>198</v>
      </c>
      <c r="L195" s="4">
        <v>10.0</v>
      </c>
      <c r="M195" s="4">
        <v>56.0</v>
      </c>
      <c r="N195" s="4" t="s">
        <v>450</v>
      </c>
      <c r="P195" s="4">
        <v>56.0</v>
      </c>
      <c r="U195" s="4"/>
      <c r="V195" s="4"/>
      <c r="W195" s="4"/>
      <c r="X195" s="4">
        <v>6.0</v>
      </c>
      <c r="AH195" s="4"/>
      <c r="AI195" s="4">
        <v>2.0</v>
      </c>
      <c r="BA195" s="4"/>
      <c r="BB195" s="4">
        <v>17.0</v>
      </c>
      <c r="BM195" s="4">
        <v>6.0</v>
      </c>
      <c r="BN195" s="4">
        <v>116.0</v>
      </c>
      <c r="BS195" s="4"/>
      <c r="BT195" s="4"/>
      <c r="BU195" s="4"/>
      <c r="BV195" s="4">
        <v>47.0</v>
      </c>
      <c r="CD195" s="4"/>
      <c r="CE195" s="4">
        <v>6.0</v>
      </c>
      <c r="DK195" s="4"/>
      <c r="DL195" s="4">
        <v>6.0</v>
      </c>
      <c r="DM195" s="4">
        <v>13.0</v>
      </c>
      <c r="DQ195" s="4"/>
      <c r="DR195" s="4"/>
      <c r="DS195" s="4">
        <v>130.0</v>
      </c>
      <c r="DT195" s="4"/>
      <c r="DU195" s="4"/>
      <c r="DV195" s="4">
        <v>12.0</v>
      </c>
      <c r="EE195" s="4"/>
      <c r="EF195" s="4"/>
      <c r="EG195" s="4"/>
      <c r="EH195" s="4"/>
      <c r="EI195" s="4"/>
      <c r="EJ195" s="4">
        <v>55.0</v>
      </c>
      <c r="EY195" s="4"/>
      <c r="EZ195" s="4"/>
      <c r="FA195" s="4"/>
      <c r="FB195" s="4">
        <v>25.0</v>
      </c>
      <c r="FC195" s="4">
        <v>1.0</v>
      </c>
      <c r="FM195" s="4">
        <v>1.0</v>
      </c>
      <c r="FR195" s="4">
        <v>12.0</v>
      </c>
      <c r="FS195" s="4">
        <v>443.0</v>
      </c>
      <c r="GH195" s="25">
        <f t="shared" si="104"/>
        <v>17</v>
      </c>
      <c r="GI195" s="25">
        <f t="shared" si="105"/>
        <v>15</v>
      </c>
      <c r="GJ195" s="25">
        <f t="shared" si="106"/>
        <v>14</v>
      </c>
      <c r="GK195" s="25">
        <f t="shared" si="107"/>
        <v>898</v>
      </c>
      <c r="GL195" s="25">
        <f t="shared" si="108"/>
        <v>1400</v>
      </c>
      <c r="GM195" s="25">
        <f t="shared" si="109"/>
        <v>502</v>
      </c>
    </row>
    <row r="196">
      <c r="A196" s="37">
        <v>43531.0</v>
      </c>
      <c r="B196" s="38" t="s">
        <v>233</v>
      </c>
      <c r="C196" s="28">
        <f t="shared" si="103"/>
        <v>182</v>
      </c>
      <c r="D196" s="38">
        <v>21.066799</v>
      </c>
      <c r="E196" s="38">
        <v>-156.804993</v>
      </c>
      <c r="F196" s="38" t="s">
        <v>286</v>
      </c>
      <c r="G196" s="39">
        <v>0.4354166666666667</v>
      </c>
      <c r="H196" s="39">
        <v>0.47430555555555554</v>
      </c>
      <c r="I196" s="38">
        <v>4.0</v>
      </c>
      <c r="J196" s="38">
        <v>24.0</v>
      </c>
      <c r="K196" s="38" t="s">
        <v>227</v>
      </c>
      <c r="L196" s="38">
        <v>9.0</v>
      </c>
      <c r="M196" s="38">
        <v>25.0</v>
      </c>
      <c r="N196" s="38" t="s">
        <v>451</v>
      </c>
      <c r="O196" s="38"/>
      <c r="P196" s="38"/>
      <c r="Q196" s="40"/>
      <c r="R196" s="38">
        <v>5.0</v>
      </c>
      <c r="S196" s="40"/>
      <c r="T196" s="40"/>
      <c r="U196" s="40"/>
      <c r="V196" s="40"/>
      <c r="W196" s="40"/>
      <c r="X196" s="40"/>
      <c r="Y196" s="40"/>
      <c r="Z196" s="40"/>
      <c r="AA196" s="40"/>
      <c r="AB196" s="40"/>
      <c r="AC196" s="40"/>
      <c r="AD196" s="40"/>
      <c r="AE196" s="40"/>
      <c r="AF196" s="40"/>
      <c r="AG196" s="40"/>
      <c r="AH196" s="40"/>
      <c r="AI196" s="40"/>
      <c r="AJ196" s="38"/>
      <c r="AK196" s="38"/>
      <c r="AL196" s="38"/>
      <c r="AM196" s="38">
        <v>49.0</v>
      </c>
      <c r="AN196" s="40"/>
      <c r="AO196" s="40"/>
      <c r="AP196" s="40"/>
      <c r="AQ196" s="40"/>
      <c r="AR196" s="40"/>
      <c r="AS196" s="40"/>
      <c r="AT196" s="40"/>
      <c r="AU196" s="40"/>
      <c r="AV196" s="40"/>
      <c r="AW196" s="40"/>
      <c r="AX196" s="40"/>
      <c r="AY196" s="40"/>
      <c r="AZ196" s="40"/>
      <c r="BA196" s="40"/>
      <c r="BB196" s="40"/>
      <c r="BC196" s="40"/>
      <c r="BD196" s="40"/>
      <c r="BE196" s="40"/>
      <c r="BF196" s="40"/>
      <c r="BG196" s="40"/>
      <c r="BH196" s="40"/>
      <c r="BI196" s="40"/>
      <c r="BJ196" s="40"/>
      <c r="BK196" s="40"/>
      <c r="BL196" s="40"/>
      <c r="BM196" s="38">
        <v>209.0</v>
      </c>
      <c r="BN196" s="40"/>
      <c r="BO196" s="40"/>
      <c r="BP196" s="40"/>
      <c r="BQ196" s="40"/>
      <c r="BR196" s="40"/>
      <c r="BS196" s="40"/>
      <c r="BT196" s="40"/>
      <c r="BU196" s="40"/>
      <c r="BV196" s="40"/>
      <c r="BW196" s="40"/>
      <c r="BX196" s="40"/>
      <c r="BY196" s="40"/>
      <c r="BZ196" s="40"/>
      <c r="CA196" s="40"/>
      <c r="CB196" s="40"/>
      <c r="CC196" s="40"/>
      <c r="CD196" s="40"/>
      <c r="CE196" s="40"/>
      <c r="CF196" s="40"/>
      <c r="CG196" s="38"/>
      <c r="CH196" s="38">
        <v>8.0</v>
      </c>
      <c r="CI196" s="40"/>
      <c r="CJ196" s="40"/>
      <c r="CK196" s="40"/>
      <c r="CL196" s="40"/>
      <c r="CM196" s="40"/>
      <c r="CN196" s="38"/>
      <c r="CO196" s="38">
        <v>7.0</v>
      </c>
      <c r="CP196" s="40"/>
      <c r="CQ196" s="40"/>
      <c r="CR196" s="40"/>
      <c r="CS196" s="40"/>
      <c r="CT196" s="40"/>
      <c r="CU196" s="40"/>
      <c r="CV196" s="40"/>
      <c r="CW196" s="40"/>
      <c r="CX196" s="40"/>
      <c r="CY196" s="40"/>
      <c r="CZ196" s="40"/>
      <c r="DA196" s="40"/>
      <c r="DB196" s="40"/>
      <c r="DC196" s="40"/>
      <c r="DD196" s="40"/>
      <c r="DE196" s="40"/>
      <c r="DF196" s="40"/>
      <c r="DG196" s="40"/>
      <c r="DH196" s="40"/>
      <c r="DI196" s="40"/>
      <c r="DJ196" s="40"/>
      <c r="DK196" s="40"/>
      <c r="DL196" s="40"/>
      <c r="DM196" s="38">
        <v>37.0</v>
      </c>
      <c r="DN196" s="40"/>
      <c r="DO196" s="40"/>
      <c r="DP196" s="40"/>
      <c r="DQ196" s="40"/>
      <c r="DR196" s="40"/>
      <c r="DS196" s="40"/>
      <c r="DT196" s="40"/>
      <c r="DU196" s="40"/>
      <c r="DV196" s="40"/>
      <c r="DW196" s="40"/>
      <c r="DX196" s="40"/>
      <c r="DY196" s="40"/>
      <c r="DZ196" s="40"/>
      <c r="EA196" s="40"/>
      <c r="EB196" s="40"/>
      <c r="EC196" s="40"/>
      <c r="ED196" s="40"/>
      <c r="EE196" s="38"/>
      <c r="EF196" s="38"/>
      <c r="EG196" s="38"/>
      <c r="EH196" s="38"/>
      <c r="EI196" s="38"/>
      <c r="EJ196" s="38">
        <v>7.0</v>
      </c>
      <c r="EK196" s="38">
        <v>1.0</v>
      </c>
      <c r="EL196" s="40"/>
      <c r="EM196" s="40"/>
      <c r="EN196" s="40"/>
      <c r="EO196" s="40"/>
      <c r="EP196" s="40"/>
      <c r="EQ196" s="38">
        <v>22.0</v>
      </c>
      <c r="ER196" s="40"/>
      <c r="ES196" s="40"/>
      <c r="ET196" s="40"/>
      <c r="EU196" s="40"/>
      <c r="EV196" s="40"/>
      <c r="EW196" s="40"/>
      <c r="EX196" s="40"/>
      <c r="EY196" s="40"/>
      <c r="EZ196" s="40"/>
      <c r="FA196" s="40"/>
      <c r="FB196" s="40"/>
      <c r="FC196" s="40"/>
      <c r="FD196" s="40"/>
      <c r="FE196" s="40"/>
      <c r="FF196" s="40"/>
      <c r="FG196" s="40"/>
      <c r="FH196" s="40"/>
      <c r="FI196" s="40"/>
      <c r="FJ196" s="40"/>
      <c r="FK196" s="40"/>
      <c r="FL196" s="40"/>
      <c r="FM196" s="40"/>
      <c r="FN196" s="40"/>
      <c r="FO196" s="40"/>
      <c r="FP196" s="40"/>
      <c r="FQ196" s="40"/>
      <c r="FR196" s="38">
        <v>16.0</v>
      </c>
      <c r="FS196" s="38">
        <v>14.0</v>
      </c>
      <c r="FT196" s="40"/>
      <c r="FU196" s="40"/>
      <c r="FV196" s="40"/>
      <c r="FW196" s="40"/>
      <c r="FX196" s="40"/>
      <c r="FY196" s="40"/>
      <c r="FZ196" s="40"/>
      <c r="GA196" s="40"/>
      <c r="GB196" s="40"/>
      <c r="GC196" s="40"/>
      <c r="GD196" s="40"/>
      <c r="GE196" s="40"/>
      <c r="GF196" s="40"/>
      <c r="GG196" s="40"/>
      <c r="GH196" s="40">
        <f t="shared" si="104"/>
        <v>11</v>
      </c>
      <c r="GI196" s="40">
        <f t="shared" si="105"/>
        <v>10</v>
      </c>
      <c r="GJ196" s="40">
        <f t="shared" si="106"/>
        <v>10</v>
      </c>
      <c r="GK196" s="40">
        <f t="shared" si="107"/>
        <v>375</v>
      </c>
      <c r="GL196" s="40">
        <f t="shared" si="108"/>
        <v>0</v>
      </c>
      <c r="GM196" s="40">
        <f t="shared" si="109"/>
        <v>-375</v>
      </c>
      <c r="GN196" s="40"/>
      <c r="GO196" s="40"/>
      <c r="GP196" s="40"/>
      <c r="GQ196" s="40"/>
      <c r="GR196" s="40"/>
      <c r="GS196" s="40"/>
      <c r="GT196" s="40"/>
      <c r="GU196" s="40"/>
      <c r="GV196" s="40"/>
      <c r="GW196" s="40"/>
      <c r="GX196" s="40"/>
      <c r="GY196" s="40"/>
      <c r="GZ196" s="40"/>
      <c r="HA196" s="40"/>
      <c r="HB196" s="40"/>
      <c r="HC196" s="40"/>
      <c r="HD196" s="40"/>
      <c r="HE196" s="40"/>
      <c r="HF196" s="40"/>
      <c r="HG196" s="40"/>
      <c r="HH196" s="40"/>
      <c r="HI196" s="40"/>
    </row>
    <row r="197">
      <c r="A197" s="48">
        <v>43533.0</v>
      </c>
      <c r="B197" s="49" t="s">
        <v>244</v>
      </c>
      <c r="C197" s="28">
        <f t="shared" si="103"/>
        <v>183</v>
      </c>
      <c r="D197" s="4">
        <v>21.310612</v>
      </c>
      <c r="E197" s="4">
        <v>-158.00441</v>
      </c>
      <c r="F197" s="49" t="s">
        <v>418</v>
      </c>
      <c r="G197" s="50">
        <v>0.4527777777777778</v>
      </c>
      <c r="H197" s="50">
        <v>0.48194444444444445</v>
      </c>
      <c r="I197" s="49">
        <v>5.0</v>
      </c>
      <c r="J197" s="49">
        <v>20.0</v>
      </c>
      <c r="K197" s="49" t="s">
        <v>217</v>
      </c>
      <c r="L197" s="49">
        <v>5.0</v>
      </c>
      <c r="M197" s="49">
        <v>24.0</v>
      </c>
      <c r="N197" s="49" t="s">
        <v>403</v>
      </c>
      <c r="O197" s="35"/>
      <c r="P197" s="49">
        <v>24.0</v>
      </c>
      <c r="Q197" s="35"/>
      <c r="R197" s="49">
        <v>3.0</v>
      </c>
      <c r="S197" s="35"/>
      <c r="T197" s="35"/>
      <c r="U197" s="35"/>
      <c r="V197" s="35"/>
      <c r="W197" s="35"/>
      <c r="X197" s="35"/>
      <c r="Y197" s="49"/>
      <c r="Z197" s="49"/>
      <c r="AA197" s="49"/>
      <c r="AB197" s="49">
        <v>5.0</v>
      </c>
      <c r="AC197" s="35"/>
      <c r="AD197" s="35"/>
      <c r="AE197" s="49">
        <v>7.0</v>
      </c>
      <c r="AF197" s="35"/>
      <c r="AG197" s="35"/>
      <c r="AH197" s="49"/>
      <c r="AI197" s="49">
        <v>1.0</v>
      </c>
      <c r="AJ197" s="49"/>
      <c r="AK197" s="49"/>
      <c r="AL197" s="49"/>
      <c r="AM197" s="49">
        <v>6.0</v>
      </c>
      <c r="AN197" s="35"/>
      <c r="AO197" s="35"/>
      <c r="AP197" s="35"/>
      <c r="AQ197" s="35"/>
      <c r="AR197" s="35"/>
      <c r="AS197" s="35"/>
      <c r="AT197" s="35"/>
      <c r="AU197" s="35"/>
      <c r="AV197" s="35"/>
      <c r="AW197" s="35"/>
      <c r="AX197" s="35"/>
      <c r="AY197" s="35"/>
      <c r="AZ197" s="35"/>
      <c r="BA197" s="49"/>
      <c r="BB197" s="49">
        <v>1.0</v>
      </c>
      <c r="BC197" s="35"/>
      <c r="BD197" s="35"/>
      <c r="BE197" s="49">
        <v>53.0</v>
      </c>
      <c r="BF197" s="35"/>
      <c r="BG197" s="35"/>
      <c r="BH197" s="35"/>
      <c r="BI197" s="35"/>
      <c r="BJ197" s="35"/>
      <c r="BK197" s="35"/>
      <c r="BL197" s="35"/>
      <c r="BM197" s="49">
        <v>84.0</v>
      </c>
      <c r="BN197" s="35"/>
      <c r="BO197" s="35"/>
      <c r="BP197" s="35"/>
      <c r="BQ197" s="49">
        <v>2.0</v>
      </c>
      <c r="BR197" s="35"/>
      <c r="BS197" s="49"/>
      <c r="BT197" s="49"/>
      <c r="BU197" s="49"/>
      <c r="BV197" s="49">
        <v>17.0</v>
      </c>
      <c r="BW197" s="35"/>
      <c r="BX197" s="35"/>
      <c r="BY197" s="49"/>
      <c r="BZ197" s="49">
        <v>2.0</v>
      </c>
      <c r="CA197" s="35"/>
      <c r="CB197" s="35"/>
      <c r="CC197" s="35"/>
      <c r="CD197" s="35"/>
      <c r="CE197" s="35"/>
      <c r="CF197" s="35"/>
      <c r="CG197" s="35"/>
      <c r="CH197" s="35"/>
      <c r="CI197" s="35"/>
      <c r="CJ197" s="35"/>
      <c r="CK197" s="35"/>
      <c r="CL197" s="35"/>
      <c r="CM197" s="35"/>
      <c r="CN197" s="49"/>
      <c r="CO197" s="49">
        <v>18.0</v>
      </c>
      <c r="CP197" s="35"/>
      <c r="CQ197" s="35"/>
      <c r="CR197" s="35"/>
      <c r="CS197" s="35"/>
      <c r="CT197" s="35"/>
      <c r="CU197" s="35"/>
      <c r="CV197" s="35"/>
      <c r="CW197" s="35"/>
      <c r="CX197" s="35"/>
      <c r="CY197" s="35"/>
      <c r="CZ197" s="35"/>
      <c r="DA197" s="35"/>
      <c r="DB197" s="35"/>
      <c r="DC197" s="35"/>
      <c r="DD197" s="35"/>
      <c r="DE197" s="35"/>
      <c r="DF197" s="49"/>
      <c r="DG197" s="49">
        <v>5.0</v>
      </c>
      <c r="DH197" s="35"/>
      <c r="DI197" s="35"/>
      <c r="DJ197" s="35"/>
      <c r="DK197" s="35"/>
      <c r="DL197" s="35"/>
      <c r="DM197" s="35"/>
      <c r="DN197" s="35"/>
      <c r="DO197" s="49">
        <v>12.0</v>
      </c>
      <c r="DP197" s="35"/>
      <c r="DQ197" s="35"/>
      <c r="DR197" s="35"/>
      <c r="DS197" s="35"/>
      <c r="DT197" s="49"/>
      <c r="DU197" s="49"/>
      <c r="DV197" s="49">
        <v>37.0</v>
      </c>
      <c r="DW197" s="35"/>
      <c r="DX197" s="35"/>
      <c r="DY197" s="35"/>
      <c r="DZ197" s="35"/>
      <c r="EA197" s="35"/>
      <c r="EB197" s="49"/>
      <c r="EC197" s="49">
        <v>7.0</v>
      </c>
      <c r="ED197" s="35"/>
      <c r="EE197" s="49"/>
      <c r="EF197" s="49"/>
      <c r="EG197" s="49"/>
      <c r="EH197" s="49"/>
      <c r="EI197" s="49"/>
      <c r="EJ197" s="49">
        <v>64.0</v>
      </c>
      <c r="EK197" s="35"/>
      <c r="EL197" s="49"/>
      <c r="EM197" s="49"/>
      <c r="EN197" s="49"/>
      <c r="EO197" s="49">
        <v>1.0</v>
      </c>
      <c r="EP197" s="35"/>
      <c r="EQ197" s="35"/>
      <c r="ER197" s="35"/>
      <c r="ES197" s="35"/>
      <c r="ET197" s="35"/>
      <c r="EU197" s="35"/>
      <c r="EV197" s="35"/>
      <c r="EW197" s="35"/>
      <c r="EX197" s="35"/>
      <c r="FG197" s="35"/>
      <c r="FH197" s="35"/>
      <c r="FI197" s="35"/>
      <c r="FJ197" s="35"/>
      <c r="FK197" s="35"/>
      <c r="FL197" s="35"/>
      <c r="FM197" s="49">
        <v>5.0</v>
      </c>
      <c r="FN197" s="49"/>
      <c r="FO197" s="49"/>
      <c r="FP197" s="49"/>
      <c r="FQ197" s="49">
        <v>4.0</v>
      </c>
      <c r="FR197" s="35"/>
      <c r="FS197" s="49">
        <v>169.0</v>
      </c>
      <c r="FT197" s="35"/>
      <c r="FU197" s="35"/>
      <c r="FV197" s="35"/>
      <c r="FW197" s="35"/>
      <c r="FZ197" s="35"/>
      <c r="GA197" s="35"/>
      <c r="GB197" s="35"/>
      <c r="GC197" s="35"/>
      <c r="GD197" s="35"/>
      <c r="GE197" s="35"/>
      <c r="GF197" s="35"/>
      <c r="GG197" s="35"/>
      <c r="GH197" s="25">
        <f t="shared" si="104"/>
        <v>21</v>
      </c>
      <c r="GI197" s="25">
        <f t="shared" si="105"/>
        <v>18</v>
      </c>
      <c r="GJ197" s="25">
        <f t="shared" si="106"/>
        <v>14</v>
      </c>
      <c r="GK197" s="25">
        <f t="shared" si="107"/>
        <v>503</v>
      </c>
      <c r="GL197" s="25">
        <f t="shared" si="108"/>
        <v>600</v>
      </c>
      <c r="GM197" s="25">
        <f t="shared" si="109"/>
        <v>97</v>
      </c>
    </row>
    <row r="198">
      <c r="A198" s="23">
        <v>43536.0</v>
      </c>
      <c r="B198" s="49" t="s">
        <v>201</v>
      </c>
      <c r="C198" s="28">
        <f t="shared" si="103"/>
        <v>184</v>
      </c>
      <c r="D198" s="4">
        <v>21.25544</v>
      </c>
      <c r="E198" s="49">
        <v>-157.810303</v>
      </c>
      <c r="F198" s="49" t="s">
        <v>418</v>
      </c>
      <c r="G198" s="52">
        <v>0.5625</v>
      </c>
      <c r="H198" s="53">
        <v>0.6666666666666666</v>
      </c>
      <c r="I198" s="49">
        <v>7.0</v>
      </c>
      <c r="J198" s="49">
        <v>8.0</v>
      </c>
      <c r="K198" s="49" t="s">
        <v>198</v>
      </c>
      <c r="L198" s="49">
        <v>25.0</v>
      </c>
      <c r="M198" s="49">
        <v>35.0</v>
      </c>
      <c r="N198" s="49"/>
      <c r="O198" s="35"/>
      <c r="P198" s="49">
        <v>35.0</v>
      </c>
      <c r="Q198" s="35"/>
      <c r="R198" s="49">
        <v>1.0</v>
      </c>
      <c r="S198" s="35"/>
      <c r="T198" s="35"/>
      <c r="U198" s="49"/>
      <c r="V198" s="49"/>
      <c r="W198" s="49"/>
      <c r="X198" s="49">
        <v>1.0</v>
      </c>
      <c r="Y198" s="49"/>
      <c r="Z198" s="49"/>
      <c r="AA198" s="49"/>
      <c r="AB198" s="49">
        <v>5.0</v>
      </c>
      <c r="AC198" s="49"/>
      <c r="AD198" s="49">
        <v>1.0</v>
      </c>
      <c r="AE198" s="49">
        <v>5.0</v>
      </c>
      <c r="AF198" s="35"/>
      <c r="AG198" s="35"/>
      <c r="AH198" s="49"/>
      <c r="AI198" s="49">
        <v>6.0</v>
      </c>
      <c r="AJ198" s="49"/>
      <c r="AK198" s="49"/>
      <c r="AL198" s="49"/>
      <c r="AM198" s="49">
        <v>2.0</v>
      </c>
      <c r="AN198" s="49">
        <v>1.0</v>
      </c>
      <c r="AO198" s="35"/>
      <c r="AP198" s="35"/>
      <c r="AQ198" s="35"/>
      <c r="AR198" s="35"/>
      <c r="AS198" s="35"/>
      <c r="AT198" s="35"/>
      <c r="AU198" s="35"/>
      <c r="AV198" s="35"/>
      <c r="AW198" s="35"/>
      <c r="AX198" s="35"/>
      <c r="AY198" s="35"/>
      <c r="AZ198" s="35"/>
      <c r="BA198" s="49"/>
      <c r="BB198" s="49">
        <v>4.0</v>
      </c>
      <c r="BC198" s="49">
        <v>1.0</v>
      </c>
      <c r="BD198" s="35"/>
      <c r="BE198" s="35"/>
      <c r="BF198" s="35"/>
      <c r="BG198" s="35"/>
      <c r="BH198" s="35"/>
      <c r="BI198" s="49"/>
      <c r="BJ198" s="49"/>
      <c r="BK198" s="49">
        <v>32.0</v>
      </c>
      <c r="BL198" s="35"/>
      <c r="BM198" s="49">
        <v>5.0</v>
      </c>
      <c r="BN198" s="35"/>
      <c r="BO198" s="35"/>
      <c r="BP198" s="35"/>
      <c r="BQ198" s="49">
        <v>24.0</v>
      </c>
      <c r="BR198" s="35"/>
      <c r="BS198" s="49"/>
      <c r="BT198" s="49"/>
      <c r="BU198" s="49"/>
      <c r="BV198" s="49">
        <v>10.0</v>
      </c>
      <c r="BW198" s="49">
        <v>1.0</v>
      </c>
      <c r="BX198" s="35"/>
      <c r="BY198" s="49">
        <v>2.0</v>
      </c>
      <c r="BZ198" s="49">
        <v>9.0</v>
      </c>
      <c r="CA198" s="35"/>
      <c r="CB198" s="35"/>
      <c r="CC198" s="35"/>
      <c r="CD198" s="35"/>
      <c r="CE198" s="35"/>
      <c r="CF198" s="35"/>
      <c r="CG198" s="49"/>
      <c r="CH198" s="49">
        <v>6.0</v>
      </c>
      <c r="CI198" s="49"/>
      <c r="CJ198" s="49"/>
      <c r="CK198" s="49">
        <v>2.0</v>
      </c>
      <c r="CL198" s="35"/>
      <c r="CM198" s="35"/>
      <c r="CN198" s="49"/>
      <c r="CO198" s="49">
        <v>3.0</v>
      </c>
      <c r="CP198" s="35"/>
      <c r="CQ198" s="35"/>
      <c r="CR198" s="35"/>
      <c r="CS198" s="35"/>
      <c r="CT198" s="35"/>
      <c r="CU198" s="35"/>
      <c r="CV198" s="49"/>
      <c r="CW198" s="49"/>
      <c r="CX198" s="49"/>
      <c r="CY198" s="49"/>
      <c r="CZ198" s="49"/>
      <c r="DA198" s="49">
        <v>1.0</v>
      </c>
      <c r="DB198" s="35"/>
      <c r="DC198" s="35"/>
      <c r="DD198" s="35"/>
      <c r="DE198" s="35"/>
      <c r="DF198" s="49"/>
      <c r="DG198" s="49">
        <v>27.0</v>
      </c>
      <c r="DH198" s="35"/>
      <c r="DI198" s="35"/>
      <c r="DJ198" s="35"/>
      <c r="DK198" s="49"/>
      <c r="DL198" s="49">
        <v>1.0</v>
      </c>
      <c r="DM198" s="49">
        <v>46.0</v>
      </c>
      <c r="DN198" s="49">
        <v>2.0</v>
      </c>
      <c r="DO198" s="35"/>
      <c r="DP198" s="49">
        <v>2.0</v>
      </c>
      <c r="DQ198" s="49">
        <v>2.0</v>
      </c>
      <c r="DR198" s="49"/>
      <c r="DS198" s="49">
        <v>2.0</v>
      </c>
      <c r="DT198" s="49"/>
      <c r="DU198" s="49"/>
      <c r="DV198" s="49">
        <v>1.0</v>
      </c>
      <c r="DW198" s="35"/>
      <c r="DX198" s="35"/>
      <c r="DY198" s="35"/>
      <c r="DZ198" s="35"/>
      <c r="EA198" s="35"/>
      <c r="EB198" s="35"/>
      <c r="EC198" s="35"/>
      <c r="ED198" s="35"/>
      <c r="EE198" s="49"/>
      <c r="EF198" s="49"/>
      <c r="EG198" s="49"/>
      <c r="EH198" s="49"/>
      <c r="EI198" s="49"/>
      <c r="EJ198" s="49">
        <v>33.0</v>
      </c>
      <c r="EK198" s="35"/>
      <c r="EL198" s="35"/>
      <c r="EM198" s="35"/>
      <c r="EN198" s="35"/>
      <c r="EO198" s="35"/>
      <c r="EP198" s="35"/>
      <c r="EQ198" s="35"/>
      <c r="ER198" s="35"/>
      <c r="ES198" s="35"/>
      <c r="ET198" s="35"/>
      <c r="EU198" s="35"/>
      <c r="EV198" s="35"/>
      <c r="EW198" s="35"/>
      <c r="EX198" s="35"/>
      <c r="EY198" s="49"/>
      <c r="EZ198" s="49">
        <v>2.0</v>
      </c>
      <c r="FA198" s="49">
        <v>26.0</v>
      </c>
      <c r="FB198" s="49">
        <v>31.0</v>
      </c>
      <c r="FC198" s="49">
        <v>1.0</v>
      </c>
      <c r="FD198" s="49"/>
      <c r="FE198" s="49">
        <v>2.0</v>
      </c>
      <c r="FF198" s="49">
        <v>6.0</v>
      </c>
      <c r="FG198" s="35"/>
      <c r="FH198" s="35"/>
      <c r="FI198" s="35"/>
      <c r="FJ198" s="35"/>
      <c r="FK198" s="35"/>
      <c r="FL198" s="35"/>
      <c r="FM198" s="35"/>
      <c r="FN198" s="35"/>
      <c r="FO198" s="35"/>
      <c r="FP198" s="35"/>
      <c r="FQ198" s="35"/>
      <c r="FR198" s="49">
        <v>55.0</v>
      </c>
      <c r="FS198" s="49">
        <v>266.0</v>
      </c>
      <c r="FT198" s="49"/>
      <c r="FU198" s="49">
        <v>23.0</v>
      </c>
      <c r="FV198" s="49"/>
      <c r="FW198" s="49">
        <v>2.0</v>
      </c>
      <c r="FZ198" s="35"/>
      <c r="GA198" s="35"/>
      <c r="GB198" s="35"/>
      <c r="GC198" s="35"/>
      <c r="GD198" s="35"/>
      <c r="GE198" s="35"/>
      <c r="GF198" s="35"/>
      <c r="GG198" s="35"/>
      <c r="GH198" s="25">
        <f t="shared" si="104"/>
        <v>40</v>
      </c>
      <c r="GI198" s="25">
        <f t="shared" si="105"/>
        <v>30</v>
      </c>
      <c r="GJ198" s="25">
        <f t="shared" si="106"/>
        <v>18</v>
      </c>
      <c r="GK198" s="25">
        <f t="shared" si="107"/>
        <v>652</v>
      </c>
      <c r="GL198" s="25">
        <f t="shared" si="108"/>
        <v>875</v>
      </c>
      <c r="GM198" s="25">
        <f t="shared" si="109"/>
        <v>223</v>
      </c>
    </row>
    <row r="199">
      <c r="A199" s="41">
        <v>43536.0</v>
      </c>
      <c r="B199" s="60" t="s">
        <v>473</v>
      </c>
      <c r="C199" s="28">
        <f t="shared" si="103"/>
        <v>185</v>
      </c>
      <c r="D199" s="42">
        <v>21.3962</v>
      </c>
      <c r="E199" s="42">
        <v>-157.720306</v>
      </c>
      <c r="F199" s="60" t="s">
        <v>418</v>
      </c>
      <c r="G199" s="61">
        <v>0.39305555555555555</v>
      </c>
      <c r="H199" s="61">
        <v>0.4375</v>
      </c>
      <c r="I199" s="60">
        <v>5.0</v>
      </c>
      <c r="J199" s="60">
        <v>10.0</v>
      </c>
      <c r="K199" s="60" t="s">
        <v>217</v>
      </c>
      <c r="L199" s="60">
        <v>6.0</v>
      </c>
      <c r="M199" s="60">
        <v>20.0</v>
      </c>
      <c r="N199" s="60" t="s">
        <v>541</v>
      </c>
      <c r="O199" s="60"/>
      <c r="P199" s="60"/>
      <c r="Q199" s="62"/>
      <c r="R199" s="62"/>
      <c r="S199" s="62"/>
      <c r="T199" s="62"/>
      <c r="U199" s="62"/>
      <c r="V199" s="62"/>
      <c r="W199" s="62"/>
      <c r="X199" s="62"/>
      <c r="Y199" s="60"/>
      <c r="Z199" s="60"/>
      <c r="AA199" s="60"/>
      <c r="AB199" s="60"/>
      <c r="AC199" s="62"/>
      <c r="AD199" s="62"/>
      <c r="AE199" s="62"/>
      <c r="AF199" s="62"/>
      <c r="AG199" s="62"/>
      <c r="AH199" s="62"/>
      <c r="AI199" s="62"/>
      <c r="AJ199" s="60"/>
      <c r="AK199" s="60"/>
      <c r="AL199" s="60"/>
      <c r="AM199" s="60"/>
      <c r="AN199" s="60"/>
      <c r="AO199" s="62"/>
      <c r="AP199" s="62"/>
      <c r="AQ199" s="62"/>
      <c r="AR199" s="62"/>
      <c r="AS199" s="62"/>
      <c r="AT199" s="62"/>
      <c r="AU199" s="60"/>
      <c r="AV199" s="60"/>
      <c r="AW199" s="60"/>
      <c r="AX199" s="60"/>
      <c r="AY199" s="60"/>
      <c r="AZ199" s="62"/>
      <c r="BA199" s="62"/>
      <c r="BB199" s="62"/>
      <c r="BC199" s="60">
        <v>8.0</v>
      </c>
      <c r="BD199" s="62"/>
      <c r="BE199" s="60">
        <v>6.0</v>
      </c>
      <c r="BF199" s="60"/>
      <c r="BG199" s="62"/>
      <c r="BH199" s="62"/>
      <c r="BI199" s="62"/>
      <c r="BJ199" s="62"/>
      <c r="BK199" s="62"/>
      <c r="BL199" s="62"/>
      <c r="BM199" s="60"/>
      <c r="BN199" s="62"/>
      <c r="BO199" s="62"/>
      <c r="BP199" s="62"/>
      <c r="BQ199" s="62"/>
      <c r="BR199" s="62"/>
      <c r="BS199" s="62"/>
      <c r="BT199" s="62"/>
      <c r="BU199" s="62"/>
      <c r="BV199" s="60">
        <v>4.0</v>
      </c>
      <c r="BW199" s="62"/>
      <c r="BX199" s="62"/>
      <c r="BY199" s="60"/>
      <c r="BZ199" s="62"/>
      <c r="CA199" s="62"/>
      <c r="CB199" s="62"/>
      <c r="CC199" s="60"/>
      <c r="CD199" s="60"/>
      <c r="CE199" s="62"/>
      <c r="CF199" s="60"/>
      <c r="CG199" s="62"/>
      <c r="CH199" s="62"/>
      <c r="CI199" s="62"/>
      <c r="CJ199" s="62"/>
      <c r="CK199" s="62"/>
      <c r="CL199" s="62"/>
      <c r="CM199" s="62"/>
      <c r="CN199" s="62"/>
      <c r="CO199" s="62"/>
      <c r="CP199" s="62"/>
      <c r="CQ199" s="62"/>
      <c r="CR199" s="62"/>
      <c r="CS199" s="60">
        <v>1.0</v>
      </c>
      <c r="CT199" s="62"/>
      <c r="CU199" s="62"/>
      <c r="CV199" s="60">
        <v>1.0</v>
      </c>
      <c r="CW199" s="62"/>
      <c r="CX199" s="62"/>
      <c r="CY199" s="62"/>
      <c r="CZ199" s="62"/>
      <c r="DA199" s="62"/>
      <c r="DB199" s="62"/>
      <c r="DC199" s="62"/>
      <c r="DD199" s="62"/>
      <c r="DE199" s="62"/>
      <c r="DF199" s="60"/>
      <c r="DG199" s="60"/>
      <c r="DH199" s="60"/>
      <c r="DI199" s="62"/>
      <c r="DJ199" s="62"/>
      <c r="DK199" s="62"/>
      <c r="DL199" s="62"/>
      <c r="DM199" s="62"/>
      <c r="DN199" s="62"/>
      <c r="DO199" s="62"/>
      <c r="DP199" s="62"/>
      <c r="DQ199" s="62"/>
      <c r="DR199" s="62"/>
      <c r="DS199" s="62"/>
      <c r="DT199" s="62"/>
      <c r="DU199" s="62"/>
      <c r="DV199" s="60">
        <v>3.0</v>
      </c>
      <c r="DW199" s="62"/>
      <c r="DX199" s="62"/>
      <c r="DY199" s="62"/>
      <c r="DZ199" s="62"/>
      <c r="EA199" s="62"/>
      <c r="EB199" s="60"/>
      <c r="EC199" s="62"/>
      <c r="ED199" s="62"/>
      <c r="EE199" s="60"/>
      <c r="EF199" s="60"/>
      <c r="EG199" s="60"/>
      <c r="EH199" s="60"/>
      <c r="EI199" s="60"/>
      <c r="EJ199" s="60"/>
      <c r="EK199" s="62"/>
      <c r="EL199" s="62"/>
      <c r="EM199" s="62"/>
      <c r="EN199" s="62"/>
      <c r="EO199" s="62"/>
      <c r="EP199" s="62"/>
      <c r="EQ199" s="62"/>
      <c r="ER199" s="62"/>
      <c r="ES199" s="60"/>
      <c r="ET199" s="60"/>
      <c r="EU199" s="60"/>
      <c r="EV199" s="60"/>
      <c r="EW199" s="62"/>
      <c r="EX199" s="62"/>
      <c r="EY199" s="62"/>
      <c r="EZ199" s="62"/>
      <c r="FA199" s="62"/>
      <c r="FB199" s="62"/>
      <c r="FC199" s="62"/>
      <c r="FD199" s="62"/>
      <c r="FE199" s="62"/>
      <c r="FF199" s="62"/>
      <c r="FG199" s="62"/>
      <c r="FH199" s="62"/>
      <c r="FI199" s="62"/>
      <c r="FJ199" s="62"/>
      <c r="FK199" s="62"/>
      <c r="FL199" s="62"/>
      <c r="FM199" s="62"/>
      <c r="FN199" s="62"/>
      <c r="FO199" s="62"/>
      <c r="FP199" s="62"/>
      <c r="FQ199" s="62"/>
      <c r="FR199" s="62"/>
      <c r="FS199" s="60">
        <v>218.0</v>
      </c>
      <c r="FT199" s="62"/>
      <c r="FU199" s="62"/>
      <c r="FV199" s="62"/>
      <c r="FW199" s="62"/>
      <c r="FX199" s="44"/>
      <c r="FY199" s="44"/>
      <c r="FZ199" s="62"/>
      <c r="GA199" s="62"/>
      <c r="GB199" s="62"/>
      <c r="GC199" s="62"/>
      <c r="GD199" s="62"/>
      <c r="GE199" s="62"/>
      <c r="GF199" s="62"/>
      <c r="GG199" s="62"/>
      <c r="GH199" s="44"/>
      <c r="GI199" s="44"/>
      <c r="GJ199" s="44"/>
      <c r="GK199" s="44"/>
      <c r="GL199" s="44"/>
      <c r="GM199" s="44"/>
      <c r="GN199" s="44"/>
      <c r="GO199" s="44"/>
      <c r="GP199" s="44"/>
      <c r="GQ199" s="44"/>
      <c r="GR199" s="44"/>
      <c r="GS199" s="44"/>
      <c r="GT199" s="44"/>
      <c r="GU199" s="44"/>
      <c r="GV199" s="44"/>
      <c r="GW199" s="44"/>
      <c r="GX199" s="44"/>
      <c r="GY199" s="44"/>
      <c r="GZ199" s="44"/>
      <c r="HA199" s="44"/>
      <c r="HB199" s="44"/>
      <c r="HC199" s="44"/>
      <c r="HD199" s="44"/>
      <c r="HE199" s="44"/>
      <c r="HF199" s="44"/>
      <c r="HG199" s="44"/>
      <c r="HH199" s="44"/>
      <c r="HI199" s="44"/>
    </row>
    <row r="200">
      <c r="A200" s="37">
        <v>43556.0</v>
      </c>
      <c r="B200" s="63" t="s">
        <v>456</v>
      </c>
      <c r="C200" s="28">
        <f t="shared" si="103"/>
        <v>186</v>
      </c>
      <c r="D200" s="38">
        <v>21.316488</v>
      </c>
      <c r="E200" s="38">
        <v>-157.664261</v>
      </c>
      <c r="F200" s="63" t="s">
        <v>418</v>
      </c>
      <c r="G200" s="64">
        <v>0.3645833333333333</v>
      </c>
      <c r="H200" s="64">
        <v>0.4583333333333333</v>
      </c>
      <c r="I200" s="63">
        <v>7.0</v>
      </c>
      <c r="J200" s="63">
        <v>15.0</v>
      </c>
      <c r="K200" s="63" t="s">
        <v>318</v>
      </c>
      <c r="L200" s="63">
        <v>5.0</v>
      </c>
      <c r="M200" s="63">
        <v>28.0</v>
      </c>
      <c r="N200" s="63" t="s">
        <v>457</v>
      </c>
      <c r="O200" s="63"/>
      <c r="P200" s="63"/>
      <c r="Q200" s="65"/>
      <c r="R200" s="65"/>
      <c r="S200" s="65"/>
      <c r="T200" s="65"/>
      <c r="U200" s="65"/>
      <c r="V200" s="65"/>
      <c r="W200" s="65"/>
      <c r="X200" s="65"/>
      <c r="Y200" s="63"/>
      <c r="Z200" s="63"/>
      <c r="AA200" s="63"/>
      <c r="AB200" s="63">
        <v>2.0</v>
      </c>
      <c r="AC200" s="65"/>
      <c r="AD200" s="65"/>
      <c r="AE200" s="65"/>
      <c r="AF200" s="65"/>
      <c r="AG200" s="65"/>
      <c r="AH200" s="65"/>
      <c r="AI200" s="65"/>
      <c r="AJ200" s="63"/>
      <c r="AK200" s="63"/>
      <c r="AL200" s="63"/>
      <c r="AM200" s="63">
        <v>4.0</v>
      </c>
      <c r="AN200" s="63">
        <v>1.0</v>
      </c>
      <c r="AO200" s="65"/>
      <c r="AP200" s="65"/>
      <c r="AQ200" s="65"/>
      <c r="AR200" s="65"/>
      <c r="AS200" s="65"/>
      <c r="AT200" s="65"/>
      <c r="AU200" s="63"/>
      <c r="AV200" s="63"/>
      <c r="AW200" s="63"/>
      <c r="AX200" s="63"/>
      <c r="AY200" s="63">
        <v>1.0</v>
      </c>
      <c r="AZ200" s="65"/>
      <c r="BA200" s="65"/>
      <c r="BB200" s="65"/>
      <c r="BC200" s="65"/>
      <c r="BD200" s="65"/>
      <c r="BE200" s="65"/>
      <c r="BF200" s="63">
        <v>2.0</v>
      </c>
      <c r="BG200" s="65"/>
      <c r="BH200" s="65"/>
      <c r="BI200" s="65"/>
      <c r="BJ200" s="65"/>
      <c r="BK200" s="65"/>
      <c r="BL200" s="65"/>
      <c r="BM200" s="63">
        <v>44.0</v>
      </c>
      <c r="BN200" s="65"/>
      <c r="BO200" s="65"/>
      <c r="BP200" s="65"/>
      <c r="BQ200" s="65"/>
      <c r="BR200" s="65"/>
      <c r="BS200" s="65"/>
      <c r="BT200" s="65"/>
      <c r="BU200" s="65"/>
      <c r="BV200" s="65"/>
      <c r="BW200" s="65"/>
      <c r="BX200" s="65"/>
      <c r="BY200" s="63">
        <v>1.0</v>
      </c>
      <c r="BZ200" s="65"/>
      <c r="CA200" s="65"/>
      <c r="CB200" s="65"/>
      <c r="CC200" s="63">
        <v>1.0</v>
      </c>
      <c r="CD200" s="63">
        <v>2.0</v>
      </c>
      <c r="CE200" s="63">
        <v>1.0</v>
      </c>
      <c r="CF200" s="63">
        <v>1.0</v>
      </c>
      <c r="CG200" s="65"/>
      <c r="CH200" s="65"/>
      <c r="CI200" s="65"/>
      <c r="CJ200" s="65"/>
      <c r="CK200" s="65"/>
      <c r="CL200" s="65"/>
      <c r="CM200" s="65"/>
      <c r="CN200" s="65"/>
      <c r="CO200" s="65"/>
      <c r="CP200" s="65"/>
      <c r="CQ200" s="65"/>
      <c r="CR200" s="65"/>
      <c r="CS200" s="65"/>
      <c r="CT200" s="65"/>
      <c r="CU200" s="65"/>
      <c r="CV200" s="63">
        <v>1.0</v>
      </c>
      <c r="CW200" s="65"/>
      <c r="CX200" s="65"/>
      <c r="CY200" s="65"/>
      <c r="CZ200" s="65"/>
      <c r="DA200" s="65"/>
      <c r="DB200" s="65"/>
      <c r="DC200" s="65"/>
      <c r="DD200" s="65"/>
      <c r="DE200" s="65"/>
      <c r="DF200" s="63"/>
      <c r="DG200" s="63">
        <v>1.0</v>
      </c>
      <c r="DH200" s="63">
        <v>1.0</v>
      </c>
      <c r="DI200" s="65"/>
      <c r="DJ200" s="65"/>
      <c r="DK200" s="65"/>
      <c r="DL200" s="65"/>
      <c r="DM200" s="65"/>
      <c r="DN200" s="65"/>
      <c r="DO200" s="65"/>
      <c r="DP200" s="65"/>
      <c r="DQ200" s="65"/>
      <c r="DR200" s="65"/>
      <c r="DS200" s="63">
        <v>2.0</v>
      </c>
      <c r="DT200" s="65"/>
      <c r="DU200" s="65"/>
      <c r="DV200" s="65"/>
      <c r="DW200" s="65"/>
      <c r="DX200" s="65"/>
      <c r="DY200" s="65"/>
      <c r="DZ200" s="65"/>
      <c r="EA200" s="65"/>
      <c r="EB200" s="63">
        <v>1.0</v>
      </c>
      <c r="EC200" s="65"/>
      <c r="ED200" s="65"/>
      <c r="EE200" s="63"/>
      <c r="EF200" s="63"/>
      <c r="EG200" s="63"/>
      <c r="EH200" s="63"/>
      <c r="EI200" s="63"/>
      <c r="EJ200" s="63">
        <v>37.0</v>
      </c>
      <c r="EK200" s="65"/>
      <c r="EL200" s="65"/>
      <c r="EM200" s="65"/>
      <c r="EN200" s="65"/>
      <c r="EO200" s="65"/>
      <c r="EP200" s="65"/>
      <c r="EQ200" s="65"/>
      <c r="ER200" s="65"/>
      <c r="ES200" s="63"/>
      <c r="ET200" s="63"/>
      <c r="EU200" s="63"/>
      <c r="EV200" s="63">
        <v>1.0</v>
      </c>
      <c r="EW200" s="65"/>
      <c r="EX200" s="65"/>
      <c r="EY200" s="65"/>
      <c r="EZ200" s="65"/>
      <c r="FA200" s="65"/>
      <c r="FB200" s="65"/>
      <c r="FC200" s="65"/>
      <c r="FD200" s="65"/>
      <c r="FE200" s="65"/>
      <c r="FF200" s="65"/>
      <c r="FG200" s="65"/>
      <c r="FH200" s="65"/>
      <c r="FI200" s="65"/>
      <c r="FJ200" s="65"/>
      <c r="FK200" s="65"/>
      <c r="FL200" s="65"/>
      <c r="FM200" s="65"/>
      <c r="FN200" s="65"/>
      <c r="FO200" s="65"/>
      <c r="FP200" s="65"/>
      <c r="FQ200" s="65"/>
      <c r="FR200" s="65"/>
      <c r="FS200" s="63">
        <v>106.0</v>
      </c>
      <c r="FT200" s="65"/>
      <c r="FU200" s="65"/>
      <c r="FV200" s="65"/>
      <c r="FW200" s="65"/>
      <c r="FX200" s="40"/>
      <c r="FY200" s="40"/>
      <c r="FZ200" s="65"/>
      <c r="GA200" s="65"/>
      <c r="GB200" s="65"/>
      <c r="GC200" s="65"/>
      <c r="GD200" s="65"/>
      <c r="GE200" s="65"/>
      <c r="GF200" s="65"/>
      <c r="GG200" s="65"/>
      <c r="GH200" s="40">
        <f t="shared" ref="GH200:GH201" si="110">count(R200:GG200)</f>
        <v>19</v>
      </c>
      <c r="GI200" s="40">
        <f t="shared" ref="GI200:GI201" si="111">countif(R200:GG200,"&gt;=2")</f>
        <v>8</v>
      </c>
      <c r="GJ200" s="40">
        <f t="shared" ref="GJ200:GJ201" si="112">countif(R200:GG200,"&gt;=5")</f>
        <v>3</v>
      </c>
      <c r="GK200" s="40">
        <f t="shared" ref="GK200:GK201" si="113">sum(R200:GG200)</f>
        <v>210</v>
      </c>
      <c r="GL200" s="40">
        <f t="shared" ref="GL200:GL201" si="114">25*P200</f>
        <v>0</v>
      </c>
      <c r="GM200" s="40">
        <f t="shared" ref="GM200:GM201" si="115">GL200-GK200</f>
        <v>-210</v>
      </c>
      <c r="GN200" s="40"/>
      <c r="GO200" s="40"/>
      <c r="GP200" s="40"/>
      <c r="GQ200" s="40"/>
      <c r="GR200" s="40"/>
      <c r="GS200" s="40"/>
      <c r="GT200" s="40"/>
      <c r="GU200" s="40"/>
      <c r="GV200" s="40"/>
      <c r="GW200" s="40"/>
      <c r="GX200" s="40"/>
      <c r="GY200" s="40"/>
      <c r="GZ200" s="40"/>
      <c r="HA200" s="40"/>
      <c r="HB200" s="40"/>
      <c r="HC200" s="40"/>
      <c r="HD200" s="40"/>
      <c r="HE200" s="40"/>
      <c r="HF200" s="40"/>
      <c r="HG200" s="40"/>
      <c r="HH200" s="40"/>
      <c r="HI200" s="40"/>
    </row>
    <row r="201">
      <c r="A201" s="37">
        <v>43557.0</v>
      </c>
      <c r="B201" s="38" t="s">
        <v>456</v>
      </c>
      <c r="C201" s="28">
        <f t="shared" si="103"/>
        <v>187</v>
      </c>
      <c r="D201" s="38">
        <v>21.316488</v>
      </c>
      <c r="E201" s="38">
        <v>-157.664261</v>
      </c>
      <c r="F201" s="38" t="s">
        <v>418</v>
      </c>
      <c r="G201" s="39">
        <v>0.3645833333333333</v>
      </c>
      <c r="H201" s="39">
        <v>0.46875</v>
      </c>
      <c r="I201" s="38">
        <v>7.0</v>
      </c>
      <c r="J201" s="38">
        <v>10.0</v>
      </c>
      <c r="K201" s="38" t="s">
        <v>318</v>
      </c>
      <c r="L201" s="38">
        <v>5.0</v>
      </c>
      <c r="M201" s="38">
        <v>31.0</v>
      </c>
      <c r="N201" s="38" t="s">
        <v>462</v>
      </c>
      <c r="O201" s="38" t="s">
        <v>463</v>
      </c>
      <c r="P201" s="38">
        <v>27.0</v>
      </c>
      <c r="Q201" s="40"/>
      <c r="R201" s="40"/>
      <c r="S201" s="40"/>
      <c r="T201" s="40"/>
      <c r="U201" s="38"/>
      <c r="V201" s="38"/>
      <c r="W201" s="38"/>
      <c r="X201" s="38">
        <v>10.0</v>
      </c>
      <c r="Y201" s="38"/>
      <c r="Z201" s="38"/>
      <c r="AA201" s="38"/>
      <c r="AB201" s="38">
        <v>11.0</v>
      </c>
      <c r="AC201" s="40"/>
      <c r="AD201" s="40"/>
      <c r="AE201" s="40"/>
      <c r="AF201" s="40"/>
      <c r="AG201" s="40"/>
      <c r="AH201" s="40"/>
      <c r="AI201" s="40"/>
      <c r="AJ201" s="40"/>
      <c r="AK201" s="40"/>
      <c r="AL201" s="40"/>
      <c r="AM201" s="40"/>
      <c r="AN201" s="40"/>
      <c r="AO201" s="40"/>
      <c r="AP201" s="40"/>
      <c r="AQ201" s="40"/>
      <c r="AR201" s="40"/>
      <c r="AS201" s="40"/>
      <c r="AT201" s="40"/>
      <c r="AU201" s="40"/>
      <c r="AV201" s="40"/>
      <c r="AW201" s="40"/>
      <c r="AX201" s="40"/>
      <c r="AY201" s="40"/>
      <c r="AZ201" s="40"/>
      <c r="BA201" s="40"/>
      <c r="BB201" s="40"/>
      <c r="BC201" s="40"/>
      <c r="BD201" s="40"/>
      <c r="BE201" s="40"/>
      <c r="BF201" s="38">
        <v>2.0</v>
      </c>
      <c r="BG201" s="40"/>
      <c r="BH201" s="40"/>
      <c r="BI201" s="40"/>
      <c r="BJ201" s="40"/>
      <c r="BK201" s="40"/>
      <c r="BL201" s="38">
        <v>1.0</v>
      </c>
      <c r="BM201" s="38">
        <v>20.0</v>
      </c>
      <c r="BN201" s="40"/>
      <c r="BO201" s="40"/>
      <c r="BP201" s="40"/>
      <c r="BQ201" s="38">
        <v>3.0</v>
      </c>
      <c r="BR201" s="40"/>
      <c r="BS201" s="38"/>
      <c r="BT201" s="38"/>
      <c r="BU201" s="38">
        <v>3.0</v>
      </c>
      <c r="BV201" s="40"/>
      <c r="BW201" s="40"/>
      <c r="BX201" s="40"/>
      <c r="BY201" s="38">
        <v>1.0</v>
      </c>
      <c r="BZ201" s="40"/>
      <c r="CA201" s="40"/>
      <c r="CB201" s="40"/>
      <c r="CC201" s="40"/>
      <c r="CD201" s="40"/>
      <c r="CE201" s="40"/>
      <c r="CF201" s="40"/>
      <c r="CG201" s="40"/>
      <c r="CH201" s="40"/>
      <c r="CI201" s="40"/>
      <c r="CJ201" s="40"/>
      <c r="CK201" s="40"/>
      <c r="CL201" s="40"/>
      <c r="CM201" s="40"/>
      <c r="CN201" s="38"/>
      <c r="CO201" s="38">
        <v>6.0</v>
      </c>
      <c r="CP201" s="40"/>
      <c r="CQ201" s="40"/>
      <c r="CR201" s="40"/>
      <c r="CS201" s="40"/>
      <c r="CT201" s="40"/>
      <c r="CU201" s="40"/>
      <c r="CV201" s="40"/>
      <c r="CW201" s="40"/>
      <c r="CX201" s="40"/>
      <c r="CY201" s="40"/>
      <c r="CZ201" s="40"/>
      <c r="DA201" s="40"/>
      <c r="DB201" s="40"/>
      <c r="DC201" s="40"/>
      <c r="DD201" s="40"/>
      <c r="DE201" s="40"/>
      <c r="DF201" s="38"/>
      <c r="DG201" s="38">
        <v>1.0</v>
      </c>
      <c r="DH201" s="40"/>
      <c r="DI201" s="38"/>
      <c r="DJ201" s="38">
        <v>1.0</v>
      </c>
      <c r="DK201" s="40"/>
      <c r="DL201" s="40"/>
      <c r="DM201" s="40"/>
      <c r="DN201" s="40"/>
      <c r="DO201" s="38">
        <v>3.0</v>
      </c>
      <c r="DP201" s="40"/>
      <c r="DQ201" s="40"/>
      <c r="DR201" s="38"/>
      <c r="DS201" s="38">
        <v>7.0</v>
      </c>
      <c r="DT201" s="40"/>
      <c r="DU201" s="40"/>
      <c r="DV201" s="40"/>
      <c r="DW201" s="40"/>
      <c r="DX201" s="40"/>
      <c r="DY201" s="40"/>
      <c r="DZ201" s="40"/>
      <c r="EA201" s="40"/>
      <c r="EB201" s="38">
        <v>2.0</v>
      </c>
      <c r="EC201" s="40"/>
      <c r="ED201" s="40"/>
      <c r="EE201" s="38"/>
      <c r="EF201" s="38"/>
      <c r="EG201" s="38"/>
      <c r="EH201" s="38"/>
      <c r="EI201" s="38"/>
      <c r="EJ201" s="38">
        <v>37.0</v>
      </c>
      <c r="EK201" s="38">
        <v>3.0</v>
      </c>
      <c r="EL201" s="40"/>
      <c r="EM201" s="40"/>
      <c r="EN201" s="40"/>
      <c r="EO201" s="40"/>
      <c r="EP201" s="40"/>
      <c r="EQ201" s="40"/>
      <c r="ER201" s="40"/>
      <c r="ES201" s="40"/>
      <c r="ET201" s="40"/>
      <c r="EU201" s="40"/>
      <c r="EV201" s="40"/>
      <c r="EW201" s="40"/>
      <c r="EX201" s="40"/>
      <c r="EY201" s="40"/>
      <c r="EZ201" s="40"/>
      <c r="FA201" s="38">
        <v>2.0</v>
      </c>
      <c r="FB201" s="40"/>
      <c r="FC201" s="40"/>
      <c r="FD201" s="40"/>
      <c r="FE201" s="40"/>
      <c r="FF201" s="38">
        <v>36.0</v>
      </c>
      <c r="FG201" s="40"/>
      <c r="FH201" s="40"/>
      <c r="FI201" s="40"/>
      <c r="FJ201" s="40"/>
      <c r="FK201" s="40"/>
      <c r="FL201" s="40"/>
      <c r="FM201" s="40"/>
      <c r="FN201" s="40"/>
      <c r="FO201" s="40"/>
      <c r="FP201" s="40"/>
      <c r="FQ201" s="40"/>
      <c r="FR201" s="40"/>
      <c r="FS201" s="38">
        <v>254.0</v>
      </c>
      <c r="FT201" s="40"/>
      <c r="FU201" s="40"/>
      <c r="FV201" s="40"/>
      <c r="FW201" s="40"/>
      <c r="FX201" s="40"/>
      <c r="FY201" s="40"/>
      <c r="FZ201" s="40"/>
      <c r="GA201" s="40"/>
      <c r="GB201" s="40"/>
      <c r="GC201" s="40"/>
      <c r="GD201" s="38"/>
      <c r="GE201" s="38"/>
      <c r="GF201" s="38">
        <v>3.0</v>
      </c>
      <c r="GG201" s="40"/>
      <c r="GH201" s="40">
        <f t="shared" si="110"/>
        <v>20</v>
      </c>
      <c r="GI201" s="40">
        <f t="shared" si="111"/>
        <v>16</v>
      </c>
      <c r="GJ201" s="40">
        <f t="shared" si="112"/>
        <v>8</v>
      </c>
      <c r="GK201" s="40">
        <f t="shared" si="113"/>
        <v>406</v>
      </c>
      <c r="GL201" s="40">
        <f t="shared" si="114"/>
        <v>675</v>
      </c>
      <c r="GM201" s="40">
        <f t="shared" si="115"/>
        <v>269</v>
      </c>
      <c r="GN201" s="40"/>
      <c r="GO201" s="40"/>
      <c r="GP201" s="40"/>
      <c r="GQ201" s="40"/>
      <c r="GR201" s="40"/>
      <c r="GS201" s="40"/>
      <c r="GT201" s="40"/>
      <c r="GU201" s="40"/>
      <c r="GV201" s="40"/>
      <c r="GW201" s="40"/>
      <c r="GX201" s="40"/>
      <c r="GY201" s="40"/>
      <c r="GZ201" s="40"/>
      <c r="HA201" s="40"/>
      <c r="HB201" s="40"/>
      <c r="HC201" s="40"/>
      <c r="HD201" s="40"/>
      <c r="HE201" s="40"/>
      <c r="HF201" s="40"/>
      <c r="HG201" s="40"/>
      <c r="HH201" s="40"/>
      <c r="HI201" s="40"/>
    </row>
    <row r="202">
      <c r="A202" s="31">
        <v>43557.0</v>
      </c>
      <c r="B202" s="32" t="s">
        <v>499</v>
      </c>
      <c r="C202" s="28"/>
      <c r="D202" s="32"/>
      <c r="E202" s="32"/>
      <c r="F202" s="32"/>
      <c r="G202" s="33"/>
      <c r="H202" s="33"/>
      <c r="I202" s="32"/>
      <c r="J202" s="32"/>
      <c r="K202" s="32"/>
      <c r="L202" s="32"/>
      <c r="M202" s="32"/>
      <c r="N202" s="32"/>
      <c r="O202" s="34"/>
      <c r="P202" s="32"/>
      <c r="Q202" s="34"/>
      <c r="R202" s="34"/>
      <c r="S202" s="34"/>
      <c r="T202" s="32"/>
      <c r="U202" s="34"/>
      <c r="V202" s="34"/>
      <c r="W202" s="34"/>
      <c r="X202" s="34"/>
      <c r="Y202" s="34"/>
      <c r="Z202" s="34"/>
      <c r="AA202" s="34"/>
      <c r="AB202" s="34"/>
      <c r="AC202" s="34"/>
      <c r="AD202" s="34"/>
      <c r="AE202" s="34"/>
      <c r="AF202" s="34"/>
      <c r="AG202" s="34"/>
      <c r="AH202" s="34"/>
      <c r="AI202" s="34"/>
      <c r="AJ202" s="32"/>
      <c r="AK202" s="32"/>
      <c r="AL202" s="32"/>
      <c r="AM202" s="32"/>
      <c r="AN202" s="34"/>
      <c r="AO202" s="34"/>
      <c r="AP202" s="34"/>
      <c r="AQ202" s="34"/>
      <c r="AR202" s="34"/>
      <c r="AS202" s="34"/>
      <c r="AT202" s="34"/>
      <c r="AU202" s="34"/>
      <c r="AV202" s="34"/>
      <c r="AW202" s="34"/>
      <c r="AX202" s="34"/>
      <c r="AY202" s="34"/>
      <c r="AZ202" s="32"/>
      <c r="BA202" s="32"/>
      <c r="BB202" s="32"/>
      <c r="BC202" s="34"/>
      <c r="BD202" s="34"/>
      <c r="BE202" s="34"/>
      <c r="BF202" s="32"/>
      <c r="BG202" s="34"/>
      <c r="BH202" s="34"/>
      <c r="BI202" s="34"/>
      <c r="BJ202" s="34"/>
      <c r="BK202" s="34"/>
      <c r="BL202" s="34"/>
      <c r="BM202" s="32"/>
      <c r="BN202" s="34"/>
      <c r="BO202" s="34"/>
      <c r="BP202" s="34"/>
      <c r="BQ202" s="34"/>
      <c r="BR202" s="34"/>
      <c r="BS202" s="34"/>
      <c r="BT202" s="34"/>
      <c r="BU202" s="34"/>
      <c r="BV202" s="34"/>
      <c r="BW202" s="34"/>
      <c r="BX202" s="34"/>
      <c r="BY202" s="34"/>
      <c r="BZ202" s="34"/>
      <c r="CA202" s="34"/>
      <c r="CB202" s="34"/>
      <c r="CC202" s="32"/>
      <c r="CD202" s="34"/>
      <c r="CE202" s="34"/>
      <c r="CF202" s="34"/>
      <c r="CG202" s="34"/>
      <c r="CH202" s="34"/>
      <c r="CI202" s="34"/>
      <c r="CJ202" s="34"/>
      <c r="CK202" s="34"/>
      <c r="CL202" s="34"/>
      <c r="CM202" s="34"/>
      <c r="CN202" s="32"/>
      <c r="CO202" s="32"/>
      <c r="CP202" s="34"/>
      <c r="CQ202" s="34"/>
      <c r="CR202" s="34"/>
      <c r="CS202" s="34"/>
      <c r="CT202" s="34"/>
      <c r="CU202" s="34"/>
      <c r="CV202" s="32"/>
      <c r="CW202" s="34"/>
      <c r="CX202" s="34"/>
      <c r="CY202" s="34"/>
      <c r="CZ202" s="34"/>
      <c r="DA202" s="34"/>
      <c r="DB202" s="34"/>
      <c r="DC202" s="34"/>
      <c r="DD202" s="34"/>
      <c r="DE202" s="34"/>
      <c r="DF202" s="34"/>
      <c r="DG202" s="34"/>
      <c r="DH202" s="34"/>
      <c r="DI202" s="32"/>
      <c r="DJ202" s="34"/>
      <c r="DK202" s="34"/>
      <c r="DL202" s="34"/>
      <c r="DM202" s="34"/>
      <c r="DN202" s="34"/>
      <c r="DO202" s="34"/>
      <c r="DP202" s="34"/>
      <c r="DQ202" s="34"/>
      <c r="DR202" s="34"/>
      <c r="DS202" s="34"/>
      <c r="DT202" s="34"/>
      <c r="DU202" s="34"/>
      <c r="DV202" s="34"/>
      <c r="DW202" s="34"/>
      <c r="DX202" s="34"/>
      <c r="DY202" s="34"/>
      <c r="DZ202" s="34"/>
      <c r="EA202" s="34"/>
      <c r="EB202" s="34"/>
      <c r="EC202" s="34"/>
      <c r="ED202" s="34"/>
      <c r="EE202" s="32"/>
      <c r="EF202" s="32"/>
      <c r="EG202" s="32"/>
      <c r="EH202" s="32"/>
      <c r="EI202" s="32"/>
      <c r="EJ202" s="32"/>
      <c r="EK202" s="32"/>
      <c r="EL202" s="34"/>
      <c r="EM202" s="34"/>
      <c r="EN202" s="34"/>
      <c r="EO202" s="34"/>
      <c r="EP202" s="34"/>
      <c r="EQ202" s="34"/>
      <c r="ER202" s="34"/>
      <c r="ES202" s="34"/>
      <c r="ET202" s="34"/>
      <c r="EU202" s="34"/>
      <c r="EV202" s="34"/>
      <c r="EW202" s="34"/>
      <c r="EX202" s="34"/>
      <c r="EY202" s="34"/>
      <c r="EZ202" s="34"/>
      <c r="FA202" s="34"/>
      <c r="FB202" s="34"/>
      <c r="FC202" s="34"/>
      <c r="FD202" s="34"/>
      <c r="FE202" s="34"/>
      <c r="FF202" s="32"/>
      <c r="FG202" s="34"/>
      <c r="FH202" s="34"/>
      <c r="FI202" s="34"/>
      <c r="FJ202" s="34"/>
      <c r="FK202" s="34"/>
      <c r="FL202" s="34"/>
      <c r="FM202" s="34"/>
      <c r="FN202" s="34"/>
      <c r="FO202" s="34"/>
      <c r="FP202" s="34"/>
      <c r="FQ202" s="34"/>
      <c r="FR202" s="34"/>
      <c r="FS202" s="32"/>
      <c r="FT202" s="34"/>
      <c r="FU202" s="34"/>
      <c r="FV202" s="34"/>
      <c r="FW202" s="34"/>
      <c r="FX202" s="34"/>
      <c r="FY202" s="34"/>
      <c r="FZ202" s="34"/>
      <c r="GA202" s="32"/>
      <c r="GB202" s="34"/>
      <c r="GC202" s="34"/>
      <c r="GD202" s="34"/>
      <c r="GE202" s="34"/>
      <c r="GF202" s="34"/>
      <c r="GG202" s="32"/>
      <c r="GH202" s="34"/>
      <c r="GI202" s="34"/>
      <c r="GJ202" s="34"/>
      <c r="GK202" s="34"/>
      <c r="GL202" s="34"/>
      <c r="GM202" s="34"/>
      <c r="GN202" s="34"/>
      <c r="GO202" s="34"/>
      <c r="GP202" s="34"/>
      <c r="GQ202" s="34"/>
      <c r="GR202" s="34"/>
      <c r="GS202" s="34"/>
      <c r="GT202" s="34"/>
      <c r="GU202" s="34"/>
      <c r="GV202" s="34"/>
      <c r="GW202" s="34"/>
      <c r="GX202" s="34"/>
      <c r="GY202" s="34"/>
      <c r="GZ202" s="34"/>
      <c r="HA202" s="34"/>
      <c r="HB202" s="34"/>
      <c r="HC202" s="34"/>
      <c r="HD202" s="34"/>
      <c r="HE202" s="34"/>
      <c r="HF202" s="34"/>
      <c r="HG202" s="34"/>
      <c r="HH202" s="34"/>
      <c r="HI202" s="34"/>
    </row>
    <row r="203">
      <c r="A203" s="23">
        <v>43558.0</v>
      </c>
      <c r="B203" s="4" t="s">
        <v>456</v>
      </c>
      <c r="C203" s="28">
        <v>188.0</v>
      </c>
      <c r="D203" s="4">
        <v>21.316488</v>
      </c>
      <c r="E203" s="4">
        <v>-157.664261</v>
      </c>
      <c r="F203" s="4" t="s">
        <v>418</v>
      </c>
      <c r="G203" s="24">
        <v>0.375</v>
      </c>
      <c r="H203" s="24">
        <v>0.4583333333333333</v>
      </c>
      <c r="I203" s="4">
        <v>5.0</v>
      </c>
      <c r="J203" s="4">
        <v>10.0</v>
      </c>
      <c r="K203" s="4" t="s">
        <v>318</v>
      </c>
      <c r="L203" s="4">
        <v>5.0</v>
      </c>
      <c r="M203" s="4">
        <v>22.0</v>
      </c>
      <c r="N203" s="4" t="s">
        <v>464</v>
      </c>
      <c r="P203" s="4">
        <v>22.0</v>
      </c>
      <c r="T203" s="4">
        <v>2.0</v>
      </c>
      <c r="AJ203" s="4"/>
      <c r="AK203" s="4"/>
      <c r="AL203" s="4"/>
      <c r="AM203" s="4">
        <v>23.0</v>
      </c>
      <c r="AZ203" s="4">
        <v>13.0</v>
      </c>
      <c r="BA203" s="4"/>
      <c r="BB203" s="4">
        <v>10.0</v>
      </c>
      <c r="BF203" s="4">
        <v>6.0</v>
      </c>
      <c r="BM203" s="4">
        <v>42.0</v>
      </c>
      <c r="CC203" s="4">
        <v>1.0</v>
      </c>
      <c r="CN203" s="4"/>
      <c r="CO203" s="4">
        <v>6.0</v>
      </c>
      <c r="CV203" s="4">
        <v>7.0</v>
      </c>
      <c r="DI203" s="4">
        <v>1.0</v>
      </c>
      <c r="EE203" s="4"/>
      <c r="EF203" s="4"/>
      <c r="EG203" s="4"/>
      <c r="EH203" s="4"/>
      <c r="EI203" s="4"/>
      <c r="EJ203" s="4">
        <v>39.0</v>
      </c>
      <c r="EK203" s="4">
        <v>8.0</v>
      </c>
      <c r="FF203" s="4">
        <v>6.0</v>
      </c>
      <c r="FS203" s="4">
        <v>110.0</v>
      </c>
      <c r="GA203" s="4">
        <v>3.0</v>
      </c>
      <c r="GG203" s="4">
        <v>8.0</v>
      </c>
      <c r="GH203" s="25">
        <f>count(R203:GG203)</f>
        <v>16</v>
      </c>
      <c r="GI203" s="25">
        <f>countif(R203:GG203,"&gt;=2")</f>
        <v>14</v>
      </c>
      <c r="GJ203" s="25">
        <f>countif(R203:GG203,"&gt;=5")</f>
        <v>12</v>
      </c>
      <c r="GK203" s="25">
        <f>sum(R203:GG203)</f>
        <v>285</v>
      </c>
      <c r="GL203" s="25">
        <f>25*P203</f>
        <v>550</v>
      </c>
      <c r="GM203" s="25">
        <f>GL203-GK203</f>
        <v>265</v>
      </c>
    </row>
    <row r="204">
      <c r="A204" s="41">
        <v>43558.0</v>
      </c>
      <c r="B204" s="42" t="s">
        <v>216</v>
      </c>
      <c r="C204" s="28">
        <f t="shared" ref="C204:C207" si="116">C203+1</f>
        <v>189</v>
      </c>
      <c r="D204" s="42">
        <v>21.3002</v>
      </c>
      <c r="E204" s="42">
        <v>-157.882599</v>
      </c>
      <c r="F204" s="42" t="s">
        <v>542</v>
      </c>
      <c r="G204" s="43">
        <v>0.39305555555555555</v>
      </c>
      <c r="H204" s="43">
        <v>0.4479166666666667</v>
      </c>
      <c r="I204" s="42">
        <v>6.0</v>
      </c>
      <c r="J204" s="42">
        <v>18.0</v>
      </c>
      <c r="K204" s="42" t="s">
        <v>198</v>
      </c>
      <c r="L204" s="42">
        <v>5.0</v>
      </c>
      <c r="M204" s="42">
        <v>12.0</v>
      </c>
      <c r="N204" s="42" t="s">
        <v>543</v>
      </c>
      <c r="O204" s="44"/>
      <c r="P204" s="42"/>
      <c r="Q204" s="44"/>
      <c r="R204" s="44"/>
      <c r="S204" s="44"/>
      <c r="T204" s="44"/>
      <c r="U204" s="44"/>
      <c r="V204" s="44"/>
      <c r="W204" s="44"/>
      <c r="X204" s="44"/>
      <c r="Y204" s="44"/>
      <c r="Z204" s="44"/>
      <c r="AA204" s="44"/>
      <c r="AB204" s="44"/>
      <c r="AC204" s="44"/>
      <c r="AD204" s="44"/>
      <c r="AE204" s="44"/>
      <c r="AF204" s="44"/>
      <c r="AG204" s="44"/>
      <c r="AH204" s="44"/>
      <c r="AI204" s="44"/>
      <c r="AJ204" s="44"/>
      <c r="AK204" s="44"/>
      <c r="AL204" s="44"/>
      <c r="AM204" s="44"/>
      <c r="AN204" s="42">
        <v>10.0</v>
      </c>
      <c r="AO204" s="44"/>
      <c r="AP204" s="44"/>
      <c r="AQ204" s="44"/>
      <c r="AR204" s="44"/>
      <c r="AS204" s="44"/>
      <c r="AT204" s="44"/>
      <c r="AU204" s="44"/>
      <c r="AV204" s="44"/>
      <c r="AW204" s="44"/>
      <c r="AX204" s="44"/>
      <c r="AY204" s="44"/>
      <c r="AZ204" s="44"/>
      <c r="BA204" s="44"/>
      <c r="BB204" s="44"/>
      <c r="BC204" s="44"/>
      <c r="BD204" s="42"/>
      <c r="BE204" s="42">
        <v>1.0</v>
      </c>
      <c r="BF204" s="44"/>
      <c r="BG204" s="44"/>
      <c r="BH204" s="44"/>
      <c r="BI204" s="42"/>
      <c r="BJ204" s="42"/>
      <c r="BK204" s="42"/>
      <c r="BL204" s="44"/>
      <c r="BM204" s="42">
        <v>3.0</v>
      </c>
      <c r="BN204" s="44"/>
      <c r="BO204" s="44"/>
      <c r="BP204" s="44"/>
      <c r="BQ204" s="44"/>
      <c r="BR204" s="44"/>
      <c r="BS204" s="42"/>
      <c r="BT204" s="42">
        <v>3.0</v>
      </c>
      <c r="BU204" s="42">
        <v>2.0</v>
      </c>
      <c r="BV204" s="42">
        <v>1.0</v>
      </c>
      <c r="BW204" s="44"/>
      <c r="BX204" s="44"/>
      <c r="BY204" s="42"/>
      <c r="BZ204" s="42"/>
      <c r="CA204" s="44"/>
      <c r="CB204" s="44"/>
      <c r="CC204" s="42"/>
      <c r="CD204" s="44"/>
      <c r="CE204" s="44"/>
      <c r="CF204" s="42"/>
      <c r="CG204" s="44"/>
      <c r="CH204" s="44"/>
      <c r="CI204" s="44"/>
      <c r="CJ204" s="44"/>
      <c r="CK204" s="44"/>
      <c r="CL204" s="44"/>
      <c r="CM204" s="44"/>
      <c r="CN204" s="42"/>
      <c r="CO204" s="42"/>
      <c r="CP204" s="44"/>
      <c r="CQ204" s="44"/>
      <c r="CR204" s="44"/>
      <c r="CS204" s="44"/>
      <c r="CT204" s="44"/>
      <c r="CU204" s="44"/>
      <c r="CV204" s="44"/>
      <c r="CW204" s="44"/>
      <c r="CX204" s="44"/>
      <c r="CY204" s="44"/>
      <c r="CZ204" s="44"/>
      <c r="DA204" s="44"/>
      <c r="DB204" s="44"/>
      <c r="DC204" s="44"/>
      <c r="DD204" s="44"/>
      <c r="DE204" s="44"/>
      <c r="DF204" s="44"/>
      <c r="DG204" s="44"/>
      <c r="DH204" s="44"/>
      <c r="DI204" s="44"/>
      <c r="DJ204" s="44"/>
      <c r="DK204" s="44"/>
      <c r="DL204" s="44"/>
      <c r="DM204" s="42">
        <v>1.0</v>
      </c>
      <c r="DN204" s="44"/>
      <c r="DO204" s="42"/>
      <c r="DP204" s="44"/>
      <c r="DQ204" s="44"/>
      <c r="DR204" s="42"/>
      <c r="DS204" s="42"/>
      <c r="DT204" s="44"/>
      <c r="DU204" s="44"/>
      <c r="DV204" s="44"/>
      <c r="DW204" s="44"/>
      <c r="DX204" s="44"/>
      <c r="DY204" s="44"/>
      <c r="DZ204" s="44"/>
      <c r="EA204" s="44"/>
      <c r="EB204" s="44"/>
      <c r="EC204" s="42">
        <v>1.0</v>
      </c>
      <c r="ED204" s="44"/>
      <c r="EE204" s="42"/>
      <c r="EF204" s="42"/>
      <c r="EG204" s="42"/>
      <c r="EH204" s="42"/>
      <c r="EI204" s="42"/>
      <c r="EJ204" s="42">
        <v>3.0</v>
      </c>
      <c r="EK204" s="42"/>
      <c r="EL204" s="44"/>
      <c r="EM204" s="44"/>
      <c r="EN204" s="44"/>
      <c r="EO204" s="44"/>
      <c r="EP204" s="44"/>
      <c r="EQ204" s="44"/>
      <c r="ER204" s="44"/>
      <c r="ES204" s="44"/>
      <c r="ET204" s="44"/>
      <c r="EU204" s="44"/>
      <c r="EV204" s="44"/>
      <c r="EW204" s="42"/>
      <c r="EX204" s="44"/>
      <c r="EY204" s="44"/>
      <c r="EZ204" s="44"/>
      <c r="FA204" s="44"/>
      <c r="FB204" s="44"/>
      <c r="FC204" s="44"/>
      <c r="FD204" s="44"/>
      <c r="FE204" s="44"/>
      <c r="FF204" s="44"/>
      <c r="FG204" s="42"/>
      <c r="FH204" s="42"/>
      <c r="FI204" s="44"/>
      <c r="FJ204" s="44"/>
      <c r="FK204" s="44"/>
      <c r="FL204" s="44"/>
      <c r="FM204" s="44"/>
      <c r="FN204" s="44"/>
      <c r="FO204" s="44"/>
      <c r="FP204" s="44"/>
      <c r="FQ204" s="44"/>
      <c r="FR204" s="44"/>
      <c r="FS204" s="42">
        <v>6.0</v>
      </c>
      <c r="FT204" s="44"/>
      <c r="FU204" s="44"/>
      <c r="FV204" s="44"/>
      <c r="FW204" s="44"/>
      <c r="FX204" s="44"/>
      <c r="FY204" s="44"/>
      <c r="FZ204" s="44"/>
      <c r="GA204" s="44"/>
      <c r="GB204" s="44"/>
      <c r="GC204" s="44"/>
      <c r="GD204" s="44"/>
      <c r="GE204" s="44"/>
      <c r="GF204" s="44"/>
      <c r="GG204" s="44"/>
      <c r="GH204" s="44"/>
      <c r="GI204" s="44"/>
      <c r="GJ204" s="44"/>
      <c r="GK204" s="44"/>
      <c r="GL204" s="44"/>
      <c r="GM204" s="44"/>
      <c r="GN204" s="44"/>
      <c r="GO204" s="44"/>
      <c r="GP204" s="44"/>
      <c r="GQ204" s="44"/>
      <c r="GR204" s="44"/>
      <c r="GS204" s="44"/>
      <c r="GT204" s="44"/>
      <c r="GU204" s="44"/>
      <c r="GV204" s="44"/>
      <c r="GW204" s="44"/>
      <c r="GX204" s="44"/>
      <c r="GY204" s="44"/>
      <c r="GZ204" s="44"/>
      <c r="HA204" s="44"/>
      <c r="HB204" s="44"/>
      <c r="HC204" s="44"/>
      <c r="HD204" s="44"/>
      <c r="HE204" s="44"/>
      <c r="HF204" s="44"/>
      <c r="HG204" s="44"/>
      <c r="HH204" s="44"/>
      <c r="HI204" s="44"/>
    </row>
    <row r="205">
      <c r="A205" s="23">
        <v>43559.0</v>
      </c>
      <c r="B205" s="4" t="s">
        <v>456</v>
      </c>
      <c r="C205" s="28">
        <f t="shared" si="116"/>
        <v>190</v>
      </c>
      <c r="D205" s="4">
        <v>21.316488</v>
      </c>
      <c r="E205" s="4">
        <v>-157.664261</v>
      </c>
      <c r="F205" s="4" t="s">
        <v>418</v>
      </c>
      <c r="G205" s="24">
        <v>0.375</v>
      </c>
      <c r="H205" s="24">
        <v>0.4791666666666667</v>
      </c>
      <c r="I205" s="4">
        <v>5.0</v>
      </c>
      <c r="J205" s="4">
        <v>10.0</v>
      </c>
      <c r="K205" s="4" t="s">
        <v>318</v>
      </c>
      <c r="L205" s="4">
        <v>5.0</v>
      </c>
      <c r="M205" s="4">
        <v>25.0</v>
      </c>
      <c r="P205" s="4">
        <v>25.0</v>
      </c>
      <c r="BD205" s="4">
        <v>6.0</v>
      </c>
      <c r="BI205" s="4"/>
      <c r="BJ205" s="4"/>
      <c r="BK205" s="4">
        <v>1.0</v>
      </c>
      <c r="BM205" s="4">
        <v>68.0</v>
      </c>
      <c r="BS205" s="4"/>
      <c r="BT205" s="4">
        <v>1.0</v>
      </c>
      <c r="BY205" s="4">
        <v>10.0</v>
      </c>
      <c r="BZ205" s="4">
        <v>23.0</v>
      </c>
      <c r="CC205" s="4">
        <v>1.0</v>
      </c>
      <c r="CF205" s="4">
        <v>2.0</v>
      </c>
      <c r="CN205" s="4"/>
      <c r="CO205" s="4">
        <v>8.0</v>
      </c>
      <c r="DO205" s="4">
        <v>1.0</v>
      </c>
      <c r="DR205" s="4"/>
      <c r="DS205" s="4">
        <v>4.0</v>
      </c>
      <c r="EC205" s="4">
        <v>1.0</v>
      </c>
      <c r="EE205" s="4"/>
      <c r="EF205" s="4"/>
      <c r="EG205" s="4"/>
      <c r="EH205" s="4"/>
      <c r="EI205" s="4"/>
      <c r="EJ205" s="4">
        <v>45.0</v>
      </c>
      <c r="EK205" s="4">
        <v>11.0</v>
      </c>
      <c r="EW205" s="4">
        <v>2.0</v>
      </c>
      <c r="FG205" s="4"/>
      <c r="FH205" s="4">
        <v>2.0</v>
      </c>
      <c r="FS205" s="4">
        <v>151.0</v>
      </c>
      <c r="GH205" s="25">
        <f>count(R205:GG205)</f>
        <v>17</v>
      </c>
      <c r="GI205" s="25">
        <f>countif(R205:GG205,"&gt;=2")</f>
        <v>12</v>
      </c>
      <c r="GJ205" s="25">
        <f>countif(R205:GG205,"&gt;=5")</f>
        <v>8</v>
      </c>
      <c r="GK205" s="25">
        <f>sum(R205:GG205)</f>
        <v>337</v>
      </c>
      <c r="GL205" s="25">
        <f>25*P205</f>
        <v>625</v>
      </c>
      <c r="GM205" s="25">
        <f>GL205-GK205</f>
        <v>288</v>
      </c>
    </row>
    <row r="206">
      <c r="A206" s="41">
        <v>43560.0</v>
      </c>
      <c r="B206" s="42" t="s">
        <v>544</v>
      </c>
      <c r="C206" s="28">
        <f t="shared" si="116"/>
        <v>191</v>
      </c>
      <c r="D206" s="42">
        <v>19.5791</v>
      </c>
      <c r="E206" s="42">
        <v>-155.967804</v>
      </c>
      <c r="F206" s="42" t="s">
        <v>508</v>
      </c>
      <c r="G206" s="43">
        <v>0.4305555555555556</v>
      </c>
      <c r="H206" s="43">
        <v>0.4548611111111111</v>
      </c>
      <c r="I206" s="42">
        <v>5.0</v>
      </c>
      <c r="J206" s="42">
        <v>20.0</v>
      </c>
      <c r="K206" s="42" t="s">
        <v>198</v>
      </c>
      <c r="L206" s="42">
        <v>6.0</v>
      </c>
      <c r="M206" s="42">
        <v>29.0</v>
      </c>
      <c r="N206" s="42" t="s">
        <v>545</v>
      </c>
      <c r="O206" s="44"/>
      <c r="P206" s="42"/>
      <c r="Q206" s="44"/>
      <c r="R206" s="42"/>
      <c r="S206" s="44"/>
      <c r="T206" s="44"/>
      <c r="U206" s="44"/>
      <c r="V206" s="44"/>
      <c r="W206" s="44"/>
      <c r="X206" s="44"/>
      <c r="Y206" s="44"/>
      <c r="Z206" s="44"/>
      <c r="AA206" s="44"/>
      <c r="AB206" s="44"/>
      <c r="AC206" s="44"/>
      <c r="AD206" s="44"/>
      <c r="AE206" s="44"/>
      <c r="AF206" s="44"/>
      <c r="AG206" s="44"/>
      <c r="AH206" s="44"/>
      <c r="AI206" s="44"/>
      <c r="AJ206" s="44"/>
      <c r="AK206" s="44"/>
      <c r="AL206" s="44"/>
      <c r="AM206" s="44"/>
      <c r="AN206" s="44"/>
      <c r="AO206" s="44"/>
      <c r="AP206" s="44"/>
      <c r="AQ206" s="44"/>
      <c r="AR206" s="44"/>
      <c r="AS206" s="44"/>
      <c r="AT206" s="44"/>
      <c r="AU206" s="44"/>
      <c r="AV206" s="44"/>
      <c r="AW206" s="44"/>
      <c r="AX206" s="44"/>
      <c r="AY206" s="44"/>
      <c r="AZ206" s="44"/>
      <c r="BA206" s="42"/>
      <c r="BB206" s="42"/>
      <c r="BC206" s="44"/>
      <c r="BD206" s="44"/>
      <c r="BE206" s="44"/>
      <c r="BF206" s="44"/>
      <c r="BG206" s="44"/>
      <c r="BH206" s="44"/>
      <c r="BI206" s="44"/>
      <c r="BJ206" s="44"/>
      <c r="BK206" s="44"/>
      <c r="BL206" s="42"/>
      <c r="BM206" s="42">
        <v>7.0</v>
      </c>
      <c r="BN206" s="44"/>
      <c r="BO206" s="44"/>
      <c r="BP206" s="44"/>
      <c r="BQ206" s="44"/>
      <c r="BR206" s="44"/>
      <c r="BS206" s="44"/>
      <c r="BT206" s="44"/>
      <c r="BU206" s="44"/>
      <c r="BV206" s="44"/>
      <c r="BW206" s="42"/>
      <c r="BX206" s="44"/>
      <c r="BY206" s="44"/>
      <c r="BZ206" s="44"/>
      <c r="CA206" s="44"/>
      <c r="CB206" s="44"/>
      <c r="CC206" s="42">
        <v>3.0</v>
      </c>
      <c r="CD206" s="44"/>
      <c r="CE206" s="42"/>
      <c r="CF206" s="44"/>
      <c r="CG206" s="44"/>
      <c r="CH206" s="44"/>
      <c r="CI206" s="44"/>
      <c r="CJ206" s="44"/>
      <c r="CK206" s="44"/>
      <c r="CL206" s="44"/>
      <c r="CM206" s="44"/>
      <c r="CN206" s="44"/>
      <c r="CO206" s="44"/>
      <c r="CP206" s="44"/>
      <c r="CQ206" s="44"/>
      <c r="CR206" s="44"/>
      <c r="CS206" s="44"/>
      <c r="CT206" s="44"/>
      <c r="CU206" s="44"/>
      <c r="CV206" s="44"/>
      <c r="CW206" s="44"/>
      <c r="CX206" s="44"/>
      <c r="CY206" s="44"/>
      <c r="CZ206" s="44"/>
      <c r="DA206" s="44"/>
      <c r="DB206" s="44"/>
      <c r="DC206" s="44"/>
      <c r="DD206" s="44"/>
      <c r="DE206" s="44"/>
      <c r="DF206" s="44"/>
      <c r="DG206" s="44"/>
      <c r="DH206" s="44"/>
      <c r="DI206" s="44"/>
      <c r="DJ206" s="44"/>
      <c r="DK206" s="44"/>
      <c r="DL206" s="44"/>
      <c r="DM206" s="42"/>
      <c r="DN206" s="44"/>
      <c r="DO206" s="44"/>
      <c r="DP206" s="44"/>
      <c r="DQ206" s="44"/>
      <c r="DR206" s="42"/>
      <c r="DS206" s="42"/>
      <c r="DT206" s="42"/>
      <c r="DU206" s="42"/>
      <c r="DV206" s="42"/>
      <c r="DW206" s="44"/>
      <c r="DX206" s="44"/>
      <c r="DY206" s="42"/>
      <c r="DZ206" s="42"/>
      <c r="EA206" s="44"/>
      <c r="EB206" s="42"/>
      <c r="EC206" s="44"/>
      <c r="ED206" s="42">
        <v>3.0</v>
      </c>
      <c r="EE206" s="42"/>
      <c r="EF206" s="42"/>
      <c r="EG206" s="42"/>
      <c r="EH206" s="42"/>
      <c r="EI206" s="42"/>
      <c r="EJ206" s="42"/>
      <c r="EK206" s="44"/>
      <c r="EL206" s="42"/>
      <c r="EM206" s="42"/>
      <c r="EN206" s="42"/>
      <c r="EO206" s="44"/>
      <c r="EP206" s="44"/>
      <c r="EQ206" s="44"/>
      <c r="ER206" s="44"/>
      <c r="ES206" s="44"/>
      <c r="ET206" s="44"/>
      <c r="EU206" s="44"/>
      <c r="EV206" s="44"/>
      <c r="EW206" s="44"/>
      <c r="EX206" s="44"/>
      <c r="EY206" s="44"/>
      <c r="EZ206" s="44"/>
      <c r="FA206" s="44"/>
      <c r="FB206" s="42"/>
      <c r="FC206" s="42"/>
      <c r="FD206" s="44"/>
      <c r="FE206" s="44"/>
      <c r="FF206" s="44"/>
      <c r="FG206" s="44"/>
      <c r="FH206" s="44"/>
      <c r="FI206" s="44"/>
      <c r="FJ206" s="44"/>
      <c r="FK206" s="44"/>
      <c r="FL206" s="44"/>
      <c r="FM206" s="42">
        <v>25.0</v>
      </c>
      <c r="FN206" s="44"/>
      <c r="FO206" s="44"/>
      <c r="FP206" s="44"/>
      <c r="FQ206" s="44"/>
      <c r="FR206" s="42"/>
      <c r="FS206" s="42">
        <v>598.0</v>
      </c>
      <c r="FT206" s="44"/>
      <c r="FU206" s="44"/>
      <c r="FV206" s="44"/>
      <c r="FW206" s="44"/>
      <c r="FX206" s="44"/>
      <c r="FY206" s="44"/>
      <c r="FZ206" s="44"/>
      <c r="GA206" s="42"/>
      <c r="GB206" s="42"/>
      <c r="GC206" s="42"/>
      <c r="GD206" s="42"/>
      <c r="GE206" s="44"/>
      <c r="GF206" s="44"/>
      <c r="GG206" s="44"/>
      <c r="GH206" s="44"/>
      <c r="GI206" s="44"/>
      <c r="GJ206" s="44"/>
      <c r="GK206" s="44"/>
      <c r="GL206" s="44"/>
      <c r="GM206" s="44"/>
      <c r="GN206" s="44"/>
      <c r="GO206" s="44"/>
      <c r="GP206" s="44"/>
      <c r="GQ206" s="44"/>
      <c r="GR206" s="44"/>
      <c r="GS206" s="44"/>
      <c r="GT206" s="44"/>
      <c r="GU206" s="44"/>
      <c r="GV206" s="44"/>
      <c r="GW206" s="44"/>
      <c r="GX206" s="44"/>
      <c r="GY206" s="44"/>
      <c r="GZ206" s="44"/>
      <c r="HA206" s="44"/>
      <c r="HB206" s="44"/>
      <c r="HC206" s="44"/>
      <c r="HD206" s="44"/>
      <c r="HE206" s="44"/>
      <c r="HF206" s="44"/>
      <c r="HG206" s="44"/>
      <c r="HH206" s="44"/>
      <c r="HI206" s="44"/>
    </row>
    <row r="207">
      <c r="A207" s="41">
        <v>43562.0</v>
      </c>
      <c r="B207" s="42" t="s">
        <v>293</v>
      </c>
      <c r="C207" s="28">
        <f t="shared" si="116"/>
        <v>192</v>
      </c>
      <c r="D207" s="42">
        <v>19.738602</v>
      </c>
      <c r="E207" s="42">
        <v>-155.038879</v>
      </c>
      <c r="F207" s="42" t="s">
        <v>482</v>
      </c>
      <c r="G207" s="43">
        <v>0.4583333333333333</v>
      </c>
      <c r="H207" s="43">
        <v>0.4791666666666667</v>
      </c>
      <c r="I207" s="42">
        <v>2.0</v>
      </c>
      <c r="J207" s="42">
        <v>10.0</v>
      </c>
      <c r="K207" s="42" t="s">
        <v>198</v>
      </c>
      <c r="L207" s="42">
        <v>5.0</v>
      </c>
      <c r="M207" s="42">
        <v>10.0</v>
      </c>
      <c r="N207" s="42" t="s">
        <v>546</v>
      </c>
      <c r="O207" s="44"/>
      <c r="P207" s="42"/>
      <c r="Q207" s="44"/>
      <c r="R207" s="42"/>
      <c r="S207" s="44"/>
      <c r="T207" s="44"/>
      <c r="U207" s="44"/>
      <c r="V207" s="44"/>
      <c r="W207" s="44"/>
      <c r="X207" s="44"/>
      <c r="Y207" s="44"/>
      <c r="Z207" s="44"/>
      <c r="AA207" s="44"/>
      <c r="AB207" s="44"/>
      <c r="AC207" s="44"/>
      <c r="AD207" s="44"/>
      <c r="AE207" s="44"/>
      <c r="AF207" s="44"/>
      <c r="AG207" s="44"/>
      <c r="AH207" s="44"/>
      <c r="AI207" s="44"/>
      <c r="AJ207" s="44"/>
      <c r="AK207" s="44"/>
      <c r="AL207" s="44"/>
      <c r="AM207" s="44"/>
      <c r="AN207" s="44"/>
      <c r="AO207" s="44"/>
      <c r="AP207" s="44"/>
      <c r="AQ207" s="44"/>
      <c r="AR207" s="44"/>
      <c r="AS207" s="44"/>
      <c r="AT207" s="44"/>
      <c r="AU207" s="44"/>
      <c r="AV207" s="44"/>
      <c r="AW207" s="44"/>
      <c r="AX207" s="44"/>
      <c r="AY207" s="44"/>
      <c r="AZ207" s="44"/>
      <c r="BA207" s="42"/>
      <c r="BB207" s="42"/>
      <c r="BC207" s="44"/>
      <c r="BD207" s="44"/>
      <c r="BE207" s="44"/>
      <c r="BF207" s="44"/>
      <c r="BG207" s="44"/>
      <c r="BH207" s="44"/>
      <c r="BI207" s="44"/>
      <c r="BJ207" s="44"/>
      <c r="BK207" s="42">
        <v>10.0</v>
      </c>
      <c r="BL207" s="42"/>
      <c r="BM207" s="42">
        <v>40.0</v>
      </c>
      <c r="BN207" s="44"/>
      <c r="BO207" s="44"/>
      <c r="BP207" s="44"/>
      <c r="BQ207" s="44"/>
      <c r="BR207" s="44"/>
      <c r="BS207" s="44"/>
      <c r="BT207" s="44"/>
      <c r="BU207" s="44"/>
      <c r="BV207" s="44"/>
      <c r="BW207" s="42"/>
      <c r="BX207" s="44"/>
      <c r="BY207" s="44"/>
      <c r="BZ207" s="44"/>
      <c r="CA207" s="44"/>
      <c r="CB207" s="44"/>
      <c r="CC207" s="42">
        <v>2.0</v>
      </c>
      <c r="CD207" s="44"/>
      <c r="CE207" s="42"/>
      <c r="CF207" s="44"/>
      <c r="CG207" s="44"/>
      <c r="CH207" s="44"/>
      <c r="CI207" s="44"/>
      <c r="CJ207" s="44"/>
      <c r="CK207" s="44"/>
      <c r="CL207" s="44"/>
      <c r="CM207" s="44"/>
      <c r="CN207" s="44"/>
      <c r="CO207" s="42">
        <v>7.0</v>
      </c>
      <c r="CP207" s="44"/>
      <c r="CQ207" s="44"/>
      <c r="CR207" s="44"/>
      <c r="CS207" s="44"/>
      <c r="CT207" s="44"/>
      <c r="CU207" s="44"/>
      <c r="CV207" s="44"/>
      <c r="CW207" s="44"/>
      <c r="CX207" s="44"/>
      <c r="CY207" s="44"/>
      <c r="CZ207" s="44"/>
      <c r="DA207" s="44"/>
      <c r="DB207" s="44"/>
      <c r="DC207" s="44"/>
      <c r="DD207" s="44"/>
      <c r="DE207" s="44"/>
      <c r="DF207" s="44"/>
      <c r="DG207" s="44"/>
      <c r="DH207" s="44"/>
      <c r="DI207" s="44"/>
      <c r="DJ207" s="44"/>
      <c r="DK207" s="44"/>
      <c r="DL207" s="44"/>
      <c r="DM207" s="42"/>
      <c r="DN207" s="44"/>
      <c r="DO207" s="44"/>
      <c r="DP207" s="44"/>
      <c r="DQ207" s="44"/>
      <c r="DR207" s="42"/>
      <c r="DS207" s="42"/>
      <c r="DT207" s="42"/>
      <c r="DU207" s="42"/>
      <c r="DV207" s="42"/>
      <c r="DW207" s="44"/>
      <c r="DX207" s="44"/>
      <c r="DY207" s="42">
        <v>1.0</v>
      </c>
      <c r="DZ207" s="42"/>
      <c r="EA207" s="44"/>
      <c r="EB207" s="42"/>
      <c r="EC207" s="44"/>
      <c r="ED207" s="42"/>
      <c r="EE207" s="42"/>
      <c r="EF207" s="42"/>
      <c r="EG207" s="42"/>
      <c r="EH207" s="42"/>
      <c r="EI207" s="42"/>
      <c r="EJ207" s="42">
        <v>4.0</v>
      </c>
      <c r="EK207" s="44"/>
      <c r="EL207" s="42"/>
      <c r="EM207" s="42"/>
      <c r="EN207" s="42"/>
      <c r="EO207" s="44"/>
      <c r="EP207" s="44"/>
      <c r="EQ207" s="44"/>
      <c r="ER207" s="42">
        <v>1.0</v>
      </c>
      <c r="ES207" s="42">
        <v>3.0</v>
      </c>
      <c r="ET207" s="44"/>
      <c r="EU207" s="44"/>
      <c r="EV207" s="44"/>
      <c r="EW207" s="44"/>
      <c r="EX207" s="44"/>
      <c r="EY207" s="44"/>
      <c r="EZ207" s="44"/>
      <c r="FA207" s="44"/>
      <c r="FB207" s="42"/>
      <c r="FC207" s="42"/>
      <c r="FD207" s="44"/>
      <c r="FE207" s="44"/>
      <c r="FF207" s="44"/>
      <c r="FG207" s="44"/>
      <c r="FH207" s="44"/>
      <c r="FI207" s="44"/>
      <c r="FJ207" s="44"/>
      <c r="FK207" s="44"/>
      <c r="FL207" s="44"/>
      <c r="FM207" s="44"/>
      <c r="FN207" s="44"/>
      <c r="FO207" s="44"/>
      <c r="FP207" s="42">
        <v>1.0</v>
      </c>
      <c r="FQ207" s="44"/>
      <c r="FR207" s="42"/>
      <c r="FS207" s="42">
        <v>146.0</v>
      </c>
      <c r="FT207" s="44"/>
      <c r="FU207" s="44"/>
      <c r="FV207" s="44"/>
      <c r="FW207" s="44"/>
      <c r="FX207" s="44"/>
      <c r="FY207" s="44"/>
      <c r="FZ207" s="44"/>
      <c r="GA207" s="42"/>
      <c r="GB207" s="42"/>
      <c r="GC207" s="42"/>
      <c r="GD207" s="42"/>
      <c r="GE207" s="44"/>
      <c r="GF207" s="44"/>
      <c r="GG207" s="44"/>
      <c r="GH207" s="44"/>
      <c r="GI207" s="44"/>
      <c r="GJ207" s="44"/>
      <c r="GK207" s="44"/>
      <c r="GL207" s="44"/>
      <c r="GM207" s="44"/>
      <c r="GN207" s="44"/>
      <c r="GO207" s="44"/>
      <c r="GP207" s="44"/>
      <c r="GQ207" s="44"/>
      <c r="GR207" s="44"/>
      <c r="GS207" s="44"/>
      <c r="GT207" s="44"/>
      <c r="GU207" s="44"/>
      <c r="GV207" s="44"/>
      <c r="GW207" s="44"/>
      <c r="GX207" s="44"/>
      <c r="GY207" s="44"/>
      <c r="GZ207" s="44"/>
      <c r="HA207" s="44"/>
      <c r="HB207" s="44"/>
      <c r="HC207" s="44"/>
      <c r="HD207" s="44"/>
      <c r="HE207" s="44"/>
      <c r="HF207" s="44"/>
      <c r="HG207" s="44"/>
      <c r="HH207" s="44"/>
      <c r="HI207" s="44"/>
    </row>
    <row r="208">
      <c r="A208" s="31">
        <v>43563.0</v>
      </c>
      <c r="B208" s="32" t="s">
        <v>216</v>
      </c>
      <c r="C208" s="28"/>
      <c r="D208" s="32"/>
      <c r="E208" s="32"/>
      <c r="F208" s="32"/>
      <c r="G208" s="33"/>
      <c r="H208" s="33"/>
      <c r="I208" s="32"/>
      <c r="J208" s="32"/>
      <c r="K208" s="32"/>
      <c r="L208" s="32"/>
      <c r="M208" s="32"/>
      <c r="N208" s="32"/>
      <c r="O208" s="34"/>
      <c r="P208" s="32"/>
      <c r="Q208" s="34"/>
      <c r="R208" s="32"/>
      <c r="S208" s="34"/>
      <c r="T208" s="34"/>
      <c r="U208" s="34"/>
      <c r="V208" s="34"/>
      <c r="W208" s="34"/>
      <c r="X208" s="34"/>
      <c r="Y208" s="34"/>
      <c r="Z208" s="34"/>
      <c r="AA208" s="34"/>
      <c r="AB208" s="34"/>
      <c r="AC208" s="34"/>
      <c r="AD208" s="34"/>
      <c r="AE208" s="34"/>
      <c r="AF208" s="34"/>
      <c r="AG208" s="34"/>
      <c r="AH208" s="34"/>
      <c r="AI208" s="34"/>
      <c r="AJ208" s="34"/>
      <c r="AK208" s="34"/>
      <c r="AL208" s="34"/>
      <c r="AM208" s="34"/>
      <c r="AN208" s="34"/>
      <c r="AO208" s="34"/>
      <c r="AP208" s="34"/>
      <c r="AQ208" s="34"/>
      <c r="AR208" s="34"/>
      <c r="AS208" s="34"/>
      <c r="AT208" s="34"/>
      <c r="AU208" s="34"/>
      <c r="AV208" s="34"/>
      <c r="AW208" s="34"/>
      <c r="AX208" s="34"/>
      <c r="AY208" s="34"/>
      <c r="AZ208" s="34"/>
      <c r="BA208" s="32"/>
      <c r="BB208" s="32"/>
      <c r="BC208" s="34"/>
      <c r="BD208" s="34"/>
      <c r="BE208" s="34"/>
      <c r="BF208" s="34"/>
      <c r="BG208" s="34"/>
      <c r="BH208" s="34"/>
      <c r="BI208" s="34"/>
      <c r="BJ208" s="34"/>
      <c r="BK208" s="34"/>
      <c r="BL208" s="32"/>
      <c r="BM208" s="34"/>
      <c r="BN208" s="34"/>
      <c r="BO208" s="34"/>
      <c r="BP208" s="34"/>
      <c r="BQ208" s="34"/>
      <c r="BR208" s="34"/>
      <c r="BS208" s="34"/>
      <c r="BT208" s="34"/>
      <c r="BU208" s="34"/>
      <c r="BV208" s="34"/>
      <c r="BW208" s="32"/>
      <c r="BX208" s="34"/>
      <c r="BY208" s="34"/>
      <c r="BZ208" s="34"/>
      <c r="CA208" s="34"/>
      <c r="CB208" s="34"/>
      <c r="CC208" s="34"/>
      <c r="CD208" s="34"/>
      <c r="CE208" s="32"/>
      <c r="CF208" s="34"/>
      <c r="CG208" s="34"/>
      <c r="CH208" s="34"/>
      <c r="CI208" s="34"/>
      <c r="CJ208" s="34"/>
      <c r="CK208" s="34"/>
      <c r="CL208" s="34"/>
      <c r="CM208" s="34"/>
      <c r="CN208" s="34"/>
      <c r="CO208" s="34"/>
      <c r="CP208" s="34"/>
      <c r="CQ208" s="34"/>
      <c r="CR208" s="34"/>
      <c r="CS208" s="34"/>
      <c r="CT208" s="34"/>
      <c r="CU208" s="34"/>
      <c r="CV208" s="34"/>
      <c r="CW208" s="34"/>
      <c r="CX208" s="34"/>
      <c r="CY208" s="34"/>
      <c r="CZ208" s="34"/>
      <c r="DA208" s="34"/>
      <c r="DB208" s="34"/>
      <c r="DC208" s="34"/>
      <c r="DD208" s="34"/>
      <c r="DE208" s="34"/>
      <c r="DF208" s="34"/>
      <c r="DG208" s="34"/>
      <c r="DH208" s="34"/>
      <c r="DI208" s="34"/>
      <c r="DJ208" s="34"/>
      <c r="DK208" s="34"/>
      <c r="DL208" s="34"/>
      <c r="DM208" s="32"/>
      <c r="DN208" s="34"/>
      <c r="DO208" s="34"/>
      <c r="DP208" s="34"/>
      <c r="DQ208" s="34"/>
      <c r="DR208" s="32"/>
      <c r="DS208" s="32"/>
      <c r="DT208" s="32"/>
      <c r="DU208" s="32"/>
      <c r="DV208" s="32"/>
      <c r="DW208" s="34"/>
      <c r="DX208" s="34"/>
      <c r="DY208" s="32"/>
      <c r="DZ208" s="32"/>
      <c r="EA208" s="34"/>
      <c r="EB208" s="32"/>
      <c r="EC208" s="34"/>
      <c r="ED208" s="32"/>
      <c r="EE208" s="32"/>
      <c r="EF208" s="32"/>
      <c r="EG208" s="32"/>
      <c r="EH208" s="32"/>
      <c r="EI208" s="32"/>
      <c r="EJ208" s="32"/>
      <c r="EK208" s="34"/>
      <c r="EL208" s="32"/>
      <c r="EM208" s="32"/>
      <c r="EN208" s="32"/>
      <c r="EO208" s="34"/>
      <c r="EP208" s="34"/>
      <c r="EQ208" s="34"/>
      <c r="ER208" s="34"/>
      <c r="ES208" s="34"/>
      <c r="ET208" s="34"/>
      <c r="EU208" s="34"/>
      <c r="EV208" s="34"/>
      <c r="EW208" s="34"/>
      <c r="EX208" s="34"/>
      <c r="EY208" s="34"/>
      <c r="EZ208" s="34"/>
      <c r="FA208" s="34"/>
      <c r="FB208" s="32"/>
      <c r="FC208" s="32"/>
      <c r="FD208" s="34"/>
      <c r="FE208" s="34"/>
      <c r="FF208" s="34"/>
      <c r="FG208" s="34"/>
      <c r="FH208" s="34"/>
      <c r="FI208" s="34"/>
      <c r="FJ208" s="34"/>
      <c r="FK208" s="34"/>
      <c r="FL208" s="34"/>
      <c r="FM208" s="34"/>
      <c r="FN208" s="34"/>
      <c r="FO208" s="34"/>
      <c r="FP208" s="34"/>
      <c r="FQ208" s="34"/>
      <c r="FR208" s="32"/>
      <c r="FS208" s="32"/>
      <c r="FT208" s="34"/>
      <c r="FU208" s="34"/>
      <c r="FV208" s="34"/>
      <c r="FW208" s="34"/>
      <c r="FX208" s="34"/>
      <c r="FY208" s="34"/>
      <c r="FZ208" s="34"/>
      <c r="GA208" s="32"/>
      <c r="GB208" s="32"/>
      <c r="GC208" s="32"/>
      <c r="GD208" s="32"/>
      <c r="GE208" s="34"/>
      <c r="GF208" s="34"/>
      <c r="GG208" s="34"/>
      <c r="GH208" s="34"/>
      <c r="GI208" s="34"/>
      <c r="GJ208" s="34"/>
      <c r="GK208" s="34"/>
      <c r="GL208" s="34"/>
      <c r="GM208" s="34"/>
      <c r="GN208" s="34"/>
      <c r="GO208" s="34"/>
      <c r="GP208" s="34"/>
      <c r="GQ208" s="34"/>
      <c r="GR208" s="34"/>
      <c r="GS208" s="34"/>
      <c r="GT208" s="34"/>
      <c r="GU208" s="34"/>
      <c r="GV208" s="34"/>
      <c r="GW208" s="34"/>
      <c r="GX208" s="34"/>
      <c r="GY208" s="34"/>
      <c r="GZ208" s="34"/>
      <c r="HA208" s="34"/>
      <c r="HB208" s="34"/>
      <c r="HC208" s="34"/>
      <c r="HD208" s="34"/>
      <c r="HE208" s="34"/>
      <c r="HF208" s="34"/>
      <c r="HG208" s="34"/>
      <c r="HH208" s="34"/>
      <c r="HI208" s="34"/>
    </row>
    <row r="209">
      <c r="A209" s="23">
        <v>43563.0</v>
      </c>
      <c r="B209" s="4" t="s">
        <v>400</v>
      </c>
      <c r="C209" s="28">
        <v>193.0</v>
      </c>
      <c r="D209" s="4">
        <v>21.900562</v>
      </c>
      <c r="E209" s="4">
        <v>-159.609818</v>
      </c>
      <c r="F209" s="4" t="s">
        <v>465</v>
      </c>
      <c r="G209" s="24">
        <v>0.4548611111111111</v>
      </c>
      <c r="H209" s="24">
        <v>0.4895833333333333</v>
      </c>
      <c r="I209" s="4">
        <v>6.0</v>
      </c>
      <c r="J209" s="4">
        <v>10.0</v>
      </c>
      <c r="K209" s="4" t="s">
        <v>198</v>
      </c>
      <c r="L209" s="4">
        <v>5.0</v>
      </c>
      <c r="M209" s="4">
        <v>29.0</v>
      </c>
      <c r="N209" s="4" t="s">
        <v>466</v>
      </c>
      <c r="P209" s="4">
        <v>29.0</v>
      </c>
      <c r="R209" s="4">
        <v>14.0</v>
      </c>
      <c r="BA209" s="4"/>
      <c r="BB209" s="4">
        <v>2.0</v>
      </c>
      <c r="BL209" s="4">
        <v>2.0</v>
      </c>
      <c r="BW209" s="4">
        <v>19.0</v>
      </c>
      <c r="CE209" s="4">
        <v>6.0</v>
      </c>
      <c r="DM209" s="4">
        <v>174.0</v>
      </c>
      <c r="DR209" s="4"/>
      <c r="DS209" s="4">
        <v>12.0</v>
      </c>
      <c r="DT209" s="4"/>
      <c r="DU209" s="4"/>
      <c r="DV209" s="4">
        <v>8.0</v>
      </c>
      <c r="DY209" s="4"/>
      <c r="DZ209" s="4">
        <v>2.0</v>
      </c>
      <c r="EB209" s="4">
        <v>1.0</v>
      </c>
      <c r="ED209" s="4">
        <v>1.0</v>
      </c>
      <c r="EE209" s="4"/>
      <c r="EF209" s="4"/>
      <c r="EG209" s="4"/>
      <c r="EH209" s="4"/>
      <c r="EI209" s="4"/>
      <c r="EJ209" s="4">
        <v>55.0</v>
      </c>
      <c r="EL209" s="4"/>
      <c r="EM209" s="4"/>
      <c r="EN209" s="4">
        <v>1.0</v>
      </c>
      <c r="FB209" s="4">
        <v>31.0</v>
      </c>
      <c r="FC209" s="4">
        <v>1.0</v>
      </c>
      <c r="FR209" s="4">
        <v>2.0</v>
      </c>
      <c r="FS209" s="4">
        <v>15.0</v>
      </c>
      <c r="GA209" s="4">
        <v>2.0</v>
      </c>
      <c r="GB209" s="4"/>
      <c r="GC209" s="4">
        <v>3.0</v>
      </c>
      <c r="GD209" s="4">
        <v>1.0</v>
      </c>
      <c r="GH209" s="25">
        <f t="shared" ref="GH209:GH211" si="117">count(R209:GG209)</f>
        <v>20</v>
      </c>
      <c r="GI209" s="25">
        <f t="shared" ref="GI209:GI211" si="118">countif(R209:GG209,"&gt;=2")</f>
        <v>15</v>
      </c>
      <c r="GJ209" s="25">
        <f t="shared" ref="GJ209:GJ211" si="119">countif(R209:GG209,"&gt;=5")</f>
        <v>9</v>
      </c>
      <c r="GK209" s="25">
        <f t="shared" ref="GK209:GK211" si="120">sum(R209:GG209)</f>
        <v>352</v>
      </c>
      <c r="GL209" s="25">
        <f t="shared" ref="GL209:GL211" si="121">25*P209</f>
        <v>725</v>
      </c>
      <c r="GM209" s="25">
        <f t="shared" ref="GM209:GM211" si="122">GL209-GK209</f>
        <v>373</v>
      </c>
    </row>
    <row r="210">
      <c r="A210" s="23">
        <v>43564.0</v>
      </c>
      <c r="B210" s="4" t="s">
        <v>456</v>
      </c>
      <c r="C210" s="28">
        <f t="shared" ref="C210:C224" si="123">C209+1</f>
        <v>194</v>
      </c>
      <c r="D210" s="4">
        <v>21.316488</v>
      </c>
      <c r="E210" s="4">
        <v>-157.664261</v>
      </c>
      <c r="F210" s="4" t="s">
        <v>469</v>
      </c>
      <c r="G210" s="24">
        <v>0.36319444444444443</v>
      </c>
      <c r="H210" s="24">
        <v>0.3958333333333333</v>
      </c>
      <c r="I210" s="4">
        <v>4.0</v>
      </c>
      <c r="J210" s="4">
        <v>40.0</v>
      </c>
      <c r="K210" s="4" t="s">
        <v>470</v>
      </c>
      <c r="L210" s="4">
        <v>5.0</v>
      </c>
      <c r="M210" s="4">
        <v>10.0</v>
      </c>
      <c r="N210" s="4" t="s">
        <v>471</v>
      </c>
      <c r="P210" s="4">
        <v>10.0</v>
      </c>
      <c r="CC210" s="4">
        <v>2.0</v>
      </c>
      <c r="CG210" s="4"/>
      <c r="CH210" s="4">
        <v>3.0</v>
      </c>
      <c r="DF210" s="4"/>
      <c r="DG210" s="4">
        <v>2.0</v>
      </c>
      <c r="EE210" s="4"/>
      <c r="EF210" s="4"/>
      <c r="EG210" s="4"/>
      <c r="EH210" s="4"/>
      <c r="EI210" s="4"/>
      <c r="EJ210" s="4">
        <v>15.0</v>
      </c>
      <c r="FS210" s="4">
        <v>13.0</v>
      </c>
      <c r="GH210" s="25">
        <f t="shared" si="117"/>
        <v>5</v>
      </c>
      <c r="GI210" s="25">
        <f t="shared" si="118"/>
        <v>5</v>
      </c>
      <c r="GJ210" s="25">
        <f t="shared" si="119"/>
        <v>2</v>
      </c>
      <c r="GK210" s="25">
        <f t="shared" si="120"/>
        <v>35</v>
      </c>
      <c r="GL210" s="25">
        <f t="shared" si="121"/>
        <v>250</v>
      </c>
      <c r="GM210" s="25">
        <f t="shared" si="122"/>
        <v>215</v>
      </c>
    </row>
    <row r="211">
      <c r="A211" s="23">
        <v>43564.0</v>
      </c>
      <c r="B211" s="4" t="s">
        <v>244</v>
      </c>
      <c r="C211" s="28">
        <f t="shared" si="123"/>
        <v>195</v>
      </c>
      <c r="D211" s="4">
        <v>21.310612</v>
      </c>
      <c r="E211" s="4">
        <v>-158.00441</v>
      </c>
      <c r="F211" s="4" t="s">
        <v>326</v>
      </c>
      <c r="G211" s="24">
        <v>0.3958333333333333</v>
      </c>
      <c r="H211" s="24">
        <v>0.4375</v>
      </c>
      <c r="I211" s="4">
        <v>7.0</v>
      </c>
      <c r="J211" s="4">
        <v>20.0</v>
      </c>
      <c r="K211" s="4" t="s">
        <v>198</v>
      </c>
      <c r="L211" s="4">
        <v>5.0</v>
      </c>
      <c r="M211" s="4">
        <v>28.0</v>
      </c>
      <c r="N211" s="4" t="s">
        <v>472</v>
      </c>
      <c r="P211" s="4">
        <v>28.0</v>
      </c>
      <c r="R211" s="4">
        <v>1.0</v>
      </c>
      <c r="Y211" s="4"/>
      <c r="Z211" s="4"/>
      <c r="AA211" s="4"/>
      <c r="AB211" s="4">
        <v>1.0</v>
      </c>
      <c r="AE211" s="4">
        <v>29.0</v>
      </c>
      <c r="BC211" s="4">
        <v>16.0</v>
      </c>
      <c r="BE211" s="4">
        <v>49.0</v>
      </c>
      <c r="BM211" s="4">
        <v>16.0</v>
      </c>
      <c r="BS211" s="4">
        <v>1.0</v>
      </c>
      <c r="BV211" s="4">
        <v>11.0</v>
      </c>
      <c r="BZ211" s="4">
        <v>29.0</v>
      </c>
      <c r="CN211" s="4">
        <v>1.0</v>
      </c>
      <c r="DF211" s="4"/>
      <c r="DG211" s="4">
        <v>4.0</v>
      </c>
      <c r="DN211" s="4">
        <v>5.0</v>
      </c>
      <c r="DO211" s="4">
        <v>10.0</v>
      </c>
      <c r="DP211" s="4">
        <v>5.0</v>
      </c>
      <c r="EE211" s="4"/>
      <c r="EF211" s="4"/>
      <c r="EG211" s="4"/>
      <c r="EH211" s="4"/>
      <c r="EI211" s="4"/>
      <c r="EJ211" s="4">
        <v>99.0</v>
      </c>
      <c r="FB211" s="4">
        <v>20.0</v>
      </c>
      <c r="FS211" s="4">
        <v>23.0</v>
      </c>
      <c r="GH211" s="25">
        <f t="shared" si="117"/>
        <v>17</v>
      </c>
      <c r="GI211" s="25">
        <f t="shared" si="118"/>
        <v>13</v>
      </c>
      <c r="GJ211" s="25">
        <f t="shared" si="119"/>
        <v>12</v>
      </c>
      <c r="GK211" s="25">
        <f t="shared" si="120"/>
        <v>320</v>
      </c>
      <c r="GL211" s="25">
        <f t="shared" si="121"/>
        <v>700</v>
      </c>
      <c r="GM211" s="25">
        <f t="shared" si="122"/>
        <v>380</v>
      </c>
    </row>
    <row r="212">
      <c r="A212" s="41">
        <v>43564.0</v>
      </c>
      <c r="B212" s="42" t="s">
        <v>246</v>
      </c>
      <c r="C212" s="28">
        <f t="shared" si="123"/>
        <v>196</v>
      </c>
      <c r="D212" s="42">
        <v>21.2882</v>
      </c>
      <c r="E212" s="42">
        <v>-157.667999</v>
      </c>
      <c r="F212" s="42" t="s">
        <v>548</v>
      </c>
      <c r="G212" s="43">
        <v>0.3888888888888889</v>
      </c>
      <c r="H212" s="43">
        <v>0.4583333333333333</v>
      </c>
      <c r="I212" s="42">
        <v>6.0</v>
      </c>
      <c r="J212" s="42">
        <v>12.0</v>
      </c>
      <c r="K212" s="42" t="s">
        <v>198</v>
      </c>
      <c r="L212" s="42">
        <v>6.0</v>
      </c>
      <c r="M212" s="42">
        <v>20.0</v>
      </c>
      <c r="N212" s="42" t="s">
        <v>549</v>
      </c>
      <c r="O212" s="42"/>
      <c r="P212" s="42"/>
      <c r="Q212" s="44"/>
      <c r="R212" s="44"/>
      <c r="S212" s="44"/>
      <c r="T212" s="44"/>
      <c r="U212" s="44"/>
      <c r="V212" s="44"/>
      <c r="W212" s="44"/>
      <c r="X212" s="44"/>
      <c r="Y212" s="44"/>
      <c r="Z212" s="44"/>
      <c r="AA212" s="44"/>
      <c r="AB212" s="42">
        <v>8.0</v>
      </c>
      <c r="AC212" s="42"/>
      <c r="AD212" s="42"/>
      <c r="AE212" s="44"/>
      <c r="AF212" s="44"/>
      <c r="AG212" s="44"/>
      <c r="AH212" s="44"/>
      <c r="AI212" s="44"/>
      <c r="AJ212" s="44"/>
      <c r="AK212" s="44"/>
      <c r="AL212" s="44"/>
      <c r="AM212" s="44"/>
      <c r="AN212" s="44"/>
      <c r="AO212" s="44"/>
      <c r="AP212" s="44"/>
      <c r="AQ212" s="44"/>
      <c r="AR212" s="42">
        <v>1.0</v>
      </c>
      <c r="AS212" s="44"/>
      <c r="AT212" s="44"/>
      <c r="AU212" s="44"/>
      <c r="AV212" s="44"/>
      <c r="AW212" s="44"/>
      <c r="AX212" s="44"/>
      <c r="AY212" s="44"/>
      <c r="AZ212" s="44"/>
      <c r="BA212" s="44"/>
      <c r="BB212" s="44"/>
      <c r="BC212" s="44"/>
      <c r="BD212" s="44"/>
      <c r="BE212" s="44"/>
      <c r="BF212" s="44"/>
      <c r="BG212" s="44"/>
      <c r="BH212" s="44"/>
      <c r="BI212" s="44"/>
      <c r="BJ212" s="44"/>
      <c r="BK212" s="42">
        <v>1.0</v>
      </c>
      <c r="BL212" s="44"/>
      <c r="BM212" s="42"/>
      <c r="BN212" s="44"/>
      <c r="BO212" s="44"/>
      <c r="BP212" s="44"/>
      <c r="BQ212" s="44"/>
      <c r="BR212" s="44"/>
      <c r="BS212" s="44"/>
      <c r="BT212" s="44"/>
      <c r="BU212" s="44"/>
      <c r="BV212" s="44"/>
      <c r="BW212" s="44"/>
      <c r="BX212" s="44"/>
      <c r="BY212" s="44"/>
      <c r="BZ212" s="44"/>
      <c r="CA212" s="44"/>
      <c r="CB212" s="44"/>
      <c r="CC212" s="44"/>
      <c r="CD212" s="44"/>
      <c r="CE212" s="44"/>
      <c r="CF212" s="44"/>
      <c r="CG212" s="44"/>
      <c r="CH212" s="44"/>
      <c r="CI212" s="44"/>
      <c r="CJ212" s="44"/>
      <c r="CK212" s="44"/>
      <c r="CL212" s="44"/>
      <c r="CM212" s="44"/>
      <c r="CN212" s="44"/>
      <c r="CO212" s="44"/>
      <c r="CP212" s="44"/>
      <c r="CQ212" s="44"/>
      <c r="CR212" s="44"/>
      <c r="CS212" s="44"/>
      <c r="CT212" s="44"/>
      <c r="CU212" s="44"/>
      <c r="CV212" s="44"/>
      <c r="CW212" s="44"/>
      <c r="CX212" s="44"/>
      <c r="CY212" s="44"/>
      <c r="CZ212" s="44"/>
      <c r="DA212" s="44"/>
      <c r="DB212" s="44"/>
      <c r="DC212" s="44"/>
      <c r="DD212" s="44"/>
      <c r="DE212" s="44"/>
      <c r="DF212" s="44"/>
      <c r="DG212" s="44"/>
      <c r="DH212" s="42"/>
      <c r="DI212" s="44"/>
      <c r="DJ212" s="44"/>
      <c r="DK212" s="44"/>
      <c r="DL212" s="44"/>
      <c r="DM212" s="44"/>
      <c r="DN212" s="44"/>
      <c r="DO212" s="44"/>
      <c r="DP212" s="42"/>
      <c r="DQ212" s="44"/>
      <c r="DR212" s="42"/>
      <c r="DS212" s="42"/>
      <c r="DT212" s="44"/>
      <c r="DU212" s="44"/>
      <c r="DV212" s="44"/>
      <c r="DW212" s="44"/>
      <c r="DX212" s="44"/>
      <c r="DY212" s="44"/>
      <c r="DZ212" s="44"/>
      <c r="EA212" s="44"/>
      <c r="EB212" s="44"/>
      <c r="EC212" s="44"/>
      <c r="ED212" s="44"/>
      <c r="EE212" s="44"/>
      <c r="EF212" s="44"/>
      <c r="EG212" s="44"/>
      <c r="EH212" s="44"/>
      <c r="EI212" s="44"/>
      <c r="EJ212" s="42">
        <v>14.0</v>
      </c>
      <c r="EK212" s="44"/>
      <c r="EL212" s="42"/>
      <c r="EM212" s="42"/>
      <c r="EN212" s="42"/>
      <c r="EO212" s="44"/>
      <c r="EP212" s="44"/>
      <c r="EQ212" s="44"/>
      <c r="ER212" s="44"/>
      <c r="ES212" s="44"/>
      <c r="ET212" s="44"/>
      <c r="EU212" s="44"/>
      <c r="EV212" s="44"/>
      <c r="EW212" s="44"/>
      <c r="EX212" s="44"/>
      <c r="EY212" s="44"/>
      <c r="EZ212" s="44"/>
      <c r="FA212" s="44"/>
      <c r="FB212" s="42">
        <v>5.0</v>
      </c>
      <c r="FC212" s="42"/>
      <c r="FD212" s="44"/>
      <c r="FE212" s="44"/>
      <c r="FF212" s="44"/>
      <c r="FG212" s="44"/>
      <c r="FH212" s="44"/>
      <c r="FI212" s="44"/>
      <c r="FJ212" s="44"/>
      <c r="FK212" s="44"/>
      <c r="FL212" s="44"/>
      <c r="FM212" s="44"/>
      <c r="FN212" s="44"/>
      <c r="FO212" s="44"/>
      <c r="FP212" s="44"/>
      <c r="FQ212" s="44"/>
      <c r="FR212" s="42">
        <v>2.0</v>
      </c>
      <c r="FS212" s="42">
        <v>142.0</v>
      </c>
      <c r="FT212" s="44"/>
      <c r="FU212" s="44"/>
      <c r="FV212" s="44"/>
      <c r="FW212" s="44"/>
      <c r="FX212" s="44"/>
      <c r="FY212" s="44"/>
      <c r="FZ212" s="44"/>
      <c r="GA212" s="44"/>
      <c r="GB212" s="44"/>
      <c r="GC212" s="44"/>
      <c r="GD212" s="44"/>
      <c r="GE212" s="44"/>
      <c r="GF212" s="44"/>
      <c r="GG212" s="44"/>
      <c r="GH212" s="44"/>
      <c r="GI212" s="44"/>
      <c r="GJ212" s="44"/>
      <c r="GK212" s="44"/>
      <c r="GL212" s="44"/>
      <c r="GM212" s="44"/>
      <c r="GN212" s="44"/>
      <c r="GO212" s="44"/>
      <c r="GP212" s="44"/>
      <c r="GQ212" s="44"/>
      <c r="GR212" s="44"/>
      <c r="GS212" s="44"/>
      <c r="GT212" s="44"/>
      <c r="GU212" s="44"/>
      <c r="GV212" s="44"/>
      <c r="GW212" s="44"/>
      <c r="GX212" s="44"/>
      <c r="GY212" s="44"/>
      <c r="GZ212" s="44"/>
      <c r="HA212" s="44"/>
      <c r="HB212" s="44"/>
      <c r="HC212" s="44"/>
      <c r="HD212" s="44"/>
      <c r="HE212" s="44"/>
      <c r="HF212" s="44"/>
      <c r="HG212" s="44"/>
      <c r="HH212" s="44"/>
      <c r="HI212" s="44"/>
    </row>
    <row r="213">
      <c r="A213" s="41">
        <v>43566.0</v>
      </c>
      <c r="B213" s="42" t="s">
        <v>246</v>
      </c>
      <c r="C213" s="28">
        <f t="shared" si="123"/>
        <v>197</v>
      </c>
      <c r="D213" s="42">
        <v>21.2882</v>
      </c>
      <c r="E213" s="42">
        <v>-157.667999</v>
      </c>
      <c r="F213" s="42" t="s">
        <v>548</v>
      </c>
      <c r="G213" s="43">
        <v>0.3888888888888889</v>
      </c>
      <c r="H213" s="43">
        <v>0.4618055555555556</v>
      </c>
      <c r="I213" s="42">
        <v>5.0</v>
      </c>
      <c r="J213" s="42">
        <v>10.0</v>
      </c>
      <c r="K213" s="42" t="s">
        <v>198</v>
      </c>
      <c r="L213" s="42">
        <v>6.0</v>
      </c>
      <c r="M213" s="42">
        <v>11.0</v>
      </c>
      <c r="N213" s="42" t="s">
        <v>550</v>
      </c>
      <c r="O213" s="42"/>
      <c r="P213" s="42"/>
      <c r="Q213" s="44"/>
      <c r="R213" s="44"/>
      <c r="S213" s="44"/>
      <c r="T213" s="44"/>
      <c r="U213" s="44"/>
      <c r="V213" s="44"/>
      <c r="W213" s="44"/>
      <c r="X213" s="44"/>
      <c r="Y213" s="44"/>
      <c r="Z213" s="44"/>
      <c r="AA213" s="44"/>
      <c r="AB213" s="44"/>
      <c r="AC213" s="42"/>
      <c r="AD213" s="42"/>
      <c r="AE213" s="44"/>
      <c r="AF213" s="44"/>
      <c r="AG213" s="42">
        <v>1.0</v>
      </c>
      <c r="AH213" s="44"/>
      <c r="AI213" s="44"/>
      <c r="AJ213" s="44"/>
      <c r="AK213" s="44"/>
      <c r="AL213" s="44"/>
      <c r="AM213" s="44"/>
      <c r="AN213" s="44"/>
      <c r="AO213" s="44"/>
      <c r="AP213" s="44"/>
      <c r="AQ213" s="44"/>
      <c r="AR213" s="44"/>
      <c r="AS213" s="44"/>
      <c r="AT213" s="44"/>
      <c r="AU213" s="44"/>
      <c r="AV213" s="44"/>
      <c r="AW213" s="44"/>
      <c r="AX213" s="44"/>
      <c r="AY213" s="44"/>
      <c r="AZ213" s="44"/>
      <c r="BA213" s="44"/>
      <c r="BB213" s="44"/>
      <c r="BC213" s="44"/>
      <c r="BD213" s="44"/>
      <c r="BE213" s="42">
        <v>1.0</v>
      </c>
      <c r="BF213" s="44"/>
      <c r="BG213" s="44"/>
      <c r="BH213" s="44"/>
      <c r="BI213" s="44"/>
      <c r="BJ213" s="44"/>
      <c r="BK213" s="44"/>
      <c r="BL213" s="44"/>
      <c r="BM213" s="42"/>
      <c r="BN213" s="44"/>
      <c r="BO213" s="44"/>
      <c r="BP213" s="44"/>
      <c r="BQ213" s="44"/>
      <c r="BR213" s="44"/>
      <c r="BS213" s="44"/>
      <c r="BT213" s="44"/>
      <c r="BU213" s="44"/>
      <c r="BV213" s="44"/>
      <c r="BW213" s="44"/>
      <c r="BX213" s="44"/>
      <c r="BY213" s="44"/>
      <c r="BZ213" s="44"/>
      <c r="CA213" s="44"/>
      <c r="CB213" s="44"/>
      <c r="CC213" s="44"/>
      <c r="CD213" s="44"/>
      <c r="CE213" s="44"/>
      <c r="CF213" s="44"/>
      <c r="CG213" s="44"/>
      <c r="CH213" s="44"/>
      <c r="CI213" s="44"/>
      <c r="CJ213" s="44"/>
      <c r="CK213" s="44"/>
      <c r="CL213" s="44"/>
      <c r="CM213" s="44"/>
      <c r="CN213" s="44"/>
      <c r="CO213" s="44"/>
      <c r="CP213" s="44"/>
      <c r="CQ213" s="44"/>
      <c r="CR213" s="44"/>
      <c r="CS213" s="44"/>
      <c r="CT213" s="44"/>
      <c r="CU213" s="44"/>
      <c r="CV213" s="44"/>
      <c r="CW213" s="44"/>
      <c r="CX213" s="44"/>
      <c r="CY213" s="44"/>
      <c r="CZ213" s="44"/>
      <c r="DA213" s="44"/>
      <c r="DB213" s="44"/>
      <c r="DC213" s="44"/>
      <c r="DD213" s="44"/>
      <c r="DE213" s="44"/>
      <c r="DF213" s="44"/>
      <c r="DG213" s="44"/>
      <c r="DH213" s="42"/>
      <c r="DI213" s="44"/>
      <c r="DJ213" s="44"/>
      <c r="DK213" s="44"/>
      <c r="DL213" s="44"/>
      <c r="DM213" s="44"/>
      <c r="DN213" s="44"/>
      <c r="DO213" s="44"/>
      <c r="DP213" s="42"/>
      <c r="DQ213" s="44"/>
      <c r="DR213" s="42"/>
      <c r="DS213" s="42"/>
      <c r="DT213" s="44"/>
      <c r="DU213" s="44"/>
      <c r="DV213" s="44"/>
      <c r="DW213" s="44"/>
      <c r="DX213" s="44"/>
      <c r="DY213" s="44"/>
      <c r="DZ213" s="44"/>
      <c r="EA213" s="44"/>
      <c r="EB213" s="44"/>
      <c r="EC213" s="44"/>
      <c r="ED213" s="44"/>
      <c r="EE213" s="44"/>
      <c r="EF213" s="44"/>
      <c r="EG213" s="44"/>
      <c r="EH213" s="44"/>
      <c r="EI213" s="42">
        <v>1.0</v>
      </c>
      <c r="EJ213" s="42">
        <v>2.0</v>
      </c>
      <c r="EK213" s="44"/>
      <c r="EL213" s="42"/>
      <c r="EM213" s="42"/>
      <c r="EN213" s="42"/>
      <c r="EO213" s="44"/>
      <c r="EP213" s="44"/>
      <c r="EQ213" s="44"/>
      <c r="ER213" s="44"/>
      <c r="ES213" s="44"/>
      <c r="ET213" s="44"/>
      <c r="EU213" s="44"/>
      <c r="EV213" s="44"/>
      <c r="EW213" s="44"/>
      <c r="EX213" s="44"/>
      <c r="EY213" s="44"/>
      <c r="EZ213" s="44"/>
      <c r="FA213" s="44"/>
      <c r="FB213" s="44"/>
      <c r="FC213" s="42"/>
      <c r="FD213" s="44"/>
      <c r="FE213" s="44"/>
      <c r="FF213" s="44"/>
      <c r="FG213" s="44"/>
      <c r="FH213" s="44"/>
      <c r="FI213" s="44"/>
      <c r="FJ213" s="44"/>
      <c r="FK213" s="44"/>
      <c r="FL213" s="44"/>
      <c r="FM213" s="44"/>
      <c r="FN213" s="44"/>
      <c r="FO213" s="44"/>
      <c r="FP213" s="44"/>
      <c r="FQ213" s="44"/>
      <c r="FR213" s="42">
        <v>1.0</v>
      </c>
      <c r="FS213" s="42">
        <v>34.0</v>
      </c>
      <c r="FT213" s="44"/>
      <c r="FU213" s="44"/>
      <c r="FV213" s="44"/>
      <c r="FW213" s="44"/>
      <c r="FX213" s="44"/>
      <c r="FY213" s="44"/>
      <c r="FZ213" s="44"/>
      <c r="GA213" s="44"/>
      <c r="GB213" s="44"/>
      <c r="GC213" s="44"/>
      <c r="GD213" s="42">
        <v>12.0</v>
      </c>
      <c r="GE213" s="44"/>
      <c r="GF213" s="44"/>
      <c r="GG213" s="44"/>
      <c r="GH213" s="44"/>
      <c r="GI213" s="44"/>
      <c r="GJ213" s="44"/>
      <c r="GK213" s="44"/>
      <c r="GL213" s="44"/>
      <c r="GM213" s="44"/>
      <c r="GN213" s="44"/>
      <c r="GO213" s="44"/>
      <c r="GP213" s="44"/>
      <c r="GQ213" s="44"/>
      <c r="GR213" s="44"/>
      <c r="GS213" s="44"/>
      <c r="GT213" s="44"/>
      <c r="GU213" s="44"/>
      <c r="GV213" s="44"/>
      <c r="GW213" s="44"/>
      <c r="GX213" s="44"/>
      <c r="GY213" s="44"/>
      <c r="GZ213" s="44"/>
      <c r="HA213" s="44"/>
      <c r="HB213" s="44"/>
      <c r="HC213" s="44"/>
      <c r="HD213" s="44"/>
      <c r="HE213" s="44"/>
      <c r="HF213" s="44"/>
      <c r="HG213" s="44"/>
      <c r="HH213" s="44"/>
      <c r="HI213" s="44"/>
    </row>
    <row r="214">
      <c r="A214" s="37">
        <v>43566.0</v>
      </c>
      <c r="B214" s="38" t="s">
        <v>473</v>
      </c>
      <c r="C214" s="28">
        <f t="shared" si="123"/>
        <v>198</v>
      </c>
      <c r="D214" s="38">
        <v>21.3962</v>
      </c>
      <c r="E214" s="38">
        <v>-157.720306</v>
      </c>
      <c r="F214" s="38" t="s">
        <v>418</v>
      </c>
      <c r="G214" s="39">
        <v>0.4166666666666667</v>
      </c>
      <c r="H214" s="39">
        <v>0.4791666666666667</v>
      </c>
      <c r="I214" s="38">
        <v>6.0</v>
      </c>
      <c r="J214" s="38">
        <v>11.0</v>
      </c>
      <c r="K214" s="38" t="s">
        <v>318</v>
      </c>
      <c r="L214" s="38">
        <v>10.0</v>
      </c>
      <c r="M214" s="38">
        <v>40.0</v>
      </c>
      <c r="N214" s="38" t="s">
        <v>474</v>
      </c>
      <c r="O214" s="38"/>
      <c r="P214" s="38"/>
      <c r="Q214" s="40"/>
      <c r="R214" s="40"/>
      <c r="S214" s="40"/>
      <c r="T214" s="40"/>
      <c r="U214" s="40"/>
      <c r="V214" s="40"/>
      <c r="W214" s="40"/>
      <c r="X214" s="40"/>
      <c r="Y214" s="40"/>
      <c r="Z214" s="40"/>
      <c r="AA214" s="40"/>
      <c r="AB214" s="40"/>
      <c r="AC214" s="38"/>
      <c r="AD214" s="38">
        <v>39.0</v>
      </c>
      <c r="AE214" s="40"/>
      <c r="AF214" s="40"/>
      <c r="AG214" s="40"/>
      <c r="AH214" s="40"/>
      <c r="AI214" s="40"/>
      <c r="AJ214" s="40"/>
      <c r="AK214" s="40"/>
      <c r="AL214" s="40"/>
      <c r="AM214" s="40"/>
      <c r="AN214" s="40"/>
      <c r="AO214" s="40"/>
      <c r="AP214" s="40"/>
      <c r="AQ214" s="40"/>
      <c r="AR214" s="40"/>
      <c r="AS214" s="40"/>
      <c r="AT214" s="40"/>
      <c r="AU214" s="40"/>
      <c r="AV214" s="40"/>
      <c r="AW214" s="40"/>
      <c r="AX214" s="40"/>
      <c r="AY214" s="40"/>
      <c r="AZ214" s="40"/>
      <c r="BA214" s="40"/>
      <c r="BB214" s="40"/>
      <c r="BC214" s="40"/>
      <c r="BD214" s="40"/>
      <c r="BE214" s="40"/>
      <c r="BF214" s="40"/>
      <c r="BG214" s="40"/>
      <c r="BH214" s="40"/>
      <c r="BI214" s="40"/>
      <c r="BJ214" s="40"/>
      <c r="BK214" s="40"/>
      <c r="BL214" s="40"/>
      <c r="BM214" s="38">
        <v>195.0</v>
      </c>
      <c r="BN214" s="40"/>
      <c r="BO214" s="40"/>
      <c r="BP214" s="40"/>
      <c r="BQ214" s="40"/>
      <c r="BR214" s="40"/>
      <c r="BS214" s="40"/>
      <c r="BT214" s="40"/>
      <c r="BU214" s="40"/>
      <c r="BV214" s="40"/>
      <c r="BW214" s="40"/>
      <c r="BX214" s="40"/>
      <c r="BY214" s="40"/>
      <c r="BZ214" s="40"/>
      <c r="CA214" s="38">
        <v>71.0</v>
      </c>
      <c r="CB214" s="40"/>
      <c r="CC214" s="40"/>
      <c r="CD214" s="40"/>
      <c r="CE214" s="40"/>
      <c r="CF214" s="40"/>
      <c r="CG214" s="40"/>
      <c r="CH214" s="40"/>
      <c r="CI214" s="40"/>
      <c r="CJ214" s="40"/>
      <c r="CK214" s="40"/>
      <c r="CL214" s="40"/>
      <c r="CM214" s="40"/>
      <c r="CN214" s="40"/>
      <c r="CO214" s="40"/>
      <c r="CP214" s="40"/>
      <c r="CQ214" s="40"/>
      <c r="CR214" s="40"/>
      <c r="CS214" s="40"/>
      <c r="CT214" s="40"/>
      <c r="CU214" s="40"/>
      <c r="CV214" s="40"/>
      <c r="CW214" s="40"/>
      <c r="CX214" s="40"/>
      <c r="CY214" s="40"/>
      <c r="CZ214" s="40"/>
      <c r="DA214" s="40"/>
      <c r="DB214" s="40"/>
      <c r="DC214" s="40"/>
      <c r="DD214" s="40"/>
      <c r="DE214" s="40"/>
      <c r="DF214" s="40"/>
      <c r="DG214" s="40"/>
      <c r="DH214" s="38">
        <v>23.0</v>
      </c>
      <c r="DI214" s="40"/>
      <c r="DJ214" s="40"/>
      <c r="DK214" s="40"/>
      <c r="DL214" s="40"/>
      <c r="DM214" s="40"/>
      <c r="DN214" s="40"/>
      <c r="DO214" s="40"/>
      <c r="DP214" s="38">
        <v>18.0</v>
      </c>
      <c r="DQ214" s="40"/>
      <c r="DR214" s="38"/>
      <c r="DS214" s="38">
        <v>2.0</v>
      </c>
      <c r="DT214" s="40"/>
      <c r="DU214" s="40"/>
      <c r="DV214" s="40"/>
      <c r="DW214" s="40"/>
      <c r="DX214" s="40"/>
      <c r="DY214" s="40"/>
      <c r="DZ214" s="40"/>
      <c r="EA214" s="40"/>
      <c r="EB214" s="40"/>
      <c r="EC214" s="40"/>
      <c r="ED214" s="40"/>
      <c r="EE214" s="40"/>
      <c r="EF214" s="40"/>
      <c r="EG214" s="40"/>
      <c r="EH214" s="40"/>
      <c r="EI214" s="40"/>
      <c r="EJ214" s="40"/>
      <c r="EK214" s="40"/>
      <c r="EL214" s="38"/>
      <c r="EM214" s="38"/>
      <c r="EN214" s="38">
        <v>5.0</v>
      </c>
      <c r="EO214" s="40"/>
      <c r="EP214" s="40"/>
      <c r="EQ214" s="40"/>
      <c r="ER214" s="40"/>
      <c r="ES214" s="40"/>
      <c r="ET214" s="40"/>
      <c r="EU214" s="40"/>
      <c r="EV214" s="40"/>
      <c r="EW214" s="40"/>
      <c r="EX214" s="40"/>
      <c r="EY214" s="40"/>
      <c r="EZ214" s="40"/>
      <c r="FA214" s="40"/>
      <c r="FB214" s="40"/>
      <c r="FC214" s="38">
        <v>3.0</v>
      </c>
      <c r="FD214" s="40"/>
      <c r="FE214" s="40"/>
      <c r="FF214" s="40"/>
      <c r="FG214" s="40"/>
      <c r="FH214" s="40"/>
      <c r="FI214" s="40"/>
      <c r="FJ214" s="40"/>
      <c r="FK214" s="40"/>
      <c r="FL214" s="40"/>
      <c r="FM214" s="40"/>
      <c r="FN214" s="40"/>
      <c r="FO214" s="40"/>
      <c r="FP214" s="40"/>
      <c r="FQ214" s="40"/>
      <c r="FR214" s="40"/>
      <c r="FS214" s="38">
        <v>54.0</v>
      </c>
      <c r="FT214" s="40"/>
      <c r="FU214" s="40"/>
      <c r="FV214" s="40"/>
      <c r="FW214" s="40"/>
      <c r="FX214" s="40"/>
      <c r="FY214" s="40"/>
      <c r="FZ214" s="40"/>
      <c r="GA214" s="40"/>
      <c r="GB214" s="40"/>
      <c r="GC214" s="40"/>
      <c r="GD214" s="40"/>
      <c r="GE214" s="40"/>
      <c r="GF214" s="40"/>
      <c r="GG214" s="40"/>
      <c r="GH214" s="40">
        <f>count(R214:GG214)</f>
        <v>9</v>
      </c>
      <c r="GI214" s="40">
        <f>countif(R214:GG214,"&gt;=2")</f>
        <v>9</v>
      </c>
      <c r="GJ214" s="40">
        <f>countif(R214:GG214,"&gt;=5")</f>
        <v>7</v>
      </c>
      <c r="GK214" s="40">
        <f>sum(R214:GG214)</f>
        <v>410</v>
      </c>
      <c r="GL214" s="40">
        <f>25*P214</f>
        <v>0</v>
      </c>
      <c r="GM214" s="40">
        <f>GL214-GK214</f>
        <v>-410</v>
      </c>
      <c r="GN214" s="40"/>
      <c r="GO214" s="40"/>
      <c r="GP214" s="40"/>
      <c r="GQ214" s="40"/>
      <c r="GR214" s="40"/>
      <c r="GS214" s="40"/>
      <c r="GT214" s="40"/>
      <c r="GU214" s="40"/>
      <c r="GV214" s="40"/>
      <c r="GW214" s="40"/>
      <c r="GX214" s="40"/>
      <c r="GY214" s="40"/>
      <c r="GZ214" s="40"/>
      <c r="HA214" s="40"/>
      <c r="HB214" s="40"/>
      <c r="HC214" s="40"/>
      <c r="HD214" s="40"/>
      <c r="HE214" s="40"/>
      <c r="HF214" s="40"/>
      <c r="HG214" s="40"/>
      <c r="HH214" s="40"/>
      <c r="HI214" s="40"/>
    </row>
    <row r="215">
      <c r="A215" s="41">
        <v>43567.0</v>
      </c>
      <c r="B215" s="42" t="s">
        <v>473</v>
      </c>
      <c r="C215" s="28">
        <f t="shared" si="123"/>
        <v>199</v>
      </c>
      <c r="D215" s="42">
        <v>21.3962</v>
      </c>
      <c r="E215" s="42">
        <v>-157.720306</v>
      </c>
      <c r="F215" s="42" t="s">
        <v>418</v>
      </c>
      <c r="G215" s="43">
        <v>0.4166666666666667</v>
      </c>
      <c r="H215" s="43">
        <v>0.5</v>
      </c>
      <c r="I215" s="42">
        <v>5.0</v>
      </c>
      <c r="J215" s="42">
        <v>15.0</v>
      </c>
      <c r="K215" s="42" t="s">
        <v>314</v>
      </c>
      <c r="L215" s="42">
        <v>5.0</v>
      </c>
      <c r="M215" s="42">
        <v>9.0</v>
      </c>
      <c r="N215" s="42" t="s">
        <v>551</v>
      </c>
      <c r="O215" s="44"/>
      <c r="P215" s="42"/>
      <c r="Q215" s="44"/>
      <c r="R215" s="42"/>
      <c r="S215" s="44"/>
      <c r="T215" s="44"/>
      <c r="U215" s="44"/>
      <c r="V215" s="44"/>
      <c r="W215" s="44"/>
      <c r="X215" s="44"/>
      <c r="Y215" s="44"/>
      <c r="Z215" s="44"/>
      <c r="AA215" s="44"/>
      <c r="AB215" s="44"/>
      <c r="AC215" s="44"/>
      <c r="AD215" s="44"/>
      <c r="AE215" s="42"/>
      <c r="AF215" s="44"/>
      <c r="AG215" s="44"/>
      <c r="AH215" s="44"/>
      <c r="AI215" s="44"/>
      <c r="AJ215" s="44"/>
      <c r="AK215" s="44"/>
      <c r="AL215" s="44"/>
      <c r="AM215" s="44"/>
      <c r="AN215" s="42"/>
      <c r="AO215" s="44"/>
      <c r="AP215" s="44"/>
      <c r="AQ215" s="44"/>
      <c r="AR215" s="44"/>
      <c r="AS215" s="44"/>
      <c r="AT215" s="44"/>
      <c r="AU215" s="44"/>
      <c r="AV215" s="44"/>
      <c r="AW215" s="44"/>
      <c r="AX215" s="44"/>
      <c r="AY215" s="44"/>
      <c r="AZ215" s="44"/>
      <c r="BA215" s="42"/>
      <c r="BB215" s="42"/>
      <c r="BC215" s="42"/>
      <c r="BD215" s="44"/>
      <c r="BE215" s="42"/>
      <c r="BF215" s="44"/>
      <c r="BG215" s="44"/>
      <c r="BH215" s="44"/>
      <c r="BI215" s="44"/>
      <c r="BJ215" s="44"/>
      <c r="BK215" s="44"/>
      <c r="BL215" s="44"/>
      <c r="BM215" s="42">
        <v>7.0</v>
      </c>
      <c r="BN215" s="44"/>
      <c r="BO215" s="44"/>
      <c r="BP215" s="44"/>
      <c r="BQ215" s="42">
        <v>33.0</v>
      </c>
      <c r="BR215" s="44"/>
      <c r="BS215" s="44"/>
      <c r="BT215" s="44"/>
      <c r="BU215" s="44"/>
      <c r="BV215" s="42"/>
      <c r="BW215" s="44"/>
      <c r="BX215" s="44"/>
      <c r="BY215" s="44"/>
      <c r="BZ215" s="42"/>
      <c r="CA215" s="44"/>
      <c r="CB215" s="44"/>
      <c r="CC215" s="44"/>
      <c r="CD215" s="44"/>
      <c r="CE215" s="44"/>
      <c r="CF215" s="44"/>
      <c r="CG215" s="44"/>
      <c r="CH215" s="44"/>
      <c r="CI215" s="42"/>
      <c r="CJ215" s="42"/>
      <c r="CK215" s="42"/>
      <c r="CL215" s="44"/>
      <c r="CM215" s="44"/>
      <c r="CN215" s="44"/>
      <c r="CO215" s="42"/>
      <c r="CP215" s="44"/>
      <c r="CQ215" s="44"/>
      <c r="CR215" s="44"/>
      <c r="CS215" s="44"/>
      <c r="CT215" s="44"/>
      <c r="CU215" s="44"/>
      <c r="CV215" s="44"/>
      <c r="CW215" s="44"/>
      <c r="CX215" s="44"/>
      <c r="CY215" s="44"/>
      <c r="CZ215" s="44"/>
      <c r="DA215" s="44"/>
      <c r="DB215" s="44"/>
      <c r="DC215" s="44"/>
      <c r="DD215" s="44"/>
      <c r="DE215" s="44"/>
      <c r="DF215" s="44"/>
      <c r="DG215" s="44"/>
      <c r="DH215" s="44"/>
      <c r="DI215" s="44"/>
      <c r="DJ215" s="44"/>
      <c r="DK215" s="44"/>
      <c r="DL215" s="44"/>
      <c r="DM215" s="42"/>
      <c r="DN215" s="44"/>
      <c r="DO215" s="42"/>
      <c r="DP215" s="42">
        <v>18.0</v>
      </c>
      <c r="DQ215" s="44"/>
      <c r="DR215" s="44"/>
      <c r="DS215" s="44"/>
      <c r="DT215" s="42"/>
      <c r="DU215" s="42"/>
      <c r="DV215" s="42"/>
      <c r="DW215" s="44"/>
      <c r="DX215" s="44"/>
      <c r="DY215" s="44"/>
      <c r="DZ215" s="44"/>
      <c r="EA215" s="44"/>
      <c r="EB215" s="44"/>
      <c r="EC215" s="42"/>
      <c r="ED215" s="44"/>
      <c r="EE215" s="42"/>
      <c r="EF215" s="42"/>
      <c r="EG215" s="42"/>
      <c r="EH215" s="42"/>
      <c r="EI215" s="42"/>
      <c r="EJ215" s="42"/>
      <c r="EK215" s="44"/>
      <c r="EL215" s="44"/>
      <c r="EM215" s="44"/>
      <c r="EN215" s="44"/>
      <c r="EO215" s="44"/>
      <c r="EP215" s="44"/>
      <c r="EQ215" s="44"/>
      <c r="ER215" s="44"/>
      <c r="ES215" s="44"/>
      <c r="ET215" s="44"/>
      <c r="EU215" s="44"/>
      <c r="EV215" s="44"/>
      <c r="EW215" s="44"/>
      <c r="EX215" s="42"/>
      <c r="EY215" s="44"/>
      <c r="EZ215" s="44"/>
      <c r="FA215" s="44"/>
      <c r="FB215" s="44"/>
      <c r="FC215" s="44"/>
      <c r="FD215" s="44"/>
      <c r="FE215" s="44"/>
      <c r="FF215" s="44"/>
      <c r="FG215" s="44"/>
      <c r="FH215" s="44"/>
      <c r="FI215" s="44"/>
      <c r="FJ215" s="44"/>
      <c r="FK215" s="44"/>
      <c r="FL215" s="44"/>
      <c r="FM215" s="44"/>
      <c r="FN215" s="44"/>
      <c r="FO215" s="44"/>
      <c r="FP215" s="44"/>
      <c r="FQ215" s="44"/>
      <c r="FR215" s="42"/>
      <c r="FS215" s="42">
        <v>30.0</v>
      </c>
      <c r="FT215" s="44"/>
      <c r="FU215" s="44"/>
      <c r="FV215" s="44"/>
      <c r="FW215" s="44"/>
      <c r="FX215" s="44"/>
      <c r="FY215" s="44"/>
      <c r="FZ215" s="44"/>
      <c r="GA215" s="44"/>
      <c r="GB215" s="44"/>
      <c r="GC215" s="44"/>
      <c r="GD215" s="44"/>
      <c r="GE215" s="44"/>
      <c r="GF215" s="44"/>
      <c r="GG215" s="44"/>
      <c r="GH215" s="44"/>
      <c r="GI215" s="44"/>
      <c r="GJ215" s="44"/>
      <c r="GK215" s="44"/>
      <c r="GL215" s="44"/>
      <c r="GM215" s="44"/>
      <c r="GN215" s="44"/>
      <c r="GO215" s="44"/>
      <c r="GP215" s="44"/>
      <c r="GQ215" s="44"/>
      <c r="GR215" s="44"/>
      <c r="GS215" s="44"/>
      <c r="GT215" s="44"/>
      <c r="GU215" s="44"/>
      <c r="GV215" s="44"/>
      <c r="GW215" s="44"/>
      <c r="GX215" s="44"/>
      <c r="GY215" s="44"/>
      <c r="GZ215" s="44"/>
      <c r="HA215" s="44"/>
      <c r="HB215" s="44"/>
      <c r="HC215" s="44"/>
      <c r="HD215" s="44"/>
      <c r="HE215" s="44"/>
      <c r="HF215" s="44"/>
      <c r="HG215" s="44"/>
      <c r="HH215" s="44"/>
      <c r="HI215" s="44"/>
    </row>
    <row r="216">
      <c r="A216" s="23">
        <v>43571.0</v>
      </c>
      <c r="B216" s="4" t="s">
        <v>244</v>
      </c>
      <c r="C216" s="28">
        <f t="shared" si="123"/>
        <v>200</v>
      </c>
      <c r="D216" s="4">
        <v>21.310612</v>
      </c>
      <c r="E216" s="4">
        <v>-158.00441</v>
      </c>
      <c r="F216" s="4" t="s">
        <v>326</v>
      </c>
      <c r="G216" s="24">
        <v>0.3888888888888889</v>
      </c>
      <c r="H216" s="24">
        <v>0.4131944444444444</v>
      </c>
      <c r="I216" s="4">
        <v>5.0</v>
      </c>
      <c r="J216" s="4">
        <v>20.0</v>
      </c>
      <c r="K216" s="4" t="s">
        <v>198</v>
      </c>
      <c r="L216" s="4">
        <v>5.0</v>
      </c>
      <c r="M216" s="4">
        <v>20.0</v>
      </c>
      <c r="N216" s="4" t="s">
        <v>476</v>
      </c>
      <c r="P216" s="4">
        <v>20.0</v>
      </c>
      <c r="R216" s="4">
        <v>6.0</v>
      </c>
      <c r="AE216" s="4">
        <v>1.0</v>
      </c>
      <c r="AN216" s="4">
        <v>1.0</v>
      </c>
      <c r="BA216" s="4"/>
      <c r="BB216" s="4">
        <v>1.0</v>
      </c>
      <c r="BC216" s="4">
        <v>17.0</v>
      </c>
      <c r="BE216" s="4">
        <v>22.0</v>
      </c>
      <c r="BV216" s="4">
        <v>9.0</v>
      </c>
      <c r="BZ216" s="4">
        <v>22.0</v>
      </c>
      <c r="CI216" s="4"/>
      <c r="CJ216" s="4"/>
      <c r="CK216" s="4">
        <v>1.0</v>
      </c>
      <c r="CO216" s="4">
        <v>2.0</v>
      </c>
      <c r="DM216" s="4">
        <v>19.0</v>
      </c>
      <c r="DO216" s="4">
        <v>2.0</v>
      </c>
      <c r="DT216" s="4"/>
      <c r="DU216" s="4"/>
      <c r="DV216" s="4">
        <v>4.0</v>
      </c>
      <c r="EC216" s="4">
        <v>9.0</v>
      </c>
      <c r="EE216" s="4"/>
      <c r="EF216" s="4"/>
      <c r="EG216" s="4"/>
      <c r="EH216" s="4"/>
      <c r="EI216" s="4"/>
      <c r="EJ216" s="4">
        <v>111.0</v>
      </c>
      <c r="EX216" s="4">
        <v>3.0</v>
      </c>
      <c r="FR216" s="4">
        <v>3.0</v>
      </c>
      <c r="FS216" s="4">
        <v>65.0</v>
      </c>
      <c r="GH216" s="25">
        <f t="shared" ref="GH216:GH224" si="124">count(R216:GG216)</f>
        <v>18</v>
      </c>
      <c r="GI216" s="25">
        <f t="shared" ref="GI216:GI224" si="125">countif(R216:GG216,"&gt;=2")</f>
        <v>14</v>
      </c>
      <c r="GJ216" s="25">
        <f t="shared" ref="GJ216:GJ224" si="126">countif(R216:GG216,"&gt;=5")</f>
        <v>9</v>
      </c>
      <c r="GK216" s="25">
        <f t="shared" ref="GK216:GK224" si="127">sum(R216:GG216)</f>
        <v>298</v>
      </c>
      <c r="GL216" s="25">
        <f t="shared" ref="GL216:GL224" si="128">25*P216</f>
        <v>500</v>
      </c>
      <c r="GM216" s="25">
        <f t="shared" ref="GM216:GM224" si="129">GL216-GK216</f>
        <v>202</v>
      </c>
    </row>
    <row r="217">
      <c r="A217" s="23">
        <v>43571.0</v>
      </c>
      <c r="B217" s="4" t="s">
        <v>201</v>
      </c>
      <c r="C217" s="28">
        <f t="shared" si="123"/>
        <v>201</v>
      </c>
      <c r="D217" s="4">
        <v>21.25544</v>
      </c>
      <c r="E217" s="4">
        <v>-157.810303</v>
      </c>
      <c r="F217" s="4" t="s">
        <v>477</v>
      </c>
      <c r="G217" s="24">
        <v>0.3576388888888889</v>
      </c>
      <c r="H217" s="24">
        <v>0.4166666666666667</v>
      </c>
      <c r="I217" s="4">
        <v>6.0</v>
      </c>
      <c r="J217" s="4">
        <v>12.5</v>
      </c>
      <c r="K217" s="4" t="s">
        <v>318</v>
      </c>
      <c r="L217" s="4">
        <v>5.0</v>
      </c>
      <c r="M217" s="4">
        <v>28.0</v>
      </c>
      <c r="N217" s="4" t="s">
        <v>478</v>
      </c>
      <c r="P217" s="4">
        <v>28.0</v>
      </c>
      <c r="BA217" s="4"/>
      <c r="BB217" s="4">
        <v>5.0</v>
      </c>
      <c r="BM217" s="4">
        <v>28.0</v>
      </c>
      <c r="BV217" s="4">
        <v>3.0</v>
      </c>
      <c r="BW217" s="4">
        <v>9.0</v>
      </c>
      <c r="BY217" s="4">
        <v>11.0</v>
      </c>
      <c r="DB217" s="4"/>
      <c r="DC217" s="4">
        <v>1.0</v>
      </c>
      <c r="DK217" s="4"/>
      <c r="DL217" s="4">
        <v>55.0</v>
      </c>
      <c r="DM217" s="4">
        <v>2.0</v>
      </c>
      <c r="DR217" s="4"/>
      <c r="DS217" s="4">
        <v>27.0</v>
      </c>
      <c r="DT217" s="4"/>
      <c r="DU217" s="4"/>
      <c r="DV217" s="4">
        <v>22.0</v>
      </c>
      <c r="EE217" s="4"/>
      <c r="EF217" s="4"/>
      <c r="EG217" s="4"/>
      <c r="EH217" s="4"/>
      <c r="EI217" s="4"/>
      <c r="EJ217" s="4">
        <v>95.0</v>
      </c>
      <c r="EY217" s="4"/>
      <c r="EZ217" s="4">
        <v>18.0</v>
      </c>
      <c r="FA217" s="4">
        <v>1.0</v>
      </c>
      <c r="FB217" s="4">
        <v>3.0</v>
      </c>
      <c r="FR217" s="4">
        <v>98.0</v>
      </c>
      <c r="FS217" s="4">
        <v>85.0</v>
      </c>
      <c r="GH217" s="25">
        <f t="shared" si="124"/>
        <v>16</v>
      </c>
      <c r="GI217" s="25">
        <f t="shared" si="125"/>
        <v>14</v>
      </c>
      <c r="GJ217" s="25">
        <f t="shared" si="126"/>
        <v>11</v>
      </c>
      <c r="GK217" s="25">
        <f t="shared" si="127"/>
        <v>463</v>
      </c>
      <c r="GL217" s="25">
        <f t="shared" si="128"/>
        <v>700</v>
      </c>
      <c r="GM217" s="25">
        <f t="shared" si="129"/>
        <v>237</v>
      </c>
    </row>
    <row r="218">
      <c r="A218" s="23">
        <v>43572.0</v>
      </c>
      <c r="B218" s="4" t="s">
        <v>201</v>
      </c>
      <c r="C218" s="28">
        <f t="shared" si="123"/>
        <v>202</v>
      </c>
      <c r="D218" s="4">
        <v>21.25544</v>
      </c>
      <c r="E218" s="4">
        <v>-157.810303</v>
      </c>
      <c r="F218" s="4" t="s">
        <v>477</v>
      </c>
      <c r="G218" s="24">
        <v>0.3611111111111111</v>
      </c>
      <c r="H218" s="24">
        <v>0.4166666666666667</v>
      </c>
      <c r="I218" s="4">
        <v>5.0</v>
      </c>
      <c r="J218" s="4">
        <v>11.0</v>
      </c>
      <c r="K218" s="4" t="s">
        <v>318</v>
      </c>
      <c r="L218" s="4">
        <v>10.0</v>
      </c>
      <c r="M218" s="4">
        <v>46.0</v>
      </c>
      <c r="N218" s="4" t="s">
        <v>481</v>
      </c>
      <c r="P218" s="4">
        <v>46.0</v>
      </c>
      <c r="T218" s="4">
        <v>1.0</v>
      </c>
      <c r="Y218" s="4"/>
      <c r="Z218" s="4"/>
      <c r="AA218" s="4"/>
      <c r="AB218" s="4">
        <v>5.0</v>
      </c>
      <c r="AQ218" s="4"/>
      <c r="AR218" s="4">
        <v>1.0</v>
      </c>
      <c r="BC218" s="4">
        <v>1.0</v>
      </c>
      <c r="BM218" s="4">
        <v>92.0</v>
      </c>
      <c r="BU218" s="4">
        <v>14.0</v>
      </c>
      <c r="BV218" s="4">
        <v>4.0</v>
      </c>
      <c r="BW218" s="4">
        <v>9.0</v>
      </c>
      <c r="BX218" s="4">
        <v>6.0</v>
      </c>
      <c r="BZ218" s="4">
        <v>44.0</v>
      </c>
      <c r="DB218" s="4"/>
      <c r="DC218" s="4">
        <v>1.0</v>
      </c>
      <c r="DD218" s="4"/>
      <c r="DE218" s="4">
        <v>8.0</v>
      </c>
      <c r="DJ218" s="4">
        <v>5.0</v>
      </c>
      <c r="DK218" s="4"/>
      <c r="DL218" s="4">
        <v>4.0</v>
      </c>
      <c r="DR218" s="4"/>
      <c r="DS218" s="4">
        <v>68.0</v>
      </c>
      <c r="DT218" s="4"/>
      <c r="DU218" s="4"/>
      <c r="DV218" s="4">
        <v>3.0</v>
      </c>
      <c r="EE218" s="4"/>
      <c r="EF218" s="4"/>
      <c r="EG218" s="4"/>
      <c r="EH218" s="4"/>
      <c r="EI218" s="4"/>
      <c r="EJ218" s="4">
        <v>471.0</v>
      </c>
      <c r="EY218" s="4"/>
      <c r="EZ218" s="4">
        <v>16.0</v>
      </c>
      <c r="FA218" s="4">
        <v>5.0</v>
      </c>
      <c r="FF218" s="4">
        <v>7.0</v>
      </c>
      <c r="FR218" s="4">
        <v>59.0</v>
      </c>
      <c r="FS218" s="4">
        <v>119.0</v>
      </c>
      <c r="FV218" s="4"/>
      <c r="FW218" s="4">
        <v>20.0</v>
      </c>
      <c r="GH218" s="25">
        <f t="shared" si="124"/>
        <v>23</v>
      </c>
      <c r="GI218" s="25">
        <f t="shared" si="125"/>
        <v>19</v>
      </c>
      <c r="GJ218" s="25">
        <f t="shared" si="126"/>
        <v>16</v>
      </c>
      <c r="GK218" s="25">
        <f t="shared" si="127"/>
        <v>963</v>
      </c>
      <c r="GL218" s="25">
        <f t="shared" si="128"/>
        <v>1150</v>
      </c>
      <c r="GM218" s="25">
        <f t="shared" si="129"/>
        <v>187</v>
      </c>
    </row>
    <row r="219">
      <c r="A219" s="37">
        <v>43572.0</v>
      </c>
      <c r="B219" s="38" t="s">
        <v>259</v>
      </c>
      <c r="C219" s="28">
        <f t="shared" si="123"/>
        <v>203</v>
      </c>
      <c r="D219" s="38">
        <v>19.737894</v>
      </c>
      <c r="E219" s="38">
        <v>-155.034058</v>
      </c>
      <c r="F219" s="38" t="s">
        <v>482</v>
      </c>
      <c r="G219" s="39">
        <v>0.3680555555555556</v>
      </c>
      <c r="H219" s="39">
        <v>0.4479166666666667</v>
      </c>
      <c r="I219" s="38">
        <v>7.0</v>
      </c>
      <c r="J219" s="38">
        <v>20.0</v>
      </c>
      <c r="K219" s="38" t="s">
        <v>217</v>
      </c>
      <c r="L219" s="38">
        <v>5.0</v>
      </c>
      <c r="M219" s="38">
        <v>29.0</v>
      </c>
      <c r="N219" s="38" t="s">
        <v>483</v>
      </c>
      <c r="O219" s="38"/>
      <c r="P219" s="38"/>
      <c r="Q219" s="40"/>
      <c r="R219" s="40"/>
      <c r="S219" s="40"/>
      <c r="T219" s="40"/>
      <c r="U219" s="40"/>
      <c r="V219" s="40"/>
      <c r="W219" s="40"/>
      <c r="X219" s="40"/>
      <c r="Y219" s="40"/>
      <c r="Z219" s="40"/>
      <c r="AA219" s="40"/>
      <c r="AB219" s="40"/>
      <c r="AC219" s="40"/>
      <c r="AD219" s="40"/>
      <c r="AE219" s="40"/>
      <c r="AF219" s="40"/>
      <c r="AG219" s="38">
        <v>4.0</v>
      </c>
      <c r="AH219" s="40"/>
      <c r="AI219" s="40"/>
      <c r="AJ219" s="38"/>
      <c r="AK219" s="38"/>
      <c r="AL219" s="38"/>
      <c r="AM219" s="38">
        <v>94.0</v>
      </c>
      <c r="AN219" s="40"/>
      <c r="AO219" s="38"/>
      <c r="AP219" s="38">
        <v>1.0</v>
      </c>
      <c r="AQ219" s="40"/>
      <c r="AR219" s="40"/>
      <c r="AS219" s="40"/>
      <c r="AT219" s="40"/>
      <c r="AU219" s="40"/>
      <c r="AV219" s="40"/>
      <c r="AW219" s="40"/>
      <c r="AX219" s="40"/>
      <c r="AY219" s="40"/>
      <c r="AZ219" s="40"/>
      <c r="BA219" s="38"/>
      <c r="BB219" s="38">
        <v>12.0</v>
      </c>
      <c r="BC219" s="40"/>
      <c r="BD219" s="40"/>
      <c r="BE219" s="40"/>
      <c r="BF219" s="40"/>
      <c r="BG219" s="40"/>
      <c r="BH219" s="40"/>
      <c r="BI219" s="38"/>
      <c r="BJ219" s="38"/>
      <c r="BK219" s="38">
        <v>20.0</v>
      </c>
      <c r="BL219" s="40"/>
      <c r="BM219" s="38">
        <v>75.0</v>
      </c>
      <c r="BN219" s="40"/>
      <c r="BO219" s="40"/>
      <c r="BP219" s="40"/>
      <c r="BQ219" s="40"/>
      <c r="BR219" s="40"/>
      <c r="BS219" s="40"/>
      <c r="BT219" s="40"/>
      <c r="BU219" s="40"/>
      <c r="BV219" s="40"/>
      <c r="BW219" s="40"/>
      <c r="BX219" s="40"/>
      <c r="BY219" s="40"/>
      <c r="BZ219" s="40"/>
      <c r="CA219" s="40"/>
      <c r="CB219" s="40"/>
      <c r="CC219" s="40"/>
      <c r="CD219" s="40"/>
      <c r="CE219" s="40"/>
      <c r="CF219" s="40"/>
      <c r="CG219" s="40"/>
      <c r="CH219" s="40"/>
      <c r="CI219" s="40"/>
      <c r="CJ219" s="40"/>
      <c r="CK219" s="40"/>
      <c r="CL219" s="40"/>
      <c r="CM219" s="40"/>
      <c r="CN219" s="40"/>
      <c r="CO219" s="38">
        <v>11.0</v>
      </c>
      <c r="CP219" s="40"/>
      <c r="CQ219" s="40"/>
      <c r="CR219" s="40"/>
      <c r="CS219" s="40"/>
      <c r="CT219" s="40"/>
      <c r="CU219" s="40"/>
      <c r="CV219" s="40"/>
      <c r="CW219" s="40"/>
      <c r="CX219" s="40"/>
      <c r="CY219" s="40"/>
      <c r="CZ219" s="40"/>
      <c r="DA219" s="40"/>
      <c r="DB219" s="40"/>
      <c r="DC219" s="40"/>
      <c r="DD219" s="40"/>
      <c r="DE219" s="40"/>
      <c r="DF219" s="40"/>
      <c r="DG219" s="40"/>
      <c r="DH219" s="38">
        <v>28.0</v>
      </c>
      <c r="DI219" s="40"/>
      <c r="DJ219" s="40"/>
      <c r="DK219" s="40"/>
      <c r="DL219" s="40"/>
      <c r="DM219" s="40"/>
      <c r="DN219" s="40"/>
      <c r="DO219" s="40"/>
      <c r="DP219" s="40"/>
      <c r="DQ219" s="40"/>
      <c r="DR219" s="40"/>
      <c r="DS219" s="40"/>
      <c r="DT219" s="40"/>
      <c r="DU219" s="40"/>
      <c r="DV219" s="40"/>
      <c r="DW219" s="40"/>
      <c r="DX219" s="40"/>
      <c r="DY219" s="40"/>
      <c r="DZ219" s="40"/>
      <c r="EA219" s="40"/>
      <c r="EB219" s="40"/>
      <c r="EC219" s="40"/>
      <c r="ED219" s="40"/>
      <c r="EE219" s="40"/>
      <c r="EF219" s="40"/>
      <c r="EG219" s="40"/>
      <c r="EH219" s="40"/>
      <c r="EI219" s="40"/>
      <c r="EJ219" s="40"/>
      <c r="EK219" s="40"/>
      <c r="EL219" s="40"/>
      <c r="EM219" s="40"/>
      <c r="EN219" s="40"/>
      <c r="EO219" s="40"/>
      <c r="EP219" s="40"/>
      <c r="EQ219" s="40"/>
      <c r="ER219" s="40"/>
      <c r="ES219" s="40"/>
      <c r="ET219" s="40"/>
      <c r="EU219" s="40"/>
      <c r="EV219" s="40"/>
      <c r="EW219" s="40"/>
      <c r="EX219" s="40"/>
      <c r="EY219" s="40"/>
      <c r="EZ219" s="40"/>
      <c r="FA219" s="40"/>
      <c r="FB219" s="40"/>
      <c r="FC219" s="40"/>
      <c r="FD219" s="38"/>
      <c r="FE219" s="38">
        <v>17.0</v>
      </c>
      <c r="FF219" s="40"/>
      <c r="FG219" s="40"/>
      <c r="FH219" s="40"/>
      <c r="FI219" s="40"/>
      <c r="FJ219" s="40"/>
      <c r="FK219" s="40"/>
      <c r="FL219" s="40"/>
      <c r="FM219" s="38">
        <v>3.0</v>
      </c>
      <c r="FN219" s="40"/>
      <c r="FO219" s="40"/>
      <c r="FP219" s="40"/>
      <c r="FQ219" s="40"/>
      <c r="FR219" s="40"/>
      <c r="FS219" s="38">
        <v>186.0</v>
      </c>
      <c r="FT219" s="40"/>
      <c r="FU219" s="40"/>
      <c r="FV219" s="38"/>
      <c r="FW219" s="38">
        <v>8.0</v>
      </c>
      <c r="FX219" s="40"/>
      <c r="FY219" s="40"/>
      <c r="FZ219" s="40"/>
      <c r="GA219" s="40"/>
      <c r="GB219" s="40"/>
      <c r="GC219" s="40"/>
      <c r="GD219" s="40"/>
      <c r="GE219" s="40"/>
      <c r="GF219" s="40"/>
      <c r="GG219" s="40"/>
      <c r="GH219" s="40">
        <f t="shared" si="124"/>
        <v>12</v>
      </c>
      <c r="GI219" s="40">
        <f t="shared" si="125"/>
        <v>11</v>
      </c>
      <c r="GJ219" s="40">
        <f t="shared" si="126"/>
        <v>9</v>
      </c>
      <c r="GK219" s="40">
        <f t="shared" si="127"/>
        <v>459</v>
      </c>
      <c r="GL219" s="40">
        <f t="shared" si="128"/>
        <v>0</v>
      </c>
      <c r="GM219" s="40">
        <f t="shared" si="129"/>
        <v>-459</v>
      </c>
      <c r="GN219" s="40"/>
      <c r="GO219" s="40"/>
      <c r="GP219" s="40"/>
      <c r="GQ219" s="40"/>
      <c r="GR219" s="40"/>
      <c r="GS219" s="40"/>
      <c r="GT219" s="40"/>
      <c r="GU219" s="40"/>
      <c r="GV219" s="40"/>
      <c r="GW219" s="40"/>
      <c r="GX219" s="40"/>
      <c r="GY219" s="40"/>
      <c r="GZ219" s="40"/>
      <c r="HA219" s="40"/>
      <c r="HB219" s="40"/>
      <c r="HC219" s="40"/>
      <c r="HD219" s="40"/>
      <c r="HE219" s="40"/>
      <c r="HF219" s="40"/>
      <c r="HG219" s="40"/>
      <c r="HH219" s="40"/>
      <c r="HI219" s="40"/>
    </row>
    <row r="220">
      <c r="A220" s="23">
        <v>43573.0</v>
      </c>
      <c r="B220" s="4" t="s">
        <v>340</v>
      </c>
      <c r="C220" s="28">
        <f t="shared" si="123"/>
        <v>204</v>
      </c>
      <c r="D220" s="4">
        <v>19.643276</v>
      </c>
      <c r="E220" s="4">
        <v>-156.010193</v>
      </c>
      <c r="F220" s="4" t="s">
        <v>418</v>
      </c>
      <c r="G220" s="24">
        <v>0.4131944444444444</v>
      </c>
      <c r="H220" s="24">
        <v>0.4791666666666667</v>
      </c>
      <c r="I220" s="4">
        <v>4.0</v>
      </c>
      <c r="J220" s="4">
        <v>18.0</v>
      </c>
      <c r="K220" s="4" t="s">
        <v>198</v>
      </c>
      <c r="L220" s="4">
        <v>10.0</v>
      </c>
      <c r="M220" s="4">
        <v>26.0</v>
      </c>
      <c r="N220" s="4" t="s">
        <v>486</v>
      </c>
      <c r="P220" s="4">
        <v>26.0</v>
      </c>
      <c r="T220" s="4">
        <v>19.0</v>
      </c>
      <c r="AC220" s="4"/>
      <c r="AD220" s="4">
        <v>5.0</v>
      </c>
      <c r="AH220" s="4">
        <v>1.0</v>
      </c>
      <c r="AU220" s="4"/>
      <c r="AV220" s="4">
        <v>1.0</v>
      </c>
      <c r="BA220" s="4"/>
      <c r="BB220" s="4">
        <v>2.0</v>
      </c>
      <c r="BG220" s="4">
        <v>18.0</v>
      </c>
      <c r="BH220" s="4">
        <v>11.0</v>
      </c>
      <c r="BM220" s="4">
        <v>68.0</v>
      </c>
      <c r="BY220" s="4">
        <v>5.0</v>
      </c>
      <c r="CC220" s="4">
        <v>6.0</v>
      </c>
      <c r="CD220" s="4">
        <v>3.0</v>
      </c>
      <c r="DM220" s="4">
        <v>11.0</v>
      </c>
      <c r="DP220" s="4">
        <v>3.0</v>
      </c>
      <c r="DW220" s="4">
        <v>13.0</v>
      </c>
      <c r="EE220" s="4"/>
      <c r="EF220" s="4"/>
      <c r="EG220" s="4"/>
      <c r="EH220" s="4"/>
      <c r="EI220" s="4"/>
      <c r="EJ220" s="4">
        <v>10.0</v>
      </c>
      <c r="FB220" s="4">
        <v>48.0</v>
      </c>
      <c r="FS220" s="4">
        <v>117.0</v>
      </c>
      <c r="FZ220" s="4">
        <v>12.0</v>
      </c>
      <c r="GH220" s="25">
        <f t="shared" si="124"/>
        <v>18</v>
      </c>
      <c r="GI220" s="25">
        <f t="shared" si="125"/>
        <v>16</v>
      </c>
      <c r="GJ220" s="25">
        <f t="shared" si="126"/>
        <v>13</v>
      </c>
      <c r="GK220" s="25">
        <f t="shared" si="127"/>
        <v>353</v>
      </c>
      <c r="GL220" s="25">
        <f t="shared" si="128"/>
        <v>650</v>
      </c>
      <c r="GM220" s="25">
        <f t="shared" si="129"/>
        <v>297</v>
      </c>
    </row>
    <row r="221">
      <c r="A221" s="37">
        <v>43573.0</v>
      </c>
      <c r="B221" s="38" t="s">
        <v>259</v>
      </c>
      <c r="C221" s="28">
        <f t="shared" si="123"/>
        <v>205</v>
      </c>
      <c r="D221" s="38">
        <v>19.737894</v>
      </c>
      <c r="E221" s="38">
        <v>-155.034058</v>
      </c>
      <c r="F221" s="38" t="s">
        <v>482</v>
      </c>
      <c r="G221" s="39">
        <v>0.375</v>
      </c>
      <c r="H221" s="39">
        <v>0.4479166666666667</v>
      </c>
      <c r="I221" s="38">
        <v>7.0</v>
      </c>
      <c r="J221" s="38">
        <v>20.0</v>
      </c>
      <c r="K221" s="38" t="s">
        <v>217</v>
      </c>
      <c r="L221" s="38">
        <v>5.0</v>
      </c>
      <c r="M221" s="38">
        <v>33.0</v>
      </c>
      <c r="N221" s="38" t="s">
        <v>487</v>
      </c>
      <c r="O221" s="38"/>
      <c r="P221" s="38"/>
      <c r="Q221" s="40"/>
      <c r="R221" s="40"/>
      <c r="S221" s="40"/>
      <c r="T221" s="40"/>
      <c r="U221" s="40"/>
      <c r="V221" s="40"/>
      <c r="W221" s="40"/>
      <c r="X221" s="40"/>
      <c r="Y221" s="40"/>
      <c r="Z221" s="40"/>
      <c r="AA221" s="40"/>
      <c r="AB221" s="40"/>
      <c r="AC221" s="40"/>
      <c r="AD221" s="40"/>
      <c r="AE221" s="40"/>
      <c r="AF221" s="40"/>
      <c r="AG221" s="40"/>
      <c r="AH221" s="40"/>
      <c r="AI221" s="40"/>
      <c r="AJ221" s="38"/>
      <c r="AK221" s="38"/>
      <c r="AL221" s="38"/>
      <c r="AM221" s="38">
        <v>49.0</v>
      </c>
      <c r="AN221" s="40"/>
      <c r="AO221" s="40"/>
      <c r="AP221" s="40"/>
      <c r="AQ221" s="40"/>
      <c r="AR221" s="40"/>
      <c r="AS221" s="40"/>
      <c r="AT221" s="40"/>
      <c r="AU221" s="40"/>
      <c r="AV221" s="40"/>
      <c r="AW221" s="40"/>
      <c r="AX221" s="40"/>
      <c r="AY221" s="40"/>
      <c r="AZ221" s="40"/>
      <c r="BA221" s="40"/>
      <c r="BB221" s="40"/>
      <c r="BC221" s="40"/>
      <c r="BD221" s="40"/>
      <c r="BE221" s="40"/>
      <c r="BF221" s="40"/>
      <c r="BG221" s="40"/>
      <c r="BH221" s="40"/>
      <c r="BI221" s="38"/>
      <c r="BJ221" s="38"/>
      <c r="BK221" s="38">
        <v>24.0</v>
      </c>
      <c r="BL221" s="40"/>
      <c r="BM221" s="38">
        <v>36.0</v>
      </c>
      <c r="BN221" s="40"/>
      <c r="BO221" s="40"/>
      <c r="BP221" s="40"/>
      <c r="BQ221" s="40"/>
      <c r="BR221" s="40"/>
      <c r="BS221" s="40"/>
      <c r="BT221" s="40"/>
      <c r="BU221" s="40"/>
      <c r="BV221" s="40"/>
      <c r="BW221" s="40"/>
      <c r="BX221" s="40"/>
      <c r="BY221" s="40"/>
      <c r="BZ221" s="40"/>
      <c r="CA221" s="40"/>
      <c r="CB221" s="40"/>
      <c r="CC221" s="40"/>
      <c r="CD221" s="38">
        <v>1.0</v>
      </c>
      <c r="CE221" s="40"/>
      <c r="CF221" s="40"/>
      <c r="CG221" s="40"/>
      <c r="CH221" s="40"/>
      <c r="CI221" s="40"/>
      <c r="CJ221" s="40"/>
      <c r="CK221" s="40"/>
      <c r="CL221" s="40"/>
      <c r="CM221" s="40"/>
      <c r="CN221" s="40"/>
      <c r="CO221" s="40"/>
      <c r="CP221" s="40"/>
      <c r="CQ221" s="40"/>
      <c r="CR221" s="40"/>
      <c r="CS221" s="40"/>
      <c r="CT221" s="40"/>
      <c r="CU221" s="40"/>
      <c r="CV221" s="40"/>
      <c r="CW221" s="40"/>
      <c r="CX221" s="40"/>
      <c r="CY221" s="40"/>
      <c r="CZ221" s="40"/>
      <c r="DA221" s="40"/>
      <c r="DB221" s="40"/>
      <c r="DC221" s="40"/>
      <c r="DD221" s="40"/>
      <c r="DE221" s="40"/>
      <c r="DF221" s="40"/>
      <c r="DG221" s="40"/>
      <c r="DH221" s="38">
        <v>48.0</v>
      </c>
      <c r="DI221" s="40"/>
      <c r="DJ221" s="40"/>
      <c r="DK221" s="40"/>
      <c r="DL221" s="40"/>
      <c r="DM221" s="40"/>
      <c r="DN221" s="40"/>
      <c r="DO221" s="40"/>
      <c r="DP221" s="40"/>
      <c r="DQ221" s="40"/>
      <c r="DR221" s="40"/>
      <c r="DS221" s="40"/>
      <c r="DT221" s="40"/>
      <c r="DU221" s="40"/>
      <c r="DV221" s="40"/>
      <c r="DW221" s="40"/>
      <c r="DX221" s="40"/>
      <c r="DY221" s="40"/>
      <c r="DZ221" s="40"/>
      <c r="EA221" s="40"/>
      <c r="EB221" s="40"/>
      <c r="EC221" s="40"/>
      <c r="ED221" s="40"/>
      <c r="EE221" s="40"/>
      <c r="EF221" s="40"/>
      <c r="EG221" s="40"/>
      <c r="EH221" s="40"/>
      <c r="EI221" s="40"/>
      <c r="EJ221" s="40"/>
      <c r="EK221" s="40"/>
      <c r="EL221" s="40"/>
      <c r="EM221" s="40"/>
      <c r="EN221" s="40"/>
      <c r="EO221" s="40"/>
      <c r="EP221" s="40"/>
      <c r="EQ221" s="40"/>
      <c r="ER221" s="40"/>
      <c r="ES221" s="40"/>
      <c r="ET221" s="40"/>
      <c r="EU221" s="40"/>
      <c r="EV221" s="40"/>
      <c r="EW221" s="40"/>
      <c r="EX221" s="40"/>
      <c r="EY221" s="40"/>
      <c r="EZ221" s="40"/>
      <c r="FA221" s="40"/>
      <c r="FB221" s="40"/>
      <c r="FC221" s="40"/>
      <c r="FD221" s="38"/>
      <c r="FE221" s="38">
        <v>2.0</v>
      </c>
      <c r="FF221" s="40"/>
      <c r="FG221" s="40"/>
      <c r="FH221" s="40"/>
      <c r="FI221" s="40"/>
      <c r="FJ221" s="40"/>
      <c r="FK221" s="40"/>
      <c r="FL221" s="40"/>
      <c r="FM221" s="38">
        <v>3.0</v>
      </c>
      <c r="FN221" s="38"/>
      <c r="FO221" s="38"/>
      <c r="FP221" s="38">
        <v>1.0</v>
      </c>
      <c r="FQ221" s="38">
        <v>6.0</v>
      </c>
      <c r="FR221" s="40"/>
      <c r="FS221" s="38">
        <v>336.0</v>
      </c>
      <c r="FT221" s="40"/>
      <c r="FU221" s="40"/>
      <c r="FV221" s="38"/>
      <c r="FW221" s="38">
        <v>3.0</v>
      </c>
      <c r="FX221" s="40"/>
      <c r="FY221" s="40"/>
      <c r="FZ221" s="40"/>
      <c r="GA221" s="40"/>
      <c r="GB221" s="40"/>
      <c r="GC221" s="40"/>
      <c r="GD221" s="40"/>
      <c r="GE221" s="40"/>
      <c r="GF221" s="40"/>
      <c r="GG221" s="40"/>
      <c r="GH221" s="40">
        <f t="shared" si="124"/>
        <v>11</v>
      </c>
      <c r="GI221" s="40">
        <f t="shared" si="125"/>
        <v>9</v>
      </c>
      <c r="GJ221" s="40">
        <f t="shared" si="126"/>
        <v>6</v>
      </c>
      <c r="GK221" s="40">
        <f t="shared" si="127"/>
        <v>509</v>
      </c>
      <c r="GL221" s="40">
        <f t="shared" si="128"/>
        <v>0</v>
      </c>
      <c r="GM221" s="40">
        <f t="shared" si="129"/>
        <v>-509</v>
      </c>
      <c r="GN221" s="40"/>
      <c r="GO221" s="40"/>
      <c r="GP221" s="40"/>
      <c r="GQ221" s="40"/>
      <c r="GR221" s="40"/>
      <c r="GS221" s="40"/>
      <c r="GT221" s="40"/>
      <c r="GU221" s="40"/>
      <c r="GV221" s="40"/>
      <c r="GW221" s="40"/>
      <c r="GX221" s="40"/>
      <c r="GY221" s="40"/>
      <c r="GZ221" s="40"/>
      <c r="HA221" s="40"/>
      <c r="HB221" s="40"/>
      <c r="HC221" s="40"/>
      <c r="HD221" s="40"/>
      <c r="HE221" s="40"/>
      <c r="HF221" s="40"/>
      <c r="HG221" s="40"/>
      <c r="HH221" s="40"/>
      <c r="HI221" s="40"/>
    </row>
    <row r="222">
      <c r="A222" s="23">
        <v>43573.0</v>
      </c>
      <c r="B222" s="4" t="s">
        <v>489</v>
      </c>
      <c r="C222" s="28">
        <f t="shared" si="123"/>
        <v>206</v>
      </c>
      <c r="D222" s="4">
        <v>19.640812</v>
      </c>
      <c r="E222" s="4">
        <v>-156.006927</v>
      </c>
      <c r="F222" s="4" t="s">
        <v>367</v>
      </c>
      <c r="G222" s="24">
        <v>0.375</v>
      </c>
      <c r="H222" s="24">
        <v>0.4791666666666667</v>
      </c>
      <c r="I222" s="4">
        <v>4.0</v>
      </c>
      <c r="J222" s="4">
        <v>20.0</v>
      </c>
      <c r="K222" s="4" t="s">
        <v>198</v>
      </c>
      <c r="L222" s="4">
        <v>10.0</v>
      </c>
      <c r="M222" s="4">
        <v>26.0</v>
      </c>
      <c r="N222" s="4" t="s">
        <v>486</v>
      </c>
      <c r="P222" s="4">
        <v>26.0</v>
      </c>
      <c r="T222" s="4">
        <v>24.0</v>
      </c>
      <c r="AH222" s="4">
        <v>1.0</v>
      </c>
      <c r="AU222" s="4"/>
      <c r="AV222" s="4">
        <v>1.0</v>
      </c>
      <c r="BA222" s="4"/>
      <c r="BB222" s="4">
        <v>2.0</v>
      </c>
      <c r="BG222" s="4">
        <v>18.0</v>
      </c>
      <c r="BH222" s="4">
        <v>11.0</v>
      </c>
      <c r="BM222" s="4">
        <v>68.0</v>
      </c>
      <c r="BY222" s="4">
        <v>5.0</v>
      </c>
      <c r="CC222" s="4">
        <v>6.0</v>
      </c>
      <c r="CD222" s="4">
        <v>3.0</v>
      </c>
      <c r="DM222" s="4">
        <v>11.0</v>
      </c>
      <c r="DP222" s="4">
        <v>3.0</v>
      </c>
      <c r="EJ222" s="4">
        <v>10.0</v>
      </c>
      <c r="FB222" s="4">
        <v>48.0</v>
      </c>
      <c r="FS222" s="4">
        <v>117.0</v>
      </c>
      <c r="FZ222" s="4">
        <v>12.0</v>
      </c>
      <c r="GH222" s="25">
        <f t="shared" si="124"/>
        <v>16</v>
      </c>
      <c r="GI222" s="25">
        <f t="shared" si="125"/>
        <v>14</v>
      </c>
      <c r="GJ222" s="25">
        <f t="shared" si="126"/>
        <v>11</v>
      </c>
      <c r="GK222" s="25">
        <f t="shared" si="127"/>
        <v>340</v>
      </c>
      <c r="GL222" s="25">
        <f t="shared" si="128"/>
        <v>650</v>
      </c>
      <c r="GM222" s="25">
        <f t="shared" si="129"/>
        <v>310</v>
      </c>
    </row>
    <row r="223">
      <c r="A223" s="23">
        <v>43573.0</v>
      </c>
      <c r="B223" s="4" t="s">
        <v>201</v>
      </c>
      <c r="C223" s="28">
        <f t="shared" si="123"/>
        <v>207</v>
      </c>
      <c r="D223" s="4">
        <v>21.25544</v>
      </c>
      <c r="E223" s="4">
        <v>-157.810303</v>
      </c>
      <c r="F223" s="4" t="s">
        <v>477</v>
      </c>
      <c r="G223" s="24">
        <v>0.375</v>
      </c>
      <c r="H223" s="24">
        <v>0.4305555555555556</v>
      </c>
      <c r="I223" s="4">
        <v>5.0</v>
      </c>
      <c r="J223" s="4">
        <v>10.5</v>
      </c>
      <c r="K223" s="4" t="s">
        <v>318</v>
      </c>
      <c r="L223" s="4">
        <v>10.0</v>
      </c>
      <c r="M223" s="4">
        <v>46.0</v>
      </c>
      <c r="N223" s="4" t="s">
        <v>491</v>
      </c>
      <c r="P223" s="4">
        <v>46.0</v>
      </c>
      <c r="R223" s="4">
        <v>1.0</v>
      </c>
      <c r="AJ223" s="4"/>
      <c r="AK223" s="4"/>
      <c r="AL223" s="4"/>
      <c r="AM223" s="4">
        <v>1.0</v>
      </c>
      <c r="AT223" s="4">
        <v>1.0</v>
      </c>
      <c r="BM223" s="4">
        <v>63.0</v>
      </c>
      <c r="BU223" s="4">
        <v>2.0</v>
      </c>
      <c r="BV223" s="4">
        <v>19.0</v>
      </c>
      <c r="BW223" s="4">
        <v>4.0</v>
      </c>
      <c r="DB223" s="4"/>
      <c r="DC223" s="4">
        <v>2.0</v>
      </c>
      <c r="DF223" s="4"/>
      <c r="DG223" s="4">
        <v>2.0</v>
      </c>
      <c r="DJ223" s="4">
        <v>1.0</v>
      </c>
      <c r="DK223" s="4"/>
      <c r="DL223" s="4">
        <v>8.0</v>
      </c>
      <c r="DM223" s="4">
        <v>24.0</v>
      </c>
      <c r="DR223" s="4"/>
      <c r="DS223" s="4">
        <v>91.0</v>
      </c>
      <c r="DT223" s="4"/>
      <c r="DU223" s="4"/>
      <c r="DV223" s="4">
        <v>12.0</v>
      </c>
      <c r="EC223" s="4">
        <v>1.0</v>
      </c>
      <c r="EE223" s="4"/>
      <c r="EF223" s="4"/>
      <c r="EG223" s="4"/>
      <c r="EH223" s="4"/>
      <c r="EI223" s="4"/>
      <c r="EJ223" s="4">
        <v>318.0</v>
      </c>
      <c r="EY223" s="4"/>
      <c r="EZ223" s="4">
        <v>18.0</v>
      </c>
      <c r="FA223" s="4">
        <v>15.0</v>
      </c>
      <c r="FB223" s="4">
        <v>51.0</v>
      </c>
      <c r="FI223" s="4">
        <v>1.0</v>
      </c>
      <c r="FQ223" s="4">
        <v>20.0</v>
      </c>
      <c r="FR223" s="4">
        <v>132.0</v>
      </c>
      <c r="FS223" s="4">
        <v>46.0</v>
      </c>
      <c r="FV223" s="4"/>
      <c r="FW223" s="4">
        <v>1.0</v>
      </c>
      <c r="GH223" s="25">
        <f t="shared" si="124"/>
        <v>24</v>
      </c>
      <c r="GI223" s="25">
        <f t="shared" si="125"/>
        <v>17</v>
      </c>
      <c r="GJ223" s="25">
        <f t="shared" si="126"/>
        <v>13</v>
      </c>
      <c r="GK223" s="25">
        <f t="shared" si="127"/>
        <v>834</v>
      </c>
      <c r="GL223" s="25">
        <f t="shared" si="128"/>
        <v>1150</v>
      </c>
      <c r="GM223" s="25">
        <f t="shared" si="129"/>
        <v>316</v>
      </c>
    </row>
    <row r="224">
      <c r="A224" s="23">
        <v>43573.0</v>
      </c>
      <c r="B224" s="4" t="s">
        <v>492</v>
      </c>
      <c r="C224" s="28">
        <f t="shared" si="123"/>
        <v>208</v>
      </c>
      <c r="D224" s="4">
        <v>21.452875</v>
      </c>
      <c r="E224" s="4">
        <v>-158.199966</v>
      </c>
      <c r="F224" s="4" t="s">
        <v>493</v>
      </c>
      <c r="G224" s="24">
        <v>0.3541666666666667</v>
      </c>
      <c r="H224" s="24">
        <v>0.3993055555555556</v>
      </c>
      <c r="I224" s="4">
        <v>6.0</v>
      </c>
      <c r="J224" s="4">
        <v>11.0</v>
      </c>
      <c r="K224" s="4" t="s">
        <v>318</v>
      </c>
      <c r="L224" s="4">
        <v>5.0</v>
      </c>
      <c r="M224" s="4">
        <v>30.0</v>
      </c>
      <c r="P224" s="4">
        <v>30.0</v>
      </c>
      <c r="R224" s="4">
        <v>7.0</v>
      </c>
      <c r="BM224" s="4">
        <v>19.0</v>
      </c>
      <c r="BV224" s="4">
        <v>8.0</v>
      </c>
      <c r="BZ224" s="4">
        <v>35.0</v>
      </c>
      <c r="CE224" s="4">
        <v>25.0</v>
      </c>
      <c r="CF224" s="4">
        <v>12.0</v>
      </c>
      <c r="DM224" s="4">
        <v>89.0</v>
      </c>
      <c r="EE224" s="4"/>
      <c r="EF224" s="4"/>
      <c r="EG224" s="4"/>
      <c r="EH224" s="4"/>
      <c r="EI224" s="4"/>
      <c r="EJ224" s="4">
        <v>111.0</v>
      </c>
      <c r="EY224" s="4"/>
      <c r="EZ224" s="4">
        <v>2.0</v>
      </c>
      <c r="FB224" s="4">
        <v>187.0</v>
      </c>
      <c r="FI224" s="4">
        <v>11.0</v>
      </c>
      <c r="FR224" s="4">
        <v>12.0</v>
      </c>
      <c r="FS224" s="4">
        <v>157.0</v>
      </c>
      <c r="GH224" s="25">
        <f t="shared" si="124"/>
        <v>13</v>
      </c>
      <c r="GI224" s="25">
        <f t="shared" si="125"/>
        <v>13</v>
      </c>
      <c r="GJ224" s="25">
        <f t="shared" si="126"/>
        <v>12</v>
      </c>
      <c r="GK224" s="25">
        <f t="shared" si="127"/>
        <v>675</v>
      </c>
      <c r="GL224" s="25">
        <f t="shared" si="128"/>
        <v>750</v>
      </c>
      <c r="GM224" s="25">
        <f t="shared" si="129"/>
        <v>75</v>
      </c>
    </row>
    <row r="225">
      <c r="A225" s="31">
        <v>43573.0</v>
      </c>
      <c r="B225" s="32" t="s">
        <v>246</v>
      </c>
      <c r="C225" s="28"/>
      <c r="D225" s="32"/>
      <c r="E225" s="32"/>
      <c r="F225" s="32"/>
      <c r="G225" s="33"/>
      <c r="H225" s="33"/>
      <c r="I225" s="32"/>
      <c r="J225" s="32"/>
      <c r="K225" s="32"/>
      <c r="L225" s="32"/>
      <c r="M225" s="32"/>
      <c r="N225" s="34"/>
      <c r="O225" s="34"/>
      <c r="P225" s="32"/>
      <c r="Q225" s="34"/>
      <c r="R225" s="34"/>
      <c r="S225" s="34"/>
      <c r="T225" s="34"/>
      <c r="U225" s="34"/>
      <c r="V225" s="34"/>
      <c r="W225" s="34"/>
      <c r="X225" s="34"/>
      <c r="Y225" s="34"/>
      <c r="Z225" s="34"/>
      <c r="AA225" s="34"/>
      <c r="AB225" s="34"/>
      <c r="AC225" s="32"/>
      <c r="AD225" s="32"/>
      <c r="AE225" s="34"/>
      <c r="AF225" s="34"/>
      <c r="AG225" s="34"/>
      <c r="AH225" s="34"/>
      <c r="AI225" s="34"/>
      <c r="AJ225" s="34"/>
      <c r="AK225" s="34"/>
      <c r="AL225" s="34"/>
      <c r="AM225" s="34"/>
      <c r="AN225" s="34"/>
      <c r="AO225" s="34"/>
      <c r="AP225" s="34"/>
      <c r="AQ225" s="34"/>
      <c r="AR225" s="34"/>
      <c r="AS225" s="34"/>
      <c r="AT225" s="34"/>
      <c r="AU225" s="34"/>
      <c r="AV225" s="34"/>
      <c r="AW225" s="34"/>
      <c r="AX225" s="34"/>
      <c r="AY225" s="34"/>
      <c r="AZ225" s="34"/>
      <c r="BA225" s="34"/>
      <c r="BB225" s="34"/>
      <c r="BC225" s="34"/>
      <c r="BD225" s="34"/>
      <c r="BE225" s="34"/>
      <c r="BF225" s="34"/>
      <c r="BG225" s="34"/>
      <c r="BH225" s="34"/>
      <c r="BI225" s="34"/>
      <c r="BJ225" s="34"/>
      <c r="BK225" s="34"/>
      <c r="BL225" s="34"/>
      <c r="BM225" s="32"/>
      <c r="BN225" s="32"/>
      <c r="BO225" s="34"/>
      <c r="BP225" s="34"/>
      <c r="BQ225" s="34"/>
      <c r="BR225" s="34"/>
      <c r="BS225" s="34"/>
      <c r="BT225" s="34"/>
      <c r="BU225" s="34"/>
      <c r="BV225" s="32"/>
      <c r="BW225" s="32"/>
      <c r="BX225" s="32"/>
      <c r="BY225" s="34"/>
      <c r="BZ225" s="32"/>
      <c r="CA225" s="34"/>
      <c r="CB225" s="34"/>
      <c r="CC225" s="34"/>
      <c r="CD225" s="32"/>
      <c r="CE225" s="34"/>
      <c r="CF225" s="34"/>
      <c r="CG225" s="34"/>
      <c r="CH225" s="34"/>
      <c r="CI225" s="34"/>
      <c r="CJ225" s="34"/>
      <c r="CK225" s="34"/>
      <c r="CL225" s="34"/>
      <c r="CM225" s="34"/>
      <c r="CN225" s="34"/>
      <c r="CO225" s="34"/>
      <c r="CP225" s="34"/>
      <c r="CQ225" s="34"/>
      <c r="CR225" s="34"/>
      <c r="CS225" s="34"/>
      <c r="CT225" s="34"/>
      <c r="CU225" s="34"/>
      <c r="CV225" s="34"/>
      <c r="CW225" s="34"/>
      <c r="CX225" s="34"/>
      <c r="CY225" s="34"/>
      <c r="CZ225" s="34"/>
      <c r="DA225" s="34"/>
      <c r="DB225" s="34"/>
      <c r="DC225" s="34"/>
      <c r="DD225" s="34"/>
      <c r="DE225" s="34"/>
      <c r="DF225" s="34"/>
      <c r="DG225" s="34"/>
      <c r="DH225" s="34"/>
      <c r="DI225" s="34"/>
      <c r="DJ225" s="34"/>
      <c r="DK225" s="32"/>
      <c r="DL225" s="32"/>
      <c r="DM225" s="32"/>
      <c r="DN225" s="34"/>
      <c r="DO225" s="34"/>
      <c r="DP225" s="34"/>
      <c r="DQ225" s="34"/>
      <c r="DR225" s="32"/>
      <c r="DS225" s="32"/>
      <c r="DT225" s="34"/>
      <c r="DU225" s="34"/>
      <c r="DV225" s="34"/>
      <c r="DW225" s="34"/>
      <c r="DX225" s="34"/>
      <c r="DY225" s="34"/>
      <c r="DZ225" s="34"/>
      <c r="EA225" s="34"/>
      <c r="EB225" s="32"/>
      <c r="EC225" s="34"/>
      <c r="ED225" s="34"/>
      <c r="EE225" s="32"/>
      <c r="EF225" s="32"/>
      <c r="EG225" s="32"/>
      <c r="EH225" s="32"/>
      <c r="EI225" s="32"/>
      <c r="EJ225" s="32"/>
      <c r="EK225" s="34"/>
      <c r="EL225" s="34"/>
      <c r="EM225" s="34"/>
      <c r="EN225" s="34"/>
      <c r="EO225" s="34"/>
      <c r="EP225" s="34"/>
      <c r="EQ225" s="34"/>
      <c r="ER225" s="34"/>
      <c r="ES225" s="34"/>
      <c r="ET225" s="34"/>
      <c r="EU225" s="34"/>
      <c r="EV225" s="34"/>
      <c r="EW225" s="34"/>
      <c r="EX225" s="34"/>
      <c r="EY225" s="34"/>
      <c r="EZ225" s="34"/>
      <c r="FA225" s="34"/>
      <c r="FB225" s="32"/>
      <c r="FC225" s="34"/>
      <c r="FD225" s="34"/>
      <c r="FE225" s="34"/>
      <c r="FF225" s="34"/>
      <c r="FG225" s="34"/>
      <c r="FH225" s="34"/>
      <c r="FI225" s="34"/>
      <c r="FJ225" s="34"/>
      <c r="FK225" s="34"/>
      <c r="FL225" s="34"/>
      <c r="FM225" s="34"/>
      <c r="FN225" s="34"/>
      <c r="FO225" s="34"/>
      <c r="FP225" s="34"/>
      <c r="FQ225" s="34"/>
      <c r="FR225" s="32"/>
      <c r="FS225" s="32"/>
      <c r="FT225" s="34"/>
      <c r="FU225" s="34"/>
      <c r="FV225" s="34"/>
      <c r="FW225" s="34"/>
      <c r="FX225" s="34"/>
      <c r="FY225" s="34"/>
      <c r="FZ225" s="34"/>
      <c r="GA225" s="34"/>
      <c r="GB225" s="34"/>
      <c r="GC225" s="34"/>
      <c r="GD225" s="34"/>
      <c r="GE225" s="34"/>
      <c r="GF225" s="34"/>
      <c r="GG225" s="32"/>
      <c r="GH225" s="34"/>
      <c r="GI225" s="34"/>
      <c r="GJ225" s="34"/>
      <c r="GK225" s="34"/>
      <c r="GL225" s="34"/>
      <c r="GM225" s="34"/>
      <c r="GN225" s="34"/>
      <c r="GO225" s="34"/>
      <c r="GP225" s="34"/>
      <c r="GQ225" s="34"/>
      <c r="GR225" s="34"/>
      <c r="GS225" s="34"/>
      <c r="GT225" s="34"/>
      <c r="GU225" s="34"/>
      <c r="GV225" s="34"/>
      <c r="GW225" s="34"/>
      <c r="GX225" s="34"/>
      <c r="GY225" s="34"/>
      <c r="GZ225" s="34"/>
      <c r="HA225" s="34"/>
      <c r="HB225" s="34"/>
      <c r="HC225" s="34"/>
      <c r="HD225" s="34"/>
      <c r="HE225" s="34"/>
      <c r="HF225" s="34"/>
      <c r="HG225" s="34"/>
      <c r="HH225" s="34"/>
      <c r="HI225" s="34"/>
    </row>
    <row r="226">
      <c r="A226" s="23">
        <v>43577.0</v>
      </c>
      <c r="B226" s="4" t="s">
        <v>301</v>
      </c>
      <c r="C226" s="28">
        <v>209.0</v>
      </c>
      <c r="D226" s="4">
        <v>22.065599</v>
      </c>
      <c r="E226" s="4">
        <v>-159.317703</v>
      </c>
      <c r="F226" s="4" t="s">
        <v>347</v>
      </c>
      <c r="G226" s="24">
        <v>0.4583333333333333</v>
      </c>
      <c r="H226" s="24">
        <v>0.5</v>
      </c>
      <c r="I226" s="4">
        <v>5.0</v>
      </c>
      <c r="J226" s="4">
        <v>7.0</v>
      </c>
      <c r="K226" s="4" t="s">
        <v>198</v>
      </c>
      <c r="L226" s="4">
        <v>8.0</v>
      </c>
      <c r="M226" s="4">
        <v>40.0</v>
      </c>
      <c r="P226" s="4">
        <v>40.0</v>
      </c>
      <c r="AC226" s="4"/>
      <c r="AD226" s="4">
        <v>23.0</v>
      </c>
      <c r="BM226" s="4">
        <v>13.0</v>
      </c>
      <c r="BN226" s="4">
        <v>2.0</v>
      </c>
      <c r="BV226" s="4">
        <v>35.0</v>
      </c>
      <c r="BW226" s="4">
        <v>37.0</v>
      </c>
      <c r="BX226" s="4">
        <v>28.0</v>
      </c>
      <c r="BZ226" s="4">
        <v>2.0</v>
      </c>
      <c r="CD226" s="4">
        <v>2.0</v>
      </c>
      <c r="DK226" s="4"/>
      <c r="DL226" s="4">
        <v>13.0</v>
      </c>
      <c r="DM226" s="4">
        <v>23.0</v>
      </c>
      <c r="DR226" s="4"/>
      <c r="DS226" s="4">
        <v>6.0</v>
      </c>
      <c r="EB226" s="4">
        <v>1.0</v>
      </c>
      <c r="EE226" s="4"/>
      <c r="EF226" s="4"/>
      <c r="EG226" s="4"/>
      <c r="EH226" s="4"/>
      <c r="EI226" s="4"/>
      <c r="EJ226" s="4">
        <v>117.0</v>
      </c>
      <c r="FB226" s="4">
        <v>12.0</v>
      </c>
      <c r="FR226" s="4">
        <v>9.0</v>
      </c>
      <c r="FS226" s="4">
        <v>478.0</v>
      </c>
      <c r="GG226" s="4">
        <v>2.0</v>
      </c>
      <c r="GH226" s="25">
        <f t="shared" ref="GH226:GH230" si="130">count(R226:GG226)</f>
        <v>17</v>
      </c>
      <c r="GI226" s="25">
        <f t="shared" ref="GI226:GI230" si="131">countif(R226:GG226,"&gt;=2")</f>
        <v>16</v>
      </c>
      <c r="GJ226" s="25">
        <f t="shared" ref="GJ226:GJ230" si="132">countif(R226:GG226,"&gt;=5")</f>
        <v>12</v>
      </c>
      <c r="GK226" s="25">
        <f t="shared" ref="GK226:GK230" si="133">sum(R226:GG226)</f>
        <v>803</v>
      </c>
      <c r="GL226" s="25">
        <f t="shared" ref="GL226:GL230" si="134">25*P226</f>
        <v>1000</v>
      </c>
      <c r="GM226" s="25">
        <f t="shared" ref="GM226:GM230" si="135">GL226-GK226</f>
        <v>197</v>
      </c>
    </row>
    <row r="227">
      <c r="A227" s="37">
        <v>43577.0</v>
      </c>
      <c r="B227" s="38" t="s">
        <v>266</v>
      </c>
      <c r="C227" s="28">
        <f t="shared" ref="C227:C231" si="136">C226+1</f>
        <v>210</v>
      </c>
      <c r="D227" s="38">
        <v>22.060684</v>
      </c>
      <c r="E227" s="38">
        <v>-159.318512</v>
      </c>
      <c r="F227" s="38" t="s">
        <v>418</v>
      </c>
      <c r="G227" s="39">
        <v>0.4618055555555556</v>
      </c>
      <c r="H227" s="39">
        <v>0.5</v>
      </c>
      <c r="I227" s="38">
        <v>5.0</v>
      </c>
      <c r="J227" s="38">
        <v>15.0</v>
      </c>
      <c r="K227" s="38" t="s">
        <v>198</v>
      </c>
      <c r="L227" s="38">
        <v>9.0</v>
      </c>
      <c r="M227" s="38">
        <v>40.0</v>
      </c>
      <c r="N227" s="38" t="s">
        <v>494</v>
      </c>
      <c r="O227" s="38"/>
      <c r="P227" s="38"/>
      <c r="Q227" s="40"/>
      <c r="R227" s="40"/>
      <c r="S227" s="38">
        <v>1.0</v>
      </c>
      <c r="T227" s="40"/>
      <c r="U227" s="40"/>
      <c r="V227" s="40"/>
      <c r="W227" s="40"/>
      <c r="X227" s="40"/>
      <c r="Y227" s="40"/>
      <c r="Z227" s="40"/>
      <c r="AA227" s="40"/>
      <c r="AB227" s="40"/>
      <c r="AC227" s="40"/>
      <c r="AD227" s="38">
        <v>10.0</v>
      </c>
      <c r="AE227" s="40"/>
      <c r="AF227" s="40"/>
      <c r="AG227" s="40"/>
      <c r="AH227" s="40"/>
      <c r="AI227" s="38">
        <v>2.0</v>
      </c>
      <c r="AJ227" s="40"/>
      <c r="AK227" s="40"/>
      <c r="AL227" s="40"/>
      <c r="AM227" s="40"/>
      <c r="AN227" s="40"/>
      <c r="AO227" s="40"/>
      <c r="AP227" s="40"/>
      <c r="AQ227" s="40"/>
      <c r="AR227" s="40"/>
      <c r="AS227" s="40"/>
      <c r="AT227" s="40"/>
      <c r="AU227" s="38"/>
      <c r="AV227" s="38">
        <v>3.0</v>
      </c>
      <c r="AW227" s="40"/>
      <c r="AX227" s="40"/>
      <c r="AY227" s="40"/>
      <c r="AZ227" s="40"/>
      <c r="BA227" s="38"/>
      <c r="BB227" s="38">
        <v>7.0</v>
      </c>
      <c r="BC227" s="40"/>
      <c r="BD227" s="40"/>
      <c r="BE227" s="40"/>
      <c r="BF227" s="40"/>
      <c r="BG227" s="40"/>
      <c r="BH227" s="40"/>
      <c r="BI227" s="40"/>
      <c r="BJ227" s="40"/>
      <c r="BK227" s="40"/>
      <c r="BL227" s="38">
        <v>1.0</v>
      </c>
      <c r="BM227" s="38">
        <v>16.0</v>
      </c>
      <c r="BN227" s="38">
        <v>49.0</v>
      </c>
      <c r="BO227" s="40"/>
      <c r="BP227" s="40"/>
      <c r="BQ227" s="40"/>
      <c r="BR227" s="40"/>
      <c r="BS227" s="40"/>
      <c r="BT227" s="40"/>
      <c r="BU227" s="38">
        <v>1.0</v>
      </c>
      <c r="BV227" s="38">
        <v>57.0</v>
      </c>
      <c r="BW227" s="40"/>
      <c r="BX227" s="40"/>
      <c r="BY227" s="40"/>
      <c r="BZ227" s="38">
        <v>1.0</v>
      </c>
      <c r="CA227" s="40"/>
      <c r="CB227" s="38">
        <v>1.0</v>
      </c>
      <c r="CC227" s="40"/>
      <c r="CD227" s="40"/>
      <c r="CE227" s="40"/>
      <c r="CF227" s="40"/>
      <c r="CG227" s="40"/>
      <c r="CH227" s="40"/>
      <c r="CI227" s="40"/>
      <c r="CJ227" s="40"/>
      <c r="CK227" s="40"/>
      <c r="CL227" s="40"/>
      <c r="CM227" s="40"/>
      <c r="CN227" s="40"/>
      <c r="CO227" s="40"/>
      <c r="CP227" s="38"/>
      <c r="CQ227" s="38"/>
      <c r="CR227" s="38"/>
      <c r="CS227" s="38">
        <v>1.0</v>
      </c>
      <c r="CT227" s="40"/>
      <c r="CU227" s="40"/>
      <c r="CV227" s="38">
        <v>3.0</v>
      </c>
      <c r="CW227" s="40"/>
      <c r="CX227" s="40"/>
      <c r="CY227" s="40"/>
      <c r="CZ227" s="40"/>
      <c r="DA227" s="40"/>
      <c r="DB227" s="40"/>
      <c r="DC227" s="40"/>
      <c r="DD227" s="40"/>
      <c r="DE227" s="40"/>
      <c r="DF227" s="40"/>
      <c r="DG227" s="38">
        <v>2.0</v>
      </c>
      <c r="DH227" s="40"/>
      <c r="DI227" s="40"/>
      <c r="DJ227" s="40"/>
      <c r="DK227" s="40"/>
      <c r="DL227" s="40"/>
      <c r="DM227" s="38">
        <v>2.0</v>
      </c>
      <c r="DN227" s="40"/>
      <c r="DO227" s="40"/>
      <c r="DP227" s="40"/>
      <c r="DQ227" s="40"/>
      <c r="DR227" s="38"/>
      <c r="DS227" s="38">
        <v>251.0</v>
      </c>
      <c r="DT227" s="38"/>
      <c r="DU227" s="38"/>
      <c r="DV227" s="38">
        <v>59.0</v>
      </c>
      <c r="DW227" s="40"/>
      <c r="DX227" s="40"/>
      <c r="DY227" s="40"/>
      <c r="DZ227" s="40"/>
      <c r="EA227" s="40"/>
      <c r="EB227" s="40"/>
      <c r="EC227" s="40"/>
      <c r="ED227" s="40"/>
      <c r="EE227" s="38"/>
      <c r="EF227" s="38"/>
      <c r="EG227" s="38"/>
      <c r="EH227" s="38"/>
      <c r="EI227" s="38"/>
      <c r="EJ227" s="38">
        <v>32.0</v>
      </c>
      <c r="EK227" s="40"/>
      <c r="EL227" s="40"/>
      <c r="EM227" s="40"/>
      <c r="EN227" s="40"/>
      <c r="EO227" s="40"/>
      <c r="EP227" s="40"/>
      <c r="EQ227" s="40"/>
      <c r="ER227" s="40"/>
      <c r="ES227" s="40"/>
      <c r="ET227" s="40"/>
      <c r="EU227" s="40"/>
      <c r="EV227" s="40"/>
      <c r="EW227" s="40"/>
      <c r="EX227" s="40"/>
      <c r="EY227" s="40"/>
      <c r="EZ227" s="40"/>
      <c r="FA227" s="40"/>
      <c r="FB227" s="38">
        <v>1.0</v>
      </c>
      <c r="FC227" s="40"/>
      <c r="FD227" s="40"/>
      <c r="FE227" s="40"/>
      <c r="FF227" s="40"/>
      <c r="FG227" s="40"/>
      <c r="FH227" s="40"/>
      <c r="FI227" s="40"/>
      <c r="FJ227" s="40"/>
      <c r="FK227" s="40"/>
      <c r="FL227" s="40"/>
      <c r="FM227" s="40"/>
      <c r="FN227" s="40"/>
      <c r="FO227" s="40"/>
      <c r="FP227" s="40"/>
      <c r="FQ227" s="38">
        <v>1.0</v>
      </c>
      <c r="FR227" s="38">
        <v>7.0</v>
      </c>
      <c r="FS227" s="38">
        <v>56.0</v>
      </c>
      <c r="FT227" s="40"/>
      <c r="FU227" s="40"/>
      <c r="FV227" s="38"/>
      <c r="FW227" s="38">
        <v>26.0</v>
      </c>
      <c r="FX227" s="40"/>
      <c r="FY227" s="40"/>
      <c r="FZ227" s="40"/>
      <c r="GA227" s="40"/>
      <c r="GB227" s="40"/>
      <c r="GC227" s="40"/>
      <c r="GD227" s="40"/>
      <c r="GE227" s="40"/>
      <c r="GF227" s="40"/>
      <c r="GG227" s="40"/>
      <c r="GH227" s="40">
        <f t="shared" si="130"/>
        <v>24</v>
      </c>
      <c r="GI227" s="40">
        <f t="shared" si="131"/>
        <v>16</v>
      </c>
      <c r="GJ227" s="40">
        <f t="shared" si="132"/>
        <v>11</v>
      </c>
      <c r="GK227" s="40">
        <f t="shared" si="133"/>
        <v>590</v>
      </c>
      <c r="GL227" s="40">
        <f t="shared" si="134"/>
        <v>0</v>
      </c>
      <c r="GM227" s="40">
        <f t="shared" si="135"/>
        <v>-590</v>
      </c>
      <c r="GN227" s="40"/>
      <c r="GO227" s="40"/>
      <c r="GP227" s="40"/>
      <c r="GQ227" s="40"/>
      <c r="GR227" s="40"/>
      <c r="GS227" s="40"/>
      <c r="GT227" s="40"/>
      <c r="GU227" s="40"/>
      <c r="GV227" s="40"/>
      <c r="GW227" s="40"/>
      <c r="GX227" s="40"/>
      <c r="GY227" s="40"/>
      <c r="GZ227" s="40"/>
      <c r="HA227" s="40"/>
      <c r="HB227" s="40"/>
      <c r="HC227" s="40"/>
      <c r="HD227" s="40"/>
      <c r="HE227" s="40"/>
      <c r="HF227" s="40"/>
      <c r="HG227" s="40"/>
      <c r="HH227" s="40"/>
      <c r="HI227" s="40"/>
    </row>
    <row r="228">
      <c r="A228" s="23">
        <v>43577.0</v>
      </c>
      <c r="B228" s="4" t="s">
        <v>293</v>
      </c>
      <c r="C228" s="28">
        <f t="shared" si="136"/>
        <v>211</v>
      </c>
      <c r="D228" s="4">
        <v>19.738602</v>
      </c>
      <c r="E228" s="4">
        <v>-155.038879</v>
      </c>
      <c r="F228" s="4" t="s">
        <v>496</v>
      </c>
      <c r="G228" s="24">
        <v>0.4173611111111111</v>
      </c>
      <c r="H228" s="24">
        <v>0.45694444444444443</v>
      </c>
      <c r="I228" s="4">
        <v>6.0</v>
      </c>
      <c r="J228" s="4">
        <v>11.0</v>
      </c>
      <c r="K228" s="4" t="s">
        <v>318</v>
      </c>
      <c r="L228" s="4">
        <v>5.0</v>
      </c>
      <c r="M228" s="4">
        <v>27.0</v>
      </c>
      <c r="N228" s="4" t="s">
        <v>497</v>
      </c>
      <c r="P228" s="4">
        <v>27.0</v>
      </c>
      <c r="AC228" s="4"/>
      <c r="AD228" s="4">
        <v>1.0</v>
      </c>
      <c r="BI228" s="4"/>
      <c r="BJ228" s="4"/>
      <c r="BK228" s="4">
        <v>15.0</v>
      </c>
      <c r="BM228" s="4">
        <v>1.0</v>
      </c>
      <c r="CE228" s="4">
        <v>10.0</v>
      </c>
      <c r="DY228" s="4">
        <v>22.0</v>
      </c>
      <c r="EE228" s="4"/>
      <c r="EF228" s="4"/>
      <c r="EG228" s="4"/>
      <c r="EH228" s="4"/>
      <c r="EI228" s="4"/>
      <c r="EJ228" s="4">
        <v>5.0</v>
      </c>
      <c r="EK228" s="4">
        <v>3.0</v>
      </c>
      <c r="EP228" s="4">
        <v>6.0</v>
      </c>
      <c r="EQ228" s="4">
        <v>21.0</v>
      </c>
      <c r="ER228" s="4">
        <v>28.0</v>
      </c>
      <c r="FD228" s="4"/>
      <c r="FE228" s="4">
        <v>4.0</v>
      </c>
      <c r="FM228" s="4">
        <v>10.0</v>
      </c>
      <c r="FN228" s="4"/>
      <c r="FO228" s="4"/>
      <c r="FP228" s="4">
        <v>1.0</v>
      </c>
      <c r="FS228" s="4">
        <v>331.0</v>
      </c>
      <c r="GH228" s="25">
        <f t="shared" si="130"/>
        <v>14</v>
      </c>
      <c r="GI228" s="25">
        <f t="shared" si="131"/>
        <v>11</v>
      </c>
      <c r="GJ228" s="25">
        <f t="shared" si="132"/>
        <v>9</v>
      </c>
      <c r="GK228" s="25">
        <f t="shared" si="133"/>
        <v>458</v>
      </c>
      <c r="GL228" s="25">
        <f t="shared" si="134"/>
        <v>675</v>
      </c>
      <c r="GM228" s="25">
        <f t="shared" si="135"/>
        <v>217</v>
      </c>
    </row>
    <row r="229">
      <c r="A229" s="23">
        <v>43578.0</v>
      </c>
      <c r="B229" s="4" t="s">
        <v>201</v>
      </c>
      <c r="C229" s="28">
        <f t="shared" si="136"/>
        <v>212</v>
      </c>
      <c r="D229" s="36">
        <v>21.25544</v>
      </c>
      <c r="E229" s="36">
        <v>-157.810303</v>
      </c>
      <c r="F229" s="4" t="s">
        <v>418</v>
      </c>
      <c r="G229" s="24">
        <v>0.4791666666666667</v>
      </c>
      <c r="H229" s="24">
        <v>0.5104166666666666</v>
      </c>
      <c r="I229" s="4">
        <v>6.0</v>
      </c>
      <c r="J229" s="4">
        <v>14.0</v>
      </c>
      <c r="K229" s="4" t="s">
        <v>198</v>
      </c>
      <c r="L229" s="4">
        <v>5.0</v>
      </c>
      <c r="M229" s="4">
        <v>18.0</v>
      </c>
      <c r="N229" s="4" t="s">
        <v>498</v>
      </c>
      <c r="O229" s="4"/>
      <c r="P229" s="4">
        <v>18.0</v>
      </c>
      <c r="R229" s="4">
        <v>5.0</v>
      </c>
      <c r="AD229" s="4">
        <v>9.0</v>
      </c>
      <c r="AN229" s="4"/>
      <c r="AS229" s="4">
        <v>5.0</v>
      </c>
      <c r="AU229" s="4"/>
      <c r="BM229" s="4"/>
      <c r="BW229" s="4"/>
      <c r="BZ229" s="4">
        <v>2.0</v>
      </c>
      <c r="CC229" s="4"/>
      <c r="CD229" s="4"/>
      <c r="CE229" s="4"/>
      <c r="DM229" s="4">
        <v>9.0</v>
      </c>
      <c r="DO229" s="4">
        <v>2.0</v>
      </c>
      <c r="DR229" s="4"/>
      <c r="DS229" s="4">
        <v>35.0</v>
      </c>
      <c r="EC229" s="4"/>
      <c r="ED229" s="4"/>
      <c r="EE229" s="4"/>
      <c r="EF229" s="4"/>
      <c r="EG229" s="4"/>
      <c r="EH229" s="4"/>
      <c r="EI229" s="4"/>
      <c r="EJ229" s="4">
        <v>139.0</v>
      </c>
      <c r="ES229" s="4"/>
      <c r="ET229" s="4"/>
      <c r="EU229" s="4"/>
      <c r="EV229" s="4"/>
      <c r="EY229" s="4"/>
      <c r="EZ229" s="4">
        <v>13.0</v>
      </c>
      <c r="FA229" s="4"/>
      <c r="FB229" s="4">
        <v>52.0</v>
      </c>
      <c r="FF229" s="4"/>
      <c r="FR229" s="4">
        <v>68.0</v>
      </c>
      <c r="FS229" s="4">
        <v>9.0</v>
      </c>
      <c r="FU229" s="4">
        <v>2.0</v>
      </c>
      <c r="GA229" s="4"/>
      <c r="GH229" s="25">
        <f t="shared" si="130"/>
        <v>13</v>
      </c>
      <c r="GI229" s="25">
        <f t="shared" si="131"/>
        <v>13</v>
      </c>
      <c r="GJ229" s="25">
        <f t="shared" si="132"/>
        <v>10</v>
      </c>
      <c r="GK229" s="25">
        <f t="shared" si="133"/>
        <v>350</v>
      </c>
      <c r="GL229" s="25">
        <f t="shared" si="134"/>
        <v>450</v>
      </c>
      <c r="GM229" s="25">
        <f t="shared" si="135"/>
        <v>100</v>
      </c>
    </row>
    <row r="230">
      <c r="A230" s="37">
        <v>43587.0</v>
      </c>
      <c r="B230" s="38" t="s">
        <v>499</v>
      </c>
      <c r="C230" s="28">
        <f t="shared" si="136"/>
        <v>213</v>
      </c>
      <c r="D230" s="38">
        <v>20.714273</v>
      </c>
      <c r="E230" s="38">
        <v>-156.447128</v>
      </c>
      <c r="F230" s="38" t="s">
        <v>418</v>
      </c>
      <c r="G230" s="39">
        <v>0.39444444444444443</v>
      </c>
      <c r="H230" s="39">
        <v>0.4270833333333333</v>
      </c>
      <c r="I230" s="38">
        <v>10.0</v>
      </c>
      <c r="J230" s="38">
        <v>10.0</v>
      </c>
      <c r="K230" s="38" t="s">
        <v>198</v>
      </c>
      <c r="L230" s="38">
        <v>5.0</v>
      </c>
      <c r="M230" s="38">
        <v>25.0</v>
      </c>
      <c r="N230" s="38" t="s">
        <v>500</v>
      </c>
      <c r="O230" s="38"/>
      <c r="P230" s="38"/>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38">
        <v>2.0</v>
      </c>
      <c r="AO230" s="40"/>
      <c r="AP230" s="40"/>
      <c r="AQ230" s="40"/>
      <c r="AR230" s="40"/>
      <c r="AS230" s="40"/>
      <c r="AT230" s="40"/>
      <c r="AU230" s="38">
        <v>1.0</v>
      </c>
      <c r="AV230" s="40"/>
      <c r="AW230" s="40"/>
      <c r="AX230" s="40"/>
      <c r="AY230" s="40"/>
      <c r="AZ230" s="40"/>
      <c r="BA230" s="40"/>
      <c r="BB230" s="40"/>
      <c r="BC230" s="40"/>
      <c r="BD230" s="40"/>
      <c r="BE230" s="40"/>
      <c r="BF230" s="38">
        <v>10.0</v>
      </c>
      <c r="BG230" s="40"/>
      <c r="BH230" s="40"/>
      <c r="BI230" s="40"/>
      <c r="BJ230" s="40"/>
      <c r="BK230" s="40"/>
      <c r="BL230" s="40"/>
      <c r="BM230" s="38">
        <v>21.0</v>
      </c>
      <c r="BN230" s="40"/>
      <c r="BO230" s="40"/>
      <c r="BP230" s="40"/>
      <c r="BQ230" s="40"/>
      <c r="BR230" s="40"/>
      <c r="BS230" s="40"/>
      <c r="BT230" s="40"/>
      <c r="BU230" s="40"/>
      <c r="BV230" s="40"/>
      <c r="BW230" s="38">
        <v>1.0</v>
      </c>
      <c r="BX230" s="40"/>
      <c r="BY230" s="40"/>
      <c r="BZ230" s="40"/>
      <c r="CA230" s="40"/>
      <c r="CB230" s="40"/>
      <c r="CC230" s="38">
        <v>14.0</v>
      </c>
      <c r="CD230" s="38">
        <v>4.0</v>
      </c>
      <c r="CE230" s="38">
        <v>2.0</v>
      </c>
      <c r="CF230" s="40"/>
      <c r="CG230" s="40"/>
      <c r="CH230" s="40"/>
      <c r="CI230" s="40"/>
      <c r="CJ230" s="40"/>
      <c r="CK230" s="40"/>
      <c r="CL230" s="40"/>
      <c r="CM230" s="40"/>
      <c r="CN230" s="40"/>
      <c r="CO230" s="40"/>
      <c r="CP230" s="40"/>
      <c r="CQ230" s="40"/>
      <c r="CR230" s="40"/>
      <c r="CS230" s="40"/>
      <c r="CT230" s="40"/>
      <c r="CU230" s="40"/>
      <c r="CV230" s="40"/>
      <c r="CW230" s="40"/>
      <c r="CX230" s="40"/>
      <c r="CY230" s="40"/>
      <c r="CZ230" s="40"/>
      <c r="DA230" s="40"/>
      <c r="DB230" s="40"/>
      <c r="DC230" s="40"/>
      <c r="DD230" s="40"/>
      <c r="DE230" s="40"/>
      <c r="DF230" s="40"/>
      <c r="DG230" s="40"/>
      <c r="DH230" s="40"/>
      <c r="DI230" s="40"/>
      <c r="DJ230" s="40"/>
      <c r="DK230" s="40"/>
      <c r="DL230" s="40"/>
      <c r="DM230" s="40"/>
      <c r="DN230" s="40"/>
      <c r="DO230" s="40"/>
      <c r="DP230" s="40"/>
      <c r="DQ230" s="40"/>
      <c r="DR230" s="40"/>
      <c r="DS230" s="40"/>
      <c r="DT230" s="40"/>
      <c r="DU230" s="40"/>
      <c r="DV230" s="40"/>
      <c r="DW230" s="40"/>
      <c r="DX230" s="40"/>
      <c r="DY230" s="40"/>
      <c r="DZ230" s="40"/>
      <c r="EA230" s="40"/>
      <c r="EB230" s="40"/>
      <c r="EC230" s="38">
        <v>2.0</v>
      </c>
      <c r="ED230" s="38">
        <v>5.0</v>
      </c>
      <c r="EE230" s="38"/>
      <c r="EF230" s="38"/>
      <c r="EG230" s="38"/>
      <c r="EH230" s="38"/>
      <c r="EI230" s="38"/>
      <c r="EJ230" s="38">
        <v>26.0</v>
      </c>
      <c r="EK230" s="40"/>
      <c r="EL230" s="40"/>
      <c r="EM230" s="40"/>
      <c r="EN230" s="40"/>
      <c r="EO230" s="40"/>
      <c r="EP230" s="40"/>
      <c r="EQ230" s="40"/>
      <c r="ER230" s="40"/>
      <c r="ES230" s="38"/>
      <c r="ET230" s="38"/>
      <c r="EU230" s="38"/>
      <c r="EV230" s="38">
        <v>13.0</v>
      </c>
      <c r="EW230" s="40"/>
      <c r="EX230" s="40"/>
      <c r="EY230" s="40"/>
      <c r="EZ230" s="40"/>
      <c r="FA230" s="38">
        <v>1.0</v>
      </c>
      <c r="FB230" s="40"/>
      <c r="FC230" s="40"/>
      <c r="FD230" s="40"/>
      <c r="FE230" s="40"/>
      <c r="FF230" s="38">
        <v>33.0</v>
      </c>
      <c r="FG230" s="40"/>
      <c r="FH230" s="40"/>
      <c r="FI230" s="40"/>
      <c r="FJ230" s="40"/>
      <c r="FK230" s="40"/>
      <c r="FL230" s="40"/>
      <c r="FM230" s="40"/>
      <c r="FN230" s="40"/>
      <c r="FO230" s="40"/>
      <c r="FP230" s="40"/>
      <c r="FQ230" s="40"/>
      <c r="FR230" s="38">
        <v>1.0</v>
      </c>
      <c r="FS230" s="38">
        <v>206.0</v>
      </c>
      <c r="FT230" s="40"/>
      <c r="FU230" s="40"/>
      <c r="FV230" s="40"/>
      <c r="FW230" s="40"/>
      <c r="FX230" s="40"/>
      <c r="FY230" s="40"/>
      <c r="FZ230" s="40"/>
      <c r="GA230" s="38">
        <v>5.0</v>
      </c>
      <c r="GB230" s="40"/>
      <c r="GC230" s="40"/>
      <c r="GD230" s="40"/>
      <c r="GE230" s="40"/>
      <c r="GF230" s="40"/>
      <c r="GG230" s="40"/>
      <c r="GH230" s="40">
        <f t="shared" si="130"/>
        <v>17</v>
      </c>
      <c r="GI230" s="40">
        <f t="shared" si="131"/>
        <v>13</v>
      </c>
      <c r="GJ230" s="40">
        <f t="shared" si="132"/>
        <v>9</v>
      </c>
      <c r="GK230" s="40">
        <f t="shared" si="133"/>
        <v>347</v>
      </c>
      <c r="GL230" s="40">
        <f t="shared" si="134"/>
        <v>0</v>
      </c>
      <c r="GM230" s="40">
        <f t="shared" si="135"/>
        <v>-347</v>
      </c>
      <c r="GN230" s="40"/>
      <c r="GO230" s="40"/>
      <c r="GP230" s="40"/>
      <c r="GQ230" s="40"/>
      <c r="GR230" s="40"/>
      <c r="GS230" s="40"/>
      <c r="GT230" s="40"/>
      <c r="GU230" s="40"/>
      <c r="GV230" s="40"/>
      <c r="GW230" s="40"/>
      <c r="GX230" s="40"/>
      <c r="GY230" s="40"/>
      <c r="GZ230" s="40"/>
      <c r="HA230" s="40"/>
      <c r="HB230" s="40"/>
      <c r="HC230" s="40"/>
      <c r="HD230" s="40"/>
      <c r="HE230" s="40"/>
      <c r="HF230" s="40"/>
      <c r="HG230" s="40"/>
      <c r="HH230" s="40"/>
      <c r="HI230" s="40"/>
    </row>
    <row r="231">
      <c r="A231" s="41">
        <v>43588.0</v>
      </c>
      <c r="B231" s="42" t="s">
        <v>250</v>
      </c>
      <c r="C231" s="28">
        <f t="shared" si="136"/>
        <v>214</v>
      </c>
      <c r="D231" s="42">
        <v>21.4104</v>
      </c>
      <c r="E231" s="42">
        <v>-158.177704</v>
      </c>
      <c r="F231" s="42" t="s">
        <v>418</v>
      </c>
      <c r="G231" s="43">
        <v>0.375</v>
      </c>
      <c r="H231" s="43">
        <v>0.5</v>
      </c>
      <c r="I231" s="42">
        <v>6.0</v>
      </c>
      <c r="J231" s="42">
        <v>10.0</v>
      </c>
      <c r="K231" s="42" t="s">
        <v>217</v>
      </c>
      <c r="L231" s="42">
        <v>5.0</v>
      </c>
      <c r="M231" s="42">
        <v>1.0</v>
      </c>
      <c r="N231" s="42" t="s">
        <v>552</v>
      </c>
      <c r="O231" s="44"/>
      <c r="P231" s="42"/>
      <c r="Q231" s="44"/>
      <c r="R231" s="44"/>
      <c r="S231" s="44"/>
      <c r="T231" s="44"/>
      <c r="U231" s="44"/>
      <c r="V231" s="44"/>
      <c r="W231" s="44"/>
      <c r="X231" s="44"/>
      <c r="Y231" s="44"/>
      <c r="Z231" s="44"/>
      <c r="AA231" s="44"/>
      <c r="AB231" s="44"/>
      <c r="AC231" s="42"/>
      <c r="AD231" s="42"/>
      <c r="AE231" s="44"/>
      <c r="AF231" s="44"/>
      <c r="AG231" s="44"/>
      <c r="AH231" s="42"/>
      <c r="AI231" s="44"/>
      <c r="AJ231" s="44"/>
      <c r="AK231" s="44"/>
      <c r="AL231" s="44"/>
      <c r="AM231" s="44"/>
      <c r="AN231" s="44"/>
      <c r="AO231" s="44"/>
      <c r="AP231" s="44"/>
      <c r="AQ231" s="44"/>
      <c r="AR231" s="44"/>
      <c r="AS231" s="44"/>
      <c r="AT231" s="44"/>
      <c r="AU231" s="44"/>
      <c r="AV231" s="44"/>
      <c r="AW231" s="44"/>
      <c r="AX231" s="44"/>
      <c r="AY231" s="44"/>
      <c r="AZ231" s="44"/>
      <c r="BA231" s="42"/>
      <c r="BB231" s="42"/>
      <c r="BC231" s="44"/>
      <c r="BD231" s="44"/>
      <c r="BE231" s="44"/>
      <c r="BF231" s="44"/>
      <c r="BG231" s="42"/>
      <c r="BH231" s="42"/>
      <c r="BI231" s="44"/>
      <c r="BJ231" s="44"/>
      <c r="BK231" s="44"/>
      <c r="BL231" s="42"/>
      <c r="BM231" s="42"/>
      <c r="BN231" s="44"/>
      <c r="BO231" s="44"/>
      <c r="BP231" s="44"/>
      <c r="BQ231" s="42">
        <v>5.0</v>
      </c>
      <c r="BR231" s="42">
        <v>5.0</v>
      </c>
      <c r="BS231" s="44"/>
      <c r="BT231" s="44"/>
      <c r="BU231" s="44"/>
      <c r="BV231" s="44"/>
      <c r="BW231" s="44"/>
      <c r="BX231" s="44"/>
      <c r="BY231" s="44"/>
      <c r="BZ231" s="44"/>
      <c r="CA231" s="44"/>
      <c r="CB231" s="44"/>
      <c r="CC231" s="42"/>
      <c r="CD231" s="42"/>
      <c r="CE231" s="44"/>
      <c r="CF231" s="44"/>
      <c r="CG231" s="44"/>
      <c r="CH231" s="44"/>
      <c r="CI231" s="44"/>
      <c r="CJ231" s="44"/>
      <c r="CK231" s="44"/>
      <c r="CL231" s="44"/>
      <c r="CM231" s="44"/>
      <c r="CN231" s="44"/>
      <c r="CO231" s="44"/>
      <c r="CP231" s="44"/>
      <c r="CQ231" s="44"/>
      <c r="CR231" s="44"/>
      <c r="CS231" s="44"/>
      <c r="CT231" s="44"/>
      <c r="CU231" s="44"/>
      <c r="CV231" s="44"/>
      <c r="CW231" s="44"/>
      <c r="CX231" s="44"/>
      <c r="CY231" s="44"/>
      <c r="CZ231" s="44"/>
      <c r="DA231" s="44"/>
      <c r="DB231" s="44"/>
      <c r="DC231" s="44"/>
      <c r="DD231" s="44"/>
      <c r="DE231" s="44"/>
      <c r="DF231" s="44"/>
      <c r="DG231" s="44"/>
      <c r="DH231" s="44"/>
      <c r="DI231" s="44"/>
      <c r="DJ231" s="44"/>
      <c r="DK231" s="44"/>
      <c r="DL231" s="44"/>
      <c r="DM231" s="42">
        <v>2.0</v>
      </c>
      <c r="DN231" s="44"/>
      <c r="DO231" s="44"/>
      <c r="DP231" s="44"/>
      <c r="DQ231" s="44"/>
      <c r="DR231" s="44"/>
      <c r="DS231" s="44"/>
      <c r="DT231" s="44"/>
      <c r="DU231" s="44"/>
      <c r="DV231" s="44"/>
      <c r="DW231" s="44"/>
      <c r="DX231" s="44"/>
      <c r="DY231" s="44"/>
      <c r="DZ231" s="44"/>
      <c r="EA231" s="44"/>
      <c r="EB231" s="44"/>
      <c r="EC231" s="44"/>
      <c r="ED231" s="44"/>
      <c r="EE231" s="42"/>
      <c r="EF231" s="42"/>
      <c r="EG231" s="42"/>
      <c r="EH231" s="42"/>
      <c r="EI231" s="42"/>
      <c r="EJ231" s="42"/>
      <c r="EK231" s="44"/>
      <c r="EL231" s="44"/>
      <c r="EM231" s="44"/>
      <c r="EN231" s="44"/>
      <c r="EO231" s="44"/>
      <c r="EP231" s="44"/>
      <c r="EQ231" s="44"/>
      <c r="ER231" s="44"/>
      <c r="ES231" s="44"/>
      <c r="ET231" s="44"/>
      <c r="EU231" s="44"/>
      <c r="EV231" s="44"/>
      <c r="EW231" s="44"/>
      <c r="EX231" s="44"/>
      <c r="EY231" s="44"/>
      <c r="EZ231" s="44"/>
      <c r="FA231" s="42"/>
      <c r="FB231" s="42"/>
      <c r="FC231" s="44"/>
      <c r="FD231" s="44"/>
      <c r="FE231" s="44"/>
      <c r="FF231" s="44"/>
      <c r="FG231" s="44"/>
      <c r="FH231" s="44"/>
      <c r="FI231" s="44"/>
      <c r="FJ231" s="44"/>
      <c r="FK231" s="44"/>
      <c r="FL231" s="44"/>
      <c r="FM231" s="44"/>
      <c r="FN231" s="44"/>
      <c r="FO231" s="44"/>
      <c r="FP231" s="44"/>
      <c r="FQ231" s="44"/>
      <c r="FR231" s="44"/>
      <c r="FS231" s="42">
        <v>7.0</v>
      </c>
      <c r="FT231" s="44"/>
      <c r="FU231" s="44"/>
      <c r="FV231" s="42"/>
      <c r="FW231" s="42"/>
      <c r="FX231" s="44"/>
      <c r="FY231" s="44"/>
      <c r="FZ231" s="44"/>
      <c r="GA231" s="44"/>
      <c r="GB231" s="44"/>
      <c r="GC231" s="44"/>
      <c r="GD231" s="44"/>
      <c r="GE231" s="44"/>
      <c r="GF231" s="44"/>
      <c r="GG231" s="42">
        <v>1.0</v>
      </c>
      <c r="GH231" s="44"/>
      <c r="GI231" s="44"/>
      <c r="GJ231" s="44"/>
      <c r="GK231" s="44"/>
      <c r="GL231" s="44"/>
      <c r="GM231" s="44"/>
      <c r="GN231" s="44"/>
      <c r="GO231" s="44"/>
      <c r="GP231" s="44"/>
      <c r="GQ231" s="44"/>
      <c r="GR231" s="44"/>
      <c r="GS231" s="44"/>
      <c r="GT231" s="44"/>
      <c r="GU231" s="44"/>
      <c r="GV231" s="44"/>
      <c r="GW231" s="44"/>
      <c r="GX231" s="44"/>
      <c r="GY231" s="44"/>
      <c r="GZ231" s="44"/>
      <c r="HA231" s="44"/>
      <c r="HB231" s="44"/>
      <c r="HC231" s="44"/>
      <c r="HD231" s="44"/>
      <c r="HE231" s="44"/>
      <c r="HF231" s="44"/>
      <c r="HG231" s="44"/>
      <c r="HH231" s="44"/>
      <c r="HI231" s="44"/>
    </row>
    <row r="232">
      <c r="A232" s="31">
        <v>43588.0</v>
      </c>
      <c r="B232" s="32" t="s">
        <v>233</v>
      </c>
      <c r="C232" s="28"/>
      <c r="D232" s="32"/>
      <c r="E232" s="32"/>
      <c r="F232" s="32"/>
      <c r="G232" s="33"/>
      <c r="H232" s="33"/>
      <c r="I232" s="32"/>
      <c r="J232" s="32"/>
      <c r="K232" s="32"/>
      <c r="L232" s="32"/>
      <c r="M232" s="32"/>
      <c r="N232" s="32"/>
      <c r="O232" s="34"/>
      <c r="P232" s="32"/>
      <c r="Q232" s="34"/>
      <c r="R232" s="34"/>
      <c r="S232" s="34"/>
      <c r="T232" s="34"/>
      <c r="U232" s="34"/>
      <c r="V232" s="34"/>
      <c r="W232" s="34"/>
      <c r="X232" s="34"/>
      <c r="Y232" s="34"/>
      <c r="Z232" s="34"/>
      <c r="AA232" s="34"/>
      <c r="AB232" s="34"/>
      <c r="AC232" s="32"/>
      <c r="AD232" s="32"/>
      <c r="AE232" s="34"/>
      <c r="AF232" s="34"/>
      <c r="AG232" s="34"/>
      <c r="AH232" s="32"/>
      <c r="AI232" s="34"/>
      <c r="AJ232" s="34"/>
      <c r="AK232" s="34"/>
      <c r="AL232" s="34"/>
      <c r="AM232" s="34"/>
      <c r="AN232" s="34"/>
      <c r="AO232" s="34"/>
      <c r="AP232" s="34"/>
      <c r="AQ232" s="34"/>
      <c r="AR232" s="34"/>
      <c r="AS232" s="34"/>
      <c r="AT232" s="34"/>
      <c r="AU232" s="34"/>
      <c r="AV232" s="34"/>
      <c r="AW232" s="34"/>
      <c r="AX232" s="34"/>
      <c r="AY232" s="34"/>
      <c r="AZ232" s="34"/>
      <c r="BA232" s="32"/>
      <c r="BB232" s="32"/>
      <c r="BC232" s="34"/>
      <c r="BD232" s="34"/>
      <c r="BE232" s="34"/>
      <c r="BF232" s="34"/>
      <c r="BG232" s="32"/>
      <c r="BH232" s="32"/>
      <c r="BI232" s="34"/>
      <c r="BJ232" s="34"/>
      <c r="BK232" s="34"/>
      <c r="BL232" s="32"/>
      <c r="BM232" s="32"/>
      <c r="BN232" s="34"/>
      <c r="BO232" s="34"/>
      <c r="BP232" s="34"/>
      <c r="BQ232" s="34"/>
      <c r="BR232" s="34"/>
      <c r="BS232" s="34"/>
      <c r="BT232" s="34"/>
      <c r="BU232" s="34"/>
      <c r="BV232" s="34"/>
      <c r="BW232" s="34"/>
      <c r="BX232" s="34"/>
      <c r="BY232" s="34"/>
      <c r="BZ232" s="34"/>
      <c r="CA232" s="34"/>
      <c r="CB232" s="34"/>
      <c r="CC232" s="32"/>
      <c r="CD232" s="32"/>
      <c r="CE232" s="34"/>
      <c r="CF232" s="34"/>
      <c r="CG232" s="34"/>
      <c r="CH232" s="34"/>
      <c r="CI232" s="34"/>
      <c r="CJ232" s="34"/>
      <c r="CK232" s="34"/>
      <c r="CL232" s="34"/>
      <c r="CM232" s="34"/>
      <c r="CN232" s="34"/>
      <c r="CO232" s="34"/>
      <c r="CP232" s="34"/>
      <c r="CQ232" s="34"/>
      <c r="CR232" s="34"/>
      <c r="CS232" s="34"/>
      <c r="CT232" s="34"/>
      <c r="CU232" s="34"/>
      <c r="CV232" s="34"/>
      <c r="CW232" s="34"/>
      <c r="CX232" s="34"/>
      <c r="CY232" s="34"/>
      <c r="CZ232" s="34"/>
      <c r="DA232" s="34"/>
      <c r="DB232" s="34"/>
      <c r="DC232" s="34"/>
      <c r="DD232" s="34"/>
      <c r="DE232" s="34"/>
      <c r="DF232" s="34"/>
      <c r="DG232" s="34"/>
      <c r="DH232" s="34"/>
      <c r="DI232" s="34"/>
      <c r="DJ232" s="34"/>
      <c r="DK232" s="34"/>
      <c r="DL232" s="34"/>
      <c r="DM232" s="32"/>
      <c r="DN232" s="34"/>
      <c r="DO232" s="34"/>
      <c r="DP232" s="34"/>
      <c r="DQ232" s="34"/>
      <c r="DR232" s="34"/>
      <c r="DS232" s="34"/>
      <c r="DT232" s="34"/>
      <c r="DU232" s="34"/>
      <c r="DV232" s="34"/>
      <c r="DW232" s="34"/>
      <c r="DX232" s="34"/>
      <c r="DY232" s="34"/>
      <c r="DZ232" s="34"/>
      <c r="EA232" s="34"/>
      <c r="EB232" s="34"/>
      <c r="EC232" s="34"/>
      <c r="ED232" s="34"/>
      <c r="EE232" s="32"/>
      <c r="EF232" s="32"/>
      <c r="EG232" s="32"/>
      <c r="EH232" s="32"/>
      <c r="EI232" s="32"/>
      <c r="EJ232" s="32"/>
      <c r="EK232" s="34"/>
      <c r="EL232" s="34"/>
      <c r="EM232" s="34"/>
      <c r="EN232" s="34"/>
      <c r="EO232" s="34"/>
      <c r="EP232" s="34"/>
      <c r="EQ232" s="34"/>
      <c r="ER232" s="34"/>
      <c r="ES232" s="34"/>
      <c r="ET232" s="34"/>
      <c r="EU232" s="34"/>
      <c r="EV232" s="34"/>
      <c r="EW232" s="34"/>
      <c r="EX232" s="34"/>
      <c r="EY232" s="34"/>
      <c r="EZ232" s="34"/>
      <c r="FA232" s="32"/>
      <c r="FB232" s="32"/>
      <c r="FC232" s="34"/>
      <c r="FD232" s="34"/>
      <c r="FE232" s="34"/>
      <c r="FF232" s="34"/>
      <c r="FG232" s="34"/>
      <c r="FH232" s="34"/>
      <c r="FI232" s="34"/>
      <c r="FJ232" s="34"/>
      <c r="FK232" s="34"/>
      <c r="FL232" s="34"/>
      <c r="FM232" s="34"/>
      <c r="FN232" s="34"/>
      <c r="FO232" s="34"/>
      <c r="FP232" s="34"/>
      <c r="FQ232" s="34"/>
      <c r="FR232" s="34"/>
      <c r="FS232" s="32"/>
      <c r="FT232" s="34"/>
      <c r="FU232" s="34"/>
      <c r="FV232" s="32"/>
      <c r="FW232" s="32"/>
      <c r="FX232" s="34"/>
      <c r="FY232" s="34"/>
      <c r="FZ232" s="34"/>
      <c r="GA232" s="34"/>
      <c r="GB232" s="34"/>
      <c r="GC232" s="34"/>
      <c r="GD232" s="34"/>
      <c r="GE232" s="34"/>
      <c r="GF232" s="34"/>
      <c r="GG232" s="34"/>
      <c r="GH232" s="34"/>
      <c r="GI232" s="34"/>
      <c r="GJ232" s="34"/>
      <c r="GK232" s="34"/>
      <c r="GL232" s="34"/>
      <c r="GM232" s="34"/>
      <c r="GN232" s="34"/>
      <c r="GO232" s="34"/>
      <c r="GP232" s="34"/>
      <c r="GQ232" s="34"/>
      <c r="GR232" s="34"/>
      <c r="GS232" s="34"/>
      <c r="GT232" s="34"/>
      <c r="GU232" s="34"/>
      <c r="GV232" s="34"/>
      <c r="GW232" s="34"/>
      <c r="GX232" s="34"/>
      <c r="GY232" s="34"/>
      <c r="GZ232" s="34"/>
      <c r="HA232" s="34"/>
      <c r="HB232" s="34"/>
      <c r="HC232" s="34"/>
      <c r="HD232" s="34"/>
      <c r="HE232" s="34"/>
      <c r="HF232" s="34"/>
      <c r="HG232" s="34"/>
      <c r="HH232" s="34"/>
      <c r="HI232" s="34"/>
    </row>
    <row r="233">
      <c r="A233" s="41">
        <v>43591.0</v>
      </c>
      <c r="B233" s="42" t="s">
        <v>250</v>
      </c>
      <c r="C233" s="28">
        <v>215.0</v>
      </c>
      <c r="D233" s="42">
        <v>21.4104</v>
      </c>
      <c r="E233" s="42">
        <v>-158.177704</v>
      </c>
      <c r="F233" s="42" t="s">
        <v>418</v>
      </c>
      <c r="G233" s="43">
        <v>0.40625</v>
      </c>
      <c r="H233" s="43">
        <v>0.4791666666666667</v>
      </c>
      <c r="I233" s="42">
        <v>5.0</v>
      </c>
      <c r="J233" s="42">
        <v>20.0</v>
      </c>
      <c r="K233" s="42" t="s">
        <v>460</v>
      </c>
      <c r="L233" s="42">
        <v>5.0</v>
      </c>
      <c r="M233" s="42">
        <v>24.0</v>
      </c>
      <c r="N233" s="42" t="s">
        <v>298</v>
      </c>
      <c r="O233" s="44"/>
      <c r="P233" s="42"/>
      <c r="Q233" s="44"/>
      <c r="R233" s="42">
        <v>4.0</v>
      </c>
      <c r="S233" s="42">
        <v>3.0</v>
      </c>
      <c r="T233" s="44"/>
      <c r="U233" s="44"/>
      <c r="V233" s="44"/>
      <c r="W233" s="44"/>
      <c r="X233" s="44"/>
      <c r="Y233" s="44"/>
      <c r="Z233" s="44"/>
      <c r="AA233" s="44"/>
      <c r="AB233" s="44"/>
      <c r="AC233" s="42">
        <v>6.0</v>
      </c>
      <c r="AD233" s="42"/>
      <c r="AE233" s="44"/>
      <c r="AF233" s="44"/>
      <c r="AG233" s="44"/>
      <c r="AH233" s="42"/>
      <c r="AI233" s="44"/>
      <c r="AJ233" s="44"/>
      <c r="AK233" s="44"/>
      <c r="AL233" s="44"/>
      <c r="AM233" s="44"/>
      <c r="AN233" s="44"/>
      <c r="AO233" s="44"/>
      <c r="AP233" s="44"/>
      <c r="AQ233" s="44"/>
      <c r="AR233" s="44"/>
      <c r="AS233" s="44"/>
      <c r="AT233" s="44"/>
      <c r="AU233" s="44"/>
      <c r="AV233" s="44"/>
      <c r="AW233" s="44"/>
      <c r="AX233" s="44"/>
      <c r="AY233" s="44"/>
      <c r="AZ233" s="44"/>
      <c r="BA233" s="42"/>
      <c r="BB233" s="42"/>
      <c r="BC233" s="44"/>
      <c r="BD233" s="42">
        <v>2.0</v>
      </c>
      <c r="BE233" s="44"/>
      <c r="BF233" s="44"/>
      <c r="BG233" s="42"/>
      <c r="BH233" s="42"/>
      <c r="BI233" s="44"/>
      <c r="BJ233" s="44"/>
      <c r="BK233" s="44"/>
      <c r="BL233" s="42"/>
      <c r="BM233" s="42">
        <v>49.0</v>
      </c>
      <c r="BN233" s="44"/>
      <c r="BO233" s="44"/>
      <c r="BP233" s="44"/>
      <c r="BQ233" s="42">
        <v>59.0</v>
      </c>
      <c r="BR233" s="44"/>
      <c r="BS233" s="44"/>
      <c r="BT233" s="42">
        <v>1.0</v>
      </c>
      <c r="BU233" s="44"/>
      <c r="BV233" s="42">
        <v>7.0</v>
      </c>
      <c r="BW233" s="44"/>
      <c r="BX233" s="44"/>
      <c r="BY233" s="44"/>
      <c r="BZ233" s="42">
        <v>8.0</v>
      </c>
      <c r="CA233" s="44"/>
      <c r="CB233" s="42">
        <v>3.0</v>
      </c>
      <c r="CC233" s="42">
        <v>29.0</v>
      </c>
      <c r="CD233" s="42">
        <v>12.0</v>
      </c>
      <c r="CE233" s="42">
        <v>36.0</v>
      </c>
      <c r="CF233" s="42">
        <v>14.0</v>
      </c>
      <c r="CG233" s="44"/>
      <c r="CH233" s="44"/>
      <c r="CI233" s="44"/>
      <c r="CJ233" s="44"/>
      <c r="CK233" s="44"/>
      <c r="CL233" s="44"/>
      <c r="CM233" s="44"/>
      <c r="CN233" s="44"/>
      <c r="CO233" s="42">
        <v>23.0</v>
      </c>
      <c r="CP233" s="44"/>
      <c r="CQ233" s="44"/>
      <c r="CR233" s="44"/>
      <c r="CS233" s="42">
        <v>5.0</v>
      </c>
      <c r="CT233" s="44"/>
      <c r="CU233" s="44"/>
      <c r="CV233" s="44"/>
      <c r="CW233" s="44"/>
      <c r="CX233" s="44"/>
      <c r="CY233" s="44"/>
      <c r="CZ233" s="44"/>
      <c r="DA233" s="42">
        <v>1.0</v>
      </c>
      <c r="DB233" s="44"/>
      <c r="DC233" s="44"/>
      <c r="DD233" s="44"/>
      <c r="DE233" s="44"/>
      <c r="DF233" s="44"/>
      <c r="DG233" s="44"/>
      <c r="DH233" s="44"/>
      <c r="DI233" s="44"/>
      <c r="DJ233" s="44"/>
      <c r="DK233" s="44"/>
      <c r="DL233" s="44"/>
      <c r="DM233" s="42">
        <v>5.0</v>
      </c>
      <c r="DN233" s="44"/>
      <c r="DO233" s="44"/>
      <c r="DP233" s="42">
        <v>5.0</v>
      </c>
      <c r="DQ233" s="44"/>
      <c r="DR233" s="44"/>
      <c r="DS233" s="44"/>
      <c r="DT233" s="44"/>
      <c r="DU233" s="44"/>
      <c r="DV233" s="44"/>
      <c r="DW233" s="44"/>
      <c r="DX233" s="44"/>
      <c r="DY233" s="44"/>
      <c r="DZ233" s="44"/>
      <c r="EA233" s="44"/>
      <c r="EB233" s="44"/>
      <c r="EC233" s="42">
        <v>13.0</v>
      </c>
      <c r="ED233" s="42">
        <v>10.0</v>
      </c>
      <c r="EE233" s="42"/>
      <c r="EF233" s="42"/>
      <c r="EG233" s="42"/>
      <c r="EH233" s="42"/>
      <c r="EI233" s="42"/>
      <c r="EJ233" s="42">
        <v>11.0</v>
      </c>
      <c r="EK233" s="44"/>
      <c r="EL233" s="44"/>
      <c r="EM233" s="44"/>
      <c r="EN233" s="44"/>
      <c r="EO233" s="44"/>
      <c r="EP233" s="44"/>
      <c r="EQ233" s="44"/>
      <c r="ER233" s="44"/>
      <c r="ES233" s="44"/>
      <c r="ET233" s="44"/>
      <c r="EU233" s="44"/>
      <c r="EV233" s="44"/>
      <c r="EW233" s="44"/>
      <c r="EX233" s="44"/>
      <c r="EY233" s="44"/>
      <c r="EZ233" s="44"/>
      <c r="FA233" s="42"/>
      <c r="FB233" s="42">
        <v>20.0</v>
      </c>
      <c r="FC233" s="42">
        <v>19.0</v>
      </c>
      <c r="FD233" s="44"/>
      <c r="FE233" s="44"/>
      <c r="FF233" s="44"/>
      <c r="FG233" s="44"/>
      <c r="FH233" s="44"/>
      <c r="FI233" s="44"/>
      <c r="FJ233" s="44"/>
      <c r="FK233" s="44"/>
      <c r="FL233" s="44"/>
      <c r="FM233" s="44"/>
      <c r="FN233" s="44"/>
      <c r="FO233" s="44"/>
      <c r="FP233" s="44"/>
      <c r="FQ233" s="44"/>
      <c r="FR233" s="42">
        <v>11.0</v>
      </c>
      <c r="FS233" s="42">
        <v>170.0</v>
      </c>
      <c r="FT233" s="44"/>
      <c r="FU233" s="44"/>
      <c r="FV233" s="42"/>
      <c r="FW233" s="42"/>
      <c r="FX233" s="44"/>
      <c r="FY233" s="44"/>
      <c r="FZ233" s="44"/>
      <c r="GA233" s="44"/>
      <c r="GB233" s="44"/>
      <c r="GC233" s="44"/>
      <c r="GD233" s="44"/>
      <c r="GE233" s="44"/>
      <c r="GF233" s="44"/>
      <c r="GG233" s="44"/>
      <c r="GH233" s="44"/>
      <c r="GI233" s="44"/>
      <c r="GJ233" s="44"/>
      <c r="GK233" s="44"/>
      <c r="GL233" s="44"/>
      <c r="GM233" s="44"/>
      <c r="GN233" s="44"/>
      <c r="GO233" s="44"/>
      <c r="GP233" s="44"/>
      <c r="GQ233" s="44"/>
      <c r="GR233" s="44"/>
      <c r="GS233" s="44"/>
      <c r="GT233" s="44"/>
      <c r="GU233" s="44"/>
      <c r="GV233" s="44"/>
      <c r="GW233" s="44"/>
      <c r="GX233" s="44"/>
      <c r="GY233" s="44"/>
      <c r="GZ233" s="44"/>
      <c r="HA233" s="44"/>
      <c r="HB233" s="44"/>
      <c r="HC233" s="44"/>
      <c r="HD233" s="44"/>
      <c r="HE233" s="44"/>
      <c r="HF233" s="44"/>
      <c r="HG233" s="44"/>
      <c r="HH233" s="44"/>
      <c r="HI233" s="44"/>
    </row>
    <row r="234">
      <c r="A234" s="41">
        <v>43592.0</v>
      </c>
      <c r="B234" s="42" t="s">
        <v>250</v>
      </c>
      <c r="C234" s="28">
        <f t="shared" ref="C234:C249" si="137">C233+1</f>
        <v>216</v>
      </c>
      <c r="D234" s="42">
        <v>21.4104</v>
      </c>
      <c r="E234" s="42">
        <v>-158.177704</v>
      </c>
      <c r="F234" s="42" t="s">
        <v>418</v>
      </c>
      <c r="G234" s="43">
        <v>0.4375</v>
      </c>
      <c r="H234" s="43">
        <v>0.4791666666666667</v>
      </c>
      <c r="I234" s="42">
        <v>5.0</v>
      </c>
      <c r="J234" s="42">
        <v>20.0</v>
      </c>
      <c r="K234" s="42" t="s">
        <v>198</v>
      </c>
      <c r="L234" s="42">
        <v>5.0</v>
      </c>
      <c r="M234" s="42">
        <v>19.0</v>
      </c>
      <c r="N234" s="42" t="s">
        <v>525</v>
      </c>
      <c r="O234" s="44"/>
      <c r="P234" s="42"/>
      <c r="Q234" s="44"/>
      <c r="R234" s="42">
        <v>7.0</v>
      </c>
      <c r="S234" s="42">
        <v>1.0</v>
      </c>
      <c r="T234" s="42"/>
      <c r="U234" s="44"/>
      <c r="V234" s="44"/>
      <c r="W234" s="44"/>
      <c r="X234" s="44"/>
      <c r="Y234" s="44"/>
      <c r="Z234" s="44"/>
      <c r="AA234" s="44"/>
      <c r="AB234" s="44"/>
      <c r="AC234" s="42">
        <v>9.0</v>
      </c>
      <c r="AD234" s="42"/>
      <c r="AE234" s="44"/>
      <c r="AF234" s="44"/>
      <c r="AG234" s="44"/>
      <c r="AH234" s="42"/>
      <c r="AI234" s="42">
        <v>25.0</v>
      </c>
      <c r="AJ234" s="44"/>
      <c r="AK234" s="44"/>
      <c r="AL234" s="44"/>
      <c r="AM234" s="42">
        <v>1.0</v>
      </c>
      <c r="AN234" s="44"/>
      <c r="AO234" s="44"/>
      <c r="AP234" s="44"/>
      <c r="AQ234" s="44"/>
      <c r="AR234" s="44"/>
      <c r="AS234" s="44"/>
      <c r="AT234" s="44"/>
      <c r="AU234" s="44"/>
      <c r="AV234" s="44"/>
      <c r="AW234" s="44"/>
      <c r="AX234" s="44"/>
      <c r="AY234" s="44"/>
      <c r="AZ234" s="44"/>
      <c r="BA234" s="42"/>
      <c r="BB234" s="42"/>
      <c r="BC234" s="44"/>
      <c r="BD234" s="44"/>
      <c r="BE234" s="42">
        <v>9.0</v>
      </c>
      <c r="BF234" s="44"/>
      <c r="BG234" s="42"/>
      <c r="BH234" s="42"/>
      <c r="BI234" s="44"/>
      <c r="BJ234" s="44"/>
      <c r="BK234" s="44"/>
      <c r="BL234" s="42">
        <v>2.0</v>
      </c>
      <c r="BM234" s="42"/>
      <c r="BN234" s="42">
        <v>5.0</v>
      </c>
      <c r="BO234" s="44"/>
      <c r="BP234" s="44"/>
      <c r="BQ234" s="44"/>
      <c r="BR234" s="44"/>
      <c r="BS234" s="44"/>
      <c r="BT234" s="44"/>
      <c r="BU234" s="44"/>
      <c r="BV234" s="42">
        <v>13.0</v>
      </c>
      <c r="BW234" s="44"/>
      <c r="BX234" s="44"/>
      <c r="BY234" s="44"/>
      <c r="BZ234" s="42">
        <v>8.0</v>
      </c>
      <c r="CA234" s="44"/>
      <c r="CB234" s="44"/>
      <c r="CC234" s="42"/>
      <c r="CD234" s="42"/>
      <c r="CE234" s="44"/>
      <c r="CF234" s="44"/>
      <c r="CG234" s="44"/>
      <c r="CH234" s="44"/>
      <c r="CI234" s="44"/>
      <c r="CJ234" s="42">
        <v>1.0</v>
      </c>
      <c r="CK234" s="44"/>
      <c r="CL234" s="44"/>
      <c r="CM234" s="44"/>
      <c r="CN234" s="44"/>
      <c r="CO234" s="42">
        <v>14.0</v>
      </c>
      <c r="CP234" s="44"/>
      <c r="CQ234" s="44"/>
      <c r="CR234" s="44"/>
      <c r="CS234" s="42">
        <v>9.0</v>
      </c>
      <c r="CT234" s="44"/>
      <c r="CU234" s="44"/>
      <c r="CV234" s="42">
        <v>4.0</v>
      </c>
      <c r="CW234" s="44"/>
      <c r="CX234" s="44"/>
      <c r="CY234" s="44"/>
      <c r="CZ234" s="44"/>
      <c r="DA234" s="44"/>
      <c r="DB234" s="44"/>
      <c r="DC234" s="44"/>
      <c r="DD234" s="44"/>
      <c r="DE234" s="44"/>
      <c r="DF234" s="44"/>
      <c r="DG234" s="42">
        <v>7.0</v>
      </c>
      <c r="DH234" s="44"/>
      <c r="DI234" s="44"/>
      <c r="DJ234" s="44"/>
      <c r="DK234" s="44"/>
      <c r="DL234" s="44"/>
      <c r="DM234" s="42">
        <v>59.0</v>
      </c>
      <c r="DN234" s="44"/>
      <c r="DO234" s="44"/>
      <c r="DP234" s="44"/>
      <c r="DQ234" s="44"/>
      <c r="DR234" s="44"/>
      <c r="DS234" s="44"/>
      <c r="DT234" s="44"/>
      <c r="DU234" s="44"/>
      <c r="DV234" s="44"/>
      <c r="DW234" s="44"/>
      <c r="DX234" s="44"/>
      <c r="DY234" s="44"/>
      <c r="DZ234" s="44"/>
      <c r="EA234" s="44"/>
      <c r="EB234" s="44"/>
      <c r="EC234" s="42">
        <v>9.0</v>
      </c>
      <c r="ED234" s="44"/>
      <c r="EE234" s="42"/>
      <c r="EF234" s="42"/>
      <c r="EG234" s="42"/>
      <c r="EH234" s="42"/>
      <c r="EI234" s="42"/>
      <c r="EJ234" s="42">
        <v>26.0</v>
      </c>
      <c r="EK234" s="44"/>
      <c r="EL234" s="44"/>
      <c r="EM234" s="44"/>
      <c r="EN234" s="44"/>
      <c r="EO234" s="44"/>
      <c r="EP234" s="44"/>
      <c r="EQ234" s="44"/>
      <c r="ER234" s="44"/>
      <c r="ES234" s="44"/>
      <c r="ET234" s="44"/>
      <c r="EU234" s="44"/>
      <c r="EV234" s="42">
        <v>15.0</v>
      </c>
      <c r="EW234" s="44"/>
      <c r="EX234" s="42">
        <v>42.0</v>
      </c>
      <c r="EY234" s="44"/>
      <c r="EZ234" s="44"/>
      <c r="FA234" s="42"/>
      <c r="FB234" s="42">
        <v>7.0</v>
      </c>
      <c r="FC234" s="44"/>
      <c r="FD234" s="44"/>
      <c r="FE234" s="44"/>
      <c r="FF234" s="44"/>
      <c r="FG234" s="44"/>
      <c r="FH234" s="44"/>
      <c r="FI234" s="44"/>
      <c r="FJ234" s="44"/>
      <c r="FK234" s="44"/>
      <c r="FL234" s="44"/>
      <c r="FM234" s="44"/>
      <c r="FN234" s="44"/>
      <c r="FO234" s="44"/>
      <c r="FP234" s="44"/>
      <c r="FQ234" s="44"/>
      <c r="FR234" s="42">
        <v>16.0</v>
      </c>
      <c r="FS234" s="42">
        <v>53.0</v>
      </c>
      <c r="FT234" s="44"/>
      <c r="FU234" s="44"/>
      <c r="FV234" s="42"/>
      <c r="FW234" s="42">
        <v>4.0</v>
      </c>
      <c r="FX234" s="44"/>
      <c r="FY234" s="44"/>
      <c r="FZ234" s="44"/>
      <c r="GA234" s="44"/>
      <c r="GB234" s="44"/>
      <c r="GC234" s="44"/>
      <c r="GD234" s="44"/>
      <c r="GE234" s="44"/>
      <c r="GF234" s="44"/>
      <c r="GG234" s="42">
        <v>3.0</v>
      </c>
      <c r="GH234" s="44"/>
      <c r="GI234" s="44"/>
      <c r="GJ234" s="44"/>
      <c r="GK234" s="44"/>
      <c r="GL234" s="44"/>
      <c r="GM234" s="44"/>
      <c r="GN234" s="44"/>
      <c r="GO234" s="44"/>
      <c r="GP234" s="44"/>
      <c r="GQ234" s="44"/>
      <c r="GR234" s="44"/>
      <c r="GS234" s="44"/>
      <c r="GT234" s="44"/>
      <c r="GU234" s="44"/>
      <c r="GV234" s="44"/>
      <c r="GW234" s="44"/>
      <c r="GX234" s="44"/>
      <c r="GY234" s="44"/>
      <c r="GZ234" s="44"/>
      <c r="HA234" s="44"/>
      <c r="HB234" s="44"/>
      <c r="HC234" s="44"/>
      <c r="HD234" s="44"/>
      <c r="HE234" s="44"/>
      <c r="HF234" s="44"/>
      <c r="HG234" s="44"/>
      <c r="HH234" s="44"/>
      <c r="HI234" s="44"/>
    </row>
    <row r="235">
      <c r="A235" s="41">
        <v>43593.0</v>
      </c>
      <c r="B235" s="42" t="s">
        <v>355</v>
      </c>
      <c r="C235" s="28">
        <f t="shared" si="137"/>
        <v>217</v>
      </c>
      <c r="D235" s="42">
        <v>21.2843</v>
      </c>
      <c r="E235" s="42">
        <v>-157.675293</v>
      </c>
      <c r="F235" s="42" t="s">
        <v>356</v>
      </c>
      <c r="G235" s="43">
        <v>0.38472222222222224</v>
      </c>
      <c r="H235" s="43">
        <v>0.42986111111111114</v>
      </c>
      <c r="I235" s="42">
        <v>7.0</v>
      </c>
      <c r="J235" s="42">
        <v>28.0</v>
      </c>
      <c r="K235" s="42" t="s">
        <v>217</v>
      </c>
      <c r="L235" s="42">
        <v>4.0</v>
      </c>
      <c r="M235" s="42">
        <v>5.0</v>
      </c>
      <c r="N235" s="42" t="s">
        <v>553</v>
      </c>
      <c r="O235" s="44"/>
      <c r="P235" s="42"/>
      <c r="Q235" s="44"/>
      <c r="R235" s="44"/>
      <c r="S235" s="44"/>
      <c r="T235" s="44"/>
      <c r="U235" s="44"/>
      <c r="V235" s="44"/>
      <c r="W235" s="44"/>
      <c r="X235" s="44"/>
      <c r="Y235" s="44"/>
      <c r="Z235" s="44"/>
      <c r="AA235" s="44"/>
      <c r="AB235" s="44"/>
      <c r="AC235" s="42"/>
      <c r="AD235" s="42"/>
      <c r="AE235" s="44"/>
      <c r="AF235" s="44"/>
      <c r="AG235" s="44"/>
      <c r="AH235" s="42"/>
      <c r="AI235" s="44"/>
      <c r="AJ235" s="44"/>
      <c r="AK235" s="44"/>
      <c r="AL235" s="44"/>
      <c r="AM235" s="44"/>
      <c r="AN235" s="44"/>
      <c r="AO235" s="44"/>
      <c r="AP235" s="44"/>
      <c r="AQ235" s="44"/>
      <c r="AR235" s="44"/>
      <c r="AS235" s="44"/>
      <c r="AT235" s="44"/>
      <c r="AU235" s="44"/>
      <c r="AV235" s="44"/>
      <c r="AW235" s="44"/>
      <c r="AX235" s="44"/>
      <c r="AY235" s="44"/>
      <c r="AZ235" s="44"/>
      <c r="BA235" s="42"/>
      <c r="BB235" s="42">
        <v>2.0</v>
      </c>
      <c r="BC235" s="44"/>
      <c r="BD235" s="44"/>
      <c r="BE235" s="44"/>
      <c r="BF235" s="44"/>
      <c r="BG235" s="42"/>
      <c r="BH235" s="42"/>
      <c r="BI235" s="44"/>
      <c r="BJ235" s="44"/>
      <c r="BK235" s="44"/>
      <c r="BL235" s="42"/>
      <c r="BM235" s="42">
        <v>2.0</v>
      </c>
      <c r="BN235" s="44"/>
      <c r="BO235" s="44"/>
      <c r="BP235" s="44"/>
      <c r="BQ235" s="44"/>
      <c r="BR235" s="44"/>
      <c r="BS235" s="44"/>
      <c r="BT235" s="44"/>
      <c r="BU235" s="44"/>
      <c r="BV235" s="44"/>
      <c r="BW235" s="44"/>
      <c r="BX235" s="44"/>
      <c r="BY235" s="44"/>
      <c r="BZ235" s="42">
        <v>1.0</v>
      </c>
      <c r="CA235" s="44"/>
      <c r="CB235" s="44"/>
      <c r="CC235" s="42"/>
      <c r="CD235" s="42"/>
      <c r="CE235" s="44"/>
      <c r="CF235" s="44"/>
      <c r="CG235" s="44"/>
      <c r="CH235" s="44"/>
      <c r="CI235" s="44"/>
      <c r="CJ235" s="44"/>
      <c r="CK235" s="44"/>
      <c r="CL235" s="44"/>
      <c r="CM235" s="44"/>
      <c r="CN235" s="44"/>
      <c r="CO235" s="44"/>
      <c r="CP235" s="44"/>
      <c r="CQ235" s="44"/>
      <c r="CR235" s="44"/>
      <c r="CS235" s="44"/>
      <c r="CT235" s="44"/>
      <c r="CU235" s="44"/>
      <c r="CV235" s="44"/>
      <c r="CW235" s="44"/>
      <c r="CX235" s="44"/>
      <c r="CY235" s="44"/>
      <c r="CZ235" s="44"/>
      <c r="DA235" s="44"/>
      <c r="DB235" s="44"/>
      <c r="DC235" s="44"/>
      <c r="DD235" s="44"/>
      <c r="DE235" s="44"/>
      <c r="DF235" s="44"/>
      <c r="DG235" s="44"/>
      <c r="DH235" s="44"/>
      <c r="DI235" s="44"/>
      <c r="DJ235" s="44"/>
      <c r="DK235" s="44"/>
      <c r="DL235" s="44"/>
      <c r="DM235" s="42"/>
      <c r="DN235" s="44"/>
      <c r="DO235" s="44"/>
      <c r="DP235" s="44"/>
      <c r="DQ235" s="44"/>
      <c r="DR235" s="44"/>
      <c r="DS235" s="44"/>
      <c r="DT235" s="44"/>
      <c r="DU235" s="44"/>
      <c r="DV235" s="44"/>
      <c r="DW235" s="44"/>
      <c r="DX235" s="44"/>
      <c r="DY235" s="44"/>
      <c r="DZ235" s="44"/>
      <c r="EA235" s="44"/>
      <c r="EB235" s="44"/>
      <c r="EC235" s="44"/>
      <c r="ED235" s="44"/>
      <c r="EE235" s="42"/>
      <c r="EF235" s="42"/>
      <c r="EG235" s="42"/>
      <c r="EH235" s="42"/>
      <c r="EI235" s="42"/>
      <c r="EJ235" s="42">
        <v>2.0</v>
      </c>
      <c r="EK235" s="44"/>
      <c r="EL235" s="44"/>
      <c r="EM235" s="44"/>
      <c r="EN235" s="44"/>
      <c r="EO235" s="44"/>
      <c r="EP235" s="44"/>
      <c r="EQ235" s="44"/>
      <c r="ER235" s="44"/>
      <c r="ES235" s="44"/>
      <c r="ET235" s="44"/>
      <c r="EU235" s="44"/>
      <c r="EV235" s="44"/>
      <c r="EW235" s="44"/>
      <c r="EX235" s="44"/>
      <c r="EY235" s="44"/>
      <c r="EZ235" s="44"/>
      <c r="FA235" s="42"/>
      <c r="FB235" s="42"/>
      <c r="FC235" s="44"/>
      <c r="FD235" s="44"/>
      <c r="FE235" s="44"/>
      <c r="FF235" s="44"/>
      <c r="FG235" s="44"/>
      <c r="FH235" s="44"/>
      <c r="FI235" s="44"/>
      <c r="FJ235" s="44"/>
      <c r="FK235" s="44"/>
      <c r="FL235" s="44"/>
      <c r="FM235" s="44"/>
      <c r="FN235" s="44"/>
      <c r="FO235" s="44"/>
      <c r="FP235" s="44"/>
      <c r="FQ235" s="44"/>
      <c r="FR235" s="42">
        <v>3.0</v>
      </c>
      <c r="FS235" s="42">
        <v>3.0</v>
      </c>
      <c r="FT235" s="44"/>
      <c r="FU235" s="44"/>
      <c r="FV235" s="42"/>
      <c r="FW235" s="42"/>
      <c r="FX235" s="44"/>
      <c r="FY235" s="44"/>
      <c r="FZ235" s="44"/>
      <c r="GA235" s="44"/>
      <c r="GB235" s="44"/>
      <c r="GC235" s="44"/>
      <c r="GD235" s="44"/>
      <c r="GE235" s="44"/>
      <c r="GF235" s="44"/>
      <c r="GG235" s="44"/>
      <c r="GH235" s="44"/>
      <c r="GI235" s="44"/>
      <c r="GJ235" s="44"/>
      <c r="GK235" s="44"/>
      <c r="GL235" s="44"/>
      <c r="GM235" s="44"/>
      <c r="GN235" s="44"/>
      <c r="GO235" s="44"/>
      <c r="GP235" s="44"/>
      <c r="GQ235" s="44"/>
      <c r="GR235" s="44"/>
      <c r="GS235" s="44"/>
      <c r="GT235" s="44"/>
      <c r="GU235" s="44"/>
      <c r="GV235" s="44"/>
      <c r="GW235" s="44"/>
      <c r="GX235" s="44"/>
      <c r="GY235" s="44"/>
      <c r="GZ235" s="44"/>
      <c r="HA235" s="44"/>
      <c r="HB235" s="44"/>
      <c r="HC235" s="44"/>
      <c r="HD235" s="44"/>
      <c r="HE235" s="44"/>
      <c r="HF235" s="44"/>
      <c r="HG235" s="44"/>
      <c r="HH235" s="44"/>
      <c r="HI235" s="44"/>
    </row>
    <row r="236">
      <c r="A236" s="23">
        <v>43602.0</v>
      </c>
      <c r="B236" s="4" t="s">
        <v>489</v>
      </c>
      <c r="C236" s="28">
        <f t="shared" si="137"/>
        <v>218</v>
      </c>
      <c r="D236" s="4">
        <v>19.640812</v>
      </c>
      <c r="E236" s="4">
        <v>-156.006927</v>
      </c>
      <c r="F236" s="4" t="s">
        <v>418</v>
      </c>
      <c r="G236" s="24">
        <v>0.3645833333333333</v>
      </c>
      <c r="H236" s="24">
        <v>0.4479166666666667</v>
      </c>
      <c r="I236" s="4">
        <v>5.0</v>
      </c>
      <c r="J236" s="4">
        <v>22.0</v>
      </c>
      <c r="K236" s="4" t="s">
        <v>227</v>
      </c>
      <c r="L236" s="4">
        <v>10.0</v>
      </c>
      <c r="M236" s="4">
        <v>19.0</v>
      </c>
      <c r="N236" s="4" t="s">
        <v>502</v>
      </c>
      <c r="P236" s="4">
        <v>19.0</v>
      </c>
      <c r="AC236" s="4"/>
      <c r="AD236" s="4">
        <v>12.0</v>
      </c>
      <c r="AH236" s="4">
        <v>2.0</v>
      </c>
      <c r="BA236" s="4"/>
      <c r="BB236" s="4">
        <v>1.0</v>
      </c>
      <c r="BG236" s="4">
        <v>10.0</v>
      </c>
      <c r="BH236" s="4">
        <v>3.0</v>
      </c>
      <c r="BL236" s="4">
        <v>1.0</v>
      </c>
      <c r="BM236" s="4">
        <v>28.0</v>
      </c>
      <c r="CC236" s="4">
        <v>17.0</v>
      </c>
      <c r="CD236" s="4">
        <v>5.0</v>
      </c>
      <c r="DM236" s="4">
        <v>21.0</v>
      </c>
      <c r="EE236" s="4"/>
      <c r="EF236" s="4"/>
      <c r="EG236" s="4"/>
      <c r="EH236" s="4"/>
      <c r="EI236" s="4"/>
      <c r="EJ236" s="4">
        <v>2.0</v>
      </c>
      <c r="FA236" s="4">
        <v>27.0</v>
      </c>
      <c r="FB236" s="4">
        <v>58.0</v>
      </c>
      <c r="FS236" s="4">
        <v>134.0</v>
      </c>
      <c r="FV236" s="4"/>
      <c r="FW236" s="4">
        <v>1.0</v>
      </c>
      <c r="GH236" s="25">
        <f t="shared" ref="GH236:GH237" si="138">count(R236:GG236)</f>
        <v>15</v>
      </c>
      <c r="GI236" s="25">
        <f t="shared" ref="GI236:GI237" si="139">countif(R236:GG236,"&gt;=2")</f>
        <v>12</v>
      </c>
      <c r="GJ236" s="25">
        <f t="shared" ref="GJ236:GJ237" si="140">countif(R236:GG236,"&gt;=5")</f>
        <v>9</v>
      </c>
      <c r="GK236" s="25">
        <f t="shared" ref="GK236:GK237" si="141">sum(R236:GG236)</f>
        <v>322</v>
      </c>
      <c r="GL236" s="25">
        <f t="shared" ref="GL236:GL237" si="142">25*P236</f>
        <v>475</v>
      </c>
      <c r="GM236" s="25">
        <f t="shared" ref="GM236:GM237" si="143">GL236-GK236</f>
        <v>153</v>
      </c>
    </row>
    <row r="237">
      <c r="A237" s="23">
        <v>43602.0</v>
      </c>
      <c r="B237" s="4" t="s">
        <v>244</v>
      </c>
      <c r="C237" s="28">
        <f t="shared" si="137"/>
        <v>219</v>
      </c>
      <c r="D237" s="4">
        <v>21.310612</v>
      </c>
      <c r="E237" s="4">
        <v>-158.00441</v>
      </c>
      <c r="F237" s="4" t="s">
        <v>503</v>
      </c>
      <c r="G237" s="24">
        <v>0.3541666666666667</v>
      </c>
      <c r="H237" s="24">
        <v>0.4375</v>
      </c>
      <c r="I237" s="4">
        <v>5.0</v>
      </c>
      <c r="J237" s="4">
        <v>10.0</v>
      </c>
      <c r="K237" s="4" t="s">
        <v>217</v>
      </c>
      <c r="L237" s="4">
        <v>5.0</v>
      </c>
      <c r="M237" s="4">
        <v>25.0</v>
      </c>
      <c r="P237" s="4">
        <v>25.0</v>
      </c>
      <c r="R237" s="4">
        <v>19.0</v>
      </c>
      <c r="AE237" s="4">
        <v>17.0</v>
      </c>
      <c r="AI237" s="4">
        <v>1.0</v>
      </c>
      <c r="BC237" s="4">
        <v>22.0</v>
      </c>
      <c r="BD237" s="4">
        <v>4.0</v>
      </c>
      <c r="BE237" s="4">
        <v>2.0</v>
      </c>
      <c r="BM237" s="4">
        <v>22.0</v>
      </c>
      <c r="BV237" s="4">
        <v>26.0</v>
      </c>
      <c r="BZ237" s="4">
        <v>4.0</v>
      </c>
      <c r="EC237" s="4">
        <v>8.0</v>
      </c>
      <c r="EE237" s="4"/>
      <c r="EF237" s="4"/>
      <c r="EG237" s="4"/>
      <c r="EH237" s="4"/>
      <c r="EI237" s="4"/>
      <c r="EJ237" s="4">
        <v>261.0</v>
      </c>
      <c r="EX237" s="4">
        <v>5.0</v>
      </c>
      <c r="FF237" s="4">
        <v>2.0</v>
      </c>
      <c r="FR237" s="4">
        <v>2.0</v>
      </c>
      <c r="FS237" s="4">
        <v>97.0</v>
      </c>
      <c r="FV237" s="4"/>
      <c r="FW237" s="4">
        <v>1.0</v>
      </c>
      <c r="GH237" s="25">
        <f t="shared" si="138"/>
        <v>16</v>
      </c>
      <c r="GI237" s="25">
        <f t="shared" si="139"/>
        <v>14</v>
      </c>
      <c r="GJ237" s="25">
        <f t="shared" si="140"/>
        <v>9</v>
      </c>
      <c r="GK237" s="25">
        <f t="shared" si="141"/>
        <v>493</v>
      </c>
      <c r="GL237" s="25">
        <f t="shared" si="142"/>
        <v>625</v>
      </c>
      <c r="GM237" s="25">
        <f t="shared" si="143"/>
        <v>132</v>
      </c>
    </row>
    <row r="238">
      <c r="A238" s="41">
        <v>43602.0</v>
      </c>
      <c r="B238" s="42" t="s">
        <v>377</v>
      </c>
      <c r="C238" s="28">
        <f t="shared" si="137"/>
        <v>220</v>
      </c>
      <c r="D238" s="42">
        <v>20.705</v>
      </c>
      <c r="E238" s="42">
        <v>-156.446945</v>
      </c>
      <c r="F238" s="42" t="s">
        <v>378</v>
      </c>
      <c r="G238" s="43">
        <v>0.3888888888888889</v>
      </c>
      <c r="H238" s="43">
        <v>0.4583333333333333</v>
      </c>
      <c r="I238" s="42">
        <v>8.0</v>
      </c>
      <c r="J238" s="42">
        <v>16.0</v>
      </c>
      <c r="K238" s="42" t="s">
        <v>198</v>
      </c>
      <c r="L238" s="42">
        <v>8.0</v>
      </c>
      <c r="M238" s="42">
        <v>35.0</v>
      </c>
      <c r="N238" s="42" t="s">
        <v>554</v>
      </c>
      <c r="O238" s="42"/>
      <c r="P238" s="42"/>
      <c r="Q238" s="44"/>
      <c r="R238" s="44"/>
      <c r="S238" s="44"/>
      <c r="T238" s="44"/>
      <c r="U238" s="44"/>
      <c r="V238" s="44"/>
      <c r="W238" s="44"/>
      <c r="X238" s="44"/>
      <c r="Y238" s="44"/>
      <c r="Z238" s="44"/>
      <c r="AA238" s="44"/>
      <c r="AB238" s="44"/>
      <c r="AC238" s="44"/>
      <c r="AD238" s="44"/>
      <c r="AE238" s="44"/>
      <c r="AF238" s="44"/>
      <c r="AG238" s="42">
        <v>24.0</v>
      </c>
      <c r="AH238" s="44"/>
      <c r="AI238" s="44"/>
      <c r="AJ238" s="44"/>
      <c r="AK238" s="44"/>
      <c r="AL238" s="44"/>
      <c r="AM238" s="44"/>
      <c r="AN238" s="44"/>
      <c r="AO238" s="44"/>
      <c r="AP238" s="44"/>
      <c r="AQ238" s="44"/>
      <c r="AR238" s="44"/>
      <c r="AS238" s="44"/>
      <c r="AT238" s="44"/>
      <c r="AU238" s="44"/>
      <c r="AV238" s="44"/>
      <c r="AW238" s="44"/>
      <c r="AX238" s="42">
        <v>3.0</v>
      </c>
      <c r="AY238" s="44"/>
      <c r="AZ238" s="44"/>
      <c r="BA238" s="44"/>
      <c r="BB238" s="44"/>
      <c r="BC238" s="42">
        <v>33.0</v>
      </c>
      <c r="BD238" s="44"/>
      <c r="BE238" s="44"/>
      <c r="BF238" s="42">
        <v>6.0</v>
      </c>
      <c r="BG238" s="44"/>
      <c r="BH238" s="44"/>
      <c r="BI238" s="44"/>
      <c r="BJ238" s="44"/>
      <c r="BK238" s="44"/>
      <c r="BL238" s="44"/>
      <c r="BM238" s="42">
        <v>21.0</v>
      </c>
      <c r="BN238" s="44"/>
      <c r="BO238" s="44"/>
      <c r="BP238" s="44"/>
      <c r="BQ238" s="44"/>
      <c r="BR238" s="44"/>
      <c r="BS238" s="44"/>
      <c r="BT238" s="44"/>
      <c r="BU238" s="44"/>
      <c r="BV238" s="44"/>
      <c r="BW238" s="44"/>
      <c r="BX238" s="42"/>
      <c r="BY238" s="44"/>
      <c r="BZ238" s="44"/>
      <c r="CA238" s="44"/>
      <c r="CB238" s="44"/>
      <c r="CC238" s="44"/>
      <c r="CD238" s="44"/>
      <c r="CE238" s="44"/>
      <c r="CF238" s="44"/>
      <c r="CG238" s="44"/>
      <c r="CH238" s="44"/>
      <c r="CI238" s="44"/>
      <c r="CJ238" s="44"/>
      <c r="CK238" s="44"/>
      <c r="CL238" s="44"/>
      <c r="CM238" s="44"/>
      <c r="CN238" s="44"/>
      <c r="CO238" s="44"/>
      <c r="CP238" s="44"/>
      <c r="CQ238" s="44"/>
      <c r="CR238" s="44"/>
      <c r="CS238" s="44"/>
      <c r="CT238" s="44"/>
      <c r="CU238" s="44"/>
      <c r="CV238" s="44"/>
      <c r="CW238" s="44"/>
      <c r="CX238" s="44"/>
      <c r="CY238" s="44"/>
      <c r="CZ238" s="44"/>
      <c r="DA238" s="44"/>
      <c r="DB238" s="44"/>
      <c r="DC238" s="44"/>
      <c r="DD238" s="44"/>
      <c r="DE238" s="44"/>
      <c r="DF238" s="44"/>
      <c r="DG238" s="44"/>
      <c r="DH238" s="42">
        <v>11.0</v>
      </c>
      <c r="DI238" s="44"/>
      <c r="DJ238" s="44"/>
      <c r="DK238" s="44"/>
      <c r="DL238" s="44"/>
      <c r="DM238" s="44"/>
      <c r="DN238" s="44"/>
      <c r="DO238" s="44"/>
      <c r="DP238" s="42">
        <v>1.0</v>
      </c>
      <c r="DQ238" s="44"/>
      <c r="DR238" s="44"/>
      <c r="DS238" s="42">
        <v>6.0</v>
      </c>
      <c r="DT238" s="44"/>
      <c r="DU238" s="44"/>
      <c r="DV238" s="44"/>
      <c r="DW238" s="44"/>
      <c r="DX238" s="44"/>
      <c r="DY238" s="44"/>
      <c r="DZ238" s="42">
        <v>2.0</v>
      </c>
      <c r="EA238" s="44"/>
      <c r="EB238" s="44"/>
      <c r="EC238" s="44"/>
      <c r="ED238" s="44"/>
      <c r="EE238" s="42"/>
      <c r="EF238" s="42"/>
      <c r="EG238" s="42"/>
      <c r="EH238" s="42"/>
      <c r="EI238" s="42"/>
      <c r="EJ238" s="42">
        <v>8.0</v>
      </c>
      <c r="EK238" s="44"/>
      <c r="EL238" s="44"/>
      <c r="EM238" s="44"/>
      <c r="EN238" s="44"/>
      <c r="EO238" s="44"/>
      <c r="EP238" s="44"/>
      <c r="EQ238" s="44"/>
      <c r="ER238" s="44"/>
      <c r="ES238" s="44"/>
      <c r="ET238" s="44"/>
      <c r="EU238" s="44"/>
      <c r="EV238" s="44"/>
      <c r="EW238" s="44"/>
      <c r="EX238" s="44"/>
      <c r="EY238" s="44"/>
      <c r="EZ238" s="44"/>
      <c r="FA238" s="44"/>
      <c r="FB238" s="44"/>
      <c r="FC238" s="42">
        <v>9.0</v>
      </c>
      <c r="FD238" s="44"/>
      <c r="FE238" s="44"/>
      <c r="FF238" s="42">
        <v>3.0</v>
      </c>
      <c r="FG238" s="44"/>
      <c r="FH238" s="44"/>
      <c r="FI238" s="42">
        <v>1.0</v>
      </c>
      <c r="FJ238" s="44"/>
      <c r="FK238" s="44"/>
      <c r="FL238" s="44"/>
      <c r="FM238" s="44"/>
      <c r="FN238" s="44"/>
      <c r="FO238" s="44"/>
      <c r="FP238" s="44"/>
      <c r="FQ238" s="44"/>
      <c r="FR238" s="44"/>
      <c r="FS238" s="42">
        <v>58.0</v>
      </c>
      <c r="FT238" s="44"/>
      <c r="FU238" s="44"/>
      <c r="FV238" s="44"/>
      <c r="FW238" s="42">
        <v>9.0</v>
      </c>
      <c r="FX238" s="44"/>
      <c r="FY238" s="44"/>
      <c r="FZ238" s="44"/>
      <c r="GA238" s="42">
        <v>12.0</v>
      </c>
      <c r="GB238" s="42"/>
      <c r="GC238" s="42"/>
      <c r="GD238" s="42">
        <v>61.0</v>
      </c>
      <c r="GE238" s="44"/>
      <c r="GF238" s="44"/>
      <c r="GG238" s="44"/>
      <c r="GH238" s="44"/>
      <c r="GI238" s="44"/>
      <c r="GJ238" s="44"/>
      <c r="GK238" s="44"/>
      <c r="GL238" s="44"/>
      <c r="GM238" s="44"/>
      <c r="GN238" s="44"/>
      <c r="GO238" s="44"/>
      <c r="GP238" s="44"/>
      <c r="GQ238" s="44"/>
      <c r="GR238" s="44"/>
      <c r="GS238" s="44"/>
      <c r="GT238" s="44"/>
      <c r="GU238" s="44"/>
      <c r="GV238" s="44"/>
      <c r="GW238" s="44"/>
      <c r="GX238" s="44"/>
      <c r="GY238" s="44"/>
      <c r="GZ238" s="44"/>
      <c r="HA238" s="44"/>
      <c r="HB238" s="44"/>
      <c r="HC238" s="44"/>
      <c r="HD238" s="44"/>
      <c r="HE238" s="44"/>
      <c r="HF238" s="44"/>
      <c r="HG238" s="44"/>
      <c r="HH238" s="44"/>
      <c r="HI238" s="44"/>
    </row>
    <row r="239">
      <c r="A239" s="41">
        <v>43605.0</v>
      </c>
      <c r="B239" s="42" t="s">
        <v>307</v>
      </c>
      <c r="C239" s="28">
        <f t="shared" si="137"/>
        <v>221</v>
      </c>
      <c r="D239" s="42">
        <v>19.736111</v>
      </c>
      <c r="E239" s="42">
        <v>-155.030838</v>
      </c>
      <c r="F239" s="42" t="s">
        <v>308</v>
      </c>
      <c r="G239" s="43">
        <v>0.40625</v>
      </c>
      <c r="H239" s="43">
        <v>0.46875</v>
      </c>
      <c r="I239" s="42">
        <v>8.0</v>
      </c>
      <c r="J239" s="42">
        <v>12.0</v>
      </c>
      <c r="K239" s="42" t="s">
        <v>217</v>
      </c>
      <c r="L239" s="42">
        <v>8.0</v>
      </c>
      <c r="M239" s="42">
        <v>43.0</v>
      </c>
      <c r="N239" s="42" t="s">
        <v>555</v>
      </c>
      <c r="O239" s="42"/>
      <c r="P239" s="42"/>
      <c r="Q239" s="44"/>
      <c r="R239" s="42">
        <v>3.0</v>
      </c>
      <c r="S239" s="44"/>
      <c r="T239" s="44"/>
      <c r="U239" s="44"/>
      <c r="V239" s="44"/>
      <c r="W239" s="44"/>
      <c r="X239" s="44"/>
      <c r="Y239" s="44"/>
      <c r="Z239" s="44"/>
      <c r="AA239" s="44"/>
      <c r="AB239" s="44"/>
      <c r="AC239" s="44"/>
      <c r="AD239" s="44"/>
      <c r="AE239" s="44"/>
      <c r="AF239" s="44"/>
      <c r="AG239" s="44"/>
      <c r="AH239" s="44"/>
      <c r="AI239" s="44"/>
      <c r="AJ239" s="44"/>
      <c r="AK239" s="44"/>
      <c r="AL239" s="44"/>
      <c r="AM239" s="44"/>
      <c r="AN239" s="44"/>
      <c r="AO239" s="44"/>
      <c r="AP239" s="44"/>
      <c r="AQ239" s="44"/>
      <c r="AR239" s="44"/>
      <c r="AS239" s="44"/>
      <c r="AT239" s="44"/>
      <c r="AU239" s="44"/>
      <c r="AV239" s="44"/>
      <c r="AW239" s="44"/>
      <c r="AX239" s="44"/>
      <c r="AY239" s="44"/>
      <c r="AZ239" s="44"/>
      <c r="BA239" s="44"/>
      <c r="BB239" s="44"/>
      <c r="BC239" s="44"/>
      <c r="BD239" s="44"/>
      <c r="BE239" s="44"/>
      <c r="BF239" s="44"/>
      <c r="BG239" s="44"/>
      <c r="BH239" s="44"/>
      <c r="BI239" s="44"/>
      <c r="BJ239" s="44"/>
      <c r="BK239" s="44"/>
      <c r="BL239" s="44"/>
      <c r="BM239" s="42">
        <v>28.0</v>
      </c>
      <c r="BN239" s="44"/>
      <c r="BO239" s="44"/>
      <c r="BP239" s="44"/>
      <c r="BQ239" s="42">
        <v>2.0</v>
      </c>
      <c r="BR239" s="44"/>
      <c r="BS239" s="44"/>
      <c r="BT239" s="44"/>
      <c r="BU239" s="44"/>
      <c r="BV239" s="42">
        <v>5.0</v>
      </c>
      <c r="BW239" s="44"/>
      <c r="BX239" s="42"/>
      <c r="BY239" s="44"/>
      <c r="BZ239" s="44"/>
      <c r="CA239" s="44"/>
      <c r="CB239" s="44"/>
      <c r="CC239" s="44"/>
      <c r="CD239" s="44"/>
      <c r="CE239" s="44"/>
      <c r="CF239" s="44"/>
      <c r="CG239" s="44"/>
      <c r="CH239" s="44"/>
      <c r="CI239" s="44"/>
      <c r="CJ239" s="44"/>
      <c r="CK239" s="44"/>
      <c r="CL239" s="44"/>
      <c r="CM239" s="44"/>
      <c r="CN239" s="44"/>
      <c r="CO239" s="42">
        <v>13.0</v>
      </c>
      <c r="CP239" s="44"/>
      <c r="CQ239" s="44"/>
      <c r="CR239" s="44"/>
      <c r="CS239" s="44"/>
      <c r="CT239" s="44"/>
      <c r="CU239" s="44"/>
      <c r="CV239" s="44"/>
      <c r="CW239" s="44"/>
      <c r="CX239" s="44"/>
      <c r="CY239" s="44"/>
      <c r="CZ239" s="44"/>
      <c r="DA239" s="42">
        <v>1.0</v>
      </c>
      <c r="DB239" s="44"/>
      <c r="DC239" s="44"/>
      <c r="DD239" s="44"/>
      <c r="DE239" s="44"/>
      <c r="DF239" s="44"/>
      <c r="DG239" s="44"/>
      <c r="DH239" s="44"/>
      <c r="DI239" s="44"/>
      <c r="DJ239" s="44"/>
      <c r="DK239" s="44"/>
      <c r="DL239" s="44"/>
      <c r="DM239" s="44"/>
      <c r="DN239" s="44"/>
      <c r="DO239" s="44"/>
      <c r="DP239" s="42">
        <v>8.0</v>
      </c>
      <c r="DQ239" s="44"/>
      <c r="DR239" s="44"/>
      <c r="DS239" s="44"/>
      <c r="DT239" s="44"/>
      <c r="DU239" s="44"/>
      <c r="DV239" s="44"/>
      <c r="DW239" s="44"/>
      <c r="DX239" s="44"/>
      <c r="DY239" s="44"/>
      <c r="DZ239" s="44"/>
      <c r="EA239" s="42">
        <v>2.0</v>
      </c>
      <c r="EB239" s="44"/>
      <c r="EC239" s="44"/>
      <c r="ED239" s="44"/>
      <c r="EE239" s="42">
        <v>2.0</v>
      </c>
      <c r="EF239" s="42"/>
      <c r="EG239" s="42"/>
      <c r="EH239" s="42"/>
      <c r="EI239" s="42"/>
      <c r="EJ239" s="42">
        <v>3.0</v>
      </c>
      <c r="EK239" s="44"/>
      <c r="EL239" s="44"/>
      <c r="EM239" s="44"/>
      <c r="EN239" s="44"/>
      <c r="EO239" s="44"/>
      <c r="EP239" s="44"/>
      <c r="EQ239" s="44"/>
      <c r="ER239" s="44"/>
      <c r="ES239" s="44"/>
      <c r="ET239" s="44"/>
      <c r="EU239" s="44"/>
      <c r="EV239" s="44"/>
      <c r="EW239" s="44"/>
      <c r="EX239" s="42">
        <v>1.0</v>
      </c>
      <c r="EY239" s="44"/>
      <c r="EZ239" s="44"/>
      <c r="FA239" s="44"/>
      <c r="FB239" s="44"/>
      <c r="FC239" s="42"/>
      <c r="FD239" s="44"/>
      <c r="FE239" s="42">
        <v>8.0</v>
      </c>
      <c r="FF239" s="42">
        <v>9.0</v>
      </c>
      <c r="FG239" s="44"/>
      <c r="FH239" s="44"/>
      <c r="FI239" s="44"/>
      <c r="FJ239" s="44"/>
      <c r="FK239" s="44"/>
      <c r="FL239" s="44"/>
      <c r="FM239" s="44"/>
      <c r="FN239" s="44"/>
      <c r="FO239" s="44"/>
      <c r="FP239" s="44"/>
      <c r="FQ239" s="44"/>
      <c r="FR239" s="42">
        <v>9.0</v>
      </c>
      <c r="FS239" s="42">
        <v>480.0</v>
      </c>
      <c r="FT239" s="44"/>
      <c r="FU239" s="44"/>
      <c r="FV239" s="44"/>
      <c r="FW239" s="44"/>
      <c r="FX239" s="42">
        <v>1.0</v>
      </c>
      <c r="FY239" s="44"/>
      <c r="FZ239" s="44"/>
      <c r="GA239" s="44"/>
      <c r="GB239" s="42"/>
      <c r="GC239" s="42"/>
      <c r="GD239" s="44"/>
      <c r="GE239" s="44"/>
      <c r="GF239" s="44"/>
      <c r="GG239" s="44"/>
      <c r="GH239" s="44"/>
      <c r="GI239" s="44"/>
      <c r="GJ239" s="44"/>
      <c r="GK239" s="44"/>
      <c r="GL239" s="44"/>
      <c r="GM239" s="44"/>
      <c r="GN239" s="44"/>
      <c r="GO239" s="44"/>
      <c r="GP239" s="44"/>
      <c r="GQ239" s="44"/>
      <c r="GR239" s="44"/>
      <c r="GS239" s="44"/>
      <c r="GT239" s="44"/>
      <c r="GU239" s="44"/>
      <c r="GV239" s="44"/>
      <c r="GW239" s="44"/>
      <c r="GX239" s="44"/>
      <c r="GY239" s="44"/>
      <c r="GZ239" s="44"/>
      <c r="HA239" s="44"/>
      <c r="HB239" s="44"/>
      <c r="HC239" s="44"/>
      <c r="HD239" s="44"/>
      <c r="HE239" s="44"/>
      <c r="HF239" s="44"/>
      <c r="HG239" s="44"/>
      <c r="HH239" s="44"/>
      <c r="HI239" s="44"/>
    </row>
    <row r="240">
      <c r="A240" s="37">
        <v>43734.0</v>
      </c>
      <c r="B240" s="38" t="s">
        <v>329</v>
      </c>
      <c r="C240" s="28">
        <f t="shared" si="137"/>
        <v>222</v>
      </c>
      <c r="D240" s="38">
        <v>21.1408</v>
      </c>
      <c r="E240" s="38">
        <v>-157.290115</v>
      </c>
      <c r="F240" s="38" t="s">
        <v>286</v>
      </c>
      <c r="G240" s="39">
        <v>0.375</v>
      </c>
      <c r="H240" s="39">
        <v>0.39166666666666666</v>
      </c>
      <c r="I240" s="38">
        <v>3.0</v>
      </c>
      <c r="J240" s="38">
        <v>14.0</v>
      </c>
      <c r="K240" s="38" t="s">
        <v>198</v>
      </c>
      <c r="L240" s="38">
        <v>14.0</v>
      </c>
      <c r="M240" s="38">
        <v>15.0</v>
      </c>
      <c r="N240" s="38" t="s">
        <v>504</v>
      </c>
      <c r="O240" s="38"/>
      <c r="P240" s="38"/>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c r="AR240" s="40"/>
      <c r="AS240" s="40"/>
      <c r="AT240" s="38">
        <v>3.0</v>
      </c>
      <c r="AU240" s="40"/>
      <c r="AV240" s="40"/>
      <c r="AW240" s="40"/>
      <c r="AX240" s="40"/>
      <c r="AY240" s="40"/>
      <c r="AZ240" s="40"/>
      <c r="BA240" s="40"/>
      <c r="BB240" s="40"/>
      <c r="BC240" s="40"/>
      <c r="BD240" s="40"/>
      <c r="BE240" s="40"/>
      <c r="BF240" s="40"/>
      <c r="BG240" s="40"/>
      <c r="BH240" s="40"/>
      <c r="BI240" s="40"/>
      <c r="BJ240" s="40"/>
      <c r="BK240" s="40"/>
      <c r="BL240" s="40"/>
      <c r="BM240" s="40"/>
      <c r="BN240" s="40"/>
      <c r="BO240" s="40"/>
      <c r="BP240" s="40"/>
      <c r="BQ240" s="40"/>
      <c r="BR240" s="40"/>
      <c r="BS240" s="40"/>
      <c r="BT240" s="40"/>
      <c r="BU240" s="40"/>
      <c r="BV240" s="40"/>
      <c r="BW240" s="40"/>
      <c r="BX240" s="38">
        <v>1.0</v>
      </c>
      <c r="BY240" s="40"/>
      <c r="BZ240" s="40"/>
      <c r="CA240" s="40"/>
      <c r="CB240" s="40"/>
      <c r="CC240" s="40"/>
      <c r="CD240" s="40"/>
      <c r="CE240" s="40"/>
      <c r="CF240" s="40"/>
      <c r="CG240" s="40"/>
      <c r="CH240" s="40"/>
      <c r="CI240" s="40"/>
      <c r="CJ240" s="40"/>
      <c r="CK240" s="40"/>
      <c r="CL240" s="40"/>
      <c r="CM240" s="40"/>
      <c r="CN240" s="40"/>
      <c r="CO240" s="40"/>
      <c r="CP240" s="40"/>
      <c r="CQ240" s="40"/>
      <c r="CR240" s="40"/>
      <c r="CS240" s="40"/>
      <c r="CT240" s="40"/>
      <c r="CU240" s="40"/>
      <c r="CV240" s="40"/>
      <c r="CW240" s="40"/>
      <c r="CX240" s="40"/>
      <c r="CY240" s="40"/>
      <c r="CZ240" s="40"/>
      <c r="DA240" s="40"/>
      <c r="DB240" s="40"/>
      <c r="DC240" s="40"/>
      <c r="DD240" s="40"/>
      <c r="DE240" s="40"/>
      <c r="DF240" s="40"/>
      <c r="DG240" s="40"/>
      <c r="DH240" s="40"/>
      <c r="DI240" s="40"/>
      <c r="DJ240" s="40"/>
      <c r="DK240" s="40"/>
      <c r="DL240" s="40"/>
      <c r="DM240" s="40"/>
      <c r="DN240" s="40"/>
      <c r="DO240" s="40"/>
      <c r="DP240" s="40"/>
      <c r="DQ240" s="40"/>
      <c r="DR240" s="40"/>
      <c r="DS240" s="40"/>
      <c r="DT240" s="40"/>
      <c r="DU240" s="40"/>
      <c r="DV240" s="40"/>
      <c r="DW240" s="40"/>
      <c r="DX240" s="40"/>
      <c r="DY240" s="40"/>
      <c r="DZ240" s="40"/>
      <c r="EA240" s="40"/>
      <c r="EB240" s="40"/>
      <c r="EC240" s="40"/>
      <c r="ED240" s="40"/>
      <c r="EE240" s="38"/>
      <c r="EF240" s="38"/>
      <c r="EG240" s="38"/>
      <c r="EH240" s="38"/>
      <c r="EI240" s="38"/>
      <c r="EJ240" s="38">
        <v>186.0</v>
      </c>
      <c r="EK240" s="40"/>
      <c r="EL240" s="40"/>
      <c r="EM240" s="40"/>
      <c r="EN240" s="40"/>
      <c r="EO240" s="40"/>
      <c r="EP240" s="40"/>
      <c r="EQ240" s="40"/>
      <c r="ER240" s="40"/>
      <c r="ES240" s="40"/>
      <c r="ET240" s="40"/>
      <c r="EU240" s="40"/>
      <c r="EV240" s="40"/>
      <c r="EW240" s="40"/>
      <c r="EX240" s="40"/>
      <c r="EY240" s="40"/>
      <c r="EZ240" s="40"/>
      <c r="FA240" s="40"/>
      <c r="FB240" s="40"/>
      <c r="FC240" s="38">
        <v>1.0</v>
      </c>
      <c r="FD240" s="40"/>
      <c r="FE240" s="40"/>
      <c r="FF240" s="40"/>
      <c r="FG240" s="40"/>
      <c r="FH240" s="40"/>
      <c r="FI240" s="40"/>
      <c r="FJ240" s="40"/>
      <c r="FK240" s="40"/>
      <c r="FL240" s="40"/>
      <c r="FM240" s="40"/>
      <c r="FN240" s="40"/>
      <c r="FO240" s="40"/>
      <c r="FP240" s="40"/>
      <c r="FQ240" s="40"/>
      <c r="FR240" s="40"/>
      <c r="FS240" s="40"/>
      <c r="FT240" s="40"/>
      <c r="FU240" s="40"/>
      <c r="FV240" s="40"/>
      <c r="FW240" s="40"/>
      <c r="FX240" s="40"/>
      <c r="FY240" s="40"/>
      <c r="FZ240" s="40"/>
      <c r="GA240" s="40"/>
      <c r="GB240" s="38"/>
      <c r="GC240" s="38">
        <v>4.0</v>
      </c>
      <c r="GD240" s="40"/>
      <c r="GE240" s="40"/>
      <c r="GF240" s="40"/>
      <c r="GG240" s="40"/>
      <c r="GH240" s="40">
        <f t="shared" ref="GH240:GH248" si="144">count(R240:GG240)</f>
        <v>5</v>
      </c>
      <c r="GI240" s="40">
        <f t="shared" ref="GI240:GI248" si="145">countif(R240:GG240,"&gt;=2")</f>
        <v>3</v>
      </c>
      <c r="GJ240" s="40">
        <f t="shared" ref="GJ240:GJ248" si="146">countif(R240:GG240,"&gt;=5")</f>
        <v>1</v>
      </c>
      <c r="GK240" s="40">
        <f t="shared" ref="GK240:GK248" si="147">sum(R240:GG240)</f>
        <v>195</v>
      </c>
      <c r="GL240" s="40">
        <f t="shared" ref="GL240:GL248" si="148">25*P240</f>
        <v>0</v>
      </c>
      <c r="GM240" s="40">
        <f t="shared" ref="GM240:GM248" si="149">GL240-GK240</f>
        <v>-195</v>
      </c>
      <c r="GN240" s="40"/>
      <c r="GO240" s="40"/>
      <c r="GP240" s="40"/>
      <c r="GQ240" s="40"/>
      <c r="GR240" s="40"/>
      <c r="GS240" s="40"/>
      <c r="GT240" s="40"/>
      <c r="GU240" s="40"/>
      <c r="GV240" s="40"/>
      <c r="GW240" s="40"/>
      <c r="GX240" s="40"/>
      <c r="GY240" s="40"/>
      <c r="GZ240" s="40"/>
      <c r="HA240" s="40"/>
      <c r="HB240" s="40"/>
      <c r="HC240" s="40"/>
      <c r="HD240" s="40"/>
      <c r="HE240" s="40"/>
      <c r="HF240" s="40"/>
      <c r="HG240" s="40"/>
      <c r="HH240" s="40"/>
      <c r="HI240" s="40"/>
    </row>
    <row r="241">
      <c r="A241" s="37">
        <v>43735.0</v>
      </c>
      <c r="B241" s="38" t="s">
        <v>329</v>
      </c>
      <c r="C241" s="28">
        <f t="shared" si="137"/>
        <v>223</v>
      </c>
      <c r="D241" s="38">
        <v>21.1408</v>
      </c>
      <c r="E241" s="38">
        <v>-157.290115</v>
      </c>
      <c r="F241" s="38" t="s">
        <v>286</v>
      </c>
      <c r="G241" s="39">
        <v>0.3729166666666667</v>
      </c>
      <c r="H241" s="39">
        <v>0.38958333333333334</v>
      </c>
      <c r="I241" s="38">
        <v>6.0</v>
      </c>
      <c r="J241" s="38">
        <v>13.0</v>
      </c>
      <c r="K241" s="38" t="s">
        <v>198</v>
      </c>
      <c r="L241" s="38">
        <v>13.0</v>
      </c>
      <c r="M241" s="38">
        <v>42.0</v>
      </c>
      <c r="N241" s="38" t="s">
        <v>506</v>
      </c>
      <c r="O241" s="38"/>
      <c r="P241" s="38"/>
      <c r="Q241" s="40"/>
      <c r="R241" s="40"/>
      <c r="S241" s="38">
        <v>3.0</v>
      </c>
      <c r="T241" s="40"/>
      <c r="U241" s="40"/>
      <c r="V241" s="40"/>
      <c r="W241" s="40"/>
      <c r="X241" s="40"/>
      <c r="Y241" s="40"/>
      <c r="Z241" s="40"/>
      <c r="AA241" s="40"/>
      <c r="AB241" s="40"/>
      <c r="AC241" s="40"/>
      <c r="AD241" s="40"/>
      <c r="AE241" s="40"/>
      <c r="AF241" s="40"/>
      <c r="AG241" s="38">
        <v>4.0</v>
      </c>
      <c r="AH241" s="40"/>
      <c r="AI241" s="40"/>
      <c r="AJ241" s="40"/>
      <c r="AK241" s="40"/>
      <c r="AL241" s="40"/>
      <c r="AM241" s="40"/>
      <c r="AN241" s="40"/>
      <c r="AO241" s="40"/>
      <c r="AP241" s="40"/>
      <c r="AQ241" s="40"/>
      <c r="AR241" s="40"/>
      <c r="AS241" s="38">
        <v>27.0</v>
      </c>
      <c r="AT241" s="40"/>
      <c r="AU241" s="40"/>
      <c r="AV241" s="40"/>
      <c r="AW241" s="40"/>
      <c r="AX241" s="40"/>
      <c r="AY241" s="40"/>
      <c r="AZ241" s="40"/>
      <c r="BA241" s="40"/>
      <c r="BB241" s="40"/>
      <c r="BC241" s="40"/>
      <c r="BD241" s="40"/>
      <c r="BE241" s="40"/>
      <c r="BF241" s="40"/>
      <c r="BG241" s="40"/>
      <c r="BH241" s="40"/>
      <c r="BI241" s="40"/>
      <c r="BJ241" s="40"/>
      <c r="BK241" s="40"/>
      <c r="BL241" s="40"/>
      <c r="BM241" s="40"/>
      <c r="BN241" s="40"/>
      <c r="BO241" s="38"/>
      <c r="BP241" s="38">
        <v>1.0</v>
      </c>
      <c r="BQ241" s="40"/>
      <c r="BR241" s="40"/>
      <c r="BS241" s="40"/>
      <c r="BT241" s="40"/>
      <c r="BU241" s="40"/>
      <c r="BV241" s="40"/>
      <c r="BW241" s="40"/>
      <c r="BX241" s="40"/>
      <c r="BY241" s="40"/>
      <c r="BZ241" s="40"/>
      <c r="CA241" s="38"/>
      <c r="CB241" s="38">
        <v>1.0</v>
      </c>
      <c r="CC241" s="40"/>
      <c r="CD241" s="40"/>
      <c r="CE241" s="40"/>
      <c r="CF241" s="40"/>
      <c r="CG241" s="40"/>
      <c r="CH241" s="40"/>
      <c r="CI241" s="40"/>
      <c r="CJ241" s="40"/>
      <c r="CK241" s="40"/>
      <c r="CL241" s="40"/>
      <c r="CM241" s="40"/>
      <c r="CN241" s="40"/>
      <c r="CO241" s="40"/>
      <c r="CP241" s="38"/>
      <c r="CQ241" s="38"/>
      <c r="CR241" s="38"/>
      <c r="CS241" s="38">
        <v>49.0</v>
      </c>
      <c r="CT241" s="40"/>
      <c r="CU241" s="40"/>
      <c r="CV241" s="40"/>
      <c r="CW241" s="40"/>
      <c r="CX241" s="40"/>
      <c r="CY241" s="40"/>
      <c r="CZ241" s="40"/>
      <c r="DA241" s="40"/>
      <c r="DB241" s="40"/>
      <c r="DC241" s="40"/>
      <c r="DD241" s="40"/>
      <c r="DE241" s="40"/>
      <c r="DF241" s="38"/>
      <c r="DG241" s="38">
        <v>8.0</v>
      </c>
      <c r="DH241" s="40"/>
      <c r="DI241" s="40"/>
      <c r="DJ241" s="40"/>
      <c r="DK241" s="40"/>
      <c r="DL241" s="40"/>
      <c r="DM241" s="40"/>
      <c r="DN241" s="40"/>
      <c r="DO241" s="40"/>
      <c r="DP241" s="40"/>
      <c r="DQ241" s="40"/>
      <c r="DR241" s="40"/>
      <c r="DS241" s="40"/>
      <c r="DT241" s="40"/>
      <c r="DU241" s="40"/>
      <c r="DV241" s="40"/>
      <c r="DW241" s="40"/>
      <c r="DX241" s="40"/>
      <c r="DY241" s="40"/>
      <c r="DZ241" s="40"/>
      <c r="EA241" s="40"/>
      <c r="EB241" s="40"/>
      <c r="EC241" s="40"/>
      <c r="ED241" s="40"/>
      <c r="EE241" s="38"/>
      <c r="EF241" s="38"/>
      <c r="EG241" s="38"/>
      <c r="EH241" s="38"/>
      <c r="EI241" s="38"/>
      <c r="EJ241" s="38">
        <v>318.0</v>
      </c>
      <c r="EK241" s="40"/>
      <c r="EL241" s="40"/>
      <c r="EM241" s="40"/>
      <c r="EN241" s="40"/>
      <c r="EO241" s="40"/>
      <c r="EP241" s="40"/>
      <c r="EQ241" s="40"/>
      <c r="ER241" s="40"/>
      <c r="ES241" s="40"/>
      <c r="ET241" s="40"/>
      <c r="EU241" s="40"/>
      <c r="EV241" s="40"/>
      <c r="EW241" s="40"/>
      <c r="EX241" s="40"/>
      <c r="EY241" s="40"/>
      <c r="EZ241" s="40"/>
      <c r="FA241" s="40"/>
      <c r="FB241" s="38">
        <v>6.0</v>
      </c>
      <c r="FC241" s="40"/>
      <c r="FD241" s="40"/>
      <c r="FE241" s="40"/>
      <c r="FF241" s="40"/>
      <c r="FG241" s="40"/>
      <c r="FH241" s="40"/>
      <c r="FI241" s="40"/>
      <c r="FJ241" s="40"/>
      <c r="FK241" s="40"/>
      <c r="FL241" s="40"/>
      <c r="FM241" s="40"/>
      <c r="FN241" s="40"/>
      <c r="FO241" s="40"/>
      <c r="FP241" s="40"/>
      <c r="FQ241" s="40"/>
      <c r="FR241" s="40"/>
      <c r="FS241" s="38">
        <v>53.0</v>
      </c>
      <c r="FT241" s="40"/>
      <c r="FU241" s="40"/>
      <c r="FV241" s="40"/>
      <c r="FW241" s="40"/>
      <c r="FX241" s="40"/>
      <c r="FY241" s="40"/>
      <c r="FZ241" s="40"/>
      <c r="GA241" s="40"/>
      <c r="GB241" s="40"/>
      <c r="GC241" s="40"/>
      <c r="GD241" s="40"/>
      <c r="GE241" s="40"/>
      <c r="GF241" s="40"/>
      <c r="GG241" s="40"/>
      <c r="GH241" s="40">
        <f t="shared" si="144"/>
        <v>10</v>
      </c>
      <c r="GI241" s="40">
        <f t="shared" si="145"/>
        <v>8</v>
      </c>
      <c r="GJ241" s="40">
        <f t="shared" si="146"/>
        <v>6</v>
      </c>
      <c r="GK241" s="40">
        <f t="shared" si="147"/>
        <v>470</v>
      </c>
      <c r="GL241" s="40">
        <f t="shared" si="148"/>
        <v>0</v>
      </c>
      <c r="GM241" s="40">
        <f t="shared" si="149"/>
        <v>-470</v>
      </c>
      <c r="GN241" s="40"/>
      <c r="GO241" s="40"/>
      <c r="GP241" s="40"/>
      <c r="GQ241" s="40"/>
      <c r="GR241" s="40"/>
      <c r="GS241" s="40"/>
      <c r="GT241" s="40"/>
      <c r="GU241" s="40"/>
      <c r="GV241" s="40"/>
      <c r="GW241" s="40"/>
      <c r="GX241" s="40"/>
      <c r="GY241" s="40"/>
      <c r="GZ241" s="40"/>
      <c r="HA241" s="40"/>
      <c r="HB241" s="40"/>
      <c r="HC241" s="40"/>
      <c r="HD241" s="40"/>
      <c r="HE241" s="40"/>
      <c r="HF241" s="40"/>
      <c r="HG241" s="40"/>
      <c r="HH241" s="40"/>
      <c r="HI241" s="40"/>
    </row>
    <row r="242">
      <c r="A242" s="48">
        <v>43839.0</v>
      </c>
      <c r="B242" s="7" t="s">
        <v>366</v>
      </c>
      <c r="C242" s="28">
        <f t="shared" si="137"/>
        <v>224</v>
      </c>
      <c r="D242" s="7">
        <v>19.715052</v>
      </c>
      <c r="E242" s="7">
        <v>-156.049133</v>
      </c>
      <c r="F242" s="7" t="s">
        <v>508</v>
      </c>
      <c r="G242" s="54">
        <v>0.451388888888889</v>
      </c>
      <c r="H242" s="54">
        <v>0.486111111111111</v>
      </c>
      <c r="I242" s="49">
        <v>5.0</v>
      </c>
      <c r="J242" s="49">
        <v>20.0</v>
      </c>
      <c r="K242" s="49" t="s">
        <v>198</v>
      </c>
      <c r="L242" s="49">
        <v>5.0</v>
      </c>
      <c r="M242" s="49">
        <v>20.0</v>
      </c>
      <c r="N242" s="49" t="s">
        <v>509</v>
      </c>
      <c r="O242" s="49"/>
      <c r="P242" s="49">
        <v>20.0</v>
      </c>
      <c r="Q242" s="49"/>
      <c r="R242" s="35"/>
      <c r="S242" s="49"/>
      <c r="T242" s="49">
        <v>21.0</v>
      </c>
      <c r="U242" s="49"/>
      <c r="V242" s="49"/>
      <c r="W242" s="49"/>
      <c r="X242" s="49"/>
      <c r="Y242" s="49"/>
      <c r="Z242" s="49"/>
      <c r="AA242" s="49"/>
      <c r="AB242" s="49"/>
      <c r="AC242" s="49"/>
      <c r="AD242" s="49">
        <v>2.0</v>
      </c>
      <c r="AE242" s="35"/>
      <c r="AF242" s="35"/>
      <c r="AG242" s="35"/>
      <c r="AH242" s="35"/>
      <c r="AI242" s="35"/>
      <c r="AJ242" s="35"/>
      <c r="AK242" s="35"/>
      <c r="AL242" s="35"/>
      <c r="AM242" s="35"/>
      <c r="AN242" s="35"/>
      <c r="AO242" s="35"/>
      <c r="AP242" s="35"/>
      <c r="AQ242" s="35"/>
      <c r="AR242" s="35"/>
      <c r="AS242" s="35"/>
      <c r="AT242" s="35"/>
      <c r="AU242" s="35"/>
      <c r="AV242" s="35"/>
      <c r="AW242" s="35"/>
      <c r="AX242" s="35"/>
      <c r="AY242" s="35"/>
      <c r="AZ242" s="35"/>
      <c r="BA242" s="35"/>
      <c r="BB242" s="35"/>
      <c r="BC242" s="35"/>
      <c r="BD242" s="35"/>
      <c r="BE242" s="35"/>
      <c r="BF242" s="49"/>
      <c r="BG242" s="49"/>
      <c r="BH242" s="49"/>
      <c r="BI242" s="49"/>
      <c r="BJ242" s="49"/>
      <c r="BK242" s="49"/>
      <c r="BL242" s="49"/>
      <c r="BM242" s="49">
        <v>70.0</v>
      </c>
      <c r="BN242" s="35"/>
      <c r="BO242" s="35"/>
      <c r="BP242" s="35"/>
      <c r="BQ242" s="35"/>
      <c r="BR242" s="35"/>
      <c r="BS242" s="35"/>
      <c r="BT242" s="35"/>
      <c r="BU242" s="35"/>
      <c r="BV242" s="35"/>
      <c r="BW242" s="35"/>
      <c r="BX242" s="35"/>
      <c r="BY242" s="35"/>
      <c r="BZ242" s="35"/>
      <c r="CA242" s="35"/>
      <c r="CB242" s="35"/>
      <c r="CC242" s="35"/>
      <c r="CD242" s="35"/>
      <c r="CE242" s="35"/>
      <c r="CF242" s="35"/>
      <c r="CG242" s="35"/>
      <c r="CH242" s="35"/>
      <c r="CI242" s="35"/>
      <c r="CJ242" s="35"/>
      <c r="CK242" s="35"/>
      <c r="CL242" s="35"/>
      <c r="CM242" s="35"/>
      <c r="CN242" s="35"/>
      <c r="CO242" s="35"/>
      <c r="CP242" s="35"/>
      <c r="CQ242" s="35"/>
      <c r="CR242" s="35"/>
      <c r="CS242" s="35"/>
      <c r="CT242" s="35"/>
      <c r="CU242" s="35"/>
      <c r="CV242" s="49"/>
      <c r="CW242" s="49"/>
      <c r="CX242" s="49"/>
      <c r="CY242" s="49"/>
      <c r="CZ242" s="49"/>
      <c r="DA242" s="49">
        <v>1.0</v>
      </c>
      <c r="DB242" s="35"/>
      <c r="DC242" s="35"/>
      <c r="DD242" s="35"/>
      <c r="DE242" s="35"/>
      <c r="DF242" s="35"/>
      <c r="DG242" s="35"/>
      <c r="DH242" s="35"/>
      <c r="DI242" s="35"/>
      <c r="DJ242" s="35"/>
      <c r="DK242" s="35"/>
      <c r="DL242" s="35"/>
      <c r="DM242" s="35"/>
      <c r="DN242" s="49"/>
      <c r="DO242" s="49"/>
      <c r="DP242" s="49">
        <v>4.0</v>
      </c>
      <c r="DQ242" s="35"/>
      <c r="DR242" s="35"/>
      <c r="DS242" s="35"/>
      <c r="DT242" s="35"/>
      <c r="DU242" s="35"/>
      <c r="DV242" s="35"/>
      <c r="DW242" s="35"/>
      <c r="DX242" s="35"/>
      <c r="DY242" s="35"/>
      <c r="DZ242" s="35"/>
      <c r="EA242" s="35"/>
      <c r="EB242" s="35"/>
      <c r="EC242" s="35"/>
      <c r="ED242" s="35"/>
      <c r="EE242" s="35"/>
      <c r="EF242" s="35"/>
      <c r="EG242" s="35"/>
      <c r="EH242" s="35"/>
      <c r="EI242" s="35"/>
      <c r="EJ242" s="35"/>
      <c r="EK242" s="35"/>
      <c r="EL242" s="35"/>
      <c r="EM242" s="35"/>
      <c r="EN242" s="35"/>
      <c r="EO242" s="35"/>
      <c r="EP242" s="35"/>
      <c r="EQ242" s="35"/>
      <c r="ER242" s="35"/>
      <c r="ES242" s="35"/>
      <c r="ET242" s="35"/>
      <c r="EU242" s="35"/>
      <c r="EV242" s="35"/>
      <c r="EW242" s="35"/>
      <c r="EX242" s="35"/>
      <c r="EY242" s="35"/>
      <c r="EZ242" s="35"/>
      <c r="FA242" s="35"/>
      <c r="FB242" s="35"/>
      <c r="FC242" s="35"/>
      <c r="FD242" s="35"/>
      <c r="FE242" s="35"/>
      <c r="FF242" s="35"/>
      <c r="FG242" s="35"/>
      <c r="FH242" s="35"/>
      <c r="FI242" s="35"/>
      <c r="FJ242" s="35"/>
      <c r="FK242" s="35"/>
      <c r="FL242" s="35"/>
      <c r="FM242" s="35"/>
      <c r="FN242" s="35"/>
      <c r="FO242" s="35"/>
      <c r="FP242" s="35"/>
      <c r="FQ242" s="35"/>
      <c r="FR242" s="35"/>
      <c r="FS242" s="49">
        <v>31.0</v>
      </c>
      <c r="FT242" s="49"/>
      <c r="FU242" s="49"/>
      <c r="FV242" s="49"/>
      <c r="FW242" s="49">
        <v>60.0</v>
      </c>
      <c r="FZ242" s="35"/>
      <c r="GA242" s="35"/>
      <c r="GB242" s="35"/>
      <c r="GC242" s="35"/>
      <c r="GD242" s="35"/>
      <c r="GE242" s="35"/>
      <c r="GF242" s="35"/>
      <c r="GG242" s="35"/>
      <c r="GH242" s="25">
        <f t="shared" si="144"/>
        <v>7</v>
      </c>
      <c r="GI242" s="25">
        <f t="shared" si="145"/>
        <v>6</v>
      </c>
      <c r="GJ242" s="25">
        <f t="shared" si="146"/>
        <v>4</v>
      </c>
      <c r="GK242" s="25">
        <f t="shared" si="147"/>
        <v>189</v>
      </c>
      <c r="GL242" s="25">
        <f t="shared" si="148"/>
        <v>500</v>
      </c>
      <c r="GM242" s="25">
        <f t="shared" si="149"/>
        <v>311</v>
      </c>
    </row>
    <row r="243">
      <c r="A243" s="48">
        <v>43840.0</v>
      </c>
      <c r="B243" s="7" t="s">
        <v>511</v>
      </c>
      <c r="C243" s="28">
        <f t="shared" si="137"/>
        <v>225</v>
      </c>
      <c r="D243" s="7">
        <v>19.5791</v>
      </c>
      <c r="E243" s="49">
        <v>-155.967804</v>
      </c>
      <c r="F243" s="7" t="s">
        <v>508</v>
      </c>
      <c r="G243" s="54">
        <v>0.425</v>
      </c>
      <c r="H243" s="54">
        <v>0.461805555555556</v>
      </c>
      <c r="I243" s="49">
        <v>5.0</v>
      </c>
      <c r="J243" s="49">
        <v>20.0</v>
      </c>
      <c r="K243" s="49" t="s">
        <v>198</v>
      </c>
      <c r="L243" s="49">
        <v>5.0</v>
      </c>
      <c r="M243" s="4">
        <v>24.0</v>
      </c>
      <c r="N243" s="4" t="s">
        <v>512</v>
      </c>
      <c r="P243" s="4">
        <v>24.0</v>
      </c>
      <c r="BF243" s="4"/>
      <c r="BG243" s="4"/>
      <c r="BH243" s="4"/>
      <c r="BI243" s="4"/>
      <c r="BJ243" s="4"/>
      <c r="BK243" s="4"/>
      <c r="BL243" s="4"/>
      <c r="BM243" s="4">
        <v>224.0</v>
      </c>
      <c r="FS243" s="4">
        <v>165.0</v>
      </c>
      <c r="GH243" s="25">
        <f t="shared" si="144"/>
        <v>2</v>
      </c>
      <c r="GI243" s="25">
        <f t="shared" si="145"/>
        <v>2</v>
      </c>
      <c r="GJ243" s="25">
        <f t="shared" si="146"/>
        <v>2</v>
      </c>
      <c r="GK243" s="25">
        <f t="shared" si="147"/>
        <v>389</v>
      </c>
      <c r="GL243" s="25">
        <f t="shared" si="148"/>
        <v>600</v>
      </c>
      <c r="GM243" s="25">
        <f t="shared" si="149"/>
        <v>211</v>
      </c>
    </row>
    <row r="244">
      <c r="A244" s="55">
        <v>43868.0</v>
      </c>
      <c r="B244" s="7" t="s">
        <v>511</v>
      </c>
      <c r="C244" s="28">
        <f t="shared" si="137"/>
        <v>226</v>
      </c>
      <c r="D244" s="7">
        <v>19.5791</v>
      </c>
      <c r="E244" s="7">
        <v>-155.967804</v>
      </c>
      <c r="F244" s="4" t="s">
        <v>508</v>
      </c>
      <c r="G244" s="54">
        <v>0.420833333333333</v>
      </c>
      <c r="H244" s="54">
        <v>0.451388888888889</v>
      </c>
      <c r="I244" s="4">
        <v>5.0</v>
      </c>
      <c r="J244" s="4">
        <v>20.0</v>
      </c>
      <c r="K244" s="4" t="s">
        <v>198</v>
      </c>
      <c r="L244" s="4">
        <v>5.0</v>
      </c>
      <c r="M244" s="4">
        <v>25.0</v>
      </c>
      <c r="P244" s="4">
        <v>25.0</v>
      </c>
      <c r="BF244" s="4"/>
      <c r="BG244" s="4"/>
      <c r="BH244" s="4"/>
      <c r="BI244" s="4"/>
      <c r="BJ244" s="4"/>
      <c r="BK244" s="4"/>
      <c r="BL244" s="4"/>
      <c r="BM244" s="4">
        <v>188.0</v>
      </c>
      <c r="CI244" s="4"/>
      <c r="CJ244" s="4"/>
      <c r="CK244" s="4"/>
      <c r="CL244" s="4"/>
      <c r="CM244" s="4"/>
      <c r="CN244" s="4"/>
      <c r="CO244" s="4"/>
      <c r="CP244" s="4"/>
      <c r="CQ244" s="4"/>
      <c r="CR244" s="4"/>
      <c r="CS244" s="4"/>
      <c r="CT244" s="4"/>
      <c r="CU244" s="4">
        <v>1.0</v>
      </c>
      <c r="FS244" s="4">
        <v>278.0</v>
      </c>
      <c r="GH244" s="25">
        <f t="shared" si="144"/>
        <v>3</v>
      </c>
      <c r="GI244" s="25">
        <f t="shared" si="145"/>
        <v>2</v>
      </c>
      <c r="GJ244" s="25">
        <f t="shared" si="146"/>
        <v>2</v>
      </c>
      <c r="GK244" s="25">
        <f t="shared" si="147"/>
        <v>467</v>
      </c>
      <c r="GL244" s="25">
        <f t="shared" si="148"/>
        <v>625</v>
      </c>
      <c r="GM244" s="25">
        <f t="shared" si="149"/>
        <v>158</v>
      </c>
    </row>
    <row r="245">
      <c r="A245" s="23">
        <v>43882.0</v>
      </c>
      <c r="B245" s="4" t="s">
        <v>340</v>
      </c>
      <c r="C245" s="28">
        <f t="shared" si="137"/>
        <v>227</v>
      </c>
      <c r="D245" s="7">
        <v>19.643276</v>
      </c>
      <c r="E245" s="4">
        <v>-156.010193</v>
      </c>
      <c r="F245" s="7" t="s">
        <v>508</v>
      </c>
      <c r="G245" s="54">
        <v>0.41875</v>
      </c>
      <c r="H245" s="54">
        <v>0.444444444444444</v>
      </c>
      <c r="I245" s="4">
        <v>5.0</v>
      </c>
      <c r="J245" s="4">
        <v>20.0</v>
      </c>
      <c r="K245" s="4" t="s">
        <v>198</v>
      </c>
      <c r="L245" s="4">
        <v>5.0</v>
      </c>
      <c r="M245" s="4">
        <v>25.0</v>
      </c>
      <c r="P245" s="4">
        <v>25.0</v>
      </c>
      <c r="BF245" s="4"/>
      <c r="BG245" s="4"/>
      <c r="BH245" s="4"/>
      <c r="BI245" s="4"/>
      <c r="BJ245" s="4"/>
      <c r="BK245" s="4"/>
      <c r="BL245" s="4"/>
      <c r="BM245" s="4">
        <v>13.0</v>
      </c>
      <c r="BX245" s="4"/>
      <c r="CA245" s="4"/>
      <c r="CB245" s="4"/>
      <c r="CC245" s="4">
        <v>3.0</v>
      </c>
      <c r="DN245" s="4"/>
      <c r="DO245" s="4"/>
      <c r="DP245" s="4"/>
      <c r="DQ245" s="4"/>
      <c r="DR245" s="4"/>
      <c r="DS245" s="4"/>
      <c r="DT245" s="4"/>
      <c r="DU245" s="4"/>
      <c r="DV245" s="4"/>
      <c r="DW245" s="4"/>
      <c r="DX245" s="4"/>
      <c r="DY245" s="4"/>
      <c r="DZ245" s="4"/>
      <c r="EA245" s="4"/>
      <c r="EB245" s="4"/>
      <c r="EC245" s="4"/>
      <c r="ED245" s="4"/>
      <c r="EE245" s="4"/>
      <c r="EF245" s="4"/>
      <c r="EG245" s="4"/>
      <c r="EH245" s="4"/>
      <c r="EI245" s="4"/>
      <c r="EJ245" s="4">
        <v>27.0</v>
      </c>
      <c r="FG245" s="4"/>
      <c r="FH245" s="4"/>
      <c r="FI245" s="4"/>
      <c r="FJ245" s="4"/>
      <c r="FK245" s="4"/>
      <c r="FL245" s="4"/>
      <c r="FM245" s="4">
        <v>9.0</v>
      </c>
      <c r="FN245" s="4"/>
      <c r="FO245" s="4"/>
      <c r="FP245" s="4"/>
      <c r="FQ245" s="4"/>
      <c r="FR245" s="4">
        <v>141.0</v>
      </c>
      <c r="FS245" s="4">
        <v>390.0</v>
      </c>
      <c r="FT245" s="4"/>
      <c r="FU245" s="4"/>
      <c r="FV245" s="4"/>
      <c r="FW245" s="4">
        <v>2.0</v>
      </c>
      <c r="GH245" s="25">
        <f t="shared" si="144"/>
        <v>7</v>
      </c>
      <c r="GI245" s="25">
        <f t="shared" si="145"/>
        <v>7</v>
      </c>
      <c r="GJ245" s="25">
        <f t="shared" si="146"/>
        <v>5</v>
      </c>
      <c r="GK245" s="25">
        <f t="shared" si="147"/>
        <v>585</v>
      </c>
      <c r="GL245" s="25">
        <f t="shared" si="148"/>
        <v>625</v>
      </c>
      <c r="GM245" s="25">
        <f t="shared" si="149"/>
        <v>40</v>
      </c>
    </row>
    <row r="246">
      <c r="A246" s="56">
        <v>43885.0</v>
      </c>
      <c r="B246" s="4" t="s">
        <v>233</v>
      </c>
      <c r="C246" s="28">
        <f t="shared" si="137"/>
        <v>228</v>
      </c>
      <c r="D246" s="7">
        <v>21.066799</v>
      </c>
      <c r="E246" s="4">
        <v>-156.804993</v>
      </c>
      <c r="F246" s="4" t="s">
        <v>286</v>
      </c>
      <c r="G246" s="54">
        <v>0.475694444444444</v>
      </c>
      <c r="H246" s="57">
        <v>0.5104166666666666</v>
      </c>
      <c r="I246" s="4">
        <v>5.0</v>
      </c>
      <c r="J246" s="4">
        <v>25.0</v>
      </c>
      <c r="K246" s="4" t="s">
        <v>198</v>
      </c>
      <c r="L246" s="4">
        <v>7.0</v>
      </c>
      <c r="M246" s="4">
        <v>28.0</v>
      </c>
      <c r="N246" s="4" t="s">
        <v>516</v>
      </c>
      <c r="O246" s="4"/>
      <c r="P246" s="4">
        <v>28.0</v>
      </c>
      <c r="R246" s="4">
        <v>10.0</v>
      </c>
      <c r="AF246" s="4"/>
      <c r="AG246" s="4"/>
      <c r="AH246" s="4"/>
      <c r="AI246" s="4"/>
      <c r="AJ246" s="4"/>
      <c r="AK246" s="4"/>
      <c r="AL246" s="4"/>
      <c r="AM246" s="4"/>
      <c r="AN246" s="4">
        <v>2.0</v>
      </c>
      <c r="BF246" s="4"/>
      <c r="BG246" s="4"/>
      <c r="BH246" s="4"/>
      <c r="BI246" s="4"/>
      <c r="BJ246" s="4"/>
      <c r="BK246" s="4"/>
      <c r="BL246" s="4"/>
      <c r="BM246" s="4">
        <v>63.0</v>
      </c>
      <c r="BN246" s="4"/>
      <c r="BO246" s="4"/>
      <c r="BP246" s="4"/>
      <c r="BQ246" s="4"/>
      <c r="BR246" s="4"/>
      <c r="BS246" s="4"/>
      <c r="BT246" s="4"/>
      <c r="BU246" s="4"/>
      <c r="BV246" s="4">
        <v>1.0</v>
      </c>
      <c r="BW246" s="4"/>
      <c r="BY246" s="4"/>
      <c r="BZ246" s="4">
        <v>6.0</v>
      </c>
      <c r="CI246" s="4"/>
      <c r="CJ246" s="4"/>
      <c r="CK246" s="4"/>
      <c r="CL246" s="4"/>
      <c r="CM246" s="4"/>
      <c r="CN246" s="4"/>
      <c r="CO246" s="4"/>
      <c r="CP246" s="4"/>
      <c r="CQ246" s="4"/>
      <c r="CR246" s="4"/>
      <c r="CS246" s="4"/>
      <c r="CT246" s="4"/>
      <c r="CU246" s="4"/>
      <c r="CV246" s="4"/>
      <c r="CW246" s="4"/>
      <c r="CX246" s="4"/>
      <c r="CY246" s="4"/>
      <c r="CZ246" s="4"/>
      <c r="DA246" s="4"/>
      <c r="DB246" s="4"/>
      <c r="DC246" s="4"/>
      <c r="DD246" s="4"/>
      <c r="DE246" s="4"/>
      <c r="DF246" s="4"/>
      <c r="DG246" s="4">
        <v>1.0</v>
      </c>
      <c r="DH246" s="4"/>
      <c r="DI246" s="4"/>
      <c r="DJ246" s="4"/>
      <c r="DK246" s="4"/>
      <c r="DL246" s="4"/>
      <c r="DM246" s="4">
        <v>15.0</v>
      </c>
      <c r="DN246" s="4"/>
      <c r="DO246" s="4"/>
      <c r="DP246" s="4"/>
      <c r="DQ246" s="4"/>
      <c r="DR246" s="4"/>
      <c r="DS246" s="4"/>
      <c r="DT246" s="4"/>
      <c r="DU246" s="4"/>
      <c r="DV246" s="4"/>
      <c r="DW246" s="4"/>
      <c r="DX246" s="4"/>
      <c r="DY246" s="4"/>
      <c r="DZ246" s="4"/>
      <c r="EA246" s="4"/>
      <c r="EB246" s="4"/>
      <c r="EC246" s="4"/>
      <c r="ED246" s="4"/>
      <c r="EE246" s="4"/>
      <c r="EF246" s="4"/>
      <c r="EG246" s="4"/>
      <c r="EH246" s="4"/>
      <c r="EI246" s="4"/>
      <c r="EJ246" s="4">
        <v>18.0</v>
      </c>
      <c r="EK246" s="4"/>
      <c r="EL246" s="4"/>
      <c r="EM246" s="4"/>
      <c r="EN246" s="4"/>
      <c r="EO246" s="4"/>
      <c r="EP246" s="4"/>
      <c r="EQ246" s="4"/>
      <c r="ER246" s="4"/>
      <c r="ES246" s="4"/>
      <c r="ET246" s="4"/>
      <c r="EU246" s="4"/>
      <c r="EV246" s="4"/>
      <c r="EW246" s="4"/>
      <c r="EX246" s="4"/>
      <c r="EY246" s="4"/>
      <c r="EZ246" s="4"/>
      <c r="FA246" s="4"/>
      <c r="FB246" s="4"/>
      <c r="FC246" s="4"/>
      <c r="FD246" s="4"/>
      <c r="FE246" s="4"/>
      <c r="FF246" s="4">
        <v>4.0</v>
      </c>
      <c r="FG246" s="4"/>
      <c r="FH246" s="4"/>
      <c r="FI246" s="4"/>
      <c r="FJ246" s="4"/>
      <c r="FK246" s="4"/>
      <c r="FL246" s="4"/>
      <c r="FM246" s="4"/>
      <c r="FN246" s="4"/>
      <c r="FO246" s="4"/>
      <c r="FP246" s="4"/>
      <c r="FQ246" s="4"/>
      <c r="FR246" s="4"/>
      <c r="FS246" s="4">
        <v>178.0</v>
      </c>
      <c r="FT246" s="4"/>
      <c r="FU246" s="4"/>
      <c r="FV246" s="4"/>
      <c r="FW246" s="4"/>
      <c r="FZ246" s="4"/>
      <c r="GA246" s="4"/>
      <c r="GB246" s="4"/>
      <c r="GC246" s="4"/>
      <c r="GD246" s="4"/>
      <c r="GE246" s="4"/>
      <c r="GF246" s="4"/>
      <c r="GG246" s="4">
        <v>2.0</v>
      </c>
      <c r="GH246" s="25">
        <f t="shared" si="144"/>
        <v>11</v>
      </c>
      <c r="GI246" s="25">
        <f t="shared" si="145"/>
        <v>9</v>
      </c>
      <c r="GJ246" s="25">
        <f t="shared" si="146"/>
        <v>6</v>
      </c>
      <c r="GK246" s="25">
        <f t="shared" si="147"/>
        <v>300</v>
      </c>
      <c r="GL246" s="25">
        <f t="shared" si="148"/>
        <v>700</v>
      </c>
      <c r="GM246" s="25">
        <f t="shared" si="149"/>
        <v>400</v>
      </c>
    </row>
    <row r="247">
      <c r="A247" s="58">
        <v>43893.0</v>
      </c>
      <c r="B247" s="12" t="s">
        <v>244</v>
      </c>
      <c r="C247" s="28">
        <f t="shared" si="137"/>
        <v>229</v>
      </c>
      <c r="D247" s="45">
        <v>21.310612</v>
      </c>
      <c r="E247" s="45">
        <v>-158.00441</v>
      </c>
      <c r="F247" s="14" t="s">
        <v>326</v>
      </c>
      <c r="G247" s="59">
        <v>0.395833333333333</v>
      </c>
      <c r="H247" s="59">
        <v>0.458333333333333</v>
      </c>
      <c r="I247" s="45">
        <v>5.0</v>
      </c>
      <c r="J247" s="45">
        <v>8.0</v>
      </c>
      <c r="K247" s="8" t="s">
        <v>318</v>
      </c>
      <c r="L247" s="45">
        <v>4.0</v>
      </c>
      <c r="M247" s="4">
        <v>9.0</v>
      </c>
      <c r="N247" s="4" t="s">
        <v>518</v>
      </c>
      <c r="O247" s="4"/>
      <c r="P247" s="4">
        <v>9.0</v>
      </c>
      <c r="Q247" s="4" t="s">
        <v>519</v>
      </c>
      <c r="R247" s="4">
        <v>23.0</v>
      </c>
      <c r="S247" s="4"/>
      <c r="T247" s="4"/>
      <c r="U247" s="4"/>
      <c r="V247" s="4"/>
      <c r="W247" s="4"/>
      <c r="X247" s="4"/>
      <c r="Y247" s="4"/>
      <c r="Z247" s="4"/>
      <c r="AA247" s="4"/>
      <c r="AB247" s="4"/>
      <c r="AC247" s="4"/>
      <c r="AD247" s="4"/>
      <c r="AE247" s="4">
        <v>23.0</v>
      </c>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v>1.0</v>
      </c>
      <c r="CI247" s="4"/>
      <c r="CJ247" s="4"/>
      <c r="CK247" s="4"/>
      <c r="CL247" s="4"/>
      <c r="CM247" s="4"/>
      <c r="CN247" s="4"/>
      <c r="CO247" s="4"/>
      <c r="CP247" s="4"/>
      <c r="CQ247" s="4"/>
      <c r="CR247" s="4"/>
      <c r="CS247" s="4"/>
      <c r="CT247" s="4"/>
      <c r="CU247" s="4"/>
      <c r="CV247" s="4"/>
      <c r="CW247" s="4"/>
      <c r="CX247" s="4"/>
      <c r="CY247" s="4"/>
      <c r="CZ247" s="4"/>
      <c r="DA247" s="4"/>
      <c r="DB247" s="4"/>
      <c r="DC247" s="4"/>
      <c r="DD247" s="4"/>
      <c r="DE247" s="4"/>
      <c r="DF247" s="4"/>
      <c r="DG247" s="4"/>
      <c r="DH247" s="4"/>
      <c r="DI247" s="4"/>
      <c r="DJ247" s="4"/>
      <c r="DK247" s="4"/>
      <c r="DL247" s="4"/>
      <c r="DM247" s="4"/>
      <c r="DN247" s="4"/>
      <c r="DO247" s="4"/>
      <c r="DP247" s="4"/>
      <c r="DQ247" s="4"/>
      <c r="DR247" s="4"/>
      <c r="DS247" s="4"/>
      <c r="DT247" s="4"/>
      <c r="DU247" s="4"/>
      <c r="DV247" s="4"/>
      <c r="DW247" s="4"/>
      <c r="DX247" s="4"/>
      <c r="DY247" s="4"/>
      <c r="DZ247" s="4"/>
      <c r="EA247" s="4"/>
      <c r="EB247" s="4"/>
      <c r="EC247" s="4"/>
      <c r="ED247" s="4"/>
      <c r="EE247" s="4"/>
      <c r="EF247" s="4"/>
      <c r="EG247" s="4"/>
      <c r="EH247" s="4"/>
      <c r="EI247" s="4"/>
      <c r="EJ247" s="4">
        <v>34.0</v>
      </c>
      <c r="EK247" s="4"/>
      <c r="EL247" s="4"/>
      <c r="EM247" s="4"/>
      <c r="EN247" s="4"/>
      <c r="EO247" s="4"/>
      <c r="EP247" s="4"/>
      <c r="EQ247" s="4"/>
      <c r="ER247" s="4"/>
      <c r="ES247" s="4"/>
      <c r="ET247" s="4"/>
      <c r="EU247" s="4"/>
      <c r="EV247" s="4"/>
      <c r="EW247" s="4"/>
      <c r="EX247" s="4"/>
      <c r="EY247" s="4"/>
      <c r="EZ247" s="4"/>
      <c r="FA247" s="4"/>
      <c r="FB247" s="4"/>
      <c r="FC247" s="4"/>
      <c r="FD247" s="4"/>
      <c r="FE247" s="4"/>
      <c r="FF247" s="4"/>
      <c r="FG247" s="4"/>
      <c r="FH247" s="4"/>
      <c r="FI247" s="4"/>
      <c r="FJ247" s="4"/>
      <c r="FK247" s="4"/>
      <c r="FL247" s="4"/>
      <c r="FM247" s="4"/>
      <c r="FN247" s="4"/>
      <c r="FO247" s="4"/>
      <c r="FP247" s="4"/>
      <c r="FQ247" s="4"/>
      <c r="FR247" s="4"/>
      <c r="FS247" s="4">
        <v>1.0</v>
      </c>
      <c r="GH247" s="25">
        <f t="shared" si="144"/>
        <v>5</v>
      </c>
      <c r="GI247" s="25">
        <f t="shared" si="145"/>
        <v>3</v>
      </c>
      <c r="GJ247" s="25">
        <f t="shared" si="146"/>
        <v>3</v>
      </c>
      <c r="GK247" s="25">
        <f t="shared" si="147"/>
        <v>82</v>
      </c>
      <c r="GL247" s="25">
        <f t="shared" si="148"/>
        <v>225</v>
      </c>
      <c r="GM247" s="25">
        <f t="shared" si="149"/>
        <v>143</v>
      </c>
    </row>
    <row r="248">
      <c r="A248" s="58">
        <v>43901.0</v>
      </c>
      <c r="B248" s="14" t="s">
        <v>456</v>
      </c>
      <c r="C248" s="28">
        <f t="shared" si="137"/>
        <v>230</v>
      </c>
      <c r="D248" s="45">
        <v>21.316488</v>
      </c>
      <c r="E248" s="45">
        <v>-157.664261</v>
      </c>
      <c r="F248" s="14" t="s">
        <v>469</v>
      </c>
      <c r="G248" s="59">
        <v>0.375694444444444</v>
      </c>
      <c r="H248" s="59">
        <v>0.416666666666667</v>
      </c>
      <c r="I248" s="45">
        <v>5.0</v>
      </c>
      <c r="J248" s="45">
        <v>40.0</v>
      </c>
      <c r="K248" s="12" t="s">
        <v>470</v>
      </c>
      <c r="L248" s="45">
        <v>5.0</v>
      </c>
      <c r="M248" s="4">
        <v>25.0</v>
      </c>
      <c r="N248" s="4"/>
      <c r="O248" s="4"/>
      <c r="P248" s="4">
        <v>25.0</v>
      </c>
      <c r="Q248" s="4" t="s">
        <v>521</v>
      </c>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v>25.0</v>
      </c>
      <c r="BN248" s="4"/>
      <c r="BO248" s="4"/>
      <c r="BP248" s="4"/>
      <c r="BQ248" s="4"/>
      <c r="BR248" s="4"/>
      <c r="BS248" s="4"/>
      <c r="BT248" s="4"/>
      <c r="BU248" s="4"/>
      <c r="BV248" s="4"/>
      <c r="BW248" s="4"/>
      <c r="BX248" s="4"/>
      <c r="BY248" s="4"/>
      <c r="BZ248" s="4"/>
      <c r="CA248" s="4"/>
      <c r="CB248" s="4"/>
      <c r="CC248" s="4">
        <v>7.0</v>
      </c>
      <c r="CD248" s="4"/>
      <c r="CE248" s="4"/>
      <c r="CF248" s="4"/>
      <c r="CG248" s="4"/>
      <c r="CH248" s="4">
        <v>1.0</v>
      </c>
      <c r="CI248" s="4"/>
      <c r="CJ248" s="4"/>
      <c r="CK248" s="4"/>
      <c r="CL248" s="4"/>
      <c r="CM248" s="4"/>
      <c r="CN248" s="4"/>
      <c r="CO248" s="4"/>
      <c r="CP248" s="4"/>
      <c r="CQ248" s="4"/>
      <c r="CR248" s="4"/>
      <c r="CS248" s="4"/>
      <c r="CT248" s="4"/>
      <c r="CU248" s="4"/>
      <c r="CV248" s="4"/>
      <c r="CW248" s="4"/>
      <c r="CX248" s="4"/>
      <c r="CY248" s="4"/>
      <c r="CZ248" s="4"/>
      <c r="DA248" s="4"/>
      <c r="DB248" s="4"/>
      <c r="DC248" s="4"/>
      <c r="DD248" s="4"/>
      <c r="DE248" s="4"/>
      <c r="DF248" s="4"/>
      <c r="DG248" s="4"/>
      <c r="DH248" s="4"/>
      <c r="DI248" s="4"/>
      <c r="DJ248" s="4"/>
      <c r="DK248" s="4"/>
      <c r="DL248" s="4"/>
      <c r="DM248" s="4"/>
      <c r="DN248" s="4"/>
      <c r="DO248" s="4"/>
      <c r="DP248" s="4"/>
      <c r="DQ248" s="4"/>
      <c r="DR248" s="4"/>
      <c r="DS248" s="4"/>
      <c r="DT248" s="4"/>
      <c r="DU248" s="4"/>
      <c r="DV248" s="4"/>
      <c r="DW248" s="4"/>
      <c r="DX248" s="4"/>
      <c r="DY248" s="4"/>
      <c r="DZ248" s="4"/>
      <c r="EA248" s="4"/>
      <c r="EB248" s="4"/>
      <c r="EC248" s="4"/>
      <c r="ED248" s="4"/>
      <c r="EE248" s="4"/>
      <c r="EF248" s="4"/>
      <c r="EG248" s="4"/>
      <c r="EH248" s="4"/>
      <c r="EI248" s="4"/>
      <c r="EJ248" s="4">
        <v>6.0</v>
      </c>
      <c r="EK248" s="4"/>
      <c r="EL248" s="4"/>
      <c r="EM248" s="4"/>
      <c r="EN248" s="4"/>
      <c r="EO248" s="4"/>
      <c r="EP248" s="4"/>
      <c r="EQ248" s="4"/>
      <c r="ER248" s="4"/>
      <c r="ES248" s="4"/>
      <c r="ET248" s="4"/>
      <c r="EU248" s="4"/>
      <c r="EV248" s="4"/>
      <c r="EW248" s="4"/>
      <c r="EX248" s="4"/>
      <c r="EY248" s="4"/>
      <c r="EZ248" s="4"/>
      <c r="FA248" s="4"/>
      <c r="FB248" s="4"/>
      <c r="FC248" s="4"/>
      <c r="FD248" s="4"/>
      <c r="FE248" s="4"/>
      <c r="FF248" s="4"/>
      <c r="FG248" s="4"/>
      <c r="FH248" s="4"/>
      <c r="FI248" s="4"/>
      <c r="FJ248" s="4"/>
      <c r="FK248" s="4"/>
      <c r="FL248" s="4"/>
      <c r="FM248" s="4"/>
      <c r="FN248" s="4"/>
      <c r="FO248" s="4"/>
      <c r="FP248" s="4"/>
      <c r="FQ248" s="4"/>
      <c r="FR248" s="4"/>
      <c r="FS248" s="4">
        <v>252.0</v>
      </c>
      <c r="FT248" s="4"/>
      <c r="FU248" s="4"/>
      <c r="FV248" s="4"/>
      <c r="FW248" s="4"/>
      <c r="FZ248" s="4"/>
      <c r="GA248" s="4"/>
      <c r="GB248" s="4"/>
      <c r="GC248" s="4"/>
      <c r="GD248" s="4"/>
      <c r="GE248" s="4"/>
      <c r="GF248" s="4"/>
      <c r="GG248" s="4"/>
      <c r="GH248" s="25">
        <f t="shared" si="144"/>
        <v>5</v>
      </c>
      <c r="GI248" s="25">
        <f t="shared" si="145"/>
        <v>4</v>
      </c>
      <c r="GJ248" s="25">
        <f t="shared" si="146"/>
        <v>4</v>
      </c>
      <c r="GK248" s="25">
        <f t="shared" si="147"/>
        <v>291</v>
      </c>
      <c r="GL248" s="25">
        <f t="shared" si="148"/>
        <v>625</v>
      </c>
      <c r="GM248" s="25">
        <f t="shared" si="149"/>
        <v>334</v>
      </c>
    </row>
    <row r="249">
      <c r="A249" s="31">
        <v>43902.0</v>
      </c>
      <c r="B249" s="32" t="s">
        <v>456</v>
      </c>
      <c r="C249" s="28">
        <f t="shared" si="137"/>
        <v>231</v>
      </c>
      <c r="D249" s="32">
        <v>21.316488</v>
      </c>
      <c r="E249" s="32">
        <v>-157.664261</v>
      </c>
      <c r="F249" s="32" t="s">
        <v>607</v>
      </c>
      <c r="G249" s="33">
        <v>0.4166666666666667</v>
      </c>
      <c r="H249" s="33">
        <v>0.4895833333333333</v>
      </c>
      <c r="I249" s="32">
        <v>3.0</v>
      </c>
      <c r="J249" s="32">
        <v>10.0</v>
      </c>
      <c r="K249" s="32" t="s">
        <v>227</v>
      </c>
      <c r="L249" s="32">
        <v>10.0</v>
      </c>
      <c r="M249" s="34"/>
      <c r="N249" s="34"/>
      <c r="O249" s="34"/>
      <c r="P249" s="34"/>
      <c r="Q249" s="34"/>
      <c r="R249" s="34"/>
      <c r="S249" s="34"/>
      <c r="T249" s="34"/>
      <c r="U249" s="34"/>
      <c r="V249" s="34"/>
      <c r="W249" s="34"/>
      <c r="X249" s="34"/>
      <c r="Y249" s="34"/>
      <c r="Z249" s="34"/>
      <c r="AA249" s="34"/>
      <c r="AB249" s="34"/>
      <c r="AC249" s="34"/>
      <c r="AD249" s="34"/>
      <c r="AE249" s="34"/>
      <c r="AF249" s="34"/>
      <c r="AG249" s="34"/>
      <c r="AH249" s="34"/>
      <c r="AI249" s="34"/>
      <c r="AJ249" s="34"/>
      <c r="AK249" s="34"/>
      <c r="AL249" s="34"/>
      <c r="AM249" s="34"/>
      <c r="AN249" s="34"/>
      <c r="AO249" s="34"/>
      <c r="AP249" s="34"/>
      <c r="AQ249" s="34"/>
      <c r="AR249" s="34"/>
      <c r="AS249" s="34"/>
      <c r="AT249" s="34"/>
      <c r="AU249" s="34"/>
      <c r="AV249" s="34"/>
      <c r="AW249" s="34"/>
      <c r="AX249" s="34"/>
      <c r="AY249" s="34"/>
      <c r="AZ249" s="34"/>
      <c r="BA249" s="34"/>
      <c r="BB249" s="34"/>
      <c r="BC249" s="34"/>
      <c r="BD249" s="34"/>
      <c r="BE249" s="34"/>
      <c r="BF249" s="34"/>
      <c r="BG249" s="34"/>
      <c r="BH249" s="34"/>
      <c r="BI249" s="34"/>
      <c r="BJ249" s="34"/>
      <c r="BK249" s="34"/>
      <c r="BL249" s="34"/>
      <c r="BM249" s="34"/>
      <c r="BN249" s="34"/>
      <c r="BO249" s="34"/>
      <c r="BP249" s="34"/>
      <c r="BQ249" s="34"/>
      <c r="BR249" s="34"/>
      <c r="BS249" s="34"/>
      <c r="BT249" s="34"/>
      <c r="BU249" s="34"/>
      <c r="BV249" s="34"/>
      <c r="BW249" s="34"/>
      <c r="BX249" s="34"/>
      <c r="BY249" s="34"/>
      <c r="BZ249" s="34"/>
      <c r="CA249" s="34"/>
      <c r="CB249" s="34"/>
      <c r="CC249" s="34"/>
      <c r="CD249" s="34"/>
      <c r="CE249" s="34"/>
      <c r="CF249" s="34"/>
      <c r="CG249" s="34"/>
      <c r="CH249" s="34"/>
      <c r="CI249" s="34"/>
      <c r="CJ249" s="34"/>
      <c r="CK249" s="34"/>
      <c r="CL249" s="34"/>
      <c r="CM249" s="34"/>
      <c r="CN249" s="34"/>
      <c r="CO249" s="34"/>
      <c r="CP249" s="34"/>
      <c r="CQ249" s="34"/>
      <c r="CR249" s="34"/>
      <c r="CS249" s="34"/>
      <c r="CT249" s="34"/>
      <c r="CU249" s="34"/>
      <c r="CV249" s="34"/>
      <c r="CW249" s="34"/>
      <c r="CX249" s="34"/>
      <c r="CY249" s="34"/>
      <c r="CZ249" s="34"/>
      <c r="DA249" s="34"/>
      <c r="DB249" s="34"/>
      <c r="DC249" s="34"/>
      <c r="DD249" s="34"/>
      <c r="DE249" s="34"/>
      <c r="DF249" s="34"/>
      <c r="DG249" s="34"/>
      <c r="DH249" s="34"/>
      <c r="DI249" s="34"/>
      <c r="DJ249" s="34"/>
      <c r="DK249" s="34"/>
      <c r="DL249" s="34"/>
      <c r="DM249" s="34"/>
      <c r="DN249" s="34"/>
      <c r="DO249" s="34"/>
      <c r="DP249" s="34"/>
      <c r="DQ249" s="34"/>
      <c r="DR249" s="34"/>
      <c r="DS249" s="34"/>
      <c r="DT249" s="34"/>
      <c r="DU249" s="34"/>
      <c r="DV249" s="34"/>
      <c r="DW249" s="34"/>
      <c r="DX249" s="34"/>
      <c r="DY249" s="34"/>
      <c r="DZ249" s="34"/>
      <c r="EA249" s="34"/>
      <c r="EB249" s="34"/>
      <c r="EC249" s="34"/>
      <c r="ED249" s="34"/>
      <c r="EE249" s="34"/>
      <c r="EF249" s="34"/>
      <c r="EG249" s="34"/>
      <c r="EH249" s="34"/>
      <c r="EI249" s="34"/>
      <c r="EJ249" s="34"/>
      <c r="EK249" s="34"/>
      <c r="EL249" s="34"/>
      <c r="EM249" s="34"/>
      <c r="EN249" s="34"/>
      <c r="EO249" s="34"/>
      <c r="EP249" s="34"/>
      <c r="EQ249" s="34"/>
      <c r="ER249" s="34"/>
      <c r="ES249" s="34"/>
      <c r="ET249" s="34"/>
      <c r="EU249" s="34"/>
      <c r="EV249" s="34"/>
      <c r="EW249" s="34"/>
      <c r="EX249" s="34"/>
      <c r="EY249" s="34"/>
      <c r="EZ249" s="34"/>
      <c r="FA249" s="34"/>
      <c r="FB249" s="34"/>
      <c r="FC249" s="34"/>
      <c r="FD249" s="34"/>
      <c r="FE249" s="34"/>
      <c r="FF249" s="34"/>
      <c r="FG249" s="34"/>
      <c r="FH249" s="34"/>
      <c r="FI249" s="34"/>
      <c r="FJ249" s="34"/>
      <c r="FK249" s="34"/>
      <c r="FL249" s="34"/>
      <c r="FM249" s="34"/>
      <c r="FN249" s="34"/>
      <c r="FO249" s="34"/>
      <c r="FP249" s="34"/>
      <c r="FQ249" s="34"/>
      <c r="FR249" s="34"/>
      <c r="FS249" s="34"/>
      <c r="FT249" s="34"/>
      <c r="FU249" s="34"/>
      <c r="FV249" s="34"/>
      <c r="FW249" s="34"/>
      <c r="FX249" s="34"/>
      <c r="FY249" s="34"/>
      <c r="FZ249" s="34"/>
      <c r="GA249" s="34"/>
      <c r="GB249" s="34"/>
      <c r="GC249" s="34"/>
      <c r="GD249" s="34"/>
      <c r="GE249" s="34"/>
      <c r="GF249" s="34"/>
      <c r="GG249" s="34"/>
      <c r="GH249" s="34"/>
      <c r="GI249" s="34"/>
      <c r="GJ249" s="34"/>
      <c r="GK249" s="34"/>
      <c r="GL249" s="34"/>
      <c r="GM249" s="34"/>
      <c r="GN249" s="34"/>
      <c r="GO249" s="34"/>
      <c r="GP249" s="34"/>
      <c r="GQ249" s="34"/>
      <c r="GR249" s="34"/>
      <c r="GS249" s="34"/>
      <c r="GT249" s="34"/>
      <c r="GU249" s="34"/>
      <c r="GV249" s="34"/>
      <c r="GW249" s="34"/>
      <c r="GX249" s="34"/>
      <c r="GY249" s="34"/>
      <c r="GZ249" s="34"/>
      <c r="HA249" s="34"/>
      <c r="HB249" s="34"/>
      <c r="HC249" s="34"/>
      <c r="HD249" s="34"/>
      <c r="HE249" s="34"/>
      <c r="HF249" s="34"/>
      <c r="HG249" s="34"/>
      <c r="HH249" s="34"/>
      <c r="HI249" s="34"/>
    </row>
    <row r="250">
      <c r="F250" s="4" t="s">
        <v>197</v>
      </c>
      <c r="G250" s="24">
        <v>0.0</v>
      </c>
      <c r="H250" s="24">
        <v>0.041666666666666664</v>
      </c>
    </row>
    <row r="251">
      <c r="Q251" s="4" t="s">
        <v>1012</v>
      </c>
      <c r="R251" s="25">
        <f t="shared" ref="R251:FN251" si="150">count(R5:R248)</f>
        <v>110</v>
      </c>
      <c r="S251" s="25">
        <f t="shared" si="150"/>
        <v>17</v>
      </c>
      <c r="T251" s="25">
        <f t="shared" si="150"/>
        <v>18</v>
      </c>
      <c r="U251" s="25">
        <f t="shared" si="150"/>
        <v>2</v>
      </c>
      <c r="V251" s="25">
        <f t="shared" si="150"/>
        <v>1</v>
      </c>
      <c r="W251" s="25">
        <f t="shared" si="150"/>
        <v>4</v>
      </c>
      <c r="X251" s="25">
        <f t="shared" si="150"/>
        <v>14</v>
      </c>
      <c r="Y251" s="25">
        <f t="shared" si="150"/>
        <v>1</v>
      </c>
      <c r="Z251" s="25">
        <f t="shared" si="150"/>
        <v>7</v>
      </c>
      <c r="AA251" s="25">
        <f t="shared" si="150"/>
        <v>1</v>
      </c>
      <c r="AB251" s="25">
        <f t="shared" si="150"/>
        <v>58</v>
      </c>
      <c r="AC251" s="25">
        <f t="shared" si="150"/>
        <v>32</v>
      </c>
      <c r="AD251" s="25">
        <f t="shared" si="150"/>
        <v>30</v>
      </c>
      <c r="AE251" s="25">
        <f t="shared" si="150"/>
        <v>31</v>
      </c>
      <c r="AF251" s="25">
        <f t="shared" si="150"/>
        <v>21</v>
      </c>
      <c r="AG251" s="25">
        <f t="shared" si="150"/>
        <v>13</v>
      </c>
      <c r="AH251" s="25">
        <f t="shared" si="150"/>
        <v>9</v>
      </c>
      <c r="AI251" s="25">
        <f t="shared" si="150"/>
        <v>48</v>
      </c>
      <c r="AJ251" s="25">
        <f t="shared" si="150"/>
        <v>1</v>
      </c>
      <c r="AK251" s="25">
        <f t="shared" si="150"/>
        <v>8</v>
      </c>
      <c r="AL251" s="25">
        <f t="shared" si="150"/>
        <v>8</v>
      </c>
      <c r="AM251" s="25">
        <f t="shared" si="150"/>
        <v>65</v>
      </c>
      <c r="AN251" s="25">
        <f t="shared" si="150"/>
        <v>20</v>
      </c>
      <c r="AO251" s="25">
        <f t="shared" si="150"/>
        <v>1</v>
      </c>
      <c r="AP251" s="25">
        <f t="shared" si="150"/>
        <v>6</v>
      </c>
      <c r="AQ251" s="25">
        <f t="shared" si="150"/>
        <v>3</v>
      </c>
      <c r="AR251" s="25">
        <f t="shared" si="150"/>
        <v>5</v>
      </c>
      <c r="AS251" s="25">
        <f t="shared" si="150"/>
        <v>4</v>
      </c>
      <c r="AT251" s="25">
        <f t="shared" si="150"/>
        <v>6</v>
      </c>
      <c r="AU251" s="25">
        <f t="shared" si="150"/>
        <v>5</v>
      </c>
      <c r="AV251" s="25">
        <f t="shared" si="150"/>
        <v>5</v>
      </c>
      <c r="AW251" s="25">
        <f t="shared" si="150"/>
        <v>4</v>
      </c>
      <c r="AX251" s="25">
        <f t="shared" si="150"/>
        <v>13</v>
      </c>
      <c r="AY251" s="25">
        <f t="shared" si="150"/>
        <v>2</v>
      </c>
      <c r="AZ251" s="25">
        <f t="shared" si="150"/>
        <v>14</v>
      </c>
      <c r="BA251" s="25">
        <f t="shared" si="150"/>
        <v>1</v>
      </c>
      <c r="BB251" s="25">
        <f t="shared" si="150"/>
        <v>69</v>
      </c>
      <c r="BC251" s="25">
        <f t="shared" si="150"/>
        <v>16</v>
      </c>
      <c r="BD251" s="25">
        <f t="shared" si="150"/>
        <v>14</v>
      </c>
      <c r="BE251" s="25">
        <f t="shared" si="150"/>
        <v>46</v>
      </c>
      <c r="BF251" s="25">
        <f t="shared" si="150"/>
        <v>10</v>
      </c>
      <c r="BG251" s="25">
        <f t="shared" si="150"/>
        <v>7</v>
      </c>
      <c r="BH251" s="25">
        <f t="shared" si="150"/>
        <v>28</v>
      </c>
      <c r="BI251" s="25">
        <f t="shared" si="150"/>
        <v>2</v>
      </c>
      <c r="BJ251" s="25">
        <f t="shared" si="150"/>
        <v>3</v>
      </c>
      <c r="BK251" s="25">
        <f t="shared" si="150"/>
        <v>49</v>
      </c>
      <c r="BL251" s="25">
        <f t="shared" si="150"/>
        <v>13</v>
      </c>
      <c r="BM251" s="25">
        <f t="shared" si="150"/>
        <v>164</v>
      </c>
      <c r="BN251" s="25">
        <f t="shared" si="150"/>
        <v>41</v>
      </c>
      <c r="BO251" s="25">
        <f t="shared" si="150"/>
        <v>1</v>
      </c>
      <c r="BP251" s="25">
        <f t="shared" si="150"/>
        <v>5</v>
      </c>
      <c r="BQ251" s="25">
        <f t="shared" si="150"/>
        <v>52</v>
      </c>
      <c r="BR251" s="25">
        <f t="shared" si="150"/>
        <v>5</v>
      </c>
      <c r="BS251" s="25">
        <f t="shared" si="150"/>
        <v>3</v>
      </c>
      <c r="BT251" s="25">
        <f t="shared" si="150"/>
        <v>8</v>
      </c>
      <c r="BU251" s="25">
        <f t="shared" si="150"/>
        <v>13</v>
      </c>
      <c r="BV251" s="25">
        <f t="shared" si="150"/>
        <v>76</v>
      </c>
      <c r="BW251" s="25">
        <f t="shared" si="150"/>
        <v>42</v>
      </c>
      <c r="BX251" s="25">
        <f t="shared" si="150"/>
        <v>17</v>
      </c>
      <c r="BY251" s="25">
        <f t="shared" si="150"/>
        <v>22</v>
      </c>
      <c r="BZ251" s="25">
        <f t="shared" si="150"/>
        <v>89</v>
      </c>
      <c r="CA251" s="25">
        <f t="shared" si="150"/>
        <v>2</v>
      </c>
      <c r="CB251" s="25">
        <f t="shared" si="150"/>
        <v>16</v>
      </c>
      <c r="CC251" s="25">
        <f t="shared" si="150"/>
        <v>70</v>
      </c>
      <c r="CD251" s="25">
        <f t="shared" si="150"/>
        <v>35</v>
      </c>
      <c r="CE251" s="25">
        <f t="shared" si="150"/>
        <v>13</v>
      </c>
      <c r="CF251" s="25">
        <f t="shared" si="150"/>
        <v>9</v>
      </c>
      <c r="CG251" s="25">
        <f t="shared" si="150"/>
        <v>1</v>
      </c>
      <c r="CH251" s="25">
        <f t="shared" si="150"/>
        <v>20</v>
      </c>
      <c r="CI251" s="25">
        <f t="shared" si="150"/>
        <v>2</v>
      </c>
      <c r="CJ251" s="25">
        <f t="shared" si="150"/>
        <v>11</v>
      </c>
      <c r="CK251" s="25">
        <f t="shared" si="150"/>
        <v>19</v>
      </c>
      <c r="CL251" s="25">
        <f t="shared" si="150"/>
        <v>3</v>
      </c>
      <c r="CM251" s="25">
        <f t="shared" si="150"/>
        <v>1</v>
      </c>
      <c r="CN251" s="25">
        <f t="shared" si="150"/>
        <v>7</v>
      </c>
      <c r="CO251" s="25">
        <f t="shared" si="150"/>
        <v>44</v>
      </c>
      <c r="CP251" s="25">
        <f t="shared" si="150"/>
        <v>1</v>
      </c>
      <c r="CQ251" s="25">
        <f t="shared" si="150"/>
        <v>4</v>
      </c>
      <c r="CR251" s="25">
        <f t="shared" si="150"/>
        <v>4</v>
      </c>
      <c r="CS251" s="25">
        <f t="shared" si="150"/>
        <v>48</v>
      </c>
      <c r="CT251" s="25">
        <f t="shared" si="150"/>
        <v>1</v>
      </c>
      <c r="CU251" s="25">
        <f t="shared" si="150"/>
        <v>11</v>
      </c>
      <c r="CV251" s="25">
        <f t="shared" si="150"/>
        <v>22</v>
      </c>
      <c r="CW251" s="25">
        <f t="shared" si="150"/>
        <v>6</v>
      </c>
      <c r="CX251" s="25">
        <f t="shared" si="150"/>
        <v>1</v>
      </c>
      <c r="CY251" s="25">
        <f t="shared" si="150"/>
        <v>1</v>
      </c>
      <c r="CZ251" s="25">
        <f t="shared" si="150"/>
        <v>2</v>
      </c>
      <c r="DA251" s="25">
        <f t="shared" si="150"/>
        <v>7</v>
      </c>
      <c r="DB251" s="25">
        <f t="shared" si="150"/>
        <v>1</v>
      </c>
      <c r="DC251" s="25">
        <f t="shared" si="150"/>
        <v>8</v>
      </c>
      <c r="DD251" s="25">
        <f t="shared" si="150"/>
        <v>12</v>
      </c>
      <c r="DE251" s="25">
        <f t="shared" si="150"/>
        <v>8</v>
      </c>
      <c r="DF251" s="25">
        <f t="shared" si="150"/>
        <v>9</v>
      </c>
      <c r="DG251" s="25">
        <f t="shared" si="150"/>
        <v>64</v>
      </c>
      <c r="DH251" s="25">
        <f t="shared" si="150"/>
        <v>28</v>
      </c>
      <c r="DI251" s="25">
        <f t="shared" si="150"/>
        <v>5</v>
      </c>
      <c r="DJ251" s="25">
        <f t="shared" si="150"/>
        <v>14</v>
      </c>
      <c r="DK251" s="25">
        <f t="shared" si="150"/>
        <v>2</v>
      </c>
      <c r="DL251" s="25">
        <f t="shared" si="150"/>
        <v>22</v>
      </c>
      <c r="DM251" s="25">
        <f t="shared" si="150"/>
        <v>110</v>
      </c>
      <c r="DN251" s="25">
        <f t="shared" si="150"/>
        <v>11</v>
      </c>
      <c r="DO251" s="25">
        <f t="shared" si="150"/>
        <v>36</v>
      </c>
      <c r="DP251" s="25">
        <f t="shared" si="150"/>
        <v>31</v>
      </c>
      <c r="DQ251" s="25">
        <f t="shared" si="150"/>
        <v>11</v>
      </c>
      <c r="DR251" s="25">
        <f t="shared" si="150"/>
        <v>1</v>
      </c>
      <c r="DS251" s="25">
        <f t="shared" si="150"/>
        <v>69</v>
      </c>
      <c r="DT251" s="25">
        <f t="shared" si="150"/>
        <v>2</v>
      </c>
      <c r="DU251" s="25">
        <f t="shared" si="150"/>
        <v>1</v>
      </c>
      <c r="DV251" s="25">
        <f t="shared" si="150"/>
        <v>60</v>
      </c>
      <c r="DW251" s="25">
        <f t="shared" si="150"/>
        <v>6</v>
      </c>
      <c r="DX251" s="25">
        <f t="shared" si="150"/>
        <v>4</v>
      </c>
      <c r="DY251" s="25">
        <f t="shared" si="150"/>
        <v>2</v>
      </c>
      <c r="DZ251" s="25">
        <f t="shared" si="150"/>
        <v>21</v>
      </c>
      <c r="EA251" s="25">
        <f t="shared" si="150"/>
        <v>5</v>
      </c>
      <c r="EB251" s="25">
        <f t="shared" si="150"/>
        <v>6</v>
      </c>
      <c r="EC251" s="25">
        <f t="shared" si="150"/>
        <v>45</v>
      </c>
      <c r="ED251" s="25">
        <f t="shared" si="150"/>
        <v>37</v>
      </c>
      <c r="EE251" s="25">
        <f t="shared" si="150"/>
        <v>2</v>
      </c>
      <c r="EF251" s="25">
        <f t="shared" si="150"/>
        <v>8</v>
      </c>
      <c r="EG251" s="25">
        <f t="shared" si="150"/>
        <v>2</v>
      </c>
      <c r="EH251" s="25">
        <f t="shared" si="150"/>
        <v>1</v>
      </c>
      <c r="EI251" s="25">
        <f t="shared" si="150"/>
        <v>6</v>
      </c>
      <c r="EJ251" s="25">
        <f t="shared" si="150"/>
        <v>172</v>
      </c>
      <c r="EK251" s="25">
        <f t="shared" si="150"/>
        <v>18</v>
      </c>
      <c r="EL251" s="25">
        <f t="shared" si="150"/>
        <v>2</v>
      </c>
      <c r="EM251" s="25">
        <f t="shared" si="150"/>
        <v>1</v>
      </c>
      <c r="EN251" s="25">
        <f t="shared" si="150"/>
        <v>7</v>
      </c>
      <c r="EO251" s="25">
        <f t="shared" si="150"/>
        <v>7</v>
      </c>
      <c r="EP251" s="25">
        <f t="shared" si="150"/>
        <v>7</v>
      </c>
      <c r="EQ251" s="25">
        <f t="shared" si="150"/>
        <v>2</v>
      </c>
      <c r="ER251" s="25">
        <f t="shared" si="150"/>
        <v>6</v>
      </c>
      <c r="ES251" s="25">
        <f t="shared" si="150"/>
        <v>2</v>
      </c>
      <c r="ET251" s="25">
        <f t="shared" si="150"/>
        <v>1</v>
      </c>
      <c r="EU251" s="25">
        <f t="shared" si="150"/>
        <v>1</v>
      </c>
      <c r="EV251" s="25">
        <f t="shared" si="150"/>
        <v>16</v>
      </c>
      <c r="EW251" s="25">
        <f t="shared" si="150"/>
        <v>13</v>
      </c>
      <c r="EX251" s="25">
        <f t="shared" si="150"/>
        <v>26</v>
      </c>
      <c r="EY251" s="25">
        <f t="shared" si="150"/>
        <v>2</v>
      </c>
      <c r="EZ251" s="25">
        <f t="shared" si="150"/>
        <v>16</v>
      </c>
      <c r="FA251" s="25">
        <f t="shared" si="150"/>
        <v>9</v>
      </c>
      <c r="FB251" s="25">
        <f t="shared" si="150"/>
        <v>110</v>
      </c>
      <c r="FC251" s="25">
        <f t="shared" si="150"/>
        <v>37</v>
      </c>
      <c r="FD251" s="25">
        <f t="shared" si="150"/>
        <v>1</v>
      </c>
      <c r="FE251" s="25">
        <f t="shared" si="150"/>
        <v>17</v>
      </c>
      <c r="FF251" s="25">
        <f t="shared" si="150"/>
        <v>42</v>
      </c>
      <c r="FG251" s="25">
        <f t="shared" si="150"/>
        <v>2</v>
      </c>
      <c r="FH251" s="25">
        <f t="shared" si="150"/>
        <v>11</v>
      </c>
      <c r="FI251" s="25">
        <f t="shared" si="150"/>
        <v>32</v>
      </c>
      <c r="FJ251" s="25">
        <f t="shared" si="150"/>
        <v>2</v>
      </c>
      <c r="FK251" s="25">
        <f t="shared" si="150"/>
        <v>2</v>
      </c>
      <c r="FL251" s="25">
        <f t="shared" si="150"/>
        <v>8</v>
      </c>
      <c r="FM251" s="25">
        <f t="shared" si="150"/>
        <v>36</v>
      </c>
      <c r="FN251" s="25">
        <f t="shared" si="150"/>
        <v>3</v>
      </c>
      <c r="FP251" s="25">
        <f t="shared" ref="FP251:FW251" si="151">count(FP5:FP248)</f>
        <v>12</v>
      </c>
      <c r="FQ251" s="25">
        <f t="shared" si="151"/>
        <v>19</v>
      </c>
      <c r="FR251" s="25">
        <f t="shared" si="151"/>
        <v>82</v>
      </c>
      <c r="FS251" s="25">
        <f t="shared" si="151"/>
        <v>217</v>
      </c>
      <c r="FT251" s="25">
        <f t="shared" si="151"/>
        <v>23</v>
      </c>
      <c r="FU251" s="25">
        <f t="shared" si="151"/>
        <v>15</v>
      </c>
      <c r="FV251" s="25">
        <f t="shared" si="151"/>
        <v>4</v>
      </c>
      <c r="FW251" s="25">
        <f t="shared" si="151"/>
        <v>30</v>
      </c>
      <c r="FY251" s="25">
        <f t="shared" ref="FY251:GG251" si="152">count(FY5:FY248)</f>
        <v>8</v>
      </c>
      <c r="FZ251" s="25">
        <f t="shared" si="152"/>
        <v>6</v>
      </c>
      <c r="GA251" s="25">
        <f t="shared" si="152"/>
        <v>9</v>
      </c>
      <c r="GB251" s="25">
        <f t="shared" si="152"/>
        <v>4</v>
      </c>
      <c r="GC251" s="25">
        <f t="shared" si="152"/>
        <v>7</v>
      </c>
      <c r="GD251" s="25">
        <f t="shared" si="152"/>
        <v>7</v>
      </c>
      <c r="GE251" s="25">
        <f t="shared" si="152"/>
        <v>12</v>
      </c>
      <c r="GF251" s="25">
        <f t="shared" si="152"/>
        <v>43</v>
      </c>
      <c r="GG251" s="25">
        <f t="shared" si="152"/>
        <v>16</v>
      </c>
    </row>
    <row r="252">
      <c r="M252" s="25">
        <f>sum(M5:M248)</f>
        <v>6353</v>
      </c>
      <c r="Q252" s="4" t="s">
        <v>1013</v>
      </c>
      <c r="R252" s="25">
        <f t="shared" ref="R252:FN252" si="153">sum(R5:R248)</f>
        <v>3397</v>
      </c>
      <c r="S252" s="25">
        <f t="shared" si="153"/>
        <v>48</v>
      </c>
      <c r="T252" s="25">
        <f t="shared" si="153"/>
        <v>171</v>
      </c>
      <c r="U252" s="25">
        <f t="shared" si="153"/>
        <v>40</v>
      </c>
      <c r="V252" s="25">
        <f t="shared" si="153"/>
        <v>1</v>
      </c>
      <c r="W252" s="25">
        <f t="shared" si="153"/>
        <v>18</v>
      </c>
      <c r="X252" s="25">
        <f t="shared" si="153"/>
        <v>56</v>
      </c>
      <c r="Y252" s="25">
        <f t="shared" si="153"/>
        <v>1</v>
      </c>
      <c r="Z252" s="25">
        <f t="shared" si="153"/>
        <v>89</v>
      </c>
      <c r="AA252" s="25">
        <f t="shared" si="153"/>
        <v>3</v>
      </c>
      <c r="AB252" s="25">
        <f t="shared" si="153"/>
        <v>1341</v>
      </c>
      <c r="AC252" s="25">
        <f t="shared" si="153"/>
        <v>195</v>
      </c>
      <c r="AD252" s="25">
        <f t="shared" si="153"/>
        <v>241</v>
      </c>
      <c r="AE252" s="25">
        <f t="shared" si="153"/>
        <v>217</v>
      </c>
      <c r="AF252" s="25">
        <f t="shared" si="153"/>
        <v>154</v>
      </c>
      <c r="AG252" s="25">
        <f t="shared" si="153"/>
        <v>141</v>
      </c>
      <c r="AH252" s="25">
        <f t="shared" si="153"/>
        <v>45</v>
      </c>
      <c r="AI252" s="25">
        <f t="shared" si="153"/>
        <v>250</v>
      </c>
      <c r="AJ252" s="25">
        <f t="shared" si="153"/>
        <v>1</v>
      </c>
      <c r="AK252" s="25">
        <f t="shared" si="153"/>
        <v>45</v>
      </c>
      <c r="AL252" s="25">
        <f t="shared" si="153"/>
        <v>24</v>
      </c>
      <c r="AM252" s="25">
        <f t="shared" si="153"/>
        <v>2209</v>
      </c>
      <c r="AN252" s="25">
        <f t="shared" si="153"/>
        <v>113</v>
      </c>
      <c r="AO252" s="25">
        <f t="shared" si="153"/>
        <v>1</v>
      </c>
      <c r="AP252" s="25">
        <f t="shared" si="153"/>
        <v>11</v>
      </c>
      <c r="AQ252" s="25">
        <f t="shared" si="153"/>
        <v>4</v>
      </c>
      <c r="AR252" s="25">
        <f t="shared" si="153"/>
        <v>11</v>
      </c>
      <c r="AS252" s="25">
        <f t="shared" si="153"/>
        <v>39</v>
      </c>
      <c r="AT252" s="25">
        <f t="shared" si="153"/>
        <v>15</v>
      </c>
      <c r="AU252" s="25">
        <f t="shared" si="153"/>
        <v>6</v>
      </c>
      <c r="AV252" s="25">
        <f t="shared" si="153"/>
        <v>7</v>
      </c>
      <c r="AW252" s="25">
        <f t="shared" si="153"/>
        <v>17</v>
      </c>
      <c r="AX252" s="25">
        <f t="shared" si="153"/>
        <v>110</v>
      </c>
      <c r="AY252" s="25">
        <f t="shared" si="153"/>
        <v>2</v>
      </c>
      <c r="AZ252" s="25">
        <f t="shared" si="153"/>
        <v>81</v>
      </c>
      <c r="BA252" s="25">
        <f t="shared" si="153"/>
        <v>7</v>
      </c>
      <c r="BB252" s="25">
        <f t="shared" si="153"/>
        <v>702</v>
      </c>
      <c r="BC252" s="25">
        <f t="shared" si="153"/>
        <v>147</v>
      </c>
      <c r="BD252" s="25">
        <f t="shared" si="153"/>
        <v>66</v>
      </c>
      <c r="BE252" s="25">
        <f t="shared" si="153"/>
        <v>470</v>
      </c>
      <c r="BF252" s="25">
        <f t="shared" si="153"/>
        <v>41</v>
      </c>
      <c r="BG252" s="25">
        <f t="shared" si="153"/>
        <v>61</v>
      </c>
      <c r="BH252" s="25">
        <f t="shared" si="153"/>
        <v>137</v>
      </c>
      <c r="BI252" s="25">
        <f t="shared" si="153"/>
        <v>3</v>
      </c>
      <c r="BJ252" s="25">
        <f t="shared" si="153"/>
        <v>3</v>
      </c>
      <c r="BK252" s="25">
        <f t="shared" si="153"/>
        <v>597</v>
      </c>
      <c r="BL252" s="25">
        <f t="shared" si="153"/>
        <v>18</v>
      </c>
      <c r="BM252" s="25">
        <f t="shared" si="153"/>
        <v>6725</v>
      </c>
      <c r="BN252" s="25">
        <f t="shared" si="153"/>
        <v>3007</v>
      </c>
      <c r="BO252" s="25">
        <f t="shared" si="153"/>
        <v>1</v>
      </c>
      <c r="BP252" s="25">
        <f t="shared" si="153"/>
        <v>6</v>
      </c>
      <c r="BQ252" s="25">
        <f t="shared" si="153"/>
        <v>911</v>
      </c>
      <c r="BR252" s="25">
        <f t="shared" si="153"/>
        <v>27</v>
      </c>
      <c r="BS252" s="25">
        <f t="shared" si="153"/>
        <v>7</v>
      </c>
      <c r="BT252" s="25">
        <f t="shared" si="153"/>
        <v>55</v>
      </c>
      <c r="BU252" s="25">
        <f t="shared" si="153"/>
        <v>87</v>
      </c>
      <c r="BV252" s="25">
        <f t="shared" si="153"/>
        <v>1001</v>
      </c>
      <c r="BW252" s="25">
        <f t="shared" si="153"/>
        <v>442</v>
      </c>
      <c r="BX252" s="25">
        <f t="shared" si="153"/>
        <v>195</v>
      </c>
      <c r="BY252" s="25">
        <f t="shared" si="153"/>
        <v>213</v>
      </c>
      <c r="BZ252" s="25">
        <f t="shared" si="153"/>
        <v>1491</v>
      </c>
      <c r="CA252" s="25">
        <f t="shared" si="153"/>
        <v>74</v>
      </c>
      <c r="CB252" s="25">
        <f t="shared" si="153"/>
        <v>72</v>
      </c>
      <c r="CC252" s="25">
        <f t="shared" si="153"/>
        <v>553</v>
      </c>
      <c r="CD252" s="25">
        <f t="shared" si="153"/>
        <v>159</v>
      </c>
      <c r="CE252" s="25">
        <f t="shared" si="153"/>
        <v>95</v>
      </c>
      <c r="CF252" s="25">
        <f t="shared" si="153"/>
        <v>39</v>
      </c>
      <c r="CG252" s="25">
        <f t="shared" si="153"/>
        <v>1</v>
      </c>
      <c r="CH252" s="25">
        <f t="shared" si="153"/>
        <v>117</v>
      </c>
      <c r="CI252" s="25">
        <f t="shared" si="153"/>
        <v>2</v>
      </c>
      <c r="CJ252" s="25">
        <f t="shared" si="153"/>
        <v>54</v>
      </c>
      <c r="CK252" s="25">
        <f t="shared" si="153"/>
        <v>313</v>
      </c>
      <c r="CL252" s="25">
        <f t="shared" si="153"/>
        <v>15</v>
      </c>
      <c r="CM252" s="25">
        <f t="shared" si="153"/>
        <v>18</v>
      </c>
      <c r="CN252" s="25">
        <f t="shared" si="153"/>
        <v>24</v>
      </c>
      <c r="CO252" s="25">
        <f t="shared" si="153"/>
        <v>872</v>
      </c>
      <c r="CP252" s="25">
        <f t="shared" si="153"/>
        <v>1</v>
      </c>
      <c r="CQ252" s="25">
        <f t="shared" si="153"/>
        <v>14</v>
      </c>
      <c r="CR252" s="25">
        <f t="shared" si="153"/>
        <v>18</v>
      </c>
      <c r="CS252" s="25">
        <f t="shared" si="153"/>
        <v>415</v>
      </c>
      <c r="CT252" s="25">
        <f t="shared" si="153"/>
        <v>3</v>
      </c>
      <c r="CU252" s="25">
        <f t="shared" si="153"/>
        <v>26</v>
      </c>
      <c r="CV252" s="25">
        <f t="shared" si="153"/>
        <v>55</v>
      </c>
      <c r="CW252" s="25">
        <f t="shared" si="153"/>
        <v>16</v>
      </c>
      <c r="CX252" s="25">
        <f t="shared" si="153"/>
        <v>1</v>
      </c>
      <c r="CY252" s="25">
        <f t="shared" si="153"/>
        <v>2</v>
      </c>
      <c r="CZ252" s="25">
        <f t="shared" si="153"/>
        <v>16</v>
      </c>
      <c r="DA252" s="25">
        <f t="shared" si="153"/>
        <v>8</v>
      </c>
      <c r="DB252" s="25">
        <f t="shared" si="153"/>
        <v>3</v>
      </c>
      <c r="DC252" s="25">
        <f t="shared" si="153"/>
        <v>19</v>
      </c>
      <c r="DD252" s="25">
        <f t="shared" si="153"/>
        <v>51</v>
      </c>
      <c r="DE252" s="25">
        <f t="shared" si="153"/>
        <v>32</v>
      </c>
      <c r="DF252" s="25">
        <f t="shared" si="153"/>
        <v>165</v>
      </c>
      <c r="DG252" s="25">
        <f t="shared" si="153"/>
        <v>524</v>
      </c>
      <c r="DH252" s="25">
        <f t="shared" si="153"/>
        <v>244</v>
      </c>
      <c r="DI252" s="25">
        <f t="shared" si="153"/>
        <v>6</v>
      </c>
      <c r="DJ252" s="25">
        <f t="shared" si="153"/>
        <v>243</v>
      </c>
      <c r="DK252" s="25">
        <f t="shared" si="153"/>
        <v>8</v>
      </c>
      <c r="DL252" s="25">
        <f t="shared" si="153"/>
        <v>597</v>
      </c>
      <c r="DM252" s="25">
        <f t="shared" si="153"/>
        <v>3405</v>
      </c>
      <c r="DN252" s="25">
        <f t="shared" si="153"/>
        <v>30</v>
      </c>
      <c r="DO252" s="25">
        <f t="shared" si="153"/>
        <v>121</v>
      </c>
      <c r="DP252" s="25">
        <f t="shared" si="153"/>
        <v>147</v>
      </c>
      <c r="DQ252" s="25">
        <f t="shared" si="153"/>
        <v>111</v>
      </c>
      <c r="DR252" s="25">
        <f t="shared" si="153"/>
        <v>4</v>
      </c>
      <c r="DS252" s="25">
        <f t="shared" si="153"/>
        <v>1917</v>
      </c>
      <c r="DT252" s="25">
        <f t="shared" si="153"/>
        <v>8</v>
      </c>
      <c r="DU252" s="25">
        <f t="shared" si="153"/>
        <v>1</v>
      </c>
      <c r="DV252" s="25">
        <f t="shared" si="153"/>
        <v>918</v>
      </c>
      <c r="DW252" s="25">
        <f t="shared" si="153"/>
        <v>22</v>
      </c>
      <c r="DX252" s="25">
        <f t="shared" si="153"/>
        <v>142</v>
      </c>
      <c r="DY252" s="25">
        <f t="shared" si="153"/>
        <v>23</v>
      </c>
      <c r="DZ252" s="25">
        <f t="shared" si="153"/>
        <v>36</v>
      </c>
      <c r="EA252" s="25">
        <f t="shared" si="153"/>
        <v>9</v>
      </c>
      <c r="EB252" s="25">
        <f t="shared" si="153"/>
        <v>7</v>
      </c>
      <c r="EC252" s="25">
        <f t="shared" si="153"/>
        <v>227</v>
      </c>
      <c r="ED252" s="25">
        <f t="shared" si="153"/>
        <v>256</v>
      </c>
      <c r="EE252" s="25">
        <f t="shared" si="153"/>
        <v>3</v>
      </c>
      <c r="EF252" s="25">
        <f t="shared" si="153"/>
        <v>25</v>
      </c>
      <c r="EG252" s="25">
        <f t="shared" si="153"/>
        <v>2</v>
      </c>
      <c r="EH252" s="25">
        <f t="shared" si="153"/>
        <v>1</v>
      </c>
      <c r="EI252" s="25">
        <f t="shared" si="153"/>
        <v>30</v>
      </c>
      <c r="EJ252" s="25">
        <f t="shared" si="153"/>
        <v>16463</v>
      </c>
      <c r="EK252" s="25">
        <f t="shared" si="153"/>
        <v>121</v>
      </c>
      <c r="EL252" s="25">
        <f t="shared" si="153"/>
        <v>5</v>
      </c>
      <c r="EM252" s="25">
        <f t="shared" si="153"/>
        <v>1</v>
      </c>
      <c r="EN252" s="25">
        <f t="shared" si="153"/>
        <v>22</v>
      </c>
      <c r="EO252" s="25">
        <f t="shared" si="153"/>
        <v>46</v>
      </c>
      <c r="EP252" s="25">
        <f t="shared" si="153"/>
        <v>21</v>
      </c>
      <c r="EQ252" s="25">
        <f t="shared" si="153"/>
        <v>43</v>
      </c>
      <c r="ER252" s="25">
        <f t="shared" si="153"/>
        <v>155</v>
      </c>
      <c r="ES252" s="25">
        <f t="shared" si="153"/>
        <v>8</v>
      </c>
      <c r="ET252" s="25">
        <f t="shared" si="153"/>
        <v>2</v>
      </c>
      <c r="EU252" s="25">
        <f t="shared" si="153"/>
        <v>3</v>
      </c>
      <c r="EV252" s="25">
        <f t="shared" si="153"/>
        <v>220</v>
      </c>
      <c r="EW252" s="25">
        <f t="shared" si="153"/>
        <v>60</v>
      </c>
      <c r="EX252" s="25">
        <f t="shared" si="153"/>
        <v>479</v>
      </c>
      <c r="EY252" s="25">
        <f t="shared" si="153"/>
        <v>2</v>
      </c>
      <c r="EZ252" s="25">
        <f t="shared" si="153"/>
        <v>123</v>
      </c>
      <c r="FA252" s="25">
        <f t="shared" si="153"/>
        <v>91</v>
      </c>
      <c r="FB252" s="25">
        <f t="shared" si="153"/>
        <v>3288</v>
      </c>
      <c r="FC252" s="25">
        <f t="shared" si="153"/>
        <v>163</v>
      </c>
      <c r="FD252" s="25">
        <f t="shared" si="153"/>
        <v>1</v>
      </c>
      <c r="FE252" s="25">
        <f t="shared" si="153"/>
        <v>76</v>
      </c>
      <c r="FF252" s="25">
        <f t="shared" si="153"/>
        <v>501</v>
      </c>
      <c r="FG252" s="25">
        <f t="shared" si="153"/>
        <v>2</v>
      </c>
      <c r="FH252" s="25">
        <f t="shared" si="153"/>
        <v>34</v>
      </c>
      <c r="FI252" s="25">
        <f t="shared" si="153"/>
        <v>347</v>
      </c>
      <c r="FJ252" s="25">
        <f t="shared" si="153"/>
        <v>2</v>
      </c>
      <c r="FK252" s="25">
        <f t="shared" si="153"/>
        <v>14</v>
      </c>
      <c r="FL252" s="25">
        <f t="shared" si="153"/>
        <v>79</v>
      </c>
      <c r="FM252" s="25">
        <f t="shared" si="153"/>
        <v>423</v>
      </c>
      <c r="FN252" s="25">
        <f t="shared" si="153"/>
        <v>5</v>
      </c>
      <c r="FP252" s="25">
        <f t="shared" ref="FP252:FW252" si="154">sum(FP5:FP248)</f>
        <v>19</v>
      </c>
      <c r="FQ252" s="25">
        <f t="shared" si="154"/>
        <v>160</v>
      </c>
      <c r="FR252" s="25">
        <f t="shared" si="154"/>
        <v>2627</v>
      </c>
      <c r="FS252" s="25">
        <f t="shared" si="154"/>
        <v>36479</v>
      </c>
      <c r="FT252" s="25">
        <f t="shared" si="154"/>
        <v>312</v>
      </c>
      <c r="FU252" s="25">
        <f t="shared" si="154"/>
        <v>133</v>
      </c>
      <c r="FV252" s="25">
        <f t="shared" si="154"/>
        <v>7</v>
      </c>
      <c r="FW252" s="25">
        <f t="shared" si="154"/>
        <v>403</v>
      </c>
      <c r="FY252" s="25">
        <f t="shared" ref="FY252:GG252" si="155">sum(FY5:FY248)</f>
        <v>67</v>
      </c>
      <c r="FZ252" s="25">
        <f t="shared" si="155"/>
        <v>60</v>
      </c>
      <c r="GA252" s="25">
        <f t="shared" si="155"/>
        <v>98</v>
      </c>
      <c r="GB252" s="25">
        <f t="shared" si="155"/>
        <v>83</v>
      </c>
      <c r="GC252" s="25">
        <f t="shared" si="155"/>
        <v>18</v>
      </c>
      <c r="GD252" s="25">
        <f t="shared" si="155"/>
        <v>102</v>
      </c>
      <c r="GE252" s="25">
        <f t="shared" si="155"/>
        <v>55</v>
      </c>
      <c r="GF252" s="25">
        <f t="shared" si="155"/>
        <v>987</v>
      </c>
      <c r="GG252" s="25">
        <f t="shared" si="155"/>
        <v>80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75"/>
  <sheetData>
    <row r="1">
      <c r="A1" s="1" t="s">
        <v>3</v>
      </c>
      <c r="B1" s="2"/>
      <c r="C1" s="2"/>
      <c r="D1" s="2"/>
      <c r="E1" s="2"/>
      <c r="F1" s="1"/>
      <c r="G1" s="1"/>
      <c r="H1" s="1"/>
      <c r="I1" s="1"/>
      <c r="J1" s="1"/>
      <c r="K1" s="1"/>
      <c r="L1" s="1"/>
      <c r="M1" s="1"/>
      <c r="N1" s="1"/>
      <c r="O1" s="1"/>
      <c r="P1" s="1"/>
      <c r="Q1" s="3"/>
      <c r="R1" s="4"/>
      <c r="S1" s="5"/>
      <c r="T1" s="4"/>
      <c r="U1" s="4"/>
      <c r="V1" s="4"/>
      <c r="W1" s="4"/>
      <c r="X1" s="4"/>
      <c r="Y1" s="4"/>
      <c r="Z1" s="4"/>
      <c r="AA1" s="6"/>
      <c r="AB1" s="4"/>
      <c r="AC1" s="7"/>
      <c r="AD1" s="3"/>
      <c r="AE1" s="8"/>
      <c r="AF1" s="8"/>
      <c r="AG1" s="4"/>
      <c r="AH1" s="1"/>
      <c r="AI1" s="4"/>
      <c r="AJ1" s="4"/>
      <c r="AK1" s="4"/>
      <c r="AL1" s="10"/>
      <c r="AM1" s="12"/>
      <c r="AN1" s="4"/>
      <c r="AO1" s="7"/>
      <c r="AP1" s="4"/>
      <c r="AQ1" s="4"/>
      <c r="AR1" s="4"/>
      <c r="AS1" s="4"/>
      <c r="AT1" s="4"/>
      <c r="AU1" s="4"/>
      <c r="AV1" s="4"/>
      <c r="AW1" s="13"/>
      <c r="AX1" s="4"/>
      <c r="AY1" s="4"/>
      <c r="AZ1" s="1"/>
      <c r="BA1" s="1"/>
      <c r="BB1" s="5"/>
      <c r="BC1" s="5"/>
      <c r="BD1" s="6"/>
      <c r="BE1" s="4"/>
      <c r="BF1" s="4"/>
      <c r="BG1" s="4"/>
      <c r="BH1" s="4"/>
      <c r="BI1" s="4"/>
      <c r="BJ1" s="6"/>
      <c r="BK1" s="5"/>
      <c r="BL1" s="3"/>
      <c r="BM1" s="5"/>
      <c r="BN1" s="4"/>
      <c r="BO1" s="5"/>
      <c r="BP1" s="4"/>
      <c r="BQ1" s="5"/>
      <c r="BR1" s="4"/>
      <c r="BS1" s="4"/>
      <c r="BT1" s="4"/>
      <c r="BU1" s="3"/>
      <c r="BV1" s="8"/>
      <c r="BW1" s="4"/>
      <c r="BX1" s="4"/>
      <c r="BY1" s="2"/>
      <c r="BZ1" s="4"/>
      <c r="CA1" s="4"/>
      <c r="CB1" s="2"/>
      <c r="CC1" s="4"/>
      <c r="CD1" s="4"/>
      <c r="CE1" s="4"/>
      <c r="CF1" s="4"/>
      <c r="CG1" s="12"/>
      <c r="CH1" s="4"/>
      <c r="CI1" s="4"/>
      <c r="CJ1" s="4"/>
      <c r="CK1" s="4"/>
      <c r="CL1" s="4"/>
      <c r="CM1" s="4"/>
      <c r="CN1" s="1"/>
      <c r="CO1" s="4"/>
      <c r="CP1" s="4"/>
      <c r="CQ1" s="4"/>
      <c r="CR1" s="1"/>
      <c r="CS1" s="8"/>
      <c r="CT1" s="8"/>
      <c r="CU1" s="4"/>
      <c r="CV1" s="4"/>
      <c r="CW1" s="4"/>
      <c r="CX1" s="4"/>
      <c r="CY1" s="4"/>
      <c r="CZ1" s="7"/>
      <c r="DA1" s="4"/>
      <c r="DB1" s="4"/>
      <c r="DC1" s="4"/>
      <c r="DD1" s="4"/>
      <c r="DE1" s="4"/>
      <c r="DF1" s="2"/>
      <c r="DG1" s="7"/>
      <c r="DH1" s="4"/>
      <c r="DI1" s="8"/>
      <c r="DJ1" s="4"/>
      <c r="DK1" s="8"/>
      <c r="DL1" s="2"/>
      <c r="DM1" s="4"/>
      <c r="DN1" s="4"/>
      <c r="DO1" s="7"/>
      <c r="DP1" s="4"/>
      <c r="DQ1" s="4"/>
      <c r="DR1" s="1"/>
      <c r="DS1" s="4"/>
      <c r="DT1" s="4"/>
      <c r="DU1" s="4"/>
      <c r="DV1" s="4"/>
      <c r="DW1" s="4"/>
      <c r="DX1" s="4"/>
      <c r="DY1" s="8"/>
      <c r="DZ1" s="10"/>
      <c r="EA1" s="4"/>
      <c r="EB1" s="4"/>
      <c r="EC1" s="4"/>
      <c r="ED1" s="4"/>
      <c r="EE1" s="4"/>
      <c r="EF1" s="4"/>
      <c r="EG1" s="4"/>
      <c r="EH1" s="4"/>
      <c r="EI1" s="2"/>
      <c r="EJ1" s="4"/>
      <c r="EK1" s="4"/>
      <c r="EL1" s="4"/>
      <c r="EM1" s="4"/>
      <c r="EN1" s="4"/>
      <c r="EO1" s="4"/>
      <c r="EP1" s="4"/>
      <c r="EQ1" s="4"/>
      <c r="ER1" s="4"/>
      <c r="ES1" s="4"/>
      <c r="ET1" s="4"/>
      <c r="EU1" s="4"/>
      <c r="EV1" s="4"/>
      <c r="EW1" s="4"/>
      <c r="EX1" s="4"/>
      <c r="EY1" s="4"/>
      <c r="EZ1" s="4"/>
      <c r="FA1" s="1"/>
      <c r="FB1" s="4"/>
      <c r="FC1" s="4"/>
      <c r="FD1" s="5"/>
      <c r="FE1" s="14"/>
      <c r="FF1" s="4"/>
      <c r="FG1" s="4"/>
      <c r="FH1" s="1"/>
      <c r="FI1" s="4"/>
      <c r="FJ1" s="5"/>
      <c r="FK1" s="5"/>
      <c r="FL1" s="15"/>
      <c r="FM1" s="4"/>
      <c r="FN1" s="4"/>
      <c r="FO1" s="4"/>
      <c r="FP1" s="4"/>
      <c r="FQ1" s="15"/>
      <c r="FR1" s="2"/>
      <c r="FS1" s="4"/>
      <c r="FT1" s="4"/>
      <c r="FU1" s="4"/>
      <c r="FV1" s="7"/>
      <c r="FW1" s="4"/>
      <c r="FX1" s="4"/>
      <c r="FY1" s="4"/>
      <c r="FZ1" s="4"/>
      <c r="GA1" s="4"/>
      <c r="GB1" s="4"/>
      <c r="GC1" s="4"/>
      <c r="GD1" s="4"/>
      <c r="GE1" s="5"/>
      <c r="GF1" s="14"/>
      <c r="GG1" s="8"/>
      <c r="GH1" s="8"/>
      <c r="GI1" s="8"/>
      <c r="GJ1" s="8"/>
      <c r="GK1" s="16"/>
      <c r="GL1" s="4"/>
    </row>
    <row r="2">
      <c r="A2" s="1" t="s">
        <v>5</v>
      </c>
      <c r="B2" s="2"/>
      <c r="C2" s="2"/>
      <c r="D2" s="2"/>
      <c r="E2" s="2"/>
      <c r="F2" s="1"/>
      <c r="G2" s="1"/>
      <c r="H2" s="1"/>
      <c r="I2" s="1"/>
      <c r="J2" s="1"/>
      <c r="K2" s="1"/>
      <c r="L2" s="1"/>
      <c r="M2" s="1"/>
      <c r="N2" s="1"/>
      <c r="O2" s="1"/>
      <c r="P2" s="1"/>
      <c r="Q2" s="3"/>
      <c r="R2" s="4"/>
      <c r="S2" s="5"/>
      <c r="T2" s="4"/>
      <c r="U2" s="4"/>
      <c r="V2" s="4"/>
      <c r="W2" s="4"/>
      <c r="X2" s="4"/>
      <c r="Y2" s="4"/>
      <c r="Z2" s="4"/>
      <c r="AA2" s="6"/>
      <c r="AB2" s="4"/>
      <c r="AC2" s="7"/>
      <c r="AD2" s="3"/>
      <c r="AE2" s="8"/>
      <c r="AF2" s="8"/>
      <c r="AG2" s="4"/>
      <c r="AH2" s="1"/>
      <c r="AI2" s="4"/>
      <c r="AJ2" s="4"/>
      <c r="AK2" s="4"/>
      <c r="AL2" s="10"/>
      <c r="AM2" s="12"/>
      <c r="AN2" s="4"/>
      <c r="AO2" s="7"/>
      <c r="AP2" s="4"/>
      <c r="AQ2" s="4"/>
      <c r="AR2" s="4"/>
      <c r="AS2" s="4"/>
      <c r="AT2" s="4"/>
      <c r="AU2" s="4"/>
      <c r="AV2" s="4"/>
      <c r="AW2" s="13"/>
      <c r="AX2" s="4"/>
      <c r="AY2" s="4"/>
      <c r="AZ2" s="1"/>
      <c r="BA2" s="1"/>
      <c r="BB2" s="5"/>
      <c r="BC2" s="5"/>
      <c r="BD2" s="6"/>
      <c r="BE2" s="4"/>
      <c r="BF2" s="4"/>
      <c r="BG2" s="4"/>
      <c r="BH2" s="4"/>
      <c r="BI2" s="4"/>
      <c r="BJ2" s="6"/>
      <c r="BK2" s="5"/>
      <c r="BL2" s="3"/>
      <c r="BM2" s="5"/>
      <c r="BN2" s="4"/>
      <c r="BO2" s="5"/>
      <c r="BP2" s="4"/>
      <c r="BQ2" s="5"/>
      <c r="BR2" s="4"/>
      <c r="BS2" s="4"/>
      <c r="BT2" s="4"/>
      <c r="BU2" s="3"/>
      <c r="BV2" s="8"/>
      <c r="BW2" s="4"/>
      <c r="BX2" s="4"/>
      <c r="BY2" s="2"/>
      <c r="BZ2" s="4"/>
      <c r="CA2" s="4"/>
      <c r="CB2" s="2"/>
      <c r="CC2" s="4"/>
      <c r="CD2" s="4"/>
      <c r="CE2" s="4"/>
      <c r="CF2" s="4"/>
      <c r="CG2" s="12"/>
      <c r="CH2" s="4"/>
      <c r="CI2" s="4"/>
      <c r="CJ2" s="4"/>
      <c r="CK2" s="4"/>
      <c r="CL2" s="4"/>
      <c r="CM2" s="4"/>
      <c r="CN2" s="1"/>
      <c r="CO2" s="4"/>
      <c r="CP2" s="4"/>
      <c r="CQ2" s="4"/>
      <c r="CR2" s="1"/>
      <c r="CS2" s="8"/>
      <c r="CT2" s="8"/>
      <c r="CU2" s="4"/>
      <c r="CV2" s="4"/>
      <c r="CW2" s="4"/>
      <c r="CX2" s="4"/>
      <c r="CY2" s="4"/>
      <c r="CZ2" s="7"/>
      <c r="DA2" s="4"/>
      <c r="DB2" s="4"/>
      <c r="DC2" s="4"/>
      <c r="DD2" s="4"/>
      <c r="DE2" s="4"/>
      <c r="DF2" s="2"/>
      <c r="DG2" s="7"/>
      <c r="DH2" s="4"/>
      <c r="DI2" s="8"/>
      <c r="DJ2" s="4"/>
      <c r="DK2" s="8"/>
      <c r="DL2" s="2"/>
      <c r="DM2" s="4"/>
      <c r="DN2" s="4"/>
      <c r="DO2" s="7"/>
      <c r="DP2" s="4"/>
      <c r="DQ2" s="4"/>
      <c r="DR2" s="1"/>
      <c r="DS2" s="4"/>
      <c r="DT2" s="4"/>
      <c r="DU2" s="4"/>
      <c r="DV2" s="4"/>
      <c r="DW2" s="4"/>
      <c r="DX2" s="4"/>
      <c r="DY2" s="8"/>
      <c r="DZ2" s="10"/>
      <c r="EA2" s="4"/>
      <c r="EB2" s="4"/>
      <c r="EC2" s="4"/>
      <c r="ED2" s="4"/>
      <c r="EE2" s="4"/>
      <c r="EF2" s="4"/>
      <c r="EG2" s="4"/>
      <c r="EH2" s="4"/>
      <c r="EI2" s="2"/>
      <c r="EJ2" s="4"/>
      <c r="EK2" s="4"/>
      <c r="EL2" s="4"/>
      <c r="EM2" s="4"/>
      <c r="EN2" s="4"/>
      <c r="EO2" s="4"/>
      <c r="EP2" s="4"/>
      <c r="EQ2" s="4"/>
      <c r="ER2" s="4"/>
      <c r="ES2" s="4"/>
      <c r="ET2" s="4"/>
      <c r="EU2" s="4"/>
      <c r="EV2" s="4"/>
      <c r="EW2" s="4"/>
      <c r="EX2" s="4"/>
      <c r="EY2" s="4"/>
      <c r="EZ2" s="4"/>
      <c r="FA2" s="1"/>
      <c r="FB2" s="4"/>
      <c r="FC2" s="4"/>
      <c r="FD2" s="5"/>
      <c r="FE2" s="14"/>
      <c r="FF2" s="4"/>
      <c r="FG2" s="4"/>
      <c r="FH2" s="1"/>
      <c r="FI2" s="4"/>
      <c r="FJ2" s="5"/>
      <c r="FK2" s="5"/>
      <c r="FL2" s="15"/>
      <c r="FM2" s="4"/>
      <c r="FN2" s="4"/>
      <c r="FO2" s="4"/>
      <c r="FP2" s="4"/>
      <c r="FQ2" s="15"/>
      <c r="FR2" s="2"/>
      <c r="FS2" s="4"/>
      <c r="FT2" s="4"/>
      <c r="FU2" s="4"/>
      <c r="FV2" s="7"/>
      <c r="FW2" s="4"/>
      <c r="FX2" s="4"/>
      <c r="FY2" s="4"/>
      <c r="FZ2" s="4"/>
      <c r="GA2" s="4"/>
      <c r="GB2" s="4"/>
      <c r="GC2" s="4"/>
      <c r="GD2" s="4"/>
      <c r="GE2" s="5"/>
      <c r="GF2" s="14"/>
      <c r="GG2" s="8"/>
      <c r="GH2" s="8"/>
      <c r="GI2" s="8"/>
      <c r="GJ2" s="8"/>
      <c r="GK2" s="16"/>
      <c r="GL2" s="4"/>
    </row>
    <row r="3">
      <c r="A3" s="1" t="s">
        <v>26</v>
      </c>
      <c r="B3" s="2"/>
      <c r="C3" s="2"/>
      <c r="D3" s="2"/>
      <c r="E3" s="2"/>
      <c r="F3" s="1"/>
      <c r="G3" s="1"/>
      <c r="H3" s="1"/>
      <c r="I3" s="1"/>
      <c r="J3" s="1"/>
      <c r="K3" s="1"/>
      <c r="L3" s="1"/>
      <c r="M3" s="1"/>
      <c r="N3" s="1"/>
      <c r="O3" s="1"/>
      <c r="P3" s="1"/>
      <c r="Q3" s="3"/>
      <c r="R3" s="4"/>
      <c r="S3" s="5"/>
      <c r="T3" s="4"/>
      <c r="U3" s="4"/>
      <c r="V3" s="4"/>
      <c r="W3" s="4"/>
      <c r="X3" s="4"/>
      <c r="Y3" s="4"/>
      <c r="Z3" s="4"/>
      <c r="AA3" s="6"/>
      <c r="AB3" s="4"/>
      <c r="AC3" s="7"/>
      <c r="AD3" s="3"/>
      <c r="AE3" s="8"/>
      <c r="AF3" s="8"/>
      <c r="AG3" s="4"/>
      <c r="AH3" s="1"/>
      <c r="AI3" s="4"/>
      <c r="AJ3" s="4"/>
      <c r="AK3" s="4"/>
      <c r="AL3" s="10"/>
      <c r="AM3" s="12"/>
      <c r="AN3" s="4"/>
      <c r="AO3" s="7"/>
      <c r="AP3" s="4"/>
      <c r="AQ3" s="4"/>
      <c r="AR3" s="4"/>
      <c r="AS3" s="4"/>
      <c r="AT3" s="4"/>
      <c r="AU3" s="4"/>
      <c r="AV3" s="4"/>
      <c r="AW3" s="13"/>
      <c r="AX3" s="4"/>
      <c r="AY3" s="4"/>
      <c r="AZ3" s="1"/>
      <c r="BA3" s="1"/>
      <c r="BB3" s="5"/>
      <c r="BC3" s="5"/>
      <c r="BD3" s="6"/>
      <c r="BE3" s="4"/>
      <c r="BF3" s="4"/>
      <c r="BG3" s="4"/>
      <c r="BH3" s="4"/>
      <c r="BI3" s="4"/>
      <c r="BJ3" s="6"/>
      <c r="BK3" s="5"/>
      <c r="BL3" s="3"/>
      <c r="BM3" s="5"/>
      <c r="BN3" s="4"/>
      <c r="BO3" s="5"/>
      <c r="BP3" s="4"/>
      <c r="BQ3" s="5"/>
      <c r="BR3" s="4"/>
      <c r="BS3" s="4"/>
      <c r="BT3" s="4"/>
      <c r="BU3" s="3"/>
      <c r="BV3" s="8"/>
      <c r="BW3" s="4"/>
      <c r="BX3" s="4"/>
      <c r="BY3" s="2"/>
      <c r="BZ3" s="4"/>
      <c r="CA3" s="4"/>
      <c r="CB3" s="2"/>
      <c r="CC3" s="4"/>
      <c r="CD3" s="4"/>
      <c r="CE3" s="4"/>
      <c r="CF3" s="4"/>
      <c r="CG3" s="12"/>
      <c r="CH3" s="4"/>
      <c r="CI3" s="4"/>
      <c r="CJ3" s="4"/>
      <c r="CK3" s="4"/>
      <c r="CL3" s="4"/>
      <c r="CM3" s="4"/>
      <c r="CN3" s="1"/>
      <c r="CO3" s="4"/>
      <c r="CP3" s="4"/>
      <c r="CQ3" s="4"/>
      <c r="CR3" s="1"/>
      <c r="CS3" s="8"/>
      <c r="CT3" s="8"/>
      <c r="CU3" s="4"/>
      <c r="CV3" s="4"/>
      <c r="CW3" s="4"/>
      <c r="CX3" s="4"/>
      <c r="CY3" s="4"/>
      <c r="CZ3" s="7"/>
      <c r="DA3" s="4"/>
      <c r="DB3" s="4"/>
      <c r="DC3" s="4"/>
      <c r="DD3" s="4"/>
      <c r="DE3" s="4"/>
      <c r="DF3" s="2"/>
      <c r="DG3" s="7"/>
      <c r="DH3" s="4"/>
      <c r="DI3" s="8"/>
      <c r="DJ3" s="4"/>
      <c r="DK3" s="8"/>
      <c r="DL3" s="2"/>
      <c r="DM3" s="4"/>
      <c r="DN3" s="4"/>
      <c r="DO3" s="7"/>
      <c r="DP3" s="4"/>
      <c r="DQ3" s="4"/>
      <c r="DR3" s="1"/>
      <c r="DS3" s="4"/>
      <c r="DT3" s="4"/>
      <c r="DU3" s="4"/>
      <c r="DV3" s="4"/>
      <c r="DW3" s="4"/>
      <c r="DX3" s="4"/>
      <c r="DY3" s="8"/>
      <c r="DZ3" s="10"/>
      <c r="EA3" s="4"/>
      <c r="EB3" s="4"/>
      <c r="EC3" s="4"/>
      <c r="ED3" s="4"/>
      <c r="EE3" s="4"/>
      <c r="EF3" s="4"/>
      <c r="EG3" s="4"/>
      <c r="EH3" s="4"/>
      <c r="EI3" s="2"/>
      <c r="EJ3" s="4"/>
      <c r="EK3" s="4"/>
      <c r="EL3" s="4"/>
      <c r="EM3" s="4"/>
      <c r="EN3" s="4"/>
      <c r="EO3" s="4"/>
      <c r="EP3" s="4"/>
      <c r="EQ3" s="4"/>
      <c r="ER3" s="4"/>
      <c r="ES3" s="4"/>
      <c r="ET3" s="4"/>
      <c r="EU3" s="4"/>
      <c r="EV3" s="4"/>
      <c r="EW3" s="4"/>
      <c r="EX3" s="4"/>
      <c r="EY3" s="4"/>
      <c r="EZ3" s="4"/>
      <c r="FA3" s="1"/>
      <c r="FB3" s="4"/>
      <c r="FC3" s="4"/>
      <c r="FD3" s="5"/>
      <c r="FE3" s="14"/>
      <c r="FF3" s="4"/>
      <c r="FG3" s="4"/>
      <c r="FH3" s="1"/>
      <c r="FI3" s="4"/>
      <c r="FJ3" s="5"/>
      <c r="FK3" s="5"/>
      <c r="FL3" s="15"/>
      <c r="FM3" s="4"/>
      <c r="FN3" s="4"/>
      <c r="FO3" s="4"/>
      <c r="FP3" s="4"/>
      <c r="FQ3" s="15"/>
      <c r="FR3" s="2"/>
      <c r="FS3" s="4"/>
      <c r="FT3" s="4"/>
      <c r="FU3" s="4"/>
      <c r="FV3" s="7"/>
      <c r="FW3" s="4"/>
      <c r="FX3" s="4"/>
      <c r="FY3" s="4"/>
      <c r="FZ3" s="4"/>
      <c r="GA3" s="4"/>
      <c r="GB3" s="4"/>
      <c r="GC3" s="4"/>
      <c r="GD3" s="4"/>
      <c r="GE3" s="5"/>
      <c r="GF3" s="14"/>
      <c r="GG3" s="8"/>
      <c r="GH3" s="8"/>
      <c r="GI3" s="8"/>
      <c r="GJ3" s="8"/>
      <c r="GK3" s="16"/>
      <c r="GL3" s="4"/>
    </row>
    <row r="4">
      <c r="A4" s="1" t="s">
        <v>6</v>
      </c>
      <c r="B4" s="2" t="s">
        <v>7</v>
      </c>
      <c r="C4" s="2" t="s">
        <v>8</v>
      </c>
      <c r="D4" s="2" t="s">
        <v>9</v>
      </c>
      <c r="E4" s="2" t="s">
        <v>10</v>
      </c>
      <c r="F4" s="1" t="s">
        <v>11</v>
      </c>
      <c r="G4" s="1" t="s">
        <v>12</v>
      </c>
      <c r="H4" s="1" t="s">
        <v>13</v>
      </c>
      <c r="I4" s="1" t="s">
        <v>14</v>
      </c>
      <c r="J4" s="1" t="s">
        <v>15</v>
      </c>
      <c r="K4" s="1" t="s">
        <v>16</v>
      </c>
      <c r="L4" s="1" t="s">
        <v>17</v>
      </c>
      <c r="M4" s="1" t="s">
        <v>18</v>
      </c>
      <c r="N4" s="1" t="s">
        <v>19</v>
      </c>
      <c r="O4" s="1"/>
      <c r="P4" s="1" t="s">
        <v>20</v>
      </c>
      <c r="Q4" s="3" t="s">
        <v>21</v>
      </c>
      <c r="R4" s="4" t="s">
        <v>22</v>
      </c>
      <c r="S4" s="5" t="s">
        <v>23</v>
      </c>
      <c r="T4" s="4" t="s">
        <v>24</v>
      </c>
      <c r="U4" s="18" t="s">
        <v>25</v>
      </c>
      <c r="V4" s="18" t="s">
        <v>29</v>
      </c>
      <c r="W4" s="18" t="s">
        <v>30</v>
      </c>
      <c r="X4" s="18" t="s">
        <v>31</v>
      </c>
      <c r="Y4" s="4" t="s">
        <v>32</v>
      </c>
      <c r="Z4" s="18" t="s">
        <v>33</v>
      </c>
      <c r="AA4" s="6" t="s">
        <v>34</v>
      </c>
      <c r="AB4" s="4" t="s">
        <v>35</v>
      </c>
      <c r="AC4" s="7" t="s">
        <v>36</v>
      </c>
      <c r="AD4" s="3" t="s">
        <v>37</v>
      </c>
      <c r="AE4" s="8" t="s">
        <v>38</v>
      </c>
      <c r="AF4" s="8" t="s">
        <v>39</v>
      </c>
      <c r="AG4" s="4" t="s">
        <v>40</v>
      </c>
      <c r="AH4" s="1" t="s">
        <v>41</v>
      </c>
      <c r="AI4" s="4" t="s">
        <v>42</v>
      </c>
      <c r="AJ4" s="18" t="s">
        <v>43</v>
      </c>
      <c r="AK4" s="4" t="s">
        <v>44</v>
      </c>
      <c r="AL4" s="8" t="s">
        <v>45</v>
      </c>
      <c r="AM4" s="12" t="s">
        <v>46</v>
      </c>
      <c r="AN4" s="5" t="s">
        <v>47</v>
      </c>
      <c r="AO4" s="7" t="s">
        <v>48</v>
      </c>
      <c r="AP4" s="4" t="s">
        <v>49</v>
      </c>
      <c r="AQ4" s="4" t="s">
        <v>50</v>
      </c>
      <c r="AR4" s="4" t="s">
        <v>51</v>
      </c>
      <c r="AS4" s="4" t="s">
        <v>52</v>
      </c>
      <c r="AT4" s="18" t="s">
        <v>53</v>
      </c>
      <c r="AU4" s="18" t="s">
        <v>54</v>
      </c>
      <c r="AV4" s="18" t="s">
        <v>55</v>
      </c>
      <c r="AW4" s="19" t="s">
        <v>56</v>
      </c>
      <c r="AX4" s="18" t="s">
        <v>57</v>
      </c>
      <c r="AY4" s="18" t="s">
        <v>58</v>
      </c>
      <c r="AZ4" s="18" t="s">
        <v>59</v>
      </c>
      <c r="BA4" s="20" t="s">
        <v>60</v>
      </c>
      <c r="BB4" s="4" t="s">
        <v>61</v>
      </c>
      <c r="BC4" s="18" t="s">
        <v>62</v>
      </c>
      <c r="BD4" s="6" t="s">
        <v>63</v>
      </c>
      <c r="BE4" s="18" t="s">
        <v>64</v>
      </c>
      <c r="BF4" s="18" t="s">
        <v>65</v>
      </c>
      <c r="BG4" s="4" t="s">
        <v>66</v>
      </c>
      <c r="BH4" s="18" t="s">
        <v>67</v>
      </c>
      <c r="BI4" s="18" t="s">
        <v>68</v>
      </c>
      <c r="BJ4" s="6" t="s">
        <v>69</v>
      </c>
      <c r="BK4" s="5" t="s">
        <v>70</v>
      </c>
      <c r="BL4" s="3" t="s">
        <v>71</v>
      </c>
      <c r="BM4" s="18" t="s">
        <v>73</v>
      </c>
      <c r="BN4" s="18" t="s">
        <v>74</v>
      </c>
      <c r="BO4" s="5" t="s">
        <v>75</v>
      </c>
      <c r="BP4" s="4" t="s">
        <v>76</v>
      </c>
      <c r="BQ4" s="4" t="s">
        <v>77</v>
      </c>
      <c r="BR4" s="4" t="s">
        <v>78</v>
      </c>
      <c r="BS4" s="18" t="s">
        <v>79</v>
      </c>
      <c r="BT4" s="4" t="s">
        <v>80</v>
      </c>
      <c r="BU4" s="21" t="s">
        <v>81</v>
      </c>
      <c r="BV4" s="4" t="s">
        <v>82</v>
      </c>
      <c r="BW4" s="4" t="s">
        <v>83</v>
      </c>
      <c r="BX4" s="4" t="s">
        <v>84</v>
      </c>
      <c r="BY4" s="2" t="s">
        <v>85</v>
      </c>
      <c r="BZ4" s="18" t="s">
        <v>86</v>
      </c>
      <c r="CA4" s="4" t="s">
        <v>87</v>
      </c>
      <c r="CB4" s="2" t="s">
        <v>88</v>
      </c>
      <c r="CC4" s="4" t="s">
        <v>89</v>
      </c>
      <c r="CD4" s="18" t="s">
        <v>90</v>
      </c>
      <c r="CE4" s="4" t="s">
        <v>91</v>
      </c>
      <c r="CF4" s="18" t="s">
        <v>92</v>
      </c>
      <c r="CG4" s="12" t="s">
        <v>93</v>
      </c>
      <c r="CH4" s="18" t="s">
        <v>94</v>
      </c>
      <c r="CI4" s="18" t="s">
        <v>95</v>
      </c>
      <c r="CJ4" s="4" t="s">
        <v>96</v>
      </c>
      <c r="CK4" s="4" t="s">
        <v>97</v>
      </c>
      <c r="CL4" s="18" t="s">
        <v>98</v>
      </c>
      <c r="CM4" s="4" t="s">
        <v>99</v>
      </c>
      <c r="CN4" s="1" t="s">
        <v>100</v>
      </c>
      <c r="CO4" s="18" t="s">
        <v>101</v>
      </c>
      <c r="CP4" s="18" t="s">
        <v>102</v>
      </c>
      <c r="CQ4" s="18" t="s">
        <v>103</v>
      </c>
      <c r="CR4" s="1" t="s">
        <v>104</v>
      </c>
      <c r="CS4" s="18" t="s">
        <v>105</v>
      </c>
      <c r="CT4" s="8" t="s">
        <v>106</v>
      </c>
      <c r="CU4" s="18" t="s">
        <v>107</v>
      </c>
      <c r="CV4" s="18" t="s">
        <v>108</v>
      </c>
      <c r="CW4" s="18" t="s">
        <v>109</v>
      </c>
      <c r="CX4" s="18" t="s">
        <v>110</v>
      </c>
      <c r="CY4" s="18" t="s">
        <v>111</v>
      </c>
      <c r="CZ4" s="7" t="s">
        <v>112</v>
      </c>
      <c r="DA4" s="18" t="s">
        <v>113</v>
      </c>
      <c r="DB4" s="4" t="s">
        <v>114</v>
      </c>
      <c r="DC4" s="18" t="s">
        <v>115</v>
      </c>
      <c r="DD4" s="18" t="s">
        <v>116</v>
      </c>
      <c r="DE4" s="4" t="s">
        <v>117</v>
      </c>
      <c r="DF4" s="2" t="s">
        <v>118</v>
      </c>
      <c r="DG4" s="7" t="s">
        <v>119</v>
      </c>
      <c r="DH4" s="4" t="s">
        <v>120</v>
      </c>
      <c r="DI4" s="8" t="s">
        <v>121</v>
      </c>
      <c r="DJ4" s="18" t="s">
        <v>122</v>
      </c>
      <c r="DK4" s="8" t="s">
        <v>123</v>
      </c>
      <c r="DL4" s="2" t="s">
        <v>124</v>
      </c>
      <c r="DM4" s="4" t="s">
        <v>125</v>
      </c>
      <c r="DN4" s="5" t="s">
        <v>126</v>
      </c>
      <c r="DO4" s="7" t="s">
        <v>127</v>
      </c>
      <c r="DP4" s="4" t="s">
        <v>128</v>
      </c>
      <c r="DQ4" s="4" t="s">
        <v>129</v>
      </c>
      <c r="DR4" s="1" t="s">
        <v>130</v>
      </c>
      <c r="DS4" s="18" t="s">
        <v>131</v>
      </c>
      <c r="DT4" s="18" t="s">
        <v>132</v>
      </c>
      <c r="DU4" s="4" t="s">
        <v>133</v>
      </c>
      <c r="DV4" s="18" t="s">
        <v>134</v>
      </c>
      <c r="DW4" s="4" t="s">
        <v>135</v>
      </c>
      <c r="DX4" s="4" t="s">
        <v>136</v>
      </c>
      <c r="DY4" s="4" t="s">
        <v>137</v>
      </c>
      <c r="DZ4" s="10" t="s">
        <v>138</v>
      </c>
      <c r="EA4" s="18" t="s">
        <v>139</v>
      </c>
      <c r="EB4" s="10" t="s">
        <v>140</v>
      </c>
      <c r="EC4" s="10" t="s">
        <v>141</v>
      </c>
      <c r="ED4" s="18" t="s">
        <v>142</v>
      </c>
      <c r="EE4" s="18" t="s">
        <v>143</v>
      </c>
      <c r="EF4" s="18" t="s">
        <v>144</v>
      </c>
      <c r="EG4" s="4" t="s">
        <v>145</v>
      </c>
      <c r="EH4" s="18" t="s">
        <v>146</v>
      </c>
      <c r="EI4" s="2" t="s">
        <v>147</v>
      </c>
      <c r="EJ4" s="4" t="s">
        <v>148</v>
      </c>
      <c r="EK4" s="18" t="s">
        <v>149</v>
      </c>
      <c r="EL4" s="4" t="s">
        <v>150</v>
      </c>
      <c r="EM4" s="4" t="s">
        <v>151</v>
      </c>
      <c r="EN4" s="18" t="s">
        <v>152</v>
      </c>
      <c r="EO4" s="4" t="s">
        <v>153</v>
      </c>
      <c r="EP4" s="4" t="s">
        <v>154</v>
      </c>
      <c r="EQ4" s="4" t="s">
        <v>155</v>
      </c>
      <c r="ER4" s="18" t="s">
        <v>156</v>
      </c>
      <c r="ES4" s="18" t="s">
        <v>157</v>
      </c>
      <c r="ET4" s="18" t="s">
        <v>158</v>
      </c>
      <c r="EU4" s="4" t="s">
        <v>159</v>
      </c>
      <c r="EV4" s="18" t="s">
        <v>160</v>
      </c>
      <c r="EW4" s="4" t="s">
        <v>161</v>
      </c>
      <c r="EX4" s="18" t="s">
        <v>162</v>
      </c>
      <c r="EY4" s="4" t="s">
        <v>163</v>
      </c>
      <c r="EZ4" s="4" t="s">
        <v>164</v>
      </c>
      <c r="FA4" s="1" t="s">
        <v>165</v>
      </c>
      <c r="FB4" s="4" t="s">
        <v>166</v>
      </c>
      <c r="FC4" s="18" t="s">
        <v>167</v>
      </c>
      <c r="FD4" s="5" t="s">
        <v>168</v>
      </c>
      <c r="FE4" s="22" t="s">
        <v>169</v>
      </c>
      <c r="FF4" s="18" t="s">
        <v>170</v>
      </c>
      <c r="FG4" s="4" t="s">
        <v>171</v>
      </c>
      <c r="FH4" s="1" t="s">
        <v>172</v>
      </c>
      <c r="FI4" s="18" t="s">
        <v>173</v>
      </c>
      <c r="FJ4" s="4" t="s">
        <v>174</v>
      </c>
      <c r="FK4" s="18" t="s">
        <v>175</v>
      </c>
      <c r="FL4" s="15" t="s">
        <v>176</v>
      </c>
      <c r="FM4" s="4" t="s">
        <v>177</v>
      </c>
      <c r="FN4" s="4" t="s">
        <v>203</v>
      </c>
      <c r="FO4" s="4" t="s">
        <v>178</v>
      </c>
      <c r="FP4" s="5" t="s">
        <v>179</v>
      </c>
      <c r="FQ4" s="7" t="s">
        <v>180</v>
      </c>
      <c r="FR4" s="2" t="s">
        <v>181</v>
      </c>
      <c r="FS4" s="4" t="s">
        <v>182</v>
      </c>
      <c r="FT4" s="4" t="s">
        <v>183</v>
      </c>
      <c r="FU4" s="18" t="s">
        <v>184</v>
      </c>
      <c r="FV4" s="7" t="s">
        <v>185</v>
      </c>
      <c r="FW4" s="4" t="s">
        <v>205</v>
      </c>
      <c r="FX4" s="4" t="s">
        <v>194</v>
      </c>
      <c r="FY4" s="4" t="s">
        <v>186</v>
      </c>
      <c r="FZ4" s="4" t="s">
        <v>187</v>
      </c>
      <c r="GA4" s="18" t="s">
        <v>188</v>
      </c>
      <c r="GB4" s="4" t="s">
        <v>189</v>
      </c>
      <c r="GC4" s="4" t="s">
        <v>190</v>
      </c>
      <c r="GD4" s="18" t="s">
        <v>191</v>
      </c>
      <c r="GE4" s="5" t="s">
        <v>192</v>
      </c>
      <c r="GF4" s="22" t="s">
        <v>193</v>
      </c>
      <c r="GG4" s="8"/>
      <c r="GH4" s="8"/>
      <c r="GI4" s="8"/>
      <c r="GJ4" s="8"/>
      <c r="GK4" s="8"/>
      <c r="GL4" s="8"/>
    </row>
    <row r="5">
      <c r="A5" s="23">
        <v>38018.0</v>
      </c>
      <c r="B5" s="4" t="s">
        <v>196</v>
      </c>
      <c r="C5" s="4">
        <v>21.559278</v>
      </c>
      <c r="D5" s="4">
        <v>-157.871902</v>
      </c>
      <c r="E5" s="4" t="s">
        <v>197</v>
      </c>
      <c r="F5" s="24">
        <v>0.0</v>
      </c>
      <c r="G5" s="24">
        <v>0.041666666666666664</v>
      </c>
      <c r="H5" s="4">
        <v>6.0</v>
      </c>
      <c r="I5" s="4">
        <v>10.0</v>
      </c>
      <c r="J5" s="4" t="s">
        <v>198</v>
      </c>
      <c r="K5" s="4">
        <v>11.0</v>
      </c>
      <c r="L5" s="4">
        <v>22.0</v>
      </c>
      <c r="M5" s="4" t="s">
        <v>199</v>
      </c>
      <c r="Q5" s="4">
        <v>1.0</v>
      </c>
      <c r="AC5" s="4">
        <v>1.0</v>
      </c>
      <c r="AE5" s="4">
        <v>1.0</v>
      </c>
      <c r="AJ5" s="4">
        <v>1.0</v>
      </c>
      <c r="BL5" s="4">
        <v>1.0</v>
      </c>
      <c r="DO5" s="4">
        <v>1.0</v>
      </c>
      <c r="EC5" s="4">
        <v>1.0</v>
      </c>
      <c r="FA5" s="4">
        <v>1.0</v>
      </c>
      <c r="FR5" s="4">
        <v>1.0</v>
      </c>
      <c r="FS5" s="4">
        <v>1.0</v>
      </c>
      <c r="GE5" s="4">
        <v>1.0</v>
      </c>
    </row>
    <row r="6">
      <c r="A6" s="23">
        <v>38041.0</v>
      </c>
      <c r="B6" s="4" t="s">
        <v>201</v>
      </c>
      <c r="C6" s="4">
        <v>21.25544</v>
      </c>
      <c r="D6" s="4">
        <v>-157.810303</v>
      </c>
      <c r="E6" s="4" t="s">
        <v>197</v>
      </c>
      <c r="F6" s="24">
        <v>0.0</v>
      </c>
      <c r="G6" s="24">
        <v>0.041666666666666664</v>
      </c>
      <c r="H6" s="4">
        <v>6.0</v>
      </c>
      <c r="I6" s="4">
        <v>11.0</v>
      </c>
      <c r="J6" s="4" t="s">
        <v>198</v>
      </c>
      <c r="K6" s="4">
        <v>12.0</v>
      </c>
      <c r="L6" s="4">
        <v>58.0</v>
      </c>
      <c r="M6" s="4" t="s">
        <v>202</v>
      </c>
      <c r="Q6" s="4">
        <v>1.0</v>
      </c>
      <c r="AE6" s="4">
        <v>1.0</v>
      </c>
      <c r="AN6" s="4">
        <v>1.0</v>
      </c>
      <c r="BA6" s="4">
        <v>1.0</v>
      </c>
      <c r="BL6" s="4">
        <v>1.0</v>
      </c>
      <c r="BP6" s="4">
        <v>1.0</v>
      </c>
      <c r="BY6" s="4">
        <v>1.0</v>
      </c>
      <c r="CA6" s="4">
        <v>1.0</v>
      </c>
      <c r="CR6" s="4">
        <v>1.0</v>
      </c>
      <c r="DL6" s="4">
        <v>1.0</v>
      </c>
      <c r="DO6" s="4">
        <v>1.0</v>
      </c>
      <c r="DR6" s="4">
        <v>1.0</v>
      </c>
      <c r="DU6" s="4">
        <v>1.0</v>
      </c>
      <c r="EC6" s="4">
        <v>1.0</v>
      </c>
      <c r="EI6" s="4">
        <v>1.0</v>
      </c>
      <c r="FA6" s="4">
        <v>1.0</v>
      </c>
      <c r="FB6" s="4">
        <v>1.0</v>
      </c>
      <c r="FQ6" s="4">
        <v>1.0</v>
      </c>
      <c r="FR6" s="4">
        <v>1.0</v>
      </c>
      <c r="GD6" s="4">
        <v>1.0</v>
      </c>
      <c r="GE6" s="4">
        <v>1.0</v>
      </c>
    </row>
    <row r="7">
      <c r="A7" s="23">
        <v>38050.0</v>
      </c>
      <c r="B7" s="4" t="s">
        <v>196</v>
      </c>
      <c r="C7" s="4">
        <v>21.559278</v>
      </c>
      <c r="D7" s="4">
        <v>-157.871902</v>
      </c>
      <c r="E7" s="4" t="s">
        <v>197</v>
      </c>
      <c r="F7" s="24">
        <v>0.0</v>
      </c>
      <c r="G7" s="24">
        <v>0.041666666666666664</v>
      </c>
      <c r="H7" s="4">
        <v>6.0</v>
      </c>
      <c r="I7" s="4">
        <v>10.0</v>
      </c>
      <c r="J7" s="4" t="s">
        <v>198</v>
      </c>
      <c r="K7" s="4">
        <v>11.0</v>
      </c>
      <c r="L7" s="4">
        <v>33.0</v>
      </c>
      <c r="M7" s="4" t="s">
        <v>204</v>
      </c>
      <c r="Q7" s="4">
        <v>1.0</v>
      </c>
      <c r="AC7" s="4">
        <v>1.0</v>
      </c>
      <c r="AE7" s="4">
        <v>1.0</v>
      </c>
      <c r="AJ7" s="4">
        <v>1.0</v>
      </c>
      <c r="BL7" s="4">
        <v>1.0</v>
      </c>
      <c r="EC7" s="4">
        <v>1.0</v>
      </c>
      <c r="FA7" s="4">
        <v>1.0</v>
      </c>
      <c r="FB7" s="4">
        <v>1.0</v>
      </c>
      <c r="FR7" s="4">
        <v>1.0</v>
      </c>
      <c r="FS7" s="4">
        <v>1.0</v>
      </c>
      <c r="GE7" s="4">
        <v>1.0</v>
      </c>
    </row>
    <row r="8">
      <c r="A8" s="23">
        <v>38384.0</v>
      </c>
      <c r="B8" s="4" t="s">
        <v>196</v>
      </c>
      <c r="C8" s="4">
        <v>21.559278</v>
      </c>
      <c r="D8" s="4">
        <v>-157.871902</v>
      </c>
      <c r="E8" s="4" t="s">
        <v>197</v>
      </c>
      <c r="F8" s="24">
        <v>0.0</v>
      </c>
      <c r="G8" s="24">
        <v>0.041666666666666664</v>
      </c>
      <c r="H8" s="4">
        <v>7.0</v>
      </c>
      <c r="I8" s="4">
        <v>9.0</v>
      </c>
      <c r="J8" s="4" t="s">
        <v>198</v>
      </c>
      <c r="K8" s="4">
        <v>10.0</v>
      </c>
      <c r="L8" s="4">
        <v>31.0</v>
      </c>
      <c r="M8" s="4" t="s">
        <v>206</v>
      </c>
      <c r="Q8" s="4">
        <v>1.0</v>
      </c>
      <c r="AC8" s="4">
        <v>1.0</v>
      </c>
      <c r="AE8" s="4">
        <v>1.0</v>
      </c>
      <c r="AJ8" s="4">
        <v>1.0</v>
      </c>
      <c r="DG8" s="4">
        <v>1.0</v>
      </c>
      <c r="DH8" s="4">
        <v>1.0</v>
      </c>
      <c r="EC8" s="4">
        <v>1.0</v>
      </c>
      <c r="FB8" s="4">
        <v>1.0</v>
      </c>
      <c r="FS8" s="4">
        <v>1.0</v>
      </c>
      <c r="GD8" s="4">
        <v>1.0</v>
      </c>
      <c r="GE8" s="4">
        <v>1.0</v>
      </c>
    </row>
    <row r="9">
      <c r="A9" s="23">
        <v>38401.0</v>
      </c>
      <c r="B9" s="4" t="s">
        <v>201</v>
      </c>
      <c r="C9" s="4">
        <v>21.25544</v>
      </c>
      <c r="D9" s="4">
        <v>-157.810303</v>
      </c>
      <c r="E9" s="4" t="s">
        <v>197</v>
      </c>
      <c r="F9" s="24">
        <v>0.0</v>
      </c>
      <c r="G9" s="24">
        <v>0.041666666666666664</v>
      </c>
      <c r="H9" s="4">
        <v>6.0</v>
      </c>
      <c r="I9" s="4">
        <v>9.0</v>
      </c>
      <c r="J9" s="4" t="s">
        <v>198</v>
      </c>
      <c r="K9" s="4">
        <v>10.0</v>
      </c>
      <c r="L9" s="4">
        <v>56.0</v>
      </c>
      <c r="M9" s="4" t="s">
        <v>212</v>
      </c>
      <c r="Q9" s="4">
        <v>1.0</v>
      </c>
      <c r="AE9" s="4">
        <v>1.0</v>
      </c>
      <c r="BP9" s="4">
        <v>1.0</v>
      </c>
      <c r="BV9" s="4">
        <v>1.0</v>
      </c>
      <c r="CA9" s="4">
        <v>1.0</v>
      </c>
      <c r="CU9" s="4">
        <v>1.0</v>
      </c>
      <c r="DL9" s="4">
        <v>1.0</v>
      </c>
      <c r="DO9" s="4">
        <v>1.0</v>
      </c>
      <c r="DV9" s="4">
        <v>1.0</v>
      </c>
      <c r="EC9" s="4">
        <v>1.0</v>
      </c>
      <c r="EI9" s="4">
        <v>1.0</v>
      </c>
      <c r="FA9" s="4">
        <v>1.0</v>
      </c>
      <c r="FB9" s="4">
        <v>1.0</v>
      </c>
      <c r="FR9" s="4">
        <v>1.0</v>
      </c>
      <c r="GE9" s="4">
        <v>1.0</v>
      </c>
    </row>
    <row r="10">
      <c r="A10" s="23">
        <v>38416.0</v>
      </c>
      <c r="B10" s="4" t="s">
        <v>196</v>
      </c>
      <c r="C10" s="4">
        <v>21.559278</v>
      </c>
      <c r="D10" s="4">
        <v>-157.871902</v>
      </c>
      <c r="E10" s="4" t="s">
        <v>197</v>
      </c>
      <c r="F10" s="24">
        <v>0.0</v>
      </c>
      <c r="G10" s="24">
        <v>0.041666666666666664</v>
      </c>
      <c r="H10" s="4">
        <v>7.0</v>
      </c>
      <c r="I10" s="4">
        <v>9.0</v>
      </c>
      <c r="J10" s="4" t="s">
        <v>198</v>
      </c>
      <c r="K10" s="4">
        <v>10.0</v>
      </c>
      <c r="L10" s="4">
        <v>29.0</v>
      </c>
      <c r="M10" s="4" t="s">
        <v>214</v>
      </c>
      <c r="Q10" s="4">
        <v>1.0</v>
      </c>
      <c r="AC10" s="4">
        <v>1.0</v>
      </c>
      <c r="AE10" s="4">
        <v>1.0</v>
      </c>
      <c r="AJ10" s="4">
        <v>1.0</v>
      </c>
      <c r="DG10" s="4">
        <v>1.0</v>
      </c>
      <c r="DO10" s="4">
        <v>1.0</v>
      </c>
      <c r="EC10" s="4">
        <v>1.0</v>
      </c>
      <c r="EI10" s="4">
        <v>1.0</v>
      </c>
      <c r="FB10" s="4">
        <v>1.0</v>
      </c>
      <c r="GE10" s="4">
        <v>1.0</v>
      </c>
    </row>
    <row r="11">
      <c r="A11" s="23">
        <v>38416.0</v>
      </c>
      <c r="B11" s="4" t="s">
        <v>201</v>
      </c>
      <c r="C11" s="4">
        <v>21.25544</v>
      </c>
      <c r="D11" s="4">
        <v>-157.810303</v>
      </c>
      <c r="E11" s="4" t="s">
        <v>197</v>
      </c>
      <c r="F11" s="24">
        <v>0.0</v>
      </c>
      <c r="G11" s="24">
        <v>0.041666666666666664</v>
      </c>
      <c r="H11" s="4">
        <v>7.0</v>
      </c>
      <c r="I11" s="4">
        <v>9.0</v>
      </c>
      <c r="J11" s="4" t="s">
        <v>198</v>
      </c>
      <c r="K11" s="4">
        <v>10.0</v>
      </c>
      <c r="L11" s="4">
        <v>56.0</v>
      </c>
      <c r="M11" s="4" t="s">
        <v>215</v>
      </c>
      <c r="Q11" s="4">
        <v>1.0</v>
      </c>
      <c r="AE11" s="4">
        <v>1.0</v>
      </c>
      <c r="BP11" s="4">
        <v>1.0</v>
      </c>
      <c r="BV11" s="4">
        <v>1.0</v>
      </c>
      <c r="BY11" s="4">
        <v>1.0</v>
      </c>
      <c r="CA11" s="4">
        <v>1.0</v>
      </c>
      <c r="CC11" s="4">
        <v>1.0</v>
      </c>
      <c r="CR11" s="4">
        <v>1.0</v>
      </c>
      <c r="CU11" s="4">
        <v>1.0</v>
      </c>
      <c r="DL11" s="4">
        <v>1.0</v>
      </c>
      <c r="DO11" s="4">
        <v>1.0</v>
      </c>
      <c r="EC11" s="4">
        <v>1.0</v>
      </c>
      <c r="EI11" s="4">
        <v>1.0</v>
      </c>
      <c r="FA11" s="4">
        <v>1.0</v>
      </c>
      <c r="FQ11" s="4">
        <v>1.0</v>
      </c>
      <c r="FR11" s="4">
        <v>1.0</v>
      </c>
      <c r="FW11" s="26"/>
      <c r="FX11" s="26"/>
      <c r="FY11" s="26"/>
      <c r="FZ11" s="26"/>
      <c r="GA11" s="26"/>
      <c r="GB11" s="26"/>
      <c r="GC11" s="26"/>
      <c r="GD11" s="26"/>
      <c r="GE11" s="27">
        <v>1.0</v>
      </c>
      <c r="GF11" s="26"/>
    </row>
    <row r="12">
      <c r="A12" s="23">
        <v>38440.0</v>
      </c>
      <c r="B12" s="4" t="s">
        <v>216</v>
      </c>
      <c r="C12" s="4">
        <v>21.3002</v>
      </c>
      <c r="D12" s="4">
        <v>-157.882599</v>
      </c>
      <c r="E12" s="4" t="s">
        <v>197</v>
      </c>
      <c r="F12" s="24">
        <v>0.0</v>
      </c>
      <c r="G12" s="24">
        <v>0.041666666666666664</v>
      </c>
      <c r="H12" s="4">
        <v>4.0</v>
      </c>
      <c r="I12" s="4">
        <v>22.0</v>
      </c>
      <c r="J12" s="4" t="s">
        <v>217</v>
      </c>
      <c r="K12" s="4">
        <v>10.0</v>
      </c>
      <c r="L12" s="4">
        <v>26.0</v>
      </c>
      <c r="M12" s="4" t="s">
        <v>218</v>
      </c>
      <c r="BY12" s="4">
        <v>1.0</v>
      </c>
      <c r="EI12" s="4">
        <v>1.0</v>
      </c>
      <c r="FA12" s="4">
        <v>1.0</v>
      </c>
      <c r="FL12" s="4">
        <v>1.0</v>
      </c>
      <c r="FR12" s="4">
        <v>1.0</v>
      </c>
      <c r="GE12" s="4">
        <v>1.0</v>
      </c>
    </row>
    <row r="13">
      <c r="A13" s="23">
        <v>38441.0</v>
      </c>
      <c r="B13" s="4" t="s">
        <v>219</v>
      </c>
      <c r="C13" s="4">
        <v>21.295799</v>
      </c>
      <c r="D13" s="4">
        <v>-158.103699</v>
      </c>
      <c r="E13" s="4" t="s">
        <v>197</v>
      </c>
      <c r="F13" s="24">
        <v>0.0</v>
      </c>
      <c r="G13" s="24">
        <v>0.041666666666666664</v>
      </c>
      <c r="H13" s="4">
        <v>5.0</v>
      </c>
      <c r="I13" s="4">
        <v>20.0</v>
      </c>
      <c r="J13" s="4" t="s">
        <v>217</v>
      </c>
      <c r="K13" s="4">
        <v>10.0</v>
      </c>
      <c r="L13" s="4">
        <v>30.0</v>
      </c>
      <c r="M13" s="4" t="s">
        <v>220</v>
      </c>
      <c r="Q13" s="4">
        <v>1.0</v>
      </c>
      <c r="AH13" s="4">
        <v>1.0</v>
      </c>
      <c r="AL13" s="4">
        <v>1.0</v>
      </c>
      <c r="BD13" s="4">
        <v>1.0</v>
      </c>
      <c r="BL13" s="4">
        <v>1.0</v>
      </c>
      <c r="BP13" s="4">
        <v>1.0</v>
      </c>
      <c r="BV13" s="4">
        <v>1.0</v>
      </c>
      <c r="BY13" s="4">
        <v>1.0</v>
      </c>
      <c r="CB13" s="4">
        <v>1.0</v>
      </c>
      <c r="DL13" s="4">
        <v>1.0</v>
      </c>
      <c r="DP13" s="4">
        <v>1.0</v>
      </c>
      <c r="DY13" s="4">
        <v>1.0</v>
      </c>
      <c r="EC13" s="4">
        <v>1.0</v>
      </c>
      <c r="EI13" s="4">
        <v>1.0</v>
      </c>
      <c r="FA13" s="4">
        <v>1.0</v>
      </c>
      <c r="FB13" s="4">
        <v>1.0</v>
      </c>
      <c r="FR13" s="4">
        <v>1.0</v>
      </c>
      <c r="GE13" s="4">
        <v>1.0</v>
      </c>
    </row>
    <row r="14">
      <c r="A14" s="23">
        <v>38464.0</v>
      </c>
      <c r="B14" s="4" t="s">
        <v>201</v>
      </c>
      <c r="C14" s="4">
        <v>21.25544</v>
      </c>
      <c r="D14" s="4">
        <v>-157.810303</v>
      </c>
      <c r="E14" s="4" t="s">
        <v>197</v>
      </c>
      <c r="F14" s="24">
        <v>0.0</v>
      </c>
      <c r="G14" s="24">
        <v>0.041666666666666664</v>
      </c>
      <c r="H14" s="4">
        <v>5.0</v>
      </c>
      <c r="I14" s="4">
        <v>9.0</v>
      </c>
      <c r="J14" s="4" t="s">
        <v>198</v>
      </c>
      <c r="K14" s="4">
        <v>10.0</v>
      </c>
      <c r="L14" s="4">
        <v>45.0</v>
      </c>
      <c r="M14" s="4" t="s">
        <v>221</v>
      </c>
      <c r="Q14" s="4">
        <v>1.0</v>
      </c>
      <c r="AE14" s="4">
        <v>1.0</v>
      </c>
      <c r="BP14" s="4">
        <v>1.0</v>
      </c>
      <c r="BV14" s="4">
        <v>1.0</v>
      </c>
      <c r="BY14" s="4">
        <v>1.0</v>
      </c>
      <c r="CA14" s="4">
        <v>1.0</v>
      </c>
      <c r="CI14" s="4">
        <v>1.0</v>
      </c>
      <c r="CR14" s="4">
        <v>1.0</v>
      </c>
      <c r="DL14" s="4">
        <v>1.0</v>
      </c>
      <c r="DO14" s="4">
        <v>1.0</v>
      </c>
      <c r="DR14" s="4">
        <v>1.0</v>
      </c>
      <c r="DS14" s="4">
        <v>1.0</v>
      </c>
      <c r="DT14" s="4">
        <v>1.0</v>
      </c>
      <c r="EB14" s="4">
        <v>1.0</v>
      </c>
      <c r="EI14" s="4">
        <v>1.0</v>
      </c>
      <c r="FA14" s="4">
        <v>1.0</v>
      </c>
      <c r="FR14" s="4">
        <v>1.0</v>
      </c>
      <c r="GE14" s="4">
        <v>1.0</v>
      </c>
    </row>
    <row r="15">
      <c r="A15" s="23">
        <v>38469.0</v>
      </c>
      <c r="B15" s="4" t="s">
        <v>219</v>
      </c>
      <c r="C15" s="4">
        <v>21.295799</v>
      </c>
      <c r="D15" s="4">
        <v>-158.103699</v>
      </c>
      <c r="E15" s="4" t="s">
        <v>197</v>
      </c>
      <c r="F15" s="24">
        <v>0.0</v>
      </c>
      <c r="G15" s="24">
        <v>0.041666666666666664</v>
      </c>
      <c r="H15" s="4">
        <v>4.0</v>
      </c>
      <c r="I15" s="4">
        <v>20.0</v>
      </c>
      <c r="J15" s="4" t="s">
        <v>217</v>
      </c>
      <c r="K15" s="4">
        <v>10.0</v>
      </c>
      <c r="L15" s="4">
        <v>29.0</v>
      </c>
      <c r="M15" s="4" t="s">
        <v>222</v>
      </c>
      <c r="Q15" s="4">
        <v>1.0</v>
      </c>
      <c r="AP15" s="4">
        <v>1.0</v>
      </c>
      <c r="BP15" s="4">
        <v>1.0</v>
      </c>
      <c r="BV15" s="4">
        <v>1.0</v>
      </c>
      <c r="BY15" s="4">
        <v>1.0</v>
      </c>
      <c r="DG15" s="4">
        <v>1.0</v>
      </c>
      <c r="DL15" s="4">
        <v>1.0</v>
      </c>
      <c r="DY15" s="4">
        <v>1.0</v>
      </c>
      <c r="EC15" s="4">
        <v>1.0</v>
      </c>
      <c r="EI15" s="4">
        <v>1.0</v>
      </c>
      <c r="FA15" s="4">
        <v>1.0</v>
      </c>
      <c r="FR15" s="4">
        <v>1.0</v>
      </c>
      <c r="GE15" s="4">
        <v>1.0</v>
      </c>
    </row>
    <row r="16">
      <c r="A16" s="23">
        <v>38471.0</v>
      </c>
      <c r="B16" s="4" t="s">
        <v>216</v>
      </c>
      <c r="C16" s="4">
        <v>21.3002</v>
      </c>
      <c r="D16" s="4">
        <v>-157.882599</v>
      </c>
      <c r="E16" s="4" t="s">
        <v>197</v>
      </c>
      <c r="F16" s="24">
        <v>0.0</v>
      </c>
      <c r="G16" s="24">
        <v>0.041666666666666664</v>
      </c>
      <c r="H16" s="4">
        <v>6.0</v>
      </c>
      <c r="I16" s="4">
        <v>22.0</v>
      </c>
      <c r="J16" s="4" t="s">
        <v>217</v>
      </c>
      <c r="K16" s="4">
        <v>10.0</v>
      </c>
      <c r="L16" s="4">
        <v>36.0</v>
      </c>
      <c r="M16" s="4" t="s">
        <v>223</v>
      </c>
      <c r="Q16" s="4">
        <v>1.0</v>
      </c>
      <c r="AB16" s="4">
        <v>1.0</v>
      </c>
      <c r="BL16" s="4">
        <v>1.0</v>
      </c>
      <c r="CB16" s="4">
        <v>1.0</v>
      </c>
      <c r="CU16" s="4">
        <v>1.0</v>
      </c>
      <c r="DR16" s="4">
        <v>1.0</v>
      </c>
      <c r="DY16" s="4">
        <v>1.0</v>
      </c>
      <c r="EB16" s="4">
        <v>1.0</v>
      </c>
      <c r="EI16" s="4">
        <v>1.0</v>
      </c>
      <c r="FB16" s="4">
        <v>1.0</v>
      </c>
      <c r="FD16" s="4">
        <v>1.0</v>
      </c>
      <c r="FI16" s="4">
        <v>1.0</v>
      </c>
      <c r="FR16" s="4">
        <v>1.0</v>
      </c>
      <c r="GE16" s="4">
        <v>1.0</v>
      </c>
    </row>
    <row r="17">
      <c r="A17" s="23">
        <v>38473.0</v>
      </c>
      <c r="B17" s="4" t="s">
        <v>201</v>
      </c>
      <c r="C17" s="4">
        <v>21.25544</v>
      </c>
      <c r="D17" s="4">
        <v>-157.810303</v>
      </c>
      <c r="E17" s="4" t="s">
        <v>197</v>
      </c>
      <c r="F17" s="24">
        <v>0.0</v>
      </c>
      <c r="G17" s="24">
        <v>0.041666666666666664</v>
      </c>
      <c r="H17" s="4">
        <v>3.0</v>
      </c>
      <c r="I17" s="4">
        <v>9.0</v>
      </c>
      <c r="J17" s="4" t="s">
        <v>198</v>
      </c>
      <c r="K17" s="4">
        <v>10.0</v>
      </c>
      <c r="L17" s="4">
        <v>27.0</v>
      </c>
      <c r="Q17" s="4">
        <v>1.0</v>
      </c>
      <c r="BA17" s="4">
        <v>1.0</v>
      </c>
      <c r="BP17" s="4">
        <v>1.0</v>
      </c>
      <c r="BY17" s="4">
        <v>1.0</v>
      </c>
      <c r="DL17" s="4">
        <v>1.0</v>
      </c>
      <c r="DR17" s="4">
        <v>1.0</v>
      </c>
      <c r="EI17" s="4">
        <v>1.0</v>
      </c>
      <c r="FA17" s="4">
        <v>1.0</v>
      </c>
      <c r="FR17" s="4">
        <v>1.0</v>
      </c>
      <c r="GE17" s="4">
        <v>1.0</v>
      </c>
    </row>
    <row r="18">
      <c r="A18" s="23">
        <v>38473.0</v>
      </c>
      <c r="B18" s="4" t="s">
        <v>219</v>
      </c>
      <c r="C18" s="4">
        <v>21.295799</v>
      </c>
      <c r="D18" s="4">
        <v>-158.103699</v>
      </c>
      <c r="E18" s="4" t="s">
        <v>197</v>
      </c>
      <c r="F18" s="24">
        <v>0.0</v>
      </c>
      <c r="G18" s="24">
        <v>0.041666666666666664</v>
      </c>
      <c r="H18" s="4">
        <v>6.0</v>
      </c>
      <c r="I18" s="4">
        <v>20.0</v>
      </c>
      <c r="J18" s="4" t="s">
        <v>217</v>
      </c>
      <c r="K18" s="4">
        <v>10.0</v>
      </c>
      <c r="L18" s="4">
        <v>34.0</v>
      </c>
      <c r="M18" s="4" t="s">
        <v>224</v>
      </c>
      <c r="Q18" s="4">
        <v>1.0</v>
      </c>
      <c r="BP18" s="4">
        <v>1.0</v>
      </c>
      <c r="BV18" s="4">
        <v>1.0</v>
      </c>
      <c r="BY18" s="4">
        <v>1.0</v>
      </c>
      <c r="CR18" s="4">
        <v>1.0</v>
      </c>
      <c r="DL18" s="4">
        <v>1.0</v>
      </c>
      <c r="DY18" s="4">
        <v>1.0</v>
      </c>
      <c r="EC18" s="4">
        <v>1.0</v>
      </c>
      <c r="EI18" s="4">
        <v>1.0</v>
      </c>
      <c r="FA18" s="4">
        <v>1.0</v>
      </c>
      <c r="FB18" s="4">
        <v>1.0</v>
      </c>
      <c r="FR18" s="4">
        <v>1.0</v>
      </c>
      <c r="GE18" s="4">
        <v>1.0</v>
      </c>
    </row>
    <row r="19">
      <c r="A19" s="23">
        <v>38478.0</v>
      </c>
      <c r="B19" s="4" t="s">
        <v>216</v>
      </c>
      <c r="C19" s="4">
        <v>21.3002</v>
      </c>
      <c r="D19" s="4">
        <v>-157.882599</v>
      </c>
      <c r="E19" s="4" t="s">
        <v>197</v>
      </c>
      <c r="F19" s="24">
        <v>0.0</v>
      </c>
      <c r="G19" s="24">
        <v>0.041666666666666664</v>
      </c>
      <c r="H19" s="4">
        <v>4.0</v>
      </c>
      <c r="I19" s="4">
        <v>22.0</v>
      </c>
      <c r="J19" s="4" t="s">
        <v>217</v>
      </c>
      <c r="K19" s="4">
        <v>10.0</v>
      </c>
      <c r="L19" s="4">
        <v>38.0</v>
      </c>
      <c r="M19" s="4" t="s">
        <v>225</v>
      </c>
      <c r="Q19" s="4">
        <v>1.0</v>
      </c>
      <c r="BY19" s="4">
        <v>1.0</v>
      </c>
      <c r="CU19" s="4">
        <v>1.0</v>
      </c>
      <c r="DR19" s="4">
        <v>1.0</v>
      </c>
      <c r="EI19" s="4">
        <v>1.0</v>
      </c>
      <c r="FR19" s="4">
        <v>1.0</v>
      </c>
      <c r="GE19" s="4">
        <v>1.0</v>
      </c>
    </row>
    <row r="20">
      <c r="A20" s="23">
        <v>38479.0</v>
      </c>
      <c r="B20" s="4" t="s">
        <v>226</v>
      </c>
      <c r="C20" s="4">
        <v>21.706499</v>
      </c>
      <c r="D20" s="4">
        <v>-157.998505</v>
      </c>
      <c r="E20" s="4" t="s">
        <v>197</v>
      </c>
      <c r="F20" s="24">
        <v>0.0</v>
      </c>
      <c r="G20" s="24">
        <v>0.041666666666666664</v>
      </c>
      <c r="H20" s="4">
        <v>3.0</v>
      </c>
      <c r="I20" s="4">
        <v>27.0</v>
      </c>
      <c r="J20" s="4" t="s">
        <v>227</v>
      </c>
      <c r="K20" s="4">
        <v>10.0</v>
      </c>
      <c r="L20" s="4">
        <v>22.0</v>
      </c>
      <c r="M20" s="4" t="s">
        <v>228</v>
      </c>
      <c r="AB20" s="4">
        <v>1.0</v>
      </c>
      <c r="BG20" s="4">
        <v>1.0</v>
      </c>
      <c r="BV20" s="4">
        <v>1.0</v>
      </c>
      <c r="BY20" s="4">
        <v>1.0</v>
      </c>
      <c r="CB20" s="4">
        <v>1.0</v>
      </c>
      <c r="CR20" s="4">
        <v>1.0</v>
      </c>
      <c r="DB20" s="4">
        <v>1.0</v>
      </c>
      <c r="DL20" s="4">
        <v>1.0</v>
      </c>
      <c r="DU20" s="4">
        <v>1.0</v>
      </c>
      <c r="EI20" s="4">
        <v>1.0</v>
      </c>
      <c r="FA20" s="4">
        <v>1.0</v>
      </c>
      <c r="FQ20" s="4">
        <v>1.0</v>
      </c>
      <c r="FR20" s="4">
        <v>1.0</v>
      </c>
      <c r="FW20" s="4"/>
      <c r="FX20" s="4">
        <v>1.0</v>
      </c>
      <c r="GE20" s="4">
        <v>1.0</v>
      </c>
    </row>
    <row r="21">
      <c r="A21" s="23">
        <v>38493.0</v>
      </c>
      <c r="B21" s="4" t="s">
        <v>226</v>
      </c>
      <c r="C21" s="4">
        <v>21.706499</v>
      </c>
      <c r="D21" s="4">
        <v>-157.998505</v>
      </c>
      <c r="E21" s="4" t="s">
        <v>197</v>
      </c>
      <c r="F21" s="24">
        <v>0.0</v>
      </c>
      <c r="G21" s="24">
        <v>0.041666666666666664</v>
      </c>
      <c r="H21" s="4">
        <v>2.0</v>
      </c>
      <c r="I21" s="4">
        <v>27.0</v>
      </c>
      <c r="J21" s="4" t="s">
        <v>227</v>
      </c>
      <c r="K21" s="4">
        <v>10.0</v>
      </c>
      <c r="L21" s="4">
        <v>11.0</v>
      </c>
      <c r="M21" s="4" t="s">
        <v>229</v>
      </c>
      <c r="BG21" s="4">
        <v>1.0</v>
      </c>
      <c r="BV21" s="4">
        <v>1.0</v>
      </c>
      <c r="BY21" s="4">
        <v>1.0</v>
      </c>
      <c r="DU21" s="4">
        <v>1.0</v>
      </c>
      <c r="EC21" s="4">
        <v>1.0</v>
      </c>
      <c r="EI21" s="4">
        <v>1.0</v>
      </c>
      <c r="FA21" s="4">
        <v>1.0</v>
      </c>
      <c r="FQ21" s="4">
        <v>1.0</v>
      </c>
      <c r="FR21" s="4">
        <v>1.0</v>
      </c>
      <c r="GE21" s="4">
        <v>1.0</v>
      </c>
    </row>
    <row r="22">
      <c r="A22" s="23">
        <v>38496.0</v>
      </c>
      <c r="B22" s="4" t="s">
        <v>230</v>
      </c>
      <c r="C22" s="4">
        <v>20.7537</v>
      </c>
      <c r="D22" s="4">
        <v>-156.460907</v>
      </c>
      <c r="E22" s="4" t="s">
        <v>197</v>
      </c>
      <c r="F22" s="24">
        <v>0.0</v>
      </c>
      <c r="G22" s="24">
        <v>0.041666666666666664</v>
      </c>
      <c r="H22" s="4">
        <v>5.0</v>
      </c>
      <c r="I22" s="4">
        <v>15.0</v>
      </c>
      <c r="J22" s="4" t="s">
        <v>217</v>
      </c>
      <c r="K22" s="4">
        <v>8.0</v>
      </c>
      <c r="L22" s="4">
        <v>36.0</v>
      </c>
      <c r="M22" s="4" t="s">
        <v>231</v>
      </c>
      <c r="Q22" s="4">
        <v>1.0</v>
      </c>
      <c r="BG22" s="4">
        <v>1.0</v>
      </c>
      <c r="BL22" s="4">
        <v>1.0</v>
      </c>
      <c r="DE22" s="4">
        <v>1.0</v>
      </c>
      <c r="DL22" s="4">
        <v>1.0</v>
      </c>
      <c r="EG22" s="4">
        <v>1.0</v>
      </c>
      <c r="EI22" s="4">
        <v>1.0</v>
      </c>
      <c r="FA22" s="4">
        <v>1.0</v>
      </c>
      <c r="FR22" s="4">
        <v>1.0</v>
      </c>
      <c r="FS22" s="4">
        <v>1.0</v>
      </c>
      <c r="FU22" s="4">
        <v>1.0</v>
      </c>
      <c r="GE22" s="4">
        <v>1.0</v>
      </c>
    </row>
    <row r="23">
      <c r="A23" s="23">
        <v>38507.0</v>
      </c>
      <c r="B23" s="4" t="s">
        <v>226</v>
      </c>
      <c r="C23" s="4">
        <v>21.706499</v>
      </c>
      <c r="D23" s="4">
        <v>-157.998505</v>
      </c>
      <c r="E23" s="4" t="s">
        <v>197</v>
      </c>
      <c r="F23" s="24">
        <v>0.0</v>
      </c>
      <c r="G23" s="24">
        <v>0.041666666666666664</v>
      </c>
      <c r="H23" s="4">
        <v>3.0</v>
      </c>
      <c r="I23" s="4">
        <v>27.0</v>
      </c>
      <c r="J23" s="4" t="s">
        <v>227</v>
      </c>
      <c r="K23" s="4">
        <v>10.0</v>
      </c>
      <c r="L23" s="4">
        <v>20.0</v>
      </c>
      <c r="M23" s="4" t="s">
        <v>232</v>
      </c>
      <c r="Q23" s="4">
        <v>1.0</v>
      </c>
      <c r="R23" s="4">
        <v>1.0</v>
      </c>
      <c r="BA23" s="4">
        <v>1.0</v>
      </c>
      <c r="BG23" s="4">
        <v>1.0</v>
      </c>
      <c r="BL23" s="4">
        <v>1.0</v>
      </c>
      <c r="BV23" s="4">
        <v>1.0</v>
      </c>
      <c r="BY23" s="4">
        <v>1.0</v>
      </c>
      <c r="CB23" s="4">
        <v>1.0</v>
      </c>
      <c r="CC23" s="4">
        <v>1.0</v>
      </c>
      <c r="CR23" s="4">
        <v>1.0</v>
      </c>
      <c r="CV23" s="4">
        <v>1.0</v>
      </c>
      <c r="DB23" s="4">
        <v>1.0</v>
      </c>
      <c r="DL23" s="4">
        <v>1.0</v>
      </c>
      <c r="DU23" s="4">
        <v>1.0</v>
      </c>
      <c r="EI23" s="4">
        <v>1.0</v>
      </c>
      <c r="FA23" s="4">
        <v>1.0</v>
      </c>
      <c r="FQ23" s="4">
        <v>1.0</v>
      </c>
      <c r="FR23" s="4">
        <v>1.0</v>
      </c>
      <c r="GE23" s="4">
        <v>1.0</v>
      </c>
    </row>
    <row r="24">
      <c r="A24" s="23">
        <v>38824.0</v>
      </c>
      <c r="B24" s="4" t="s">
        <v>233</v>
      </c>
      <c r="C24" s="4">
        <v>21.066799</v>
      </c>
      <c r="D24" s="4">
        <v>-156.804993</v>
      </c>
      <c r="E24" s="4" t="s">
        <v>197</v>
      </c>
      <c r="F24" s="24">
        <v>0.0</v>
      </c>
      <c r="G24" s="24">
        <v>0.041666666666666664</v>
      </c>
      <c r="H24" s="4">
        <v>3.0</v>
      </c>
      <c r="I24" s="4">
        <v>27.0</v>
      </c>
      <c r="J24" s="4" t="s">
        <v>227</v>
      </c>
      <c r="K24" s="4">
        <v>10.0</v>
      </c>
      <c r="L24" s="4">
        <v>29.0</v>
      </c>
      <c r="M24" s="4" t="s">
        <v>234</v>
      </c>
      <c r="Q24" s="4">
        <v>1.0</v>
      </c>
      <c r="BA24" s="4">
        <v>1.0</v>
      </c>
      <c r="BL24" s="4">
        <v>1.0</v>
      </c>
      <c r="BX24" s="4">
        <v>1.0</v>
      </c>
      <c r="CF24" s="4">
        <v>1.0</v>
      </c>
      <c r="CN24" s="4">
        <v>1.0</v>
      </c>
      <c r="DC24" s="4">
        <v>1.0</v>
      </c>
      <c r="DL24" s="4">
        <v>1.0</v>
      </c>
      <c r="DR24" s="4">
        <v>1.0</v>
      </c>
      <c r="EI24" s="4">
        <v>1.0</v>
      </c>
      <c r="FA24" s="4">
        <v>1.0</v>
      </c>
      <c r="FQ24" s="4">
        <v>1.0</v>
      </c>
    </row>
    <row r="25">
      <c r="A25" s="23">
        <v>38824.0</v>
      </c>
      <c r="B25" s="4" t="s">
        <v>201</v>
      </c>
      <c r="C25" s="4">
        <v>21.25544</v>
      </c>
      <c r="D25" s="4">
        <v>-157.810303</v>
      </c>
      <c r="E25" s="4" t="s">
        <v>197</v>
      </c>
      <c r="F25" s="24">
        <v>0.0</v>
      </c>
      <c r="G25" s="24">
        <v>0.041666666666666664</v>
      </c>
      <c r="H25" s="4">
        <v>6.0</v>
      </c>
      <c r="I25" s="4">
        <v>11.0</v>
      </c>
      <c r="J25" s="4" t="s">
        <v>198</v>
      </c>
      <c r="K25" s="4">
        <v>12.0</v>
      </c>
      <c r="L25" s="4">
        <v>53.0</v>
      </c>
      <c r="M25" s="4" t="s">
        <v>235</v>
      </c>
      <c r="Q25" s="4">
        <v>1.0</v>
      </c>
      <c r="AD25" s="4">
        <v>1.0</v>
      </c>
      <c r="AE25" s="4">
        <v>1.0</v>
      </c>
      <c r="BG25" s="4">
        <v>1.0</v>
      </c>
      <c r="BP25" s="4">
        <v>1.0</v>
      </c>
      <c r="BV25" s="4">
        <v>1.0</v>
      </c>
      <c r="BY25" s="4">
        <v>1.0</v>
      </c>
      <c r="CR25" s="4">
        <v>1.0</v>
      </c>
      <c r="DL25" s="4">
        <v>1.0</v>
      </c>
      <c r="DO25" s="4">
        <v>1.0</v>
      </c>
      <c r="DY25" s="4">
        <v>1.0</v>
      </c>
      <c r="EI25" s="4">
        <v>1.0</v>
      </c>
      <c r="FA25" s="4">
        <v>1.0</v>
      </c>
      <c r="FB25" s="4">
        <v>1.0</v>
      </c>
      <c r="FQ25" s="4">
        <v>1.0</v>
      </c>
      <c r="FR25" s="4">
        <v>1.0</v>
      </c>
      <c r="FT25" s="4">
        <v>1.0</v>
      </c>
      <c r="GE25" s="4">
        <v>1.0</v>
      </c>
    </row>
    <row r="26">
      <c r="A26" s="23">
        <v>38825.0</v>
      </c>
      <c r="B26" s="4" t="s">
        <v>230</v>
      </c>
      <c r="C26" s="4">
        <v>20.7537</v>
      </c>
      <c r="D26" s="4">
        <v>-156.460907</v>
      </c>
      <c r="E26" s="4" t="s">
        <v>197</v>
      </c>
      <c r="F26" s="24">
        <v>0.0</v>
      </c>
      <c r="G26" s="24">
        <v>0.041666666666666664</v>
      </c>
      <c r="H26" s="4">
        <v>5.0</v>
      </c>
      <c r="I26" s="4">
        <v>22.0</v>
      </c>
      <c r="J26" s="4" t="s">
        <v>217</v>
      </c>
      <c r="K26" s="4">
        <v>14.0</v>
      </c>
      <c r="L26" s="4">
        <v>42.0</v>
      </c>
      <c r="M26" s="4" t="s">
        <v>236</v>
      </c>
      <c r="Q26" s="4">
        <v>1.0</v>
      </c>
      <c r="BJ26" s="4">
        <v>1.0</v>
      </c>
      <c r="BL26" s="4">
        <v>1.0</v>
      </c>
      <c r="BW26" s="4">
        <v>1.0</v>
      </c>
      <c r="DE26" s="4">
        <v>1.0</v>
      </c>
      <c r="DL26" s="4">
        <v>1.0</v>
      </c>
      <c r="EC26" s="4">
        <v>1.0</v>
      </c>
      <c r="EI26" s="4">
        <v>1.0</v>
      </c>
      <c r="FA26" s="4">
        <v>1.0</v>
      </c>
      <c r="FM26" s="4">
        <v>1.0</v>
      </c>
      <c r="FR26" s="4">
        <v>1.0</v>
      </c>
      <c r="FS26" s="4">
        <v>1.0</v>
      </c>
      <c r="FU26" s="4">
        <v>1.0</v>
      </c>
    </row>
    <row r="27">
      <c r="A27" s="23">
        <v>38834.0</v>
      </c>
      <c r="B27" s="4" t="s">
        <v>219</v>
      </c>
      <c r="C27" s="4">
        <v>21.295799</v>
      </c>
      <c r="D27" s="4">
        <v>-158.103699</v>
      </c>
      <c r="E27" s="4" t="s">
        <v>197</v>
      </c>
      <c r="F27" s="24">
        <v>0.0</v>
      </c>
      <c r="G27" s="24">
        <v>0.041666666666666664</v>
      </c>
      <c r="H27" s="4">
        <v>4.0</v>
      </c>
      <c r="I27" s="4">
        <v>25.0</v>
      </c>
      <c r="J27" s="4" t="s">
        <v>237</v>
      </c>
      <c r="K27" s="4">
        <v>5.0</v>
      </c>
      <c r="L27" s="4">
        <v>16.0</v>
      </c>
      <c r="M27" s="4" t="s">
        <v>238</v>
      </c>
      <c r="Q27" s="4">
        <v>1.0</v>
      </c>
      <c r="BC27" s="4">
        <v>1.0</v>
      </c>
      <c r="BL27" s="4">
        <v>1.0</v>
      </c>
      <c r="BP27" s="4">
        <v>1.0</v>
      </c>
      <c r="BT27" s="4">
        <v>1.0</v>
      </c>
      <c r="BV27" s="4">
        <v>1.0</v>
      </c>
      <c r="DL27" s="4">
        <v>1.0</v>
      </c>
      <c r="EB27" s="4">
        <v>1.0</v>
      </c>
      <c r="EC27" s="4">
        <v>1.0</v>
      </c>
      <c r="EI27" s="4">
        <v>1.0</v>
      </c>
      <c r="FA27" s="4">
        <v>1.0</v>
      </c>
      <c r="FR27" s="4">
        <v>1.0</v>
      </c>
    </row>
    <row r="28">
      <c r="A28" s="23">
        <v>38835.0</v>
      </c>
      <c r="B28" s="4" t="s">
        <v>216</v>
      </c>
      <c r="C28" s="4">
        <v>21.3002</v>
      </c>
      <c r="D28" s="4">
        <v>-157.882599</v>
      </c>
      <c r="E28" s="4" t="s">
        <v>197</v>
      </c>
      <c r="F28" s="24">
        <v>0.0</v>
      </c>
      <c r="G28" s="24">
        <v>0.041666666666666664</v>
      </c>
      <c r="H28" s="4">
        <v>3.0</v>
      </c>
      <c r="I28" s="4">
        <v>25.0</v>
      </c>
      <c r="J28" s="4" t="s">
        <v>237</v>
      </c>
      <c r="K28" s="4">
        <v>5.0</v>
      </c>
      <c r="L28" s="4">
        <v>10.0</v>
      </c>
      <c r="M28" s="4" t="s">
        <v>239</v>
      </c>
      <c r="Q28" s="4">
        <v>1.0</v>
      </c>
      <c r="BD28" s="4">
        <v>1.0</v>
      </c>
      <c r="BU28" s="4">
        <v>1.0</v>
      </c>
      <c r="DL28" s="4">
        <v>1.0</v>
      </c>
      <c r="EI28" s="4">
        <v>1.0</v>
      </c>
      <c r="FA28" s="4">
        <v>1.0</v>
      </c>
      <c r="GE28" s="4">
        <v>1.0</v>
      </c>
    </row>
    <row r="29">
      <c r="A29" s="23">
        <v>38838.0</v>
      </c>
      <c r="B29" s="4" t="s">
        <v>240</v>
      </c>
      <c r="C29" s="4">
        <v>21.1059</v>
      </c>
      <c r="D29" s="4">
        <v>-156.746094</v>
      </c>
      <c r="E29" s="4" t="s">
        <v>197</v>
      </c>
      <c r="F29" s="24">
        <v>0.0</v>
      </c>
      <c r="G29" s="24">
        <v>0.041666666666666664</v>
      </c>
      <c r="H29" s="4">
        <v>3.0</v>
      </c>
      <c r="I29" s="4">
        <v>27.0</v>
      </c>
      <c r="J29" s="4" t="s">
        <v>227</v>
      </c>
      <c r="K29" s="4">
        <v>10.0</v>
      </c>
      <c r="L29" s="4">
        <v>27.0</v>
      </c>
      <c r="M29" s="4" t="s">
        <v>241</v>
      </c>
      <c r="AL29" s="4">
        <v>1.0</v>
      </c>
      <c r="BA29" s="4">
        <v>1.0</v>
      </c>
      <c r="BL29" s="4">
        <v>1.0</v>
      </c>
      <c r="CR29" s="4">
        <v>1.0</v>
      </c>
      <c r="EI29" s="4">
        <v>1.0</v>
      </c>
      <c r="FR29" s="4">
        <v>1.0</v>
      </c>
    </row>
    <row r="30">
      <c r="A30" s="23">
        <v>38849.0</v>
      </c>
      <c r="B30" s="4" t="s">
        <v>219</v>
      </c>
      <c r="C30" s="4">
        <v>21.295799</v>
      </c>
      <c r="D30" s="4">
        <v>-158.103699</v>
      </c>
      <c r="E30" s="4" t="s">
        <v>197</v>
      </c>
      <c r="F30" s="24">
        <v>0.0</v>
      </c>
      <c r="G30" s="24">
        <v>0.041666666666666664</v>
      </c>
      <c r="H30" s="4">
        <v>4.0</v>
      </c>
      <c r="I30" s="4">
        <v>25.0</v>
      </c>
      <c r="J30" s="4" t="s">
        <v>237</v>
      </c>
      <c r="K30" s="4">
        <v>5.0</v>
      </c>
      <c r="L30" s="4">
        <v>14.0</v>
      </c>
      <c r="M30" s="4" t="s">
        <v>242</v>
      </c>
      <c r="AC30" s="4">
        <v>1.0</v>
      </c>
      <c r="AL30" s="4">
        <v>1.0</v>
      </c>
      <c r="BP30" s="4">
        <v>1.0</v>
      </c>
      <c r="BV30" s="4">
        <v>1.0</v>
      </c>
      <c r="DG30" s="4">
        <v>1.0</v>
      </c>
      <c r="DL30" s="4">
        <v>1.0</v>
      </c>
      <c r="EB30" s="4">
        <v>1.0</v>
      </c>
      <c r="EI30" s="4">
        <v>1.0</v>
      </c>
      <c r="EU30" s="4">
        <v>1.0</v>
      </c>
      <c r="FA30" s="4">
        <v>1.0</v>
      </c>
      <c r="FB30" s="4">
        <v>1.0</v>
      </c>
      <c r="FR30" s="4">
        <v>1.0</v>
      </c>
      <c r="GE30" s="4">
        <v>1.0</v>
      </c>
    </row>
    <row r="31">
      <c r="A31" s="23">
        <v>38852.0</v>
      </c>
      <c r="B31" s="4" t="s">
        <v>216</v>
      </c>
      <c r="C31" s="4">
        <v>21.3002</v>
      </c>
      <c r="D31" s="4">
        <v>-157.882599</v>
      </c>
      <c r="E31" s="4" t="s">
        <v>197</v>
      </c>
      <c r="F31" s="24">
        <v>0.0</v>
      </c>
      <c r="G31" s="24">
        <v>0.041666666666666664</v>
      </c>
      <c r="H31" s="4">
        <v>7.0</v>
      </c>
      <c r="I31" s="4">
        <v>25.0</v>
      </c>
      <c r="J31" s="4" t="s">
        <v>237</v>
      </c>
      <c r="K31" s="4">
        <v>5.0</v>
      </c>
      <c r="L31" s="4">
        <v>23.0</v>
      </c>
      <c r="M31" s="4" t="s">
        <v>243</v>
      </c>
      <c r="Q31" s="4">
        <v>1.0</v>
      </c>
      <c r="AH31" s="4">
        <v>1.0</v>
      </c>
      <c r="BC31" s="4">
        <v>1.0</v>
      </c>
      <c r="BP31" s="4">
        <v>1.0</v>
      </c>
      <c r="BV31" s="4">
        <v>1.0</v>
      </c>
      <c r="CC31" s="4">
        <v>1.0</v>
      </c>
      <c r="DL31" s="4">
        <v>1.0</v>
      </c>
      <c r="DN31" s="4">
        <v>1.0</v>
      </c>
      <c r="DR31" s="4">
        <v>1.0</v>
      </c>
      <c r="EI31" s="4">
        <v>1.0</v>
      </c>
      <c r="FA31" s="4">
        <v>1.0</v>
      </c>
      <c r="FR31" s="4">
        <v>1.0</v>
      </c>
    </row>
    <row r="32">
      <c r="A32" s="23">
        <v>38853.0</v>
      </c>
      <c r="B32" s="4" t="s">
        <v>244</v>
      </c>
      <c r="C32" s="4">
        <v>21.310612</v>
      </c>
      <c r="D32" s="4">
        <v>-158.00441</v>
      </c>
      <c r="E32" s="4" t="s">
        <v>197</v>
      </c>
      <c r="F32" s="24">
        <v>0.0</v>
      </c>
      <c r="G32" s="24">
        <v>0.041666666666666664</v>
      </c>
      <c r="H32" s="4">
        <v>4.0</v>
      </c>
      <c r="I32" s="4">
        <v>20.0</v>
      </c>
      <c r="J32" s="4" t="s">
        <v>245</v>
      </c>
      <c r="K32" s="4">
        <v>5.0</v>
      </c>
      <c r="L32" s="4">
        <v>4.0</v>
      </c>
      <c r="M32" s="4">
        <v>4.0</v>
      </c>
      <c r="Q32" s="4">
        <v>1.0</v>
      </c>
      <c r="AW32" s="4">
        <v>1.0</v>
      </c>
      <c r="BL32" s="4">
        <v>1.0</v>
      </c>
      <c r="BP32" s="4">
        <v>1.0</v>
      </c>
      <c r="BT32" s="4">
        <v>1.0</v>
      </c>
      <c r="BW32" s="4">
        <v>1.0</v>
      </c>
      <c r="CR32" s="4">
        <v>1.0</v>
      </c>
      <c r="DC32" s="4">
        <v>1.0</v>
      </c>
      <c r="DL32" s="4">
        <v>1.0</v>
      </c>
      <c r="DT32" s="4"/>
      <c r="DU32" s="4">
        <v>1.0</v>
      </c>
      <c r="EI32" s="4">
        <v>1.0</v>
      </c>
      <c r="FA32" s="4">
        <v>1.0</v>
      </c>
      <c r="FQ32" s="4">
        <v>1.0</v>
      </c>
      <c r="FR32" s="4">
        <v>1.0</v>
      </c>
    </row>
    <row r="33">
      <c r="A33" s="23">
        <v>38854.0</v>
      </c>
      <c r="B33" s="4" t="s">
        <v>246</v>
      </c>
      <c r="C33" s="4">
        <v>21.2882</v>
      </c>
      <c r="D33" s="4">
        <v>-157.667999</v>
      </c>
      <c r="E33" s="4" t="s">
        <v>197</v>
      </c>
      <c r="F33" s="24">
        <v>0.0</v>
      </c>
      <c r="G33" s="24">
        <v>0.041666666666666664</v>
      </c>
      <c r="H33" s="4">
        <v>3.0</v>
      </c>
      <c r="I33" s="4">
        <v>20.0</v>
      </c>
      <c r="J33" s="4" t="s">
        <v>245</v>
      </c>
      <c r="K33" s="4">
        <v>5.0</v>
      </c>
      <c r="L33" s="4">
        <v>4.0</v>
      </c>
      <c r="M33" s="4">
        <v>4.0</v>
      </c>
      <c r="Q33" s="4">
        <v>1.0</v>
      </c>
      <c r="BG33" s="4">
        <v>1.0</v>
      </c>
      <c r="BJ33" s="4">
        <v>1.0</v>
      </c>
      <c r="BV33" s="4">
        <v>1.0</v>
      </c>
      <c r="CI33" s="4">
        <v>1.0</v>
      </c>
      <c r="CN33" s="4">
        <v>1.0</v>
      </c>
      <c r="DL33" s="4">
        <v>1.0</v>
      </c>
      <c r="DN33" s="4">
        <v>1.0</v>
      </c>
      <c r="DY33" s="4">
        <v>1.0</v>
      </c>
      <c r="EI33" s="4">
        <v>1.0</v>
      </c>
      <c r="FA33" s="4">
        <v>1.0</v>
      </c>
      <c r="FQ33" s="4">
        <v>1.0</v>
      </c>
      <c r="FR33" s="4">
        <v>1.0</v>
      </c>
    </row>
    <row r="34">
      <c r="A34" s="23">
        <v>39177.0</v>
      </c>
      <c r="B34" s="4" t="s">
        <v>247</v>
      </c>
      <c r="C34" s="4">
        <v>19.488199</v>
      </c>
      <c r="D34" s="4">
        <v>-154.819305</v>
      </c>
      <c r="E34" s="4" t="s">
        <v>197</v>
      </c>
      <c r="F34" s="24">
        <v>0.0</v>
      </c>
      <c r="G34" s="24">
        <v>0.041666666666666664</v>
      </c>
      <c r="H34" s="4">
        <v>4.0</v>
      </c>
      <c r="I34" s="4">
        <v>20.0</v>
      </c>
      <c r="J34" s="4" t="s">
        <v>245</v>
      </c>
      <c r="K34" s="4">
        <v>5.0</v>
      </c>
      <c r="L34" s="4">
        <v>13.0</v>
      </c>
      <c r="M34" s="4" t="s">
        <v>248</v>
      </c>
      <c r="AL34" s="4">
        <v>1.0</v>
      </c>
      <c r="CB34" s="4">
        <v>1.0</v>
      </c>
      <c r="DL34" s="4">
        <v>1.0</v>
      </c>
      <c r="DW34" s="4">
        <v>1.0</v>
      </c>
      <c r="FL34" s="4">
        <v>1.0</v>
      </c>
      <c r="FR34" s="4">
        <v>1.0</v>
      </c>
      <c r="GE34" s="4">
        <v>1.0</v>
      </c>
    </row>
    <row r="35">
      <c r="A35" s="23">
        <v>39190.0</v>
      </c>
      <c r="B35" s="4" t="s">
        <v>201</v>
      </c>
      <c r="C35" s="4">
        <v>21.25544</v>
      </c>
      <c r="D35" s="4">
        <v>-157.810303</v>
      </c>
      <c r="E35" s="4" t="s">
        <v>197</v>
      </c>
      <c r="F35" s="24">
        <v>0.0</v>
      </c>
      <c r="G35" s="24">
        <v>0.041666666666666664</v>
      </c>
      <c r="H35" s="4">
        <v>7.0</v>
      </c>
      <c r="I35" s="4">
        <v>11.0</v>
      </c>
      <c r="J35" s="4" t="s">
        <v>198</v>
      </c>
      <c r="K35" s="4">
        <v>12.0</v>
      </c>
      <c r="L35" s="4">
        <v>74.0</v>
      </c>
      <c r="M35" s="4" t="s">
        <v>249</v>
      </c>
      <c r="Q35" s="4">
        <v>1.0</v>
      </c>
      <c r="X35" s="4">
        <v>1.0</v>
      </c>
      <c r="AE35" s="4">
        <v>1.0</v>
      </c>
      <c r="AL35" s="4">
        <v>1.0</v>
      </c>
      <c r="AY35" s="4">
        <v>1.0</v>
      </c>
      <c r="BA35" s="4">
        <v>1.0</v>
      </c>
      <c r="BE35" s="4">
        <v>1.0</v>
      </c>
      <c r="BL35" s="4">
        <v>1.0</v>
      </c>
      <c r="BP35" s="4">
        <v>1.0</v>
      </c>
      <c r="BS35" s="4">
        <v>1.0</v>
      </c>
      <c r="BT35" s="4">
        <v>1.0</v>
      </c>
      <c r="BV35" s="4">
        <v>1.0</v>
      </c>
      <c r="BW35" s="4">
        <v>1.0</v>
      </c>
      <c r="BX35" s="4">
        <v>1.0</v>
      </c>
      <c r="CA35" s="4">
        <v>1.0</v>
      </c>
      <c r="CI35" s="4">
        <v>1.0</v>
      </c>
      <c r="CN35" s="4">
        <v>1.0</v>
      </c>
      <c r="CR35" s="4">
        <v>1.0</v>
      </c>
      <c r="CU35" s="4">
        <v>1.0</v>
      </c>
      <c r="DC35" s="4">
        <v>1.0</v>
      </c>
      <c r="DE35" s="4">
        <v>1.0</v>
      </c>
      <c r="DK35" s="4">
        <v>1.0</v>
      </c>
      <c r="DL35" s="4">
        <v>1.0</v>
      </c>
      <c r="DO35" s="4">
        <v>1.0</v>
      </c>
      <c r="DR35" s="4">
        <v>1.0</v>
      </c>
      <c r="DT35" s="4"/>
      <c r="DU35" s="4">
        <v>1.0</v>
      </c>
      <c r="EC35" s="4">
        <v>1.0</v>
      </c>
      <c r="EI35" s="4">
        <v>1.0</v>
      </c>
      <c r="EV35" s="4">
        <v>1.0</v>
      </c>
      <c r="FA35" s="4">
        <v>1.0</v>
      </c>
      <c r="FB35" s="4">
        <v>1.0</v>
      </c>
      <c r="FH35" s="4">
        <v>1.0</v>
      </c>
      <c r="FQ35" s="4">
        <v>1.0</v>
      </c>
      <c r="FR35" s="4">
        <v>1.0</v>
      </c>
      <c r="FW35" s="4"/>
      <c r="FX35" s="4">
        <v>1.0</v>
      </c>
      <c r="GD35" s="4">
        <v>1.0</v>
      </c>
      <c r="GE35" s="4">
        <v>1.0</v>
      </c>
    </row>
    <row r="36">
      <c r="A36" s="23">
        <v>39191.0</v>
      </c>
      <c r="B36" s="4" t="s">
        <v>250</v>
      </c>
      <c r="C36" s="4">
        <v>21.4104</v>
      </c>
      <c r="D36" s="4">
        <v>-158.177704</v>
      </c>
      <c r="E36" s="4" t="s">
        <v>197</v>
      </c>
      <c r="F36" s="24">
        <v>0.0</v>
      </c>
      <c r="G36" s="24">
        <v>0.041666666666666664</v>
      </c>
      <c r="H36" s="4">
        <v>10.0</v>
      </c>
      <c r="I36" s="4">
        <v>20.0</v>
      </c>
      <c r="J36" s="4" t="s">
        <v>245</v>
      </c>
      <c r="K36" s="4">
        <v>6.0</v>
      </c>
      <c r="L36" s="4">
        <v>15.0</v>
      </c>
      <c r="M36" s="4" t="s">
        <v>251</v>
      </c>
      <c r="Q36" s="4">
        <v>1.0</v>
      </c>
      <c r="R36" s="4">
        <v>1.0</v>
      </c>
      <c r="AI36" s="4"/>
      <c r="AJ36" s="4">
        <v>1.0</v>
      </c>
      <c r="BF36" s="4">
        <v>1.0</v>
      </c>
      <c r="BH36" s="4">
        <v>1.0</v>
      </c>
      <c r="BJ36" s="4">
        <v>1.0</v>
      </c>
      <c r="BX36" s="4">
        <v>1.0</v>
      </c>
      <c r="BY36" s="4">
        <v>1.0</v>
      </c>
      <c r="CB36" s="4">
        <v>1.0</v>
      </c>
      <c r="CC36" s="4">
        <v>1.0</v>
      </c>
      <c r="DG36" s="4">
        <v>1.0</v>
      </c>
      <c r="DK36" s="4">
        <v>1.0</v>
      </c>
      <c r="DL36" s="4">
        <v>1.0</v>
      </c>
      <c r="EI36" s="4">
        <v>1.0</v>
      </c>
      <c r="EV36" s="4">
        <v>1.0</v>
      </c>
      <c r="FB36" s="4">
        <v>1.0</v>
      </c>
      <c r="FD36" s="4">
        <v>1.0</v>
      </c>
      <c r="FQ36" s="4">
        <v>1.0</v>
      </c>
      <c r="FR36" s="4">
        <v>1.0</v>
      </c>
      <c r="FS36" s="4">
        <v>1.0</v>
      </c>
      <c r="GD36" s="4">
        <v>1.0</v>
      </c>
      <c r="GE36" s="4">
        <v>1.0</v>
      </c>
    </row>
    <row r="37">
      <c r="A37" s="23">
        <v>39191.0</v>
      </c>
      <c r="B37" s="4" t="s">
        <v>201</v>
      </c>
      <c r="C37" s="4">
        <v>21.25544</v>
      </c>
      <c r="D37" s="4">
        <v>-157.810303</v>
      </c>
      <c r="E37" s="4" t="s">
        <v>197</v>
      </c>
      <c r="F37" s="24">
        <v>0.0</v>
      </c>
      <c r="G37" s="24">
        <v>0.041666666666666664</v>
      </c>
      <c r="H37" s="4">
        <v>7.0</v>
      </c>
      <c r="I37" s="4">
        <v>11.0</v>
      </c>
      <c r="J37" s="4" t="s">
        <v>198</v>
      </c>
      <c r="K37" s="4">
        <v>12.0</v>
      </c>
      <c r="L37" s="4">
        <v>66.0</v>
      </c>
      <c r="M37" s="4" t="s">
        <v>252</v>
      </c>
      <c r="Q37" s="4">
        <v>1.0</v>
      </c>
      <c r="W37" s="4">
        <v>1.0</v>
      </c>
      <c r="Y37" s="4">
        <v>1.0</v>
      </c>
      <c r="AD37" s="4">
        <v>1.0</v>
      </c>
      <c r="AE37" s="4">
        <v>1.0</v>
      </c>
      <c r="AH37" s="4">
        <v>1.0</v>
      </c>
      <c r="AI37" s="4">
        <v>1.0</v>
      </c>
      <c r="AL37" s="4">
        <v>1.0</v>
      </c>
      <c r="BA37" s="4">
        <v>1.0</v>
      </c>
      <c r="BL37" s="4">
        <v>1.0</v>
      </c>
      <c r="BP37" s="4">
        <v>1.0</v>
      </c>
      <c r="BS37" s="4">
        <v>1.0</v>
      </c>
      <c r="BT37" s="4">
        <v>1.0</v>
      </c>
      <c r="BV37" s="4">
        <v>1.0</v>
      </c>
      <c r="BW37" s="4">
        <v>1.0</v>
      </c>
      <c r="BX37" s="4">
        <v>1.0</v>
      </c>
      <c r="CA37" s="4">
        <v>1.0</v>
      </c>
      <c r="CI37" s="4">
        <v>1.0</v>
      </c>
      <c r="CN37" s="4">
        <v>1.0</v>
      </c>
      <c r="CR37" s="4">
        <v>1.0</v>
      </c>
      <c r="CU37" s="4">
        <v>1.0</v>
      </c>
      <c r="DE37" s="4">
        <v>1.0</v>
      </c>
      <c r="DG37" s="4">
        <v>1.0</v>
      </c>
      <c r="DK37" s="4">
        <v>1.0</v>
      </c>
      <c r="DL37" s="4">
        <v>1.0</v>
      </c>
      <c r="DN37" s="4">
        <v>1.0</v>
      </c>
      <c r="DO37" s="4">
        <v>1.0</v>
      </c>
      <c r="DR37" s="4">
        <v>1.0</v>
      </c>
      <c r="DT37" s="4"/>
      <c r="DU37" s="4">
        <v>1.0</v>
      </c>
      <c r="DY37" s="4">
        <v>1.0</v>
      </c>
      <c r="EA37" s="4">
        <v>1.0</v>
      </c>
      <c r="EB37" s="4">
        <v>1.0</v>
      </c>
      <c r="EC37" s="4">
        <v>1.0</v>
      </c>
      <c r="EI37" s="4">
        <v>1.0</v>
      </c>
      <c r="EM37" s="4">
        <v>1.0</v>
      </c>
      <c r="EV37" s="4">
        <v>1.0</v>
      </c>
      <c r="FA37" s="4">
        <v>1.0</v>
      </c>
      <c r="FB37" s="4">
        <v>1.0</v>
      </c>
      <c r="FD37" s="4">
        <v>1.0</v>
      </c>
      <c r="FE37" s="4">
        <v>1.0</v>
      </c>
      <c r="FG37" s="4">
        <v>1.0</v>
      </c>
      <c r="FL37" s="4">
        <v>1.0</v>
      </c>
      <c r="FQ37" s="4">
        <v>1.0</v>
      </c>
      <c r="FR37" s="4">
        <v>1.0</v>
      </c>
      <c r="GD37" s="4">
        <v>1.0</v>
      </c>
      <c r="GE37" s="4">
        <v>1.0</v>
      </c>
    </row>
    <row r="38">
      <c r="A38" s="23">
        <v>39192.0</v>
      </c>
      <c r="B38" s="4" t="s">
        <v>230</v>
      </c>
      <c r="C38" s="4">
        <v>20.7537</v>
      </c>
      <c r="D38" s="4">
        <v>-156.460907</v>
      </c>
      <c r="E38" s="4" t="s">
        <v>197</v>
      </c>
      <c r="F38" s="24">
        <v>0.0</v>
      </c>
      <c r="G38" s="24">
        <v>0.041666666666666664</v>
      </c>
      <c r="H38" s="4">
        <v>4.0</v>
      </c>
      <c r="I38" s="4">
        <v>9.0</v>
      </c>
      <c r="J38" s="4" t="s">
        <v>198</v>
      </c>
      <c r="K38" s="4">
        <v>10.0</v>
      </c>
      <c r="L38" s="4">
        <v>36.0</v>
      </c>
      <c r="M38" s="4" t="s">
        <v>253</v>
      </c>
      <c r="Q38" s="4">
        <v>1.0</v>
      </c>
      <c r="Y38" s="4">
        <v>1.0</v>
      </c>
      <c r="AC38" s="4">
        <v>1.0</v>
      </c>
      <c r="AL38" s="4">
        <v>1.0</v>
      </c>
      <c r="AM38" s="4">
        <v>1.0</v>
      </c>
      <c r="AN38" s="4"/>
      <c r="AO38" s="4">
        <v>1.0</v>
      </c>
      <c r="BG38" s="4">
        <v>1.0</v>
      </c>
      <c r="BJ38" s="4">
        <v>1.0</v>
      </c>
      <c r="BL38" s="4">
        <v>1.0</v>
      </c>
      <c r="BW38" s="4">
        <v>1.0</v>
      </c>
      <c r="BX38" s="4">
        <v>1.0</v>
      </c>
      <c r="CB38" s="4">
        <v>1.0</v>
      </c>
      <c r="DE38" s="4">
        <v>1.0</v>
      </c>
      <c r="DG38" s="4">
        <v>1.0</v>
      </c>
      <c r="DL38" s="4">
        <v>1.0</v>
      </c>
      <c r="DR38" s="4">
        <v>1.0</v>
      </c>
      <c r="DV38" s="4">
        <v>1.0</v>
      </c>
      <c r="EI38" s="4">
        <v>1.0</v>
      </c>
      <c r="FA38" s="4">
        <v>1.0</v>
      </c>
      <c r="FG38" s="4">
        <v>1.0</v>
      </c>
      <c r="FR38" s="4">
        <v>1.0</v>
      </c>
      <c r="FS38" s="4">
        <v>1.0</v>
      </c>
    </row>
    <row r="39">
      <c r="A39" s="23">
        <v>39192.0</v>
      </c>
      <c r="B39" s="4" t="s">
        <v>246</v>
      </c>
      <c r="C39" s="4">
        <v>21.2882</v>
      </c>
      <c r="D39" s="4">
        <v>-157.667999</v>
      </c>
      <c r="E39" s="4" t="s">
        <v>197</v>
      </c>
      <c r="F39" s="24">
        <v>0.0</v>
      </c>
      <c r="G39" s="24">
        <v>0.041666666666666664</v>
      </c>
      <c r="H39" s="4">
        <v>3.0</v>
      </c>
      <c r="I39" s="4">
        <v>20.0</v>
      </c>
      <c r="J39" s="4" t="s">
        <v>245</v>
      </c>
      <c r="K39" s="4">
        <v>7.0</v>
      </c>
      <c r="L39" s="4">
        <v>15.0</v>
      </c>
      <c r="M39" s="4" t="s">
        <v>254</v>
      </c>
      <c r="Q39" s="4">
        <v>1.0</v>
      </c>
      <c r="AA39" s="4">
        <v>1.0</v>
      </c>
      <c r="AL39" s="4">
        <v>1.0</v>
      </c>
      <c r="BA39" s="4">
        <v>1.0</v>
      </c>
      <c r="BE39" s="4">
        <v>1.0</v>
      </c>
      <c r="BG39" s="4">
        <v>1.0</v>
      </c>
      <c r="BJ39" s="4">
        <v>1.0</v>
      </c>
      <c r="BL39" s="4">
        <v>1.0</v>
      </c>
      <c r="BX39" s="4">
        <v>1.0</v>
      </c>
      <c r="CI39" s="4">
        <v>1.0</v>
      </c>
      <c r="DL39" s="4">
        <v>1.0</v>
      </c>
      <c r="DR39" s="4">
        <v>1.0</v>
      </c>
      <c r="EI39" s="4">
        <v>1.0</v>
      </c>
      <c r="EU39" s="4">
        <v>1.0</v>
      </c>
      <c r="EV39" s="4">
        <v>1.0</v>
      </c>
      <c r="FL39" s="4">
        <v>1.0</v>
      </c>
      <c r="FR39" s="4">
        <v>1.0</v>
      </c>
    </row>
    <row r="40">
      <c r="A40" s="23">
        <v>39203.0</v>
      </c>
      <c r="B40" s="4" t="s">
        <v>230</v>
      </c>
      <c r="C40" s="4">
        <v>20.7537</v>
      </c>
      <c r="D40" s="4">
        <v>-156.460907</v>
      </c>
      <c r="E40" s="4" t="s">
        <v>197</v>
      </c>
      <c r="F40" s="24">
        <v>0.0</v>
      </c>
      <c r="G40" s="24">
        <v>0.041666666666666664</v>
      </c>
      <c r="H40" s="4">
        <v>5.0</v>
      </c>
      <c r="I40" s="4">
        <v>18.0</v>
      </c>
      <c r="J40" s="4" t="s">
        <v>217</v>
      </c>
      <c r="K40" s="4">
        <v>10.0</v>
      </c>
      <c r="L40" s="4">
        <v>43.0</v>
      </c>
      <c r="M40" s="4" t="s">
        <v>255</v>
      </c>
      <c r="Q40" s="4">
        <v>1.0</v>
      </c>
      <c r="AW40" s="4">
        <v>1.0</v>
      </c>
      <c r="BA40" s="4">
        <v>1.0</v>
      </c>
      <c r="BG40" s="4">
        <v>1.0</v>
      </c>
      <c r="BL40" s="4">
        <v>1.0</v>
      </c>
      <c r="BW40" s="4">
        <v>1.0</v>
      </c>
      <c r="BY40" s="4">
        <v>1.0</v>
      </c>
      <c r="CB40" s="4">
        <v>1.0</v>
      </c>
      <c r="CI40" s="4">
        <v>1.0</v>
      </c>
      <c r="CT40" s="4">
        <v>1.0</v>
      </c>
      <c r="DE40" s="4">
        <v>1.0</v>
      </c>
      <c r="DL40" s="4">
        <v>1.0</v>
      </c>
      <c r="DV40" s="4">
        <v>1.0</v>
      </c>
      <c r="EI40" s="4">
        <v>1.0</v>
      </c>
      <c r="FA40" s="4">
        <v>1.0</v>
      </c>
      <c r="FE40" s="4">
        <v>1.0</v>
      </c>
      <c r="FR40" s="4">
        <v>1.0</v>
      </c>
      <c r="FS40" s="4">
        <v>1.0</v>
      </c>
      <c r="FU40" s="4">
        <v>1.0</v>
      </c>
      <c r="GD40" s="4">
        <v>1.0</v>
      </c>
      <c r="GE40" s="4">
        <v>1.0</v>
      </c>
    </row>
    <row r="41">
      <c r="A41" s="23">
        <v>39203.0</v>
      </c>
      <c r="B41" s="4" t="s">
        <v>216</v>
      </c>
      <c r="C41" s="4">
        <v>21.3002</v>
      </c>
      <c r="D41" s="4">
        <v>-157.882599</v>
      </c>
      <c r="E41" s="4" t="s">
        <v>197</v>
      </c>
      <c r="F41" s="24">
        <v>0.0</v>
      </c>
      <c r="G41" s="24">
        <v>0.041666666666666664</v>
      </c>
      <c r="H41" s="4">
        <v>4.0</v>
      </c>
      <c r="I41" s="4">
        <v>30.0</v>
      </c>
      <c r="J41" s="4" t="s">
        <v>227</v>
      </c>
      <c r="K41" s="4">
        <v>10.0</v>
      </c>
      <c r="L41" s="4">
        <v>36.0</v>
      </c>
      <c r="M41" s="4" t="s">
        <v>256</v>
      </c>
      <c r="Q41" s="4">
        <v>1.0</v>
      </c>
      <c r="AB41" s="4">
        <v>1.0</v>
      </c>
      <c r="AL41" s="4">
        <v>1.0</v>
      </c>
      <c r="BA41" s="4">
        <v>1.0</v>
      </c>
      <c r="BB41" s="4">
        <v>1.0</v>
      </c>
      <c r="BG41" s="4">
        <v>1.0</v>
      </c>
      <c r="BL41" s="4">
        <v>1.0</v>
      </c>
      <c r="CB41" s="4">
        <v>1.0</v>
      </c>
      <c r="CC41" s="4">
        <v>1.0</v>
      </c>
      <c r="CV41" s="4">
        <v>1.0</v>
      </c>
      <c r="DR41" s="4">
        <v>1.0</v>
      </c>
      <c r="DY41" s="4">
        <v>1.0</v>
      </c>
      <c r="EI41" s="4">
        <v>1.0</v>
      </c>
      <c r="FL41" s="4">
        <v>1.0</v>
      </c>
      <c r="FR41" s="4">
        <v>1.0</v>
      </c>
      <c r="GE41" s="4">
        <v>1.0</v>
      </c>
    </row>
    <row r="42">
      <c r="A42" s="23">
        <v>39204.0</v>
      </c>
      <c r="B42" s="4" t="s">
        <v>219</v>
      </c>
      <c r="C42" s="4">
        <v>21.295799</v>
      </c>
      <c r="D42" s="4">
        <v>-158.103699</v>
      </c>
      <c r="E42" s="4" t="s">
        <v>197</v>
      </c>
      <c r="F42" s="24">
        <v>0.0</v>
      </c>
      <c r="G42" s="24">
        <v>0.041666666666666664</v>
      </c>
      <c r="H42" s="4">
        <v>5.0</v>
      </c>
      <c r="I42" s="4">
        <v>30.0</v>
      </c>
      <c r="J42" s="4" t="s">
        <v>237</v>
      </c>
      <c r="K42" s="4">
        <v>7.0</v>
      </c>
      <c r="L42" s="4">
        <v>22.0</v>
      </c>
      <c r="M42" s="4" t="s">
        <v>257</v>
      </c>
      <c r="Q42" s="4">
        <v>1.0</v>
      </c>
      <c r="AE42" s="4">
        <v>1.0</v>
      </c>
      <c r="AL42" s="4">
        <v>1.0</v>
      </c>
      <c r="BA42" s="4">
        <v>1.0</v>
      </c>
      <c r="BC42" s="4">
        <v>1.0</v>
      </c>
      <c r="BL42" s="4">
        <v>1.0</v>
      </c>
      <c r="BV42" s="4">
        <v>1.0</v>
      </c>
      <c r="BW42" s="4">
        <v>1.0</v>
      </c>
      <c r="CN42" s="4">
        <v>1.0</v>
      </c>
      <c r="CR42" s="4">
        <v>1.0</v>
      </c>
      <c r="DL42" s="4">
        <v>1.0</v>
      </c>
      <c r="DR42" s="4">
        <v>1.0</v>
      </c>
      <c r="DY42" s="4">
        <v>1.0</v>
      </c>
      <c r="EB42" s="4">
        <v>1.0</v>
      </c>
      <c r="EC42" s="4">
        <v>1.0</v>
      </c>
      <c r="EI42" s="4">
        <v>1.0</v>
      </c>
      <c r="FA42" s="4">
        <v>1.0</v>
      </c>
      <c r="FB42" s="4">
        <v>1.0</v>
      </c>
      <c r="FD42" s="4">
        <v>1.0</v>
      </c>
      <c r="FG42" s="4">
        <v>1.0</v>
      </c>
      <c r="FR42" s="4">
        <v>1.0</v>
      </c>
      <c r="GE42" s="4">
        <v>1.0</v>
      </c>
    </row>
    <row r="43">
      <c r="A43" s="23">
        <v>39206.0</v>
      </c>
      <c r="B43" s="4" t="s">
        <v>216</v>
      </c>
      <c r="C43" s="4">
        <v>21.3002</v>
      </c>
      <c r="D43" s="4">
        <v>-157.882599</v>
      </c>
      <c r="E43" s="4" t="s">
        <v>197</v>
      </c>
      <c r="F43" s="24">
        <v>0.0</v>
      </c>
      <c r="G43" s="24">
        <v>0.041666666666666664</v>
      </c>
      <c r="H43" s="4">
        <v>4.0</v>
      </c>
      <c r="I43" s="4">
        <v>30.0</v>
      </c>
      <c r="J43" s="4" t="s">
        <v>237</v>
      </c>
      <c r="K43" s="4">
        <v>7.0</v>
      </c>
      <c r="L43" s="4">
        <v>20.0</v>
      </c>
      <c r="M43" s="4" t="s">
        <v>258</v>
      </c>
      <c r="Q43" s="4">
        <v>1.0</v>
      </c>
      <c r="AD43" s="4">
        <v>1.0</v>
      </c>
      <c r="AL43" s="4">
        <v>1.0</v>
      </c>
      <c r="AM43" s="4">
        <v>1.0</v>
      </c>
      <c r="BC43" s="4">
        <v>1.0</v>
      </c>
      <c r="BG43" s="4">
        <v>1.0</v>
      </c>
      <c r="BL43" s="4">
        <v>1.0</v>
      </c>
      <c r="BV43" s="4">
        <v>1.0</v>
      </c>
      <c r="CV43" s="4">
        <v>1.0</v>
      </c>
      <c r="DP43" s="4">
        <v>1.0</v>
      </c>
      <c r="DR43" s="4">
        <v>1.0</v>
      </c>
      <c r="EI43" s="4">
        <v>1.0</v>
      </c>
      <c r="FE43" s="4">
        <v>1.0</v>
      </c>
      <c r="FI43" s="4">
        <v>1.0</v>
      </c>
      <c r="FL43" s="4">
        <v>1.0</v>
      </c>
      <c r="FR43" s="4">
        <v>1.0</v>
      </c>
    </row>
    <row r="44">
      <c r="A44" s="23">
        <v>39217.0</v>
      </c>
      <c r="B44" s="4" t="s">
        <v>259</v>
      </c>
      <c r="C44" s="4">
        <v>19.737894</v>
      </c>
      <c r="D44" s="4">
        <v>-155.034058</v>
      </c>
      <c r="E44" s="4" t="s">
        <v>197</v>
      </c>
      <c r="F44" s="24">
        <v>0.0</v>
      </c>
      <c r="G44" s="24">
        <v>0.041666666666666664</v>
      </c>
      <c r="H44" s="4">
        <v>6.0</v>
      </c>
      <c r="I44" s="4">
        <v>18.0</v>
      </c>
      <c r="J44" s="4" t="s">
        <v>227</v>
      </c>
      <c r="K44" s="4">
        <v>7.0</v>
      </c>
      <c r="L44" s="4">
        <v>22.0</v>
      </c>
      <c r="M44" s="4" t="s">
        <v>260</v>
      </c>
      <c r="AJ44" s="4">
        <v>1.0</v>
      </c>
      <c r="BT44" s="4">
        <v>1.0</v>
      </c>
      <c r="BW44" s="4">
        <v>1.0</v>
      </c>
      <c r="CB44" s="4">
        <v>1.0</v>
      </c>
      <c r="CN44" s="4">
        <v>1.0</v>
      </c>
      <c r="DG44" s="4">
        <v>1.0</v>
      </c>
      <c r="EC44" s="4">
        <v>1.0</v>
      </c>
      <c r="EI44" s="4">
        <v>1.0</v>
      </c>
      <c r="FR44" s="4">
        <v>1.0</v>
      </c>
      <c r="GD44" s="4">
        <v>1.0</v>
      </c>
      <c r="GE44" s="4">
        <v>1.0</v>
      </c>
    </row>
    <row r="45">
      <c r="A45" s="23">
        <v>39218.0</v>
      </c>
      <c r="B45" s="4" t="s">
        <v>216</v>
      </c>
      <c r="C45" s="4">
        <v>21.3002</v>
      </c>
      <c r="D45" s="4">
        <v>-157.882599</v>
      </c>
      <c r="E45" s="4" t="s">
        <v>197</v>
      </c>
      <c r="F45" s="24">
        <v>0.0</v>
      </c>
      <c r="G45" s="24">
        <v>0.041666666666666664</v>
      </c>
      <c r="H45" s="4">
        <v>5.0</v>
      </c>
      <c r="I45" s="4">
        <v>30.0</v>
      </c>
      <c r="J45" s="4" t="s">
        <v>237</v>
      </c>
      <c r="K45" s="4">
        <v>7.0</v>
      </c>
      <c r="L45" s="4">
        <v>15.0</v>
      </c>
      <c r="M45" s="4" t="s">
        <v>261</v>
      </c>
      <c r="Q45" s="4">
        <v>1.0</v>
      </c>
      <c r="BC45" s="4">
        <v>1.0</v>
      </c>
      <c r="BJ45" s="4">
        <v>1.0</v>
      </c>
      <c r="BV45" s="4">
        <v>1.0</v>
      </c>
      <c r="DP45" s="4">
        <v>1.0</v>
      </c>
      <c r="DR45" s="4">
        <v>1.0</v>
      </c>
      <c r="EI45" s="4">
        <v>1.0</v>
      </c>
      <c r="FM45" s="4">
        <v>1.0</v>
      </c>
      <c r="FR45" s="4">
        <v>1.0</v>
      </c>
      <c r="GD45" s="4">
        <v>1.0</v>
      </c>
    </row>
    <row r="46">
      <c r="A46" s="23">
        <v>39219.0</v>
      </c>
      <c r="B46" s="4" t="s">
        <v>247</v>
      </c>
      <c r="C46" s="4">
        <v>19.488199</v>
      </c>
      <c r="D46" s="4">
        <v>-154.819305</v>
      </c>
      <c r="E46" s="4" t="s">
        <v>197</v>
      </c>
      <c r="F46" s="24">
        <v>0.0</v>
      </c>
      <c r="G46" s="24">
        <v>0.041666666666666664</v>
      </c>
      <c r="H46" s="4">
        <v>5.0</v>
      </c>
      <c r="I46" s="4">
        <v>20.0</v>
      </c>
      <c r="J46" s="4" t="s">
        <v>217</v>
      </c>
      <c r="K46" s="4">
        <v>10.0</v>
      </c>
      <c r="L46" s="4">
        <v>49.0</v>
      </c>
      <c r="M46" s="4" t="s">
        <v>262</v>
      </c>
      <c r="AL46" s="4">
        <v>1.0</v>
      </c>
      <c r="BJ46" s="4">
        <v>1.0</v>
      </c>
      <c r="BL46" s="4">
        <v>1.0</v>
      </c>
      <c r="BW46" s="4">
        <v>1.0</v>
      </c>
      <c r="CB46" s="4">
        <v>1.0</v>
      </c>
      <c r="CC46" s="4">
        <v>1.0</v>
      </c>
      <c r="DK46" s="4">
        <v>1.0</v>
      </c>
      <c r="DL46" s="4">
        <v>1.0</v>
      </c>
      <c r="DN46" s="4">
        <v>1.0</v>
      </c>
      <c r="DP46" s="4">
        <v>1.0</v>
      </c>
      <c r="DR46" s="4">
        <v>1.0</v>
      </c>
      <c r="DW46" s="4">
        <v>1.0</v>
      </c>
      <c r="EG46" s="4">
        <v>1.0</v>
      </c>
      <c r="EI46" s="4">
        <v>1.0</v>
      </c>
      <c r="EO46" s="4">
        <v>1.0</v>
      </c>
      <c r="EQ46" s="4">
        <v>1.0</v>
      </c>
      <c r="FF46" s="4">
        <v>1.0</v>
      </c>
      <c r="FL46" s="4">
        <v>1.0</v>
      </c>
      <c r="FR46" s="4">
        <v>1.0</v>
      </c>
      <c r="FU46" s="4">
        <v>1.0</v>
      </c>
      <c r="FW46" s="4"/>
      <c r="FX46" s="4">
        <v>1.0</v>
      </c>
      <c r="GD46" s="4">
        <v>1.0</v>
      </c>
      <c r="GE46" s="4">
        <v>1.0</v>
      </c>
    </row>
    <row r="47">
      <c r="A47" s="23">
        <v>39220.0</v>
      </c>
      <c r="B47" s="4" t="s">
        <v>219</v>
      </c>
      <c r="C47" s="4">
        <v>21.295799</v>
      </c>
      <c r="D47" s="4">
        <v>-158.103699</v>
      </c>
      <c r="E47" s="4" t="s">
        <v>197</v>
      </c>
      <c r="F47" s="24">
        <v>0.0</v>
      </c>
      <c r="G47" s="24">
        <v>0.041666666666666664</v>
      </c>
      <c r="H47" s="4">
        <v>5.0</v>
      </c>
      <c r="I47" s="4">
        <v>30.0</v>
      </c>
      <c r="J47" s="4" t="s">
        <v>237</v>
      </c>
      <c r="K47" s="4">
        <v>7.0</v>
      </c>
      <c r="L47" s="4">
        <v>28.0</v>
      </c>
      <c r="M47" s="4" t="s">
        <v>263</v>
      </c>
      <c r="Q47" s="4">
        <v>1.0</v>
      </c>
      <c r="AL47" s="4">
        <v>1.0</v>
      </c>
      <c r="BA47" s="4">
        <v>1.0</v>
      </c>
      <c r="BL47" s="4">
        <v>1.0</v>
      </c>
      <c r="BS47" s="4">
        <v>1.0</v>
      </c>
      <c r="BV47" s="4">
        <v>1.0</v>
      </c>
      <c r="BW47" s="4">
        <v>1.0</v>
      </c>
      <c r="CB47" s="4">
        <v>1.0</v>
      </c>
      <c r="DC47" s="4">
        <v>1.0</v>
      </c>
      <c r="DD47" s="4">
        <v>1.0</v>
      </c>
      <c r="DG47" s="4">
        <v>1.0</v>
      </c>
      <c r="DK47" s="4">
        <v>1.0</v>
      </c>
      <c r="DL47" s="4">
        <v>1.0</v>
      </c>
      <c r="DR47" s="4">
        <v>1.0</v>
      </c>
      <c r="DT47" s="4"/>
      <c r="DU47" s="4">
        <v>1.0</v>
      </c>
      <c r="EB47" s="4">
        <v>1.0</v>
      </c>
      <c r="EI47" s="4">
        <v>1.0</v>
      </c>
      <c r="EV47" s="4">
        <v>1.0</v>
      </c>
      <c r="FA47" s="4">
        <v>1.0</v>
      </c>
      <c r="FB47" s="4">
        <v>1.0</v>
      </c>
      <c r="FG47" s="4">
        <v>1.0</v>
      </c>
      <c r="FL47" s="4">
        <v>1.0</v>
      </c>
      <c r="FR47" s="4">
        <v>1.0</v>
      </c>
      <c r="GD47" s="4">
        <v>1.0</v>
      </c>
      <c r="GE47" s="4">
        <v>1.0</v>
      </c>
    </row>
    <row r="48">
      <c r="A48" s="23">
        <v>39501.0</v>
      </c>
      <c r="B48" s="4" t="s">
        <v>250</v>
      </c>
      <c r="C48" s="4">
        <v>21.4104</v>
      </c>
      <c r="D48" s="4">
        <v>-158.177704</v>
      </c>
      <c r="E48" s="4" t="s">
        <v>197</v>
      </c>
      <c r="F48" s="24">
        <v>0.0</v>
      </c>
      <c r="G48" s="24">
        <v>0.041666666666666664</v>
      </c>
      <c r="H48" s="4">
        <v>4.0</v>
      </c>
      <c r="I48" s="4">
        <v>21.0</v>
      </c>
      <c r="J48" s="4" t="s">
        <v>217</v>
      </c>
      <c r="K48" s="4">
        <v>11.0</v>
      </c>
      <c r="L48" s="4">
        <v>41.0</v>
      </c>
      <c r="M48" s="4" t="s">
        <v>264</v>
      </c>
      <c r="Q48" s="4">
        <v>1.0</v>
      </c>
      <c r="X48" s="4"/>
      <c r="Y48" s="4">
        <v>1.0</v>
      </c>
      <c r="AL48" s="4">
        <v>1.0</v>
      </c>
      <c r="AQ48" s="4">
        <v>1.0</v>
      </c>
      <c r="AW48" s="4">
        <v>1.0</v>
      </c>
      <c r="BG48" s="4">
        <v>1.0</v>
      </c>
      <c r="BL48" s="4">
        <v>1.0</v>
      </c>
      <c r="BP48" s="4">
        <v>1.0</v>
      </c>
      <c r="BU48" s="4">
        <v>1.0</v>
      </c>
      <c r="BY48" s="4">
        <v>1.0</v>
      </c>
      <c r="CB48" s="4">
        <v>1.0</v>
      </c>
      <c r="CC48" s="4">
        <v>1.0</v>
      </c>
      <c r="CI48" s="4">
        <v>1.0</v>
      </c>
      <c r="CJ48" s="4">
        <v>1.0</v>
      </c>
      <c r="DC48" s="4">
        <v>1.0</v>
      </c>
      <c r="DE48" s="4">
        <v>1.0</v>
      </c>
      <c r="DL48" s="4">
        <v>1.0</v>
      </c>
      <c r="DR48" s="4">
        <v>1.0</v>
      </c>
      <c r="EI48" s="4">
        <v>1.0</v>
      </c>
      <c r="EU48" s="4">
        <v>1.0</v>
      </c>
      <c r="FL48" s="4">
        <v>1.0</v>
      </c>
      <c r="FR48" s="4">
        <v>1.0</v>
      </c>
      <c r="FS48" s="4">
        <v>1.0</v>
      </c>
    </row>
    <row r="49">
      <c r="A49" s="23">
        <v>42420.0</v>
      </c>
      <c r="B49" s="4" t="s">
        <v>216</v>
      </c>
      <c r="C49" s="4">
        <v>21.3002</v>
      </c>
      <c r="D49" s="4">
        <v>-157.882599</v>
      </c>
      <c r="E49" s="4" t="s">
        <v>197</v>
      </c>
      <c r="F49" s="24">
        <v>0.3638888888888889</v>
      </c>
      <c r="G49" s="24">
        <v>0.4305555555555556</v>
      </c>
      <c r="H49" s="4">
        <v>7.0</v>
      </c>
      <c r="I49" s="4">
        <v>25.0</v>
      </c>
      <c r="J49" s="4" t="s">
        <v>198</v>
      </c>
      <c r="K49" s="4">
        <v>13.0</v>
      </c>
      <c r="L49" s="4">
        <v>75.0</v>
      </c>
      <c r="M49" s="4" t="s">
        <v>265</v>
      </c>
      <c r="Q49" s="4">
        <v>1.0</v>
      </c>
      <c r="R49" s="4">
        <v>1.0</v>
      </c>
      <c r="AA49" s="4">
        <v>1.0</v>
      </c>
      <c r="AB49" s="4">
        <v>1.0</v>
      </c>
      <c r="AD49" s="4">
        <v>1.0</v>
      </c>
      <c r="AF49" s="4">
        <v>1.0</v>
      </c>
      <c r="AG49" s="4">
        <v>1.0</v>
      </c>
      <c r="AH49" s="4">
        <v>1.0</v>
      </c>
      <c r="AL49" s="4">
        <v>1.0</v>
      </c>
      <c r="AW49" s="4">
        <v>1.0</v>
      </c>
      <c r="BD49" s="4">
        <v>1.0</v>
      </c>
      <c r="BJ49" s="4">
        <v>1.0</v>
      </c>
      <c r="BL49" s="4">
        <v>1.0</v>
      </c>
      <c r="BM49" s="4">
        <v>1.0</v>
      </c>
      <c r="BP49" s="4">
        <v>1.0</v>
      </c>
      <c r="BU49" s="4">
        <v>1.0</v>
      </c>
      <c r="BY49" s="4">
        <v>1.0</v>
      </c>
      <c r="CB49" s="4">
        <v>1.0</v>
      </c>
      <c r="CU49" s="4">
        <v>1.0</v>
      </c>
      <c r="CV49" s="4">
        <v>1.0</v>
      </c>
      <c r="CW49" s="4">
        <v>1.0</v>
      </c>
      <c r="DF49" s="4">
        <v>1.0</v>
      </c>
      <c r="DM49" s="4">
        <v>1.0</v>
      </c>
      <c r="DN49" s="4">
        <v>1.0</v>
      </c>
      <c r="DP49" s="4">
        <v>1.0</v>
      </c>
      <c r="EB49" s="4">
        <v>1.0</v>
      </c>
      <c r="EI49" s="4">
        <v>1.0</v>
      </c>
      <c r="FC49" s="4"/>
      <c r="FE49" s="4">
        <v>1.0</v>
      </c>
      <c r="FI49" s="4"/>
      <c r="FJ49" s="4"/>
      <c r="FK49" s="4">
        <v>1.0</v>
      </c>
      <c r="FP49" s="4">
        <v>1.0</v>
      </c>
      <c r="FR49" s="4">
        <v>1.0</v>
      </c>
      <c r="FT49" s="4">
        <v>1.0</v>
      </c>
    </row>
    <row r="50">
      <c r="A50" s="23">
        <v>42427.0</v>
      </c>
      <c r="B50" s="4" t="s">
        <v>266</v>
      </c>
      <c r="C50" s="4">
        <v>22.060684</v>
      </c>
      <c r="D50" s="4">
        <v>-159.318512</v>
      </c>
      <c r="E50" s="4" t="s">
        <v>197</v>
      </c>
      <c r="F50" s="24">
        <v>0.4826388888888889</v>
      </c>
      <c r="G50" s="24">
        <v>0.5416666666666666</v>
      </c>
      <c r="H50" s="4">
        <v>3.0</v>
      </c>
      <c r="I50" s="4">
        <v>16.0</v>
      </c>
      <c r="J50" s="4" t="s">
        <v>198</v>
      </c>
      <c r="K50" s="4">
        <v>15.0</v>
      </c>
      <c r="L50" s="4">
        <v>40.0</v>
      </c>
      <c r="M50" s="4" t="s">
        <v>267</v>
      </c>
      <c r="Q50" s="4">
        <v>1.0</v>
      </c>
      <c r="S50" s="4">
        <v>1.0</v>
      </c>
      <c r="V50" s="4"/>
      <c r="W50" s="4">
        <v>1.0</v>
      </c>
      <c r="AA50" s="4">
        <v>1.0</v>
      </c>
      <c r="AB50" s="4">
        <v>1.0</v>
      </c>
      <c r="AC50" s="4">
        <v>1.0</v>
      </c>
      <c r="AF50" s="4">
        <v>1.0</v>
      </c>
      <c r="AH50" s="4">
        <v>1.0</v>
      </c>
      <c r="AL50" s="4">
        <v>1.0</v>
      </c>
      <c r="AW50" s="4">
        <v>1.0</v>
      </c>
      <c r="BA50" s="4">
        <v>1.0</v>
      </c>
      <c r="BM50" s="4">
        <v>1.0</v>
      </c>
      <c r="BU50" s="4">
        <v>1.0</v>
      </c>
      <c r="DF50" s="4">
        <v>1.0</v>
      </c>
      <c r="DL50" s="4">
        <v>1.0</v>
      </c>
      <c r="DN50" s="4">
        <v>1.0</v>
      </c>
      <c r="DT50" s="4"/>
      <c r="DU50" s="4">
        <v>1.0</v>
      </c>
      <c r="EI50" s="4">
        <v>1.0</v>
      </c>
      <c r="EM50" s="4">
        <v>1.0</v>
      </c>
      <c r="FA50" s="4">
        <v>1.0</v>
      </c>
      <c r="FH50" s="4">
        <v>1.0</v>
      </c>
      <c r="FQ50" s="4">
        <v>1.0</v>
      </c>
      <c r="FR50" s="4">
        <v>1.0</v>
      </c>
      <c r="FW50" s="4"/>
      <c r="FX50" s="4">
        <v>1.0</v>
      </c>
    </row>
    <row r="51">
      <c r="A51" s="23">
        <v>42428.0</v>
      </c>
      <c r="B51" s="4" t="s">
        <v>266</v>
      </c>
      <c r="C51" s="4">
        <v>22.060684</v>
      </c>
      <c r="D51" s="4">
        <v>-159.318512</v>
      </c>
      <c r="E51" s="4" t="s">
        <v>197</v>
      </c>
      <c r="F51" s="24">
        <v>0.4895833333333333</v>
      </c>
      <c r="G51" s="24">
        <v>0.5625</v>
      </c>
      <c r="H51" s="4">
        <v>3.0</v>
      </c>
      <c r="I51" s="4">
        <v>21.0</v>
      </c>
      <c r="J51" s="4" t="s">
        <v>198</v>
      </c>
      <c r="K51" s="4">
        <v>15.0</v>
      </c>
      <c r="L51" s="4">
        <v>43.0</v>
      </c>
      <c r="M51" s="4" t="s">
        <v>268</v>
      </c>
      <c r="Q51" s="4">
        <v>1.0</v>
      </c>
      <c r="S51" s="4">
        <v>1.0</v>
      </c>
      <c r="AA51" s="4">
        <v>1.0</v>
      </c>
      <c r="AC51" s="4">
        <v>1.0</v>
      </c>
      <c r="AL51" s="4">
        <v>1.0</v>
      </c>
      <c r="AW51" s="4">
        <v>1.0</v>
      </c>
      <c r="AY51" s="4">
        <v>1.0</v>
      </c>
      <c r="BA51" s="4">
        <v>1.0</v>
      </c>
      <c r="BL51" s="4">
        <v>1.0</v>
      </c>
      <c r="BM51" s="4">
        <v>1.0</v>
      </c>
      <c r="BN51" s="4"/>
      <c r="BO51" s="4">
        <v>1.0</v>
      </c>
      <c r="BP51" s="4">
        <v>1.0</v>
      </c>
      <c r="BU51" s="4">
        <v>1.0</v>
      </c>
      <c r="BY51" s="4">
        <v>1.0</v>
      </c>
      <c r="CJ51" s="4">
        <v>1.0</v>
      </c>
      <c r="DF51" s="4">
        <v>1.0</v>
      </c>
      <c r="DL51" s="4">
        <v>1.0</v>
      </c>
      <c r="DT51" s="4"/>
      <c r="DU51" s="4">
        <v>1.0</v>
      </c>
      <c r="EI51" s="4">
        <v>1.0</v>
      </c>
      <c r="FA51" s="4">
        <v>1.0</v>
      </c>
      <c r="FB51" s="4">
        <v>1.0</v>
      </c>
      <c r="FQ51" s="4">
        <v>1.0</v>
      </c>
      <c r="FR51" s="4">
        <v>1.0</v>
      </c>
    </row>
    <row r="52">
      <c r="A52" s="31">
        <v>42428.0</v>
      </c>
      <c r="B52" s="32" t="s">
        <v>201</v>
      </c>
      <c r="C52" s="32">
        <v>21.25544</v>
      </c>
      <c r="D52" s="32">
        <v>-157.810303</v>
      </c>
      <c r="E52" s="32" t="s">
        <v>197</v>
      </c>
      <c r="F52" s="33"/>
      <c r="G52" s="33"/>
      <c r="H52" s="32"/>
      <c r="I52" s="32"/>
      <c r="J52" s="32"/>
      <c r="K52" s="32"/>
      <c r="L52" s="32"/>
      <c r="M52" s="32"/>
      <c r="N52" s="32"/>
      <c r="O52" s="32"/>
      <c r="P52" s="32"/>
      <c r="Q52" s="34"/>
      <c r="R52" s="32"/>
      <c r="S52" s="34"/>
      <c r="T52" s="34"/>
      <c r="U52" s="34"/>
      <c r="V52" s="34"/>
      <c r="W52" s="32"/>
      <c r="X52" s="34"/>
      <c r="Y52" s="34"/>
      <c r="Z52" s="34"/>
      <c r="AA52" s="34"/>
      <c r="AB52" s="34"/>
      <c r="AC52" s="32"/>
      <c r="AD52" s="34"/>
      <c r="AE52" s="34"/>
      <c r="AF52" s="34"/>
      <c r="AG52" s="34"/>
      <c r="AH52" s="34"/>
      <c r="AI52" s="34"/>
      <c r="AJ52" s="34"/>
      <c r="AK52" s="34"/>
      <c r="AL52" s="34"/>
      <c r="AM52" s="32"/>
      <c r="AN52" s="34"/>
      <c r="AO52" s="34"/>
      <c r="AP52" s="34"/>
      <c r="AQ52" s="34"/>
      <c r="AR52" s="34"/>
      <c r="AS52" s="34"/>
      <c r="AT52" s="34"/>
      <c r="AU52" s="34"/>
      <c r="AV52" s="34"/>
      <c r="AW52" s="34"/>
      <c r="AX52" s="34"/>
      <c r="AY52" s="34"/>
      <c r="AZ52" s="34"/>
      <c r="BA52" s="34"/>
      <c r="BB52" s="34"/>
      <c r="BC52" s="34"/>
      <c r="BD52" s="34"/>
      <c r="BE52" s="32"/>
      <c r="BF52" s="34"/>
      <c r="BG52" s="34"/>
      <c r="BH52" s="34"/>
      <c r="BI52" s="34"/>
      <c r="BJ52" s="34"/>
      <c r="BK52" s="32"/>
      <c r="BL52" s="34"/>
      <c r="BM52" s="32"/>
      <c r="BN52" s="34"/>
      <c r="BO52" s="34"/>
      <c r="BP52" s="34"/>
      <c r="BQ52" s="34"/>
      <c r="BR52" s="34"/>
      <c r="BS52" s="34"/>
      <c r="BT52" s="34"/>
      <c r="BU52" s="34"/>
      <c r="BV52" s="32"/>
      <c r="BW52" s="34"/>
      <c r="BX52" s="34"/>
      <c r="BY52" s="34"/>
      <c r="BZ52" s="32"/>
      <c r="CA52" s="34"/>
      <c r="CB52" s="34"/>
      <c r="CC52" s="34"/>
      <c r="CD52" s="34"/>
      <c r="CE52" s="34"/>
      <c r="CF52" s="34"/>
      <c r="CG52" s="34"/>
      <c r="CH52" s="34"/>
      <c r="CI52" s="34"/>
      <c r="CJ52" s="34"/>
      <c r="CK52" s="34"/>
      <c r="CL52" s="34"/>
      <c r="CM52" s="34"/>
      <c r="CN52" s="34"/>
      <c r="CO52" s="32"/>
      <c r="CP52" s="34"/>
      <c r="CQ52" s="34"/>
      <c r="CR52" s="34"/>
      <c r="CS52" s="34"/>
      <c r="CT52" s="34"/>
      <c r="CU52" s="34"/>
      <c r="CV52" s="34"/>
      <c r="CW52" s="34"/>
      <c r="CX52" s="34"/>
      <c r="CY52" s="34"/>
      <c r="CZ52" s="34"/>
      <c r="DA52" s="34"/>
      <c r="DB52" s="34"/>
      <c r="DC52" s="34"/>
      <c r="DD52" s="34"/>
      <c r="DE52" s="34"/>
      <c r="DF52" s="34"/>
      <c r="DG52" s="32"/>
      <c r="DH52" s="34"/>
      <c r="DI52" s="34"/>
      <c r="DJ52" s="34"/>
      <c r="DK52" s="34"/>
      <c r="DL52" s="34"/>
      <c r="DM52" s="32"/>
      <c r="DN52" s="34"/>
      <c r="DO52" s="34"/>
      <c r="DP52" s="34"/>
      <c r="DQ52" s="34"/>
      <c r="DR52" s="34"/>
      <c r="DS52" s="34"/>
      <c r="DT52" s="34"/>
      <c r="DU52" s="34"/>
      <c r="DV52" s="34"/>
      <c r="DW52" s="34"/>
      <c r="DX52" s="34"/>
      <c r="DY52" s="34"/>
      <c r="DZ52" s="32"/>
      <c r="EA52" s="34"/>
      <c r="EB52" s="34"/>
      <c r="EC52" s="34"/>
      <c r="ED52" s="34"/>
      <c r="EE52" s="34"/>
      <c r="EF52" s="34"/>
      <c r="EG52" s="34"/>
      <c r="EH52" s="34"/>
      <c r="EI52" s="34"/>
      <c r="EJ52" s="32"/>
      <c r="EK52" s="34"/>
      <c r="EL52" s="34"/>
      <c r="EM52" s="34"/>
      <c r="EN52" s="34"/>
      <c r="EO52" s="34"/>
      <c r="EP52" s="34"/>
      <c r="EQ52" s="34"/>
      <c r="ER52" s="34"/>
      <c r="ES52" s="34"/>
      <c r="ET52" s="34"/>
      <c r="EU52" s="34"/>
      <c r="EV52" s="34"/>
      <c r="EW52" s="34"/>
      <c r="EX52" s="34"/>
      <c r="EY52" s="34"/>
      <c r="EZ52" s="34"/>
      <c r="FA52" s="34"/>
      <c r="FB52" s="32"/>
      <c r="FC52" s="34"/>
      <c r="FD52" s="34"/>
      <c r="FE52" s="34"/>
      <c r="FF52" s="32"/>
      <c r="FG52" s="34"/>
      <c r="FH52" s="34"/>
      <c r="FI52" s="34"/>
      <c r="FJ52" s="34"/>
      <c r="FK52" s="34"/>
      <c r="FL52" s="34"/>
      <c r="FM52" s="34"/>
      <c r="FN52" s="34"/>
      <c r="FO52" s="34"/>
      <c r="FP52" s="34"/>
      <c r="FQ52" s="34"/>
      <c r="FR52" s="34"/>
      <c r="FS52" s="32"/>
      <c r="FT52" s="32"/>
      <c r="FU52" s="34"/>
      <c r="FV52" s="34"/>
      <c r="FW52" s="34"/>
      <c r="FX52" s="34"/>
      <c r="FY52" s="34"/>
      <c r="FZ52" s="34"/>
      <c r="GA52" s="34"/>
      <c r="GB52" s="34"/>
      <c r="GC52" s="34"/>
      <c r="GD52" s="34"/>
      <c r="GE52" s="34"/>
      <c r="GF52" s="34"/>
      <c r="GG52" s="34"/>
      <c r="GH52" s="34"/>
      <c r="GI52" s="34"/>
      <c r="GJ52" s="34"/>
      <c r="GK52" s="34"/>
      <c r="GL52" s="34"/>
    </row>
    <row r="53">
      <c r="A53" s="31">
        <v>42435.0</v>
      </c>
      <c r="B53" s="32" t="s">
        <v>216</v>
      </c>
      <c r="C53" s="32">
        <v>21.3002</v>
      </c>
      <c r="D53" s="32">
        <v>-157.882599</v>
      </c>
      <c r="E53" s="32" t="s">
        <v>197</v>
      </c>
      <c r="F53" s="33"/>
      <c r="G53" s="33"/>
      <c r="H53" s="32"/>
      <c r="I53" s="32"/>
      <c r="J53" s="32"/>
      <c r="K53" s="32"/>
      <c r="L53" s="32"/>
      <c r="M53" s="32"/>
      <c r="N53" s="32"/>
      <c r="O53" s="32"/>
      <c r="P53" s="32"/>
      <c r="Q53" s="34"/>
      <c r="R53" s="32"/>
      <c r="S53" s="34"/>
      <c r="T53" s="34"/>
      <c r="U53" s="34"/>
      <c r="V53" s="34"/>
      <c r="W53" s="32"/>
      <c r="X53" s="34"/>
      <c r="Y53" s="34"/>
      <c r="Z53" s="34"/>
      <c r="AA53" s="34"/>
      <c r="AB53" s="34"/>
      <c r="AC53" s="32"/>
      <c r="AD53" s="34"/>
      <c r="AE53" s="34"/>
      <c r="AF53" s="34"/>
      <c r="AG53" s="34"/>
      <c r="AH53" s="34"/>
      <c r="AI53" s="34"/>
      <c r="AJ53" s="34"/>
      <c r="AK53" s="34"/>
      <c r="AL53" s="34"/>
      <c r="AM53" s="32"/>
      <c r="AN53" s="34"/>
      <c r="AO53" s="34"/>
      <c r="AP53" s="34"/>
      <c r="AQ53" s="34"/>
      <c r="AR53" s="34"/>
      <c r="AS53" s="34"/>
      <c r="AT53" s="34"/>
      <c r="AU53" s="34"/>
      <c r="AV53" s="34"/>
      <c r="AW53" s="34"/>
      <c r="AX53" s="34"/>
      <c r="AY53" s="34"/>
      <c r="AZ53" s="34"/>
      <c r="BA53" s="34"/>
      <c r="BB53" s="34"/>
      <c r="BC53" s="34"/>
      <c r="BD53" s="34"/>
      <c r="BE53" s="32"/>
      <c r="BF53" s="34"/>
      <c r="BG53" s="34"/>
      <c r="BH53" s="34"/>
      <c r="BI53" s="34"/>
      <c r="BJ53" s="34"/>
      <c r="BK53" s="32"/>
      <c r="BL53" s="34"/>
      <c r="BM53" s="32"/>
      <c r="BN53" s="34"/>
      <c r="BO53" s="34"/>
      <c r="BP53" s="34"/>
      <c r="BQ53" s="34"/>
      <c r="BR53" s="34"/>
      <c r="BS53" s="34"/>
      <c r="BT53" s="34"/>
      <c r="BU53" s="34"/>
      <c r="BV53" s="32"/>
      <c r="BW53" s="34"/>
      <c r="BX53" s="34"/>
      <c r="BY53" s="34"/>
      <c r="BZ53" s="32"/>
      <c r="CA53" s="34"/>
      <c r="CB53" s="34"/>
      <c r="CC53" s="34"/>
      <c r="CD53" s="34"/>
      <c r="CE53" s="34"/>
      <c r="CF53" s="34"/>
      <c r="CG53" s="34"/>
      <c r="CH53" s="34"/>
      <c r="CI53" s="34"/>
      <c r="CJ53" s="34"/>
      <c r="CK53" s="34"/>
      <c r="CL53" s="34"/>
      <c r="CM53" s="34"/>
      <c r="CN53" s="34"/>
      <c r="CO53" s="32"/>
      <c r="CP53" s="34"/>
      <c r="CQ53" s="34"/>
      <c r="CR53" s="34"/>
      <c r="CS53" s="34"/>
      <c r="CT53" s="34"/>
      <c r="CU53" s="34"/>
      <c r="CV53" s="34"/>
      <c r="CW53" s="34"/>
      <c r="CX53" s="34"/>
      <c r="CY53" s="34"/>
      <c r="CZ53" s="34"/>
      <c r="DA53" s="34"/>
      <c r="DB53" s="34"/>
      <c r="DC53" s="34"/>
      <c r="DD53" s="34"/>
      <c r="DE53" s="34"/>
      <c r="DF53" s="34"/>
      <c r="DG53" s="32"/>
      <c r="DH53" s="34"/>
      <c r="DI53" s="34"/>
      <c r="DJ53" s="34"/>
      <c r="DK53" s="34"/>
      <c r="DL53" s="34"/>
      <c r="DM53" s="32"/>
      <c r="DN53" s="34"/>
      <c r="DO53" s="34"/>
      <c r="DP53" s="34"/>
      <c r="DQ53" s="34"/>
      <c r="DR53" s="34"/>
      <c r="DS53" s="34"/>
      <c r="DT53" s="34"/>
      <c r="DU53" s="34"/>
      <c r="DV53" s="34"/>
      <c r="DW53" s="34"/>
      <c r="DX53" s="34"/>
      <c r="DY53" s="34"/>
      <c r="DZ53" s="32"/>
      <c r="EA53" s="34"/>
      <c r="EB53" s="34"/>
      <c r="EC53" s="34"/>
      <c r="ED53" s="34"/>
      <c r="EE53" s="34"/>
      <c r="EF53" s="34"/>
      <c r="EG53" s="34"/>
      <c r="EH53" s="34"/>
      <c r="EI53" s="34"/>
      <c r="EJ53" s="32"/>
      <c r="EK53" s="34"/>
      <c r="EL53" s="34"/>
      <c r="EM53" s="34"/>
      <c r="EN53" s="34"/>
      <c r="EO53" s="34"/>
      <c r="EP53" s="34"/>
      <c r="EQ53" s="34"/>
      <c r="ER53" s="34"/>
      <c r="ES53" s="34"/>
      <c r="ET53" s="34"/>
      <c r="EU53" s="34"/>
      <c r="EV53" s="34"/>
      <c r="EW53" s="34"/>
      <c r="EX53" s="34"/>
      <c r="EY53" s="34"/>
      <c r="EZ53" s="34"/>
      <c r="FA53" s="34"/>
      <c r="FB53" s="32"/>
      <c r="FC53" s="34"/>
      <c r="FD53" s="34"/>
      <c r="FE53" s="34"/>
      <c r="FF53" s="32"/>
      <c r="FG53" s="34"/>
      <c r="FH53" s="34"/>
      <c r="FI53" s="34"/>
      <c r="FJ53" s="34"/>
      <c r="FK53" s="34"/>
      <c r="FL53" s="34"/>
      <c r="FM53" s="34"/>
      <c r="FN53" s="34"/>
      <c r="FO53" s="34"/>
      <c r="FP53" s="34"/>
      <c r="FQ53" s="34"/>
      <c r="FR53" s="34"/>
      <c r="FS53" s="32"/>
      <c r="FT53" s="32"/>
      <c r="FU53" s="34"/>
      <c r="FV53" s="34"/>
      <c r="FW53" s="34"/>
      <c r="FX53" s="34"/>
      <c r="FY53" s="34"/>
      <c r="FZ53" s="34"/>
      <c r="GA53" s="34"/>
      <c r="GB53" s="34"/>
      <c r="GC53" s="34"/>
      <c r="GD53" s="34"/>
      <c r="GE53" s="34"/>
      <c r="GF53" s="34"/>
      <c r="GG53" s="34"/>
      <c r="GH53" s="34"/>
      <c r="GI53" s="34"/>
      <c r="GJ53" s="34"/>
      <c r="GK53" s="34"/>
      <c r="GL53" s="34"/>
    </row>
    <row r="54">
      <c r="A54" s="37">
        <v>42437.0</v>
      </c>
      <c r="B54" s="38" t="s">
        <v>219</v>
      </c>
      <c r="C54" s="38">
        <v>21.295799</v>
      </c>
      <c r="D54" s="38">
        <v>-158.103699</v>
      </c>
      <c r="E54" s="38" t="s">
        <v>269</v>
      </c>
      <c r="F54" s="39">
        <v>0.4201388888888889</v>
      </c>
      <c r="G54" s="39">
        <v>0.4722222222222222</v>
      </c>
      <c r="H54" s="38">
        <v>7.0</v>
      </c>
      <c r="I54" s="38">
        <v>20.0</v>
      </c>
      <c r="J54" s="38" t="s">
        <v>198</v>
      </c>
      <c r="K54" s="38">
        <v>8.0</v>
      </c>
      <c r="L54" s="38">
        <v>44.0</v>
      </c>
      <c r="M54" s="38" t="s">
        <v>270</v>
      </c>
      <c r="N54" s="38"/>
      <c r="O54" s="38"/>
      <c r="P54" s="40"/>
      <c r="Q54" s="38">
        <v>1.0</v>
      </c>
      <c r="R54" s="40"/>
      <c r="S54" s="40"/>
      <c r="T54" s="40"/>
      <c r="U54" s="40"/>
      <c r="V54" s="38">
        <v>1.0</v>
      </c>
      <c r="W54" s="40"/>
      <c r="X54" s="40"/>
      <c r="Y54" s="40"/>
      <c r="Z54" s="40"/>
      <c r="AA54" s="40"/>
      <c r="AB54" s="38">
        <v>1.0</v>
      </c>
      <c r="AC54" s="40"/>
      <c r="AD54" s="40"/>
      <c r="AE54" s="40"/>
      <c r="AF54" s="40"/>
      <c r="AG54" s="40"/>
      <c r="AH54" s="40"/>
      <c r="AI54" s="40"/>
      <c r="AJ54" s="40"/>
      <c r="AK54" s="40"/>
      <c r="AL54" s="38">
        <v>1.0</v>
      </c>
      <c r="AM54" s="40"/>
      <c r="AN54" s="40"/>
      <c r="AO54" s="40"/>
      <c r="AP54" s="40"/>
      <c r="AQ54" s="40"/>
      <c r="AR54" s="40"/>
      <c r="AS54" s="40"/>
      <c r="AT54" s="40"/>
      <c r="AU54" s="40"/>
      <c r="AV54" s="40"/>
      <c r="AW54" s="40"/>
      <c r="AX54" s="40"/>
      <c r="AY54" s="40"/>
      <c r="AZ54" s="40"/>
      <c r="BA54" s="40"/>
      <c r="BB54" s="40"/>
      <c r="BC54" s="40"/>
      <c r="BD54" s="38">
        <v>1.0</v>
      </c>
      <c r="BE54" s="40"/>
      <c r="BF54" s="40"/>
      <c r="BG54" s="40"/>
      <c r="BH54" s="40"/>
      <c r="BI54" s="40"/>
      <c r="BJ54" s="38">
        <v>1.0</v>
      </c>
      <c r="BK54" s="40"/>
      <c r="BL54" s="38">
        <v>1.0</v>
      </c>
      <c r="BM54" s="40"/>
      <c r="BN54" s="40"/>
      <c r="BO54" s="40"/>
      <c r="BP54" s="40"/>
      <c r="BQ54" s="40"/>
      <c r="BR54" s="40"/>
      <c r="BS54" s="40"/>
      <c r="BT54" s="40"/>
      <c r="BU54" s="38">
        <v>1.0</v>
      </c>
      <c r="BV54" s="40"/>
      <c r="BW54" s="40"/>
      <c r="BX54" s="40"/>
      <c r="BY54" s="38">
        <v>1.0</v>
      </c>
      <c r="BZ54" s="40"/>
      <c r="CA54" s="40"/>
      <c r="CB54" s="40"/>
      <c r="CC54" s="40"/>
      <c r="CD54" s="40"/>
      <c r="CE54" s="40"/>
      <c r="CF54" s="40"/>
      <c r="CG54" s="40"/>
      <c r="CH54" s="40"/>
      <c r="CI54" s="40"/>
      <c r="CJ54" s="40"/>
      <c r="CK54" s="40"/>
      <c r="CL54" s="40"/>
      <c r="CM54" s="40"/>
      <c r="CN54" s="38">
        <v>1.0</v>
      </c>
      <c r="CO54" s="40"/>
      <c r="CP54" s="40"/>
      <c r="CQ54" s="40"/>
      <c r="CR54" s="40"/>
      <c r="CS54" s="40"/>
      <c r="CT54" s="40"/>
      <c r="CU54" s="40"/>
      <c r="CV54" s="40"/>
      <c r="CW54" s="40"/>
      <c r="CX54" s="40"/>
      <c r="CY54" s="40"/>
      <c r="CZ54" s="40"/>
      <c r="DA54" s="40"/>
      <c r="DB54" s="40"/>
      <c r="DC54" s="40"/>
      <c r="DD54" s="40"/>
      <c r="DE54" s="40"/>
      <c r="DF54" s="38">
        <v>1.0</v>
      </c>
      <c r="DG54" s="40"/>
      <c r="DH54" s="40"/>
      <c r="DI54" s="40"/>
      <c r="DJ54" s="40"/>
      <c r="DK54" s="40"/>
      <c r="DL54" s="38">
        <v>1.0</v>
      </c>
      <c r="DM54" s="40"/>
      <c r="DN54" s="40"/>
      <c r="DO54" s="40"/>
      <c r="DP54" s="40"/>
      <c r="DQ54" s="40"/>
      <c r="DR54" s="40"/>
      <c r="DS54" s="40"/>
      <c r="DT54" s="40"/>
      <c r="DU54" s="40"/>
      <c r="DV54" s="40"/>
      <c r="DW54" s="40"/>
      <c r="DX54" s="40"/>
      <c r="DY54" s="38">
        <v>1.0</v>
      </c>
      <c r="DZ54" s="40"/>
      <c r="EA54" s="40"/>
      <c r="EB54" s="40"/>
      <c r="EC54" s="40"/>
      <c r="ED54" s="40"/>
      <c r="EE54" s="40"/>
      <c r="EF54" s="40"/>
      <c r="EG54" s="40"/>
      <c r="EH54" s="40"/>
      <c r="EI54" s="38">
        <v>1.0</v>
      </c>
      <c r="EJ54" s="40"/>
      <c r="EK54" s="40"/>
      <c r="EL54" s="40"/>
      <c r="EM54" s="40"/>
      <c r="EN54" s="40"/>
      <c r="EO54" s="40"/>
      <c r="EP54" s="40"/>
      <c r="EQ54" s="40"/>
      <c r="ER54" s="40"/>
      <c r="ES54" s="40"/>
      <c r="ET54" s="40"/>
      <c r="EU54" s="40"/>
      <c r="EV54" s="40"/>
      <c r="EW54" s="40"/>
      <c r="EX54" s="40"/>
      <c r="EY54" s="40"/>
      <c r="EZ54" s="40"/>
      <c r="FA54" s="38">
        <v>1.0</v>
      </c>
      <c r="FB54" s="40"/>
      <c r="FC54" s="40"/>
      <c r="FD54" s="40"/>
      <c r="FE54" s="38">
        <v>1.0</v>
      </c>
      <c r="FF54" s="40"/>
      <c r="FG54" s="40"/>
      <c r="FH54" s="40"/>
      <c r="FI54" s="40"/>
      <c r="FJ54" s="40"/>
      <c r="FK54" s="40"/>
      <c r="FL54" s="40"/>
      <c r="FM54" s="40"/>
      <c r="FN54" s="40"/>
      <c r="FO54" s="40"/>
      <c r="FP54" s="40"/>
      <c r="FQ54" s="38">
        <v>1.0</v>
      </c>
      <c r="FR54" s="38">
        <v>1.0</v>
      </c>
      <c r="FS54" s="38">
        <v>1.0</v>
      </c>
      <c r="FT54" s="40"/>
      <c r="FU54" s="40"/>
      <c r="FV54" s="40"/>
      <c r="FW54" s="40"/>
      <c r="FX54" s="40"/>
      <c r="FY54" s="40"/>
      <c r="FZ54" s="40"/>
      <c r="GA54" s="40"/>
      <c r="GB54" s="40"/>
      <c r="GC54" s="40"/>
      <c r="GD54" s="40"/>
      <c r="GE54" s="40"/>
      <c r="GF54" s="40"/>
      <c r="GG54" s="40"/>
    </row>
    <row r="55">
      <c r="A55" s="23">
        <v>42439.0</v>
      </c>
      <c r="B55" s="4" t="s">
        <v>216</v>
      </c>
      <c r="C55" s="4">
        <v>21.3002</v>
      </c>
      <c r="D55" s="4">
        <v>-157.882599</v>
      </c>
      <c r="E55" s="4" t="s">
        <v>272</v>
      </c>
      <c r="F55" s="24">
        <v>0.43194444444444446</v>
      </c>
      <c r="G55" s="24">
        <v>0.4798611111111111</v>
      </c>
      <c r="H55" s="4">
        <v>7.0</v>
      </c>
      <c r="I55" s="4">
        <v>21.0</v>
      </c>
      <c r="J55" s="4" t="s">
        <v>198</v>
      </c>
      <c r="K55" s="4">
        <v>6.0</v>
      </c>
      <c r="L55" s="4">
        <v>36.0</v>
      </c>
      <c r="M55" s="4" t="s">
        <v>273</v>
      </c>
      <c r="AI55" s="4"/>
      <c r="AJ55" s="4">
        <v>1.0</v>
      </c>
      <c r="AK55" s="4">
        <v>1.0</v>
      </c>
      <c r="AL55" s="4">
        <v>1.0</v>
      </c>
      <c r="BD55" s="4">
        <v>1.0</v>
      </c>
      <c r="BL55" s="4">
        <v>1.0</v>
      </c>
      <c r="BM55" s="4">
        <v>1.0</v>
      </c>
      <c r="BP55" s="4">
        <v>1.0</v>
      </c>
      <c r="BU55" s="4">
        <v>1.0</v>
      </c>
      <c r="CC55" s="4">
        <v>1.0</v>
      </c>
      <c r="CJ55" s="4">
        <v>1.0</v>
      </c>
      <c r="CP55" s="4">
        <v>1.0</v>
      </c>
      <c r="DF55" s="4">
        <v>1.0</v>
      </c>
      <c r="DH55" s="4">
        <v>1.0</v>
      </c>
      <c r="DP55" s="4">
        <v>1.0</v>
      </c>
      <c r="EI55" s="4">
        <v>1.0</v>
      </c>
      <c r="ET55" s="4">
        <v>1.0</v>
      </c>
      <c r="FA55" s="4">
        <v>1.0</v>
      </c>
      <c r="FC55" s="4"/>
      <c r="FE55" s="4">
        <v>1.0</v>
      </c>
      <c r="FI55" s="4"/>
      <c r="FJ55" s="4">
        <v>1.0</v>
      </c>
      <c r="FK55" s="4">
        <v>1.0</v>
      </c>
      <c r="FR55" s="4">
        <v>1.0</v>
      </c>
    </row>
    <row r="56">
      <c r="A56" s="23">
        <v>42439.0</v>
      </c>
      <c r="B56" s="4" t="s">
        <v>266</v>
      </c>
      <c r="C56" s="4">
        <v>22.060684</v>
      </c>
      <c r="D56" s="4">
        <v>-159.318512</v>
      </c>
      <c r="E56" s="4" t="s">
        <v>274</v>
      </c>
      <c r="F56" s="24">
        <v>0.375</v>
      </c>
      <c r="G56" s="24">
        <v>0.5416666666666666</v>
      </c>
      <c r="H56" s="4">
        <v>4.0</v>
      </c>
      <c r="I56" s="4">
        <v>11.0</v>
      </c>
      <c r="J56" s="4" t="s">
        <v>198</v>
      </c>
      <c r="K56" s="4">
        <v>10.0</v>
      </c>
      <c r="L56" s="4">
        <v>23.0</v>
      </c>
      <c r="M56" s="4" t="s">
        <v>275</v>
      </c>
      <c r="Q56" s="4">
        <v>1.0</v>
      </c>
      <c r="AB56" s="4">
        <v>1.0</v>
      </c>
      <c r="AK56" s="4">
        <v>1.0</v>
      </c>
      <c r="AL56" s="4">
        <v>1.0</v>
      </c>
      <c r="AM56" s="4">
        <v>1.0</v>
      </c>
      <c r="AT56" s="4">
        <v>1.0</v>
      </c>
      <c r="BD56" s="4">
        <v>1.0</v>
      </c>
      <c r="BG56" s="4">
        <v>1.0</v>
      </c>
      <c r="BJ56" s="4">
        <v>1.0</v>
      </c>
      <c r="BL56" s="4">
        <v>1.0</v>
      </c>
      <c r="BU56" s="4">
        <v>1.0</v>
      </c>
      <c r="CR56" s="4">
        <v>1.0</v>
      </c>
      <c r="DF56" s="4">
        <v>1.0</v>
      </c>
      <c r="DL56" s="4">
        <v>1.0</v>
      </c>
      <c r="DT56" s="4"/>
      <c r="DU56" s="4">
        <v>1.0</v>
      </c>
      <c r="EI56" s="4">
        <v>1.0</v>
      </c>
      <c r="EW56" s="4">
        <v>1.0</v>
      </c>
      <c r="FA56" s="4">
        <v>1.0</v>
      </c>
      <c r="FN56" s="4"/>
      <c r="FO56" s="4">
        <v>1.0</v>
      </c>
      <c r="FQ56" s="4">
        <v>1.0</v>
      </c>
      <c r="FR56" s="4">
        <v>1.0</v>
      </c>
    </row>
    <row r="57">
      <c r="A57" s="23">
        <v>42440.0</v>
      </c>
      <c r="B57" s="4" t="s">
        <v>246</v>
      </c>
      <c r="C57" s="4">
        <v>21.2882</v>
      </c>
      <c r="D57" s="4">
        <v>-157.667999</v>
      </c>
      <c r="E57" s="4" t="s">
        <v>274</v>
      </c>
      <c r="F57" s="24">
        <v>0.4270833333333333</v>
      </c>
      <c r="G57" s="24">
        <v>0.4791666666666667</v>
      </c>
      <c r="H57" s="4">
        <v>5.0</v>
      </c>
      <c r="I57" s="4">
        <v>13.0</v>
      </c>
      <c r="J57" s="4" t="s">
        <v>198</v>
      </c>
      <c r="K57" s="4">
        <v>5.0</v>
      </c>
      <c r="L57" s="4">
        <v>18.0</v>
      </c>
      <c r="M57" s="4" t="s">
        <v>276</v>
      </c>
      <c r="AA57" s="4">
        <v>1.0</v>
      </c>
      <c r="BA57" s="4">
        <v>1.0</v>
      </c>
      <c r="BL57" s="4">
        <v>1.0</v>
      </c>
      <c r="BY57" s="4">
        <v>1.0</v>
      </c>
      <c r="DL57" s="4">
        <v>1.0</v>
      </c>
      <c r="EI57" s="4">
        <v>1.0</v>
      </c>
      <c r="FQ57" s="4">
        <v>1.0</v>
      </c>
      <c r="FR57" s="4">
        <v>1.0</v>
      </c>
      <c r="FU57" s="4"/>
      <c r="FV57" s="4">
        <v>1.0</v>
      </c>
    </row>
    <row r="58">
      <c r="A58" s="23">
        <v>42443.0</v>
      </c>
      <c r="B58" s="4" t="s">
        <v>230</v>
      </c>
      <c r="C58" s="4">
        <v>20.7537</v>
      </c>
      <c r="D58" s="4">
        <v>-156.460907</v>
      </c>
      <c r="E58" s="4" t="s">
        <v>197</v>
      </c>
      <c r="F58" s="24">
        <v>0.5520833333333334</v>
      </c>
      <c r="G58" s="24">
        <v>0.625</v>
      </c>
      <c r="H58" s="4">
        <v>3.0</v>
      </c>
      <c r="I58" s="4">
        <v>15.0</v>
      </c>
      <c r="J58" s="4" t="s">
        <v>277</v>
      </c>
      <c r="K58" s="4">
        <v>10.0</v>
      </c>
      <c r="L58" s="4">
        <v>30.0</v>
      </c>
      <c r="Q58" s="4">
        <v>1.0</v>
      </c>
      <c r="AL58" s="4">
        <v>1.0</v>
      </c>
      <c r="BL58" s="4">
        <v>1.0</v>
      </c>
      <c r="BM58" s="4">
        <v>1.0</v>
      </c>
      <c r="CN58" s="4">
        <v>1.0</v>
      </c>
      <c r="DL58" s="4">
        <v>1.0</v>
      </c>
      <c r="EW58" s="4">
        <v>1.0</v>
      </c>
      <c r="FN58" s="4"/>
      <c r="FO58" s="4">
        <v>1.0</v>
      </c>
      <c r="FP58" s="4">
        <v>1.0</v>
      </c>
      <c r="FR58" s="4">
        <v>1.0</v>
      </c>
      <c r="FS58" s="4">
        <v>1.0</v>
      </c>
    </row>
    <row r="59">
      <c r="A59" s="23">
        <v>42464.0</v>
      </c>
      <c r="B59" s="4" t="s">
        <v>244</v>
      </c>
      <c r="C59" s="4">
        <v>21.310612</v>
      </c>
      <c r="D59" s="4">
        <v>-158.00441</v>
      </c>
      <c r="E59" s="4" t="s">
        <v>278</v>
      </c>
      <c r="F59" s="24">
        <v>0.375</v>
      </c>
      <c r="G59" s="24">
        <v>0.4583333333333333</v>
      </c>
      <c r="H59" s="4">
        <v>5.0</v>
      </c>
      <c r="I59" s="4">
        <v>12.0</v>
      </c>
      <c r="J59" s="4" t="s">
        <v>198</v>
      </c>
      <c r="K59" s="4">
        <v>6.0</v>
      </c>
      <c r="L59" s="4">
        <v>26.0</v>
      </c>
      <c r="M59" s="4" t="s">
        <v>279</v>
      </c>
      <c r="Q59" s="4">
        <v>1.0</v>
      </c>
      <c r="S59" s="4">
        <v>1.0</v>
      </c>
      <c r="BL59" s="4">
        <v>1.0</v>
      </c>
      <c r="BU59" s="4">
        <v>1.0</v>
      </c>
      <c r="BY59" s="4">
        <v>1.0</v>
      </c>
      <c r="CF59" s="4"/>
      <c r="CG59" s="4">
        <v>1.0</v>
      </c>
      <c r="CR59" s="4">
        <v>1.0</v>
      </c>
      <c r="DF59" s="4">
        <v>1.0</v>
      </c>
      <c r="DL59" s="4">
        <v>1.0</v>
      </c>
      <c r="DT59" s="4"/>
      <c r="DU59" s="4">
        <v>1.0</v>
      </c>
      <c r="EI59" s="4">
        <v>1.0</v>
      </c>
      <c r="FA59" s="4">
        <v>1.0</v>
      </c>
      <c r="FR59" s="4">
        <v>1.0</v>
      </c>
    </row>
    <row r="60">
      <c r="A60" s="37">
        <v>42465.0</v>
      </c>
      <c r="B60" s="38" t="s">
        <v>280</v>
      </c>
      <c r="C60" s="38">
        <v>19.638599</v>
      </c>
      <c r="D60" s="38">
        <v>-156.002502</v>
      </c>
      <c r="E60" s="38" t="s">
        <v>274</v>
      </c>
      <c r="F60" s="39">
        <v>0.4305555555555556</v>
      </c>
      <c r="G60" s="39">
        <v>0.4791666666666667</v>
      </c>
      <c r="H60" s="38">
        <v>8.0</v>
      </c>
      <c r="I60" s="38">
        <v>26.0</v>
      </c>
      <c r="J60" s="38" t="s">
        <v>217</v>
      </c>
      <c r="K60" s="38">
        <v>12.0</v>
      </c>
      <c r="L60" s="38">
        <v>81.0</v>
      </c>
      <c r="M60" s="38" t="s">
        <v>281</v>
      </c>
      <c r="N60" s="38"/>
      <c r="O60" s="38"/>
      <c r="P60" s="40"/>
      <c r="Q60" s="38">
        <v>1.0</v>
      </c>
      <c r="R60" s="38">
        <v>1.0</v>
      </c>
      <c r="S60" s="40"/>
      <c r="T60" s="40"/>
      <c r="U60" s="40"/>
      <c r="V60" s="40"/>
      <c r="W60" s="40"/>
      <c r="X60" s="40"/>
      <c r="Y60" s="40"/>
      <c r="Z60" s="40"/>
      <c r="AA60" s="40"/>
      <c r="AB60" s="38">
        <v>1.0</v>
      </c>
      <c r="AC60" s="40"/>
      <c r="AD60" s="40"/>
      <c r="AE60" s="40"/>
      <c r="AF60" s="40"/>
      <c r="AG60" s="40"/>
      <c r="AH60" s="40"/>
      <c r="AI60" s="40"/>
      <c r="AJ60" s="40"/>
      <c r="AK60" s="38">
        <v>1.0</v>
      </c>
      <c r="AL60" s="40"/>
      <c r="AM60" s="40"/>
      <c r="AN60" s="40"/>
      <c r="AO60" s="40"/>
      <c r="AP60" s="40"/>
      <c r="AQ60" s="40"/>
      <c r="AR60" s="40"/>
      <c r="AS60" s="40"/>
      <c r="AT60" s="40"/>
      <c r="AU60" s="40"/>
      <c r="AV60" s="40"/>
      <c r="AW60" s="40"/>
      <c r="AX60" s="40"/>
      <c r="AY60" s="40"/>
      <c r="AZ60" s="40"/>
      <c r="BA60" s="40"/>
      <c r="BB60" s="40"/>
      <c r="BC60" s="40"/>
      <c r="BD60" s="38">
        <v>1.0</v>
      </c>
      <c r="BE60" s="40"/>
      <c r="BF60" s="40"/>
      <c r="BG60" s="40"/>
      <c r="BH60" s="40"/>
      <c r="BI60" s="40"/>
      <c r="BJ60" s="38">
        <v>1.0</v>
      </c>
      <c r="BK60" s="40"/>
      <c r="BL60" s="38">
        <v>1.0</v>
      </c>
      <c r="BM60" s="40"/>
      <c r="BN60" s="40"/>
      <c r="BO60" s="40"/>
      <c r="BP60" s="40"/>
      <c r="BQ60" s="40"/>
      <c r="BR60" s="40"/>
      <c r="BS60" s="40"/>
      <c r="BT60" s="40"/>
      <c r="BU60" s="40"/>
      <c r="BV60" s="40"/>
      <c r="BW60" s="40"/>
      <c r="BX60" s="40"/>
      <c r="BY60" s="40"/>
      <c r="BZ60" s="40"/>
      <c r="CA60" s="40"/>
      <c r="CB60" s="38">
        <v>1.0</v>
      </c>
      <c r="CC60" s="38">
        <v>1.0</v>
      </c>
      <c r="CD60" s="40"/>
      <c r="CE60" s="40"/>
      <c r="CF60" s="40"/>
      <c r="CG60" s="40"/>
      <c r="CH60" s="40"/>
      <c r="CI60" s="40"/>
      <c r="CJ60" s="40"/>
      <c r="CK60" s="40"/>
      <c r="CL60" s="40"/>
      <c r="CM60" s="40"/>
      <c r="CN60" s="40"/>
      <c r="CO60" s="40"/>
      <c r="CP60" s="40"/>
      <c r="CQ60" s="40"/>
      <c r="CR60" s="40"/>
      <c r="CS60" s="40"/>
      <c r="CT60" s="40"/>
      <c r="CU60" s="38">
        <v>1.0</v>
      </c>
      <c r="CV60" s="40"/>
      <c r="CW60" s="40"/>
      <c r="CX60" s="40"/>
      <c r="CY60" s="40"/>
      <c r="CZ60" s="40"/>
      <c r="DA60" s="40"/>
      <c r="DB60" s="40"/>
      <c r="DC60" s="40"/>
      <c r="DD60" s="40"/>
      <c r="DE60" s="40"/>
      <c r="DF60" s="40"/>
      <c r="DG60" s="38">
        <v>1.0</v>
      </c>
      <c r="DH60" s="40"/>
      <c r="DI60" s="40"/>
      <c r="DJ60" s="40"/>
      <c r="DK60" s="40"/>
      <c r="DL60" s="40"/>
      <c r="DM60" s="40"/>
      <c r="DN60" s="40"/>
      <c r="DO60" s="40"/>
      <c r="DP60" s="40"/>
      <c r="DQ60" s="40"/>
      <c r="DR60" s="40"/>
      <c r="DS60" s="40"/>
      <c r="DT60" s="40"/>
      <c r="DU60" s="40"/>
      <c r="DV60" s="40"/>
      <c r="DW60" s="40"/>
      <c r="DX60" s="40"/>
      <c r="DY60" s="40"/>
      <c r="DZ60" s="40"/>
      <c r="EA60" s="40"/>
      <c r="EB60" s="40"/>
      <c r="EC60" s="40"/>
      <c r="ED60" s="40"/>
      <c r="EE60" s="40"/>
      <c r="EF60" s="40"/>
      <c r="EG60" s="40"/>
      <c r="EH60" s="40"/>
      <c r="EI60" s="40"/>
      <c r="EJ60" s="40"/>
      <c r="EK60" s="40"/>
      <c r="EL60" s="40"/>
      <c r="EM60" s="40"/>
      <c r="EN60" s="40"/>
      <c r="EO60" s="40"/>
      <c r="EP60" s="40"/>
      <c r="EQ60" s="40"/>
      <c r="ER60" s="40"/>
      <c r="ES60" s="40"/>
      <c r="ET60" s="40"/>
      <c r="EU60" s="40"/>
      <c r="EV60" s="40"/>
      <c r="EW60" s="40"/>
      <c r="EX60" s="40"/>
      <c r="EY60" s="40"/>
      <c r="EZ60" s="40"/>
      <c r="FA60" s="40"/>
      <c r="FB60" s="40"/>
      <c r="FC60" s="40"/>
      <c r="FD60" s="40"/>
      <c r="FE60" s="38">
        <v>1.0</v>
      </c>
      <c r="FF60" s="40"/>
      <c r="FG60" s="40"/>
      <c r="FH60" s="40"/>
      <c r="FI60" s="40"/>
      <c r="FJ60" s="40"/>
      <c r="FK60" s="40"/>
      <c r="FL60" s="40"/>
      <c r="FM60" s="40"/>
      <c r="FN60" s="38"/>
      <c r="FO60" s="38">
        <v>1.0</v>
      </c>
      <c r="FP60" s="38">
        <v>1.0</v>
      </c>
      <c r="FQ60" s="38">
        <v>1.0</v>
      </c>
      <c r="FR60" s="38">
        <v>1.0</v>
      </c>
      <c r="FS60" s="38">
        <v>1.0</v>
      </c>
      <c r="FT60" s="40"/>
      <c r="FU60" s="40"/>
      <c r="FV60" s="40"/>
      <c r="FW60" s="40"/>
      <c r="FX60" s="40"/>
      <c r="FY60" s="40"/>
      <c r="FZ60" s="40"/>
      <c r="GA60" s="40"/>
      <c r="GB60" s="40"/>
      <c r="GC60" s="40"/>
      <c r="GD60" s="40"/>
      <c r="GE60" s="40"/>
      <c r="GF60" s="40"/>
    </row>
    <row r="61">
      <c r="A61" s="23">
        <v>42465.0</v>
      </c>
      <c r="B61" s="4" t="s">
        <v>244</v>
      </c>
      <c r="C61" s="4">
        <v>21.310612</v>
      </c>
      <c r="D61" s="4">
        <v>-158.00441</v>
      </c>
      <c r="E61" s="4" t="s">
        <v>274</v>
      </c>
      <c r="F61" s="24">
        <v>0.3541666666666667</v>
      </c>
      <c r="G61" s="24">
        <v>0.41875</v>
      </c>
      <c r="H61" s="4">
        <v>7.0</v>
      </c>
      <c r="I61" s="4">
        <v>20.0</v>
      </c>
      <c r="J61" s="4" t="s">
        <v>198</v>
      </c>
      <c r="K61" s="4">
        <v>10.0</v>
      </c>
      <c r="L61" s="4">
        <v>51.0</v>
      </c>
      <c r="M61" s="4" t="s">
        <v>283</v>
      </c>
      <c r="Q61" s="4">
        <v>1.0</v>
      </c>
      <c r="S61" s="4">
        <v>1.0</v>
      </c>
      <c r="V61" s="4">
        <v>1.0</v>
      </c>
      <c r="AH61" s="4">
        <v>1.0</v>
      </c>
      <c r="BD61" s="4">
        <v>1.0</v>
      </c>
      <c r="BL61" s="4">
        <v>1.0</v>
      </c>
      <c r="BU61" s="4">
        <v>1.0</v>
      </c>
      <c r="BY61" s="4">
        <v>1.0</v>
      </c>
      <c r="CB61" s="4">
        <v>1.0</v>
      </c>
      <c r="CF61" s="4"/>
      <c r="CG61" s="4">
        <v>1.0</v>
      </c>
      <c r="CN61" s="4">
        <v>1.0</v>
      </c>
      <c r="CR61" s="4">
        <v>1.0</v>
      </c>
      <c r="DF61" s="4">
        <v>1.0</v>
      </c>
      <c r="DL61" s="4">
        <v>1.0</v>
      </c>
      <c r="DN61" s="4">
        <v>1.0</v>
      </c>
      <c r="DR61" s="4">
        <v>1.0</v>
      </c>
      <c r="EB61" s="4">
        <v>1.0</v>
      </c>
      <c r="EI61" s="4">
        <v>1.0</v>
      </c>
      <c r="EJ61" s="4">
        <v>1.0</v>
      </c>
      <c r="FA61" s="4">
        <v>1.0</v>
      </c>
      <c r="FG61" s="4">
        <v>1.0</v>
      </c>
      <c r="FR61" s="4">
        <v>1.0</v>
      </c>
    </row>
    <row r="62">
      <c r="A62" s="23">
        <v>42465.0</v>
      </c>
      <c r="B62" s="4" t="s">
        <v>244</v>
      </c>
      <c r="C62" s="4">
        <v>21.310612</v>
      </c>
      <c r="D62" s="4">
        <v>-158.00441</v>
      </c>
      <c r="E62" s="4" t="s">
        <v>278</v>
      </c>
      <c r="F62" s="24">
        <v>0.375</v>
      </c>
      <c r="G62" s="24">
        <v>0.4583333333333333</v>
      </c>
      <c r="H62" s="4">
        <v>5.0</v>
      </c>
      <c r="I62" s="4">
        <v>12.0</v>
      </c>
      <c r="J62" s="4" t="s">
        <v>198</v>
      </c>
      <c r="K62" s="4">
        <v>6.0</v>
      </c>
      <c r="L62" s="4">
        <v>29.0</v>
      </c>
      <c r="M62" s="4" t="s">
        <v>284</v>
      </c>
      <c r="Q62" s="4">
        <v>1.0</v>
      </c>
      <c r="V62" s="4">
        <v>1.0</v>
      </c>
      <c r="AA62" s="4">
        <v>1.0</v>
      </c>
      <c r="AB62" s="4">
        <v>1.0</v>
      </c>
      <c r="AD62" s="4">
        <v>1.0</v>
      </c>
      <c r="AH62" s="4">
        <v>1.0</v>
      </c>
      <c r="BD62" s="4">
        <v>1.0</v>
      </c>
      <c r="BL62" s="4">
        <v>1.0</v>
      </c>
      <c r="BU62" s="4">
        <v>1.0</v>
      </c>
      <c r="BY62" s="4">
        <v>1.0</v>
      </c>
      <c r="CF62" s="4"/>
      <c r="CG62" s="4">
        <v>1.0</v>
      </c>
      <c r="CR62" s="4">
        <v>1.0</v>
      </c>
      <c r="DF62" s="4">
        <v>1.0</v>
      </c>
      <c r="DL62" s="4">
        <v>1.0</v>
      </c>
      <c r="EB62" s="4">
        <v>1.0</v>
      </c>
      <c r="EI62" s="4">
        <v>1.0</v>
      </c>
      <c r="EJ62" s="4">
        <v>1.0</v>
      </c>
      <c r="FA62" s="4">
        <v>1.0</v>
      </c>
      <c r="FR62" s="4">
        <v>1.0</v>
      </c>
      <c r="FY62" s="4">
        <v>1.0</v>
      </c>
    </row>
    <row r="63">
      <c r="A63" s="41">
        <v>42465.0</v>
      </c>
      <c r="B63" s="42" t="s">
        <v>312</v>
      </c>
      <c r="C63" s="42">
        <v>19.8517</v>
      </c>
      <c r="D63" s="42">
        <v>-155.9319</v>
      </c>
      <c r="E63" s="42" t="s">
        <v>313</v>
      </c>
      <c r="F63" s="43">
        <v>0.40625</v>
      </c>
      <c r="G63" s="43">
        <v>0.4930555555555556</v>
      </c>
      <c r="H63" s="42">
        <v>3.0</v>
      </c>
      <c r="I63" s="42">
        <v>11.0</v>
      </c>
      <c r="J63" s="42" t="s">
        <v>314</v>
      </c>
      <c r="K63" s="42">
        <v>10.0</v>
      </c>
      <c r="L63" s="42">
        <v>25.0</v>
      </c>
      <c r="M63" s="42" t="s">
        <v>315</v>
      </c>
      <c r="N63" s="44"/>
      <c r="O63" s="42"/>
      <c r="P63" s="44"/>
      <c r="Q63" s="42"/>
      <c r="R63" s="44"/>
      <c r="S63" s="44"/>
      <c r="T63" s="44"/>
      <c r="U63" s="44"/>
      <c r="V63" s="44"/>
      <c r="W63" s="44"/>
      <c r="X63" s="44"/>
      <c r="Y63" s="44"/>
      <c r="Z63" s="44"/>
      <c r="AA63" s="42"/>
      <c r="AB63" s="42"/>
      <c r="AC63" s="44"/>
      <c r="AD63" s="44"/>
      <c r="AE63" s="44"/>
      <c r="AF63" s="44"/>
      <c r="AG63" s="44"/>
      <c r="AH63" s="44"/>
      <c r="AI63" s="44"/>
      <c r="AJ63" s="44"/>
      <c r="AK63" s="44"/>
      <c r="AL63" s="42"/>
      <c r="AM63" s="44"/>
      <c r="AN63" s="44"/>
      <c r="AO63" s="44"/>
      <c r="AP63" s="44"/>
      <c r="AQ63" s="44"/>
      <c r="AR63" s="44"/>
      <c r="AS63" s="44"/>
      <c r="AT63" s="44"/>
      <c r="AU63" s="44"/>
      <c r="AV63" s="44"/>
      <c r="AW63" s="44"/>
      <c r="AX63" s="44"/>
      <c r="AY63" s="44"/>
      <c r="AZ63" s="44"/>
      <c r="BA63" s="42"/>
      <c r="BB63" s="44"/>
      <c r="BC63" s="42"/>
      <c r="BD63" s="42"/>
      <c r="BE63" s="44"/>
      <c r="BF63" s="44"/>
      <c r="BG63" s="44"/>
      <c r="BH63" s="44"/>
      <c r="BI63" s="44"/>
      <c r="BJ63" s="44"/>
      <c r="BK63" s="44"/>
      <c r="BL63" s="42">
        <v>1.0</v>
      </c>
      <c r="BM63" s="42"/>
      <c r="BN63" s="44"/>
      <c r="BO63" s="44"/>
      <c r="BP63" s="42"/>
      <c r="BQ63" s="44"/>
      <c r="BR63" s="44"/>
      <c r="BS63" s="44"/>
      <c r="BT63" s="44"/>
      <c r="BU63" s="42"/>
      <c r="BV63" s="42"/>
      <c r="BW63" s="44"/>
      <c r="BX63" s="44"/>
      <c r="BY63" s="42"/>
      <c r="BZ63" s="44"/>
      <c r="CA63" s="44"/>
      <c r="CB63" s="42">
        <v>1.0</v>
      </c>
      <c r="CC63" s="42">
        <v>1.0</v>
      </c>
      <c r="CD63" s="44"/>
      <c r="CE63" s="44"/>
      <c r="CF63" s="44"/>
      <c r="CG63" s="44"/>
      <c r="CH63" s="44"/>
      <c r="CI63" s="44"/>
      <c r="CJ63" s="44"/>
      <c r="CK63" s="44"/>
      <c r="CL63" s="44"/>
      <c r="CM63" s="42"/>
      <c r="CN63" s="44"/>
      <c r="CO63" s="44"/>
      <c r="CP63" s="44"/>
      <c r="CQ63" s="44"/>
      <c r="CR63" s="44"/>
      <c r="CS63" s="44"/>
      <c r="CT63" s="44"/>
      <c r="CU63" s="44"/>
      <c r="CV63" s="42">
        <v>1.0</v>
      </c>
      <c r="CW63" s="44"/>
      <c r="CX63" s="44"/>
      <c r="CY63" s="44"/>
      <c r="CZ63" s="44"/>
      <c r="DA63" s="44"/>
      <c r="DB63" s="44"/>
      <c r="DC63" s="44"/>
      <c r="DD63" s="44"/>
      <c r="DE63" s="44"/>
      <c r="DF63" s="44"/>
      <c r="DG63" s="44"/>
      <c r="DH63" s="44"/>
      <c r="DI63" s="44"/>
      <c r="DJ63" s="44"/>
      <c r="DK63" s="42"/>
      <c r="DL63" s="44"/>
      <c r="DM63" s="44"/>
      <c r="DN63" s="42"/>
      <c r="DO63" s="44"/>
      <c r="DP63" s="44"/>
      <c r="DQ63" s="44"/>
      <c r="DR63" s="42"/>
      <c r="DS63" s="44"/>
      <c r="DT63" s="42"/>
      <c r="DU63" s="42"/>
      <c r="DV63" s="44"/>
      <c r="DW63" s="44"/>
      <c r="DX63" s="44"/>
      <c r="DY63" s="42"/>
      <c r="DZ63" s="44"/>
      <c r="EA63" s="44"/>
      <c r="EB63" s="42"/>
      <c r="EC63" s="42">
        <v>1.0</v>
      </c>
      <c r="ED63" s="44"/>
      <c r="EE63" s="44"/>
      <c r="EF63" s="44"/>
      <c r="EG63" s="44"/>
      <c r="EH63" s="44"/>
      <c r="EI63" s="42"/>
      <c r="EJ63" s="44"/>
      <c r="EK63" s="44"/>
      <c r="EL63" s="44"/>
      <c r="EM63" s="44"/>
      <c r="EN63" s="44"/>
      <c r="EO63" s="44"/>
      <c r="EP63" s="44"/>
      <c r="EQ63" s="44"/>
      <c r="ER63" s="44"/>
      <c r="ES63" s="44"/>
      <c r="ET63" s="44"/>
      <c r="EU63" s="44"/>
      <c r="EV63" s="44"/>
      <c r="EW63" s="44"/>
      <c r="EX63" s="44"/>
      <c r="EY63" s="42"/>
      <c r="EZ63" s="44"/>
      <c r="FA63" s="42"/>
      <c r="FB63" s="42"/>
      <c r="FC63" s="44"/>
      <c r="FD63" s="44"/>
      <c r="FE63" s="42"/>
      <c r="FF63" s="44"/>
      <c r="FG63" s="44"/>
      <c r="FH63" s="42"/>
      <c r="FI63" s="44"/>
      <c r="FJ63" s="44"/>
      <c r="FK63" s="44"/>
      <c r="FL63" s="44"/>
      <c r="FM63" s="44"/>
      <c r="FN63" s="44"/>
      <c r="FO63" s="44"/>
      <c r="FP63" s="44"/>
      <c r="FQ63" s="42">
        <v>1.0</v>
      </c>
      <c r="FR63" s="42">
        <v>1.0</v>
      </c>
      <c r="FS63" s="42">
        <v>1.0</v>
      </c>
      <c r="FT63" s="44"/>
      <c r="FU63" s="44"/>
      <c r="FV63" s="44"/>
      <c r="FW63" s="42"/>
      <c r="FX63" s="42"/>
      <c r="FY63" s="44"/>
      <c r="FZ63" s="44"/>
      <c r="GA63" s="44"/>
      <c r="GB63" s="44"/>
      <c r="GC63" s="44"/>
      <c r="GD63" s="44"/>
      <c r="GE63" s="42"/>
      <c r="GF63" s="44"/>
    </row>
    <row r="64">
      <c r="A64" s="23">
        <v>42467.0</v>
      </c>
      <c r="B64" s="4" t="s">
        <v>201</v>
      </c>
      <c r="C64" s="4">
        <v>21.25544</v>
      </c>
      <c r="D64" s="4">
        <v>-157.810303</v>
      </c>
      <c r="E64" s="4" t="s">
        <v>274</v>
      </c>
      <c r="F64" s="24">
        <v>0.3819444444444444</v>
      </c>
      <c r="G64" s="24">
        <v>0.46875</v>
      </c>
      <c r="H64" s="4">
        <v>7.0</v>
      </c>
      <c r="I64" s="4">
        <v>10.0</v>
      </c>
      <c r="J64" s="4" t="s">
        <v>217</v>
      </c>
      <c r="K64" s="4">
        <v>6.0</v>
      </c>
      <c r="L64" s="4">
        <v>41.0</v>
      </c>
      <c r="M64" s="4" t="s">
        <v>285</v>
      </c>
      <c r="Q64" s="4">
        <v>1.0</v>
      </c>
      <c r="AA64" s="4">
        <v>1.0</v>
      </c>
      <c r="AB64" s="4">
        <v>1.0</v>
      </c>
      <c r="AL64" s="4">
        <v>1.0</v>
      </c>
      <c r="BA64" s="4">
        <v>1.0</v>
      </c>
      <c r="BC64" s="4">
        <v>1.0</v>
      </c>
      <c r="BD64" s="4">
        <v>1.0</v>
      </c>
      <c r="BL64" s="4">
        <v>1.0</v>
      </c>
      <c r="BM64" s="4">
        <v>1.0</v>
      </c>
      <c r="BP64" s="4">
        <v>1.0</v>
      </c>
      <c r="BU64" s="4">
        <v>1.0</v>
      </c>
      <c r="BV64" s="4">
        <v>1.0</v>
      </c>
      <c r="BY64" s="4">
        <v>1.0</v>
      </c>
      <c r="CM64" s="4">
        <v>1.0</v>
      </c>
      <c r="DK64" s="4">
        <v>1.0</v>
      </c>
      <c r="DN64" s="4">
        <v>1.0</v>
      </c>
      <c r="DR64" s="4">
        <v>1.0</v>
      </c>
      <c r="DT64" s="4"/>
      <c r="DU64" s="4">
        <v>1.0</v>
      </c>
      <c r="DY64" s="4">
        <v>1.0</v>
      </c>
      <c r="EB64" s="4">
        <v>1.0</v>
      </c>
      <c r="EI64" s="4">
        <v>1.0</v>
      </c>
      <c r="EY64" s="4">
        <v>1.0</v>
      </c>
      <c r="FA64" s="4">
        <v>1.0</v>
      </c>
      <c r="FB64" s="4">
        <v>1.0</v>
      </c>
      <c r="FC64" s="4"/>
      <c r="FE64" s="4">
        <v>1.0</v>
      </c>
      <c r="FH64" s="4">
        <v>1.0</v>
      </c>
      <c r="FQ64" s="4">
        <v>1.0</v>
      </c>
      <c r="FR64" s="4">
        <v>1.0</v>
      </c>
      <c r="FW64" s="4"/>
      <c r="FX64" s="4">
        <v>1.0</v>
      </c>
      <c r="GE64" s="4">
        <v>1.0</v>
      </c>
    </row>
    <row r="65">
      <c r="A65" s="23">
        <v>42467.0</v>
      </c>
      <c r="B65" s="4" t="s">
        <v>233</v>
      </c>
      <c r="C65" s="36">
        <v>21.066799</v>
      </c>
      <c r="D65" s="36">
        <v>-156.804993</v>
      </c>
      <c r="E65" s="4" t="s">
        <v>286</v>
      </c>
      <c r="F65" s="24">
        <v>0.375</v>
      </c>
      <c r="G65" s="24">
        <v>0.4388888888888889</v>
      </c>
      <c r="H65" s="4">
        <v>4.0</v>
      </c>
      <c r="I65" s="4">
        <v>17.0</v>
      </c>
      <c r="J65" s="4" t="s">
        <v>198</v>
      </c>
      <c r="K65" s="4">
        <v>16.0</v>
      </c>
      <c r="L65" s="4">
        <v>25.0</v>
      </c>
      <c r="M65" s="4" t="s">
        <v>287</v>
      </c>
      <c r="N65" s="4" t="s">
        <v>288</v>
      </c>
      <c r="Q65" s="4">
        <v>1.0</v>
      </c>
      <c r="T65" s="4">
        <v>1.0</v>
      </c>
      <c r="V65" s="4">
        <v>1.0</v>
      </c>
      <c r="BA65" s="4">
        <v>1.0</v>
      </c>
      <c r="BK65" s="4">
        <v>1.0</v>
      </c>
      <c r="BL65" s="4">
        <v>1.0</v>
      </c>
      <c r="BY65" s="4">
        <v>1.0</v>
      </c>
      <c r="CC65" s="4">
        <v>1.0</v>
      </c>
      <c r="CN65" s="4">
        <v>1.0</v>
      </c>
      <c r="DF65" s="4">
        <v>1.0</v>
      </c>
      <c r="EI65" s="4">
        <v>1.0</v>
      </c>
      <c r="FA65" s="4">
        <v>1.0</v>
      </c>
      <c r="FW65" s="4"/>
      <c r="FX65" s="4">
        <v>1.0</v>
      </c>
    </row>
    <row r="66">
      <c r="A66" s="23">
        <v>42468.0</v>
      </c>
      <c r="B66" s="4" t="s">
        <v>247</v>
      </c>
      <c r="C66" s="4">
        <v>19.488199</v>
      </c>
      <c r="D66" s="4">
        <v>-154.819305</v>
      </c>
      <c r="E66" s="4" t="s">
        <v>289</v>
      </c>
      <c r="F66" s="24">
        <v>0.3972222222222222</v>
      </c>
      <c r="G66" s="24">
        <v>0.4479166666666667</v>
      </c>
      <c r="H66" s="4">
        <v>5.0</v>
      </c>
      <c r="I66" s="4">
        <v>21.0</v>
      </c>
      <c r="J66" s="4" t="s">
        <v>198</v>
      </c>
      <c r="K66" s="4">
        <v>5.0</v>
      </c>
      <c r="L66" s="4">
        <v>23.0</v>
      </c>
      <c r="M66" s="4" t="s">
        <v>290</v>
      </c>
      <c r="AL66" s="4">
        <v>1.0</v>
      </c>
      <c r="BH66" s="4"/>
      <c r="BI66" s="4">
        <v>1.0</v>
      </c>
      <c r="BL66" s="4">
        <v>1.0</v>
      </c>
      <c r="BM66" s="4">
        <v>1.0</v>
      </c>
      <c r="BP66" s="4">
        <v>1.0</v>
      </c>
      <c r="CB66" s="4">
        <v>1.0</v>
      </c>
      <c r="DR66" s="4">
        <v>1.0</v>
      </c>
      <c r="FA66" s="4">
        <v>1.0</v>
      </c>
      <c r="FR66" s="4">
        <v>1.0</v>
      </c>
    </row>
    <row r="67">
      <c r="A67" s="23">
        <v>42468.0</v>
      </c>
      <c r="B67" s="4" t="s">
        <v>291</v>
      </c>
      <c r="C67" s="4">
        <v>19.734331</v>
      </c>
      <c r="D67" s="4">
        <v>-155.014832</v>
      </c>
      <c r="E67" s="4" t="s">
        <v>274</v>
      </c>
      <c r="F67" s="24">
        <v>0.3819444444444444</v>
      </c>
      <c r="G67" s="24">
        <v>0.4583333333333333</v>
      </c>
      <c r="H67" s="4">
        <v>6.0</v>
      </c>
      <c r="I67" s="4">
        <v>17.0</v>
      </c>
      <c r="J67" s="4" t="s">
        <v>198</v>
      </c>
      <c r="K67" s="4">
        <v>5.0</v>
      </c>
      <c r="L67" s="4">
        <v>19.0</v>
      </c>
      <c r="M67" s="4" t="s">
        <v>292</v>
      </c>
      <c r="Q67" s="4">
        <v>1.0</v>
      </c>
      <c r="AB67" s="4">
        <v>1.0</v>
      </c>
      <c r="AF67" s="4">
        <v>1.0</v>
      </c>
      <c r="AL67" s="4">
        <v>1.0</v>
      </c>
      <c r="AM67" s="4">
        <v>1.0</v>
      </c>
      <c r="BA67" s="4">
        <v>1.0</v>
      </c>
      <c r="BJ67" s="4">
        <v>1.0</v>
      </c>
      <c r="BL67" s="4">
        <v>1.0</v>
      </c>
      <c r="BM67" s="4">
        <v>1.0</v>
      </c>
      <c r="CB67" s="4">
        <v>1.0</v>
      </c>
      <c r="CN67" s="4">
        <v>1.0</v>
      </c>
      <c r="CP67" s="4">
        <v>1.0</v>
      </c>
      <c r="DG67" s="4">
        <v>1.0</v>
      </c>
      <c r="DV67" s="4">
        <v>1.0</v>
      </c>
      <c r="FA67" s="4">
        <v>1.0</v>
      </c>
      <c r="FG67" s="4">
        <v>1.0</v>
      </c>
      <c r="FP67" s="4">
        <v>1.0</v>
      </c>
      <c r="FQ67" s="4">
        <v>1.0</v>
      </c>
      <c r="FR67" s="4">
        <v>1.0</v>
      </c>
    </row>
    <row r="68">
      <c r="A68" s="31">
        <v>42468.0</v>
      </c>
      <c r="B68" s="32" t="s">
        <v>196</v>
      </c>
      <c r="C68" s="32">
        <v>21.559278</v>
      </c>
      <c r="D68" s="32">
        <v>-157.871902</v>
      </c>
      <c r="E68" s="32" t="s">
        <v>325</v>
      </c>
      <c r="F68" s="33">
        <v>0.3645833333333333</v>
      </c>
      <c r="G68" s="33">
        <v>0.40625</v>
      </c>
      <c r="H68" s="32">
        <v>5.0</v>
      </c>
      <c r="I68" s="32">
        <v>9.0</v>
      </c>
      <c r="J68" s="32" t="s">
        <v>314</v>
      </c>
      <c r="K68" s="32">
        <v>5.0</v>
      </c>
      <c r="L68" s="32"/>
      <c r="M68" s="32"/>
      <c r="N68" s="32"/>
      <c r="O68" s="32"/>
      <c r="P68" s="34"/>
      <c r="Q68" s="34"/>
      <c r="R68" s="34"/>
      <c r="S68" s="34"/>
      <c r="T68" s="34"/>
      <c r="U68" s="34"/>
      <c r="V68" s="34"/>
      <c r="W68" s="34"/>
      <c r="X68" s="34"/>
      <c r="Y68" s="34"/>
      <c r="Z68" s="34"/>
      <c r="AA68" s="32"/>
      <c r="AB68" s="34"/>
      <c r="AC68" s="34"/>
      <c r="AD68" s="34"/>
      <c r="AE68" s="34"/>
      <c r="AF68" s="34"/>
      <c r="AG68" s="34"/>
      <c r="AH68" s="32"/>
      <c r="AI68" s="34"/>
      <c r="AJ68" s="34"/>
      <c r="AK68" s="34"/>
      <c r="AL68" s="32"/>
      <c r="AM68" s="34"/>
      <c r="AN68" s="34"/>
      <c r="AO68" s="34"/>
      <c r="AP68" s="34"/>
      <c r="AQ68" s="34"/>
      <c r="AR68" s="34"/>
      <c r="AS68" s="34"/>
      <c r="AT68" s="34"/>
      <c r="AU68" s="34"/>
      <c r="AV68" s="34"/>
      <c r="AW68" s="34"/>
      <c r="AX68" s="34"/>
      <c r="AY68" s="34"/>
      <c r="AZ68" s="34"/>
      <c r="BA68" s="34"/>
      <c r="BB68" s="34"/>
      <c r="BC68" s="34"/>
      <c r="BD68" s="34"/>
      <c r="BE68" s="34"/>
      <c r="BF68" s="34"/>
      <c r="BG68" s="34"/>
      <c r="BH68" s="34"/>
      <c r="BI68" s="34"/>
      <c r="BJ68" s="32"/>
      <c r="BK68" s="34"/>
      <c r="BL68" s="32"/>
      <c r="BM68" s="34"/>
      <c r="BN68" s="34"/>
      <c r="BO68" s="34"/>
      <c r="BP68" s="34"/>
      <c r="BQ68" s="34"/>
      <c r="BR68" s="34"/>
      <c r="BS68" s="34"/>
      <c r="BT68" s="34"/>
      <c r="BU68" s="34"/>
      <c r="BV68" s="34"/>
      <c r="BW68" s="34"/>
      <c r="BX68" s="34"/>
      <c r="BY68" s="32"/>
      <c r="BZ68" s="34"/>
      <c r="CA68" s="34"/>
      <c r="CB68" s="34"/>
      <c r="CC68" s="32"/>
      <c r="CD68" s="34"/>
      <c r="CE68" s="32"/>
      <c r="CF68" s="34"/>
      <c r="CG68" s="34"/>
      <c r="CH68" s="34"/>
      <c r="CI68" s="34"/>
      <c r="CJ68" s="34"/>
      <c r="CK68" s="34"/>
      <c r="CL68" s="34"/>
      <c r="CM68" s="32"/>
      <c r="CN68" s="32"/>
      <c r="CO68" s="34"/>
      <c r="CP68" s="34"/>
      <c r="CQ68" s="34"/>
      <c r="CR68" s="34"/>
      <c r="CS68" s="34"/>
      <c r="CT68" s="34"/>
      <c r="CU68" s="34"/>
      <c r="CV68" s="34"/>
      <c r="CW68" s="34"/>
      <c r="CX68" s="34"/>
      <c r="CY68" s="34"/>
      <c r="CZ68" s="34"/>
      <c r="DA68" s="34"/>
      <c r="DB68" s="34"/>
      <c r="DC68" s="34"/>
      <c r="DD68" s="34"/>
      <c r="DE68" s="34"/>
      <c r="DF68" s="32"/>
      <c r="DG68" s="34"/>
      <c r="DH68" s="34"/>
      <c r="DI68" s="34"/>
      <c r="DJ68" s="34"/>
      <c r="DK68" s="34"/>
      <c r="DL68" s="32"/>
      <c r="DM68" s="34"/>
      <c r="DN68" s="34"/>
      <c r="DO68" s="34"/>
      <c r="DP68" s="34"/>
      <c r="DQ68" s="34"/>
      <c r="DR68" s="34"/>
      <c r="DS68" s="34"/>
      <c r="DT68" s="32"/>
      <c r="DU68" s="32"/>
      <c r="DV68" s="34"/>
      <c r="DW68" s="34"/>
      <c r="DX68" s="34"/>
      <c r="DY68" s="34"/>
      <c r="DZ68" s="34"/>
      <c r="EA68" s="34"/>
      <c r="EB68" s="34"/>
      <c r="EC68" s="34"/>
      <c r="ED68" s="34"/>
      <c r="EE68" s="34"/>
      <c r="EF68" s="34"/>
      <c r="EG68" s="34"/>
      <c r="EH68" s="34"/>
      <c r="EI68" s="32"/>
      <c r="EJ68" s="34"/>
      <c r="EK68" s="34"/>
      <c r="EL68" s="34"/>
      <c r="EM68" s="34"/>
      <c r="EN68" s="34"/>
      <c r="EO68" s="34"/>
      <c r="EP68" s="34"/>
      <c r="EQ68" s="34"/>
      <c r="ER68" s="34"/>
      <c r="ES68" s="34"/>
      <c r="ET68" s="34"/>
      <c r="EU68" s="34"/>
      <c r="EV68" s="34"/>
      <c r="EW68" s="34"/>
      <c r="EX68" s="34"/>
      <c r="EY68" s="34"/>
      <c r="EZ68" s="34"/>
      <c r="FA68" s="34"/>
      <c r="FB68" s="34"/>
      <c r="FC68" s="34"/>
      <c r="FD68" s="34"/>
      <c r="FE68" s="34"/>
      <c r="FF68" s="34"/>
      <c r="FG68" s="34"/>
      <c r="FH68" s="34"/>
      <c r="FI68" s="34"/>
      <c r="FJ68" s="34"/>
      <c r="FK68" s="34"/>
      <c r="FL68" s="34"/>
      <c r="FM68" s="34"/>
      <c r="FN68" s="34"/>
      <c r="FO68" s="34"/>
      <c r="FP68" s="32"/>
      <c r="FQ68" s="34"/>
      <c r="FR68" s="32"/>
      <c r="FS68" s="34"/>
      <c r="FT68" s="34"/>
      <c r="FU68" s="34"/>
      <c r="FV68" s="34"/>
      <c r="FW68" s="34"/>
      <c r="FX68" s="34"/>
      <c r="FY68" s="34"/>
      <c r="FZ68" s="34"/>
      <c r="GA68" s="34"/>
      <c r="GB68" s="34"/>
      <c r="GC68" s="34"/>
      <c r="GD68" s="34"/>
      <c r="GE68" s="34"/>
      <c r="GF68" s="34"/>
    </row>
    <row r="69">
      <c r="A69" s="23">
        <v>42469.0</v>
      </c>
      <c r="B69" s="4" t="s">
        <v>293</v>
      </c>
      <c r="C69" s="4">
        <v>19.738602</v>
      </c>
      <c r="D69" s="4">
        <v>-155.038879</v>
      </c>
      <c r="E69" s="4" t="s">
        <v>197</v>
      </c>
      <c r="F69" s="24">
        <v>0.4076388888888889</v>
      </c>
      <c r="G69" s="24">
        <v>0.4652777777777778</v>
      </c>
      <c r="H69" s="4">
        <v>4.0</v>
      </c>
      <c r="I69" s="4">
        <v>15.0</v>
      </c>
      <c r="J69" s="4" t="s">
        <v>277</v>
      </c>
      <c r="K69" s="4">
        <v>10.0</v>
      </c>
      <c r="L69" s="4">
        <v>20.0</v>
      </c>
      <c r="M69" s="4" t="s">
        <v>294</v>
      </c>
      <c r="N69" s="4" t="s">
        <v>295</v>
      </c>
      <c r="AA69" s="4">
        <v>1.0</v>
      </c>
      <c r="AH69" s="4">
        <v>1.0</v>
      </c>
      <c r="AL69" s="4">
        <v>1.0</v>
      </c>
      <c r="BJ69" s="4">
        <v>1.0</v>
      </c>
      <c r="BL69" s="4">
        <v>1.0</v>
      </c>
      <c r="BY69" s="4">
        <v>1.0</v>
      </c>
      <c r="CC69" s="4">
        <v>1.0</v>
      </c>
      <c r="CE69" s="4">
        <v>1.0</v>
      </c>
      <c r="CM69" s="4">
        <v>1.0</v>
      </c>
      <c r="CN69" s="4">
        <v>1.0</v>
      </c>
      <c r="DF69" s="4">
        <v>1.0</v>
      </c>
      <c r="DL69" s="4">
        <v>1.0</v>
      </c>
      <c r="DT69" s="4"/>
      <c r="DU69" s="4">
        <v>1.0</v>
      </c>
      <c r="EI69" s="4">
        <v>1.0</v>
      </c>
      <c r="FP69" s="4">
        <v>1.0</v>
      </c>
      <c r="FR69" s="4">
        <v>1.0</v>
      </c>
    </row>
    <row r="70">
      <c r="A70" s="23">
        <v>42470.0</v>
      </c>
      <c r="B70" s="4" t="s">
        <v>293</v>
      </c>
      <c r="C70" s="4">
        <v>19.738602</v>
      </c>
      <c r="D70" s="4">
        <v>-155.038879</v>
      </c>
      <c r="E70" s="4" t="s">
        <v>197</v>
      </c>
      <c r="F70" s="24">
        <v>0.4340277777777778</v>
      </c>
      <c r="G70" s="24">
        <v>0.5277777777777778</v>
      </c>
      <c r="H70" s="4">
        <v>4.0</v>
      </c>
      <c r="I70" s="4">
        <v>22.0</v>
      </c>
      <c r="J70" s="4" t="s">
        <v>198</v>
      </c>
      <c r="K70" s="4">
        <v>11.0</v>
      </c>
      <c r="L70" s="4">
        <v>35.0</v>
      </c>
      <c r="M70" s="4" t="s">
        <v>296</v>
      </c>
      <c r="Q70" s="4">
        <v>1.0</v>
      </c>
      <c r="S70" s="4">
        <v>1.0</v>
      </c>
      <c r="AA70" s="4">
        <v>1.0</v>
      </c>
      <c r="AC70" s="4">
        <v>1.0</v>
      </c>
      <c r="AG70" s="4">
        <v>1.0</v>
      </c>
      <c r="AL70" s="4">
        <v>1.0</v>
      </c>
      <c r="AY70" s="4">
        <v>1.0</v>
      </c>
      <c r="BA70" s="4">
        <v>1.0</v>
      </c>
      <c r="BF70" s="4">
        <v>1.0</v>
      </c>
      <c r="BH70" s="4"/>
      <c r="BI70" s="4">
        <v>1.0</v>
      </c>
      <c r="BJ70" s="4">
        <v>1.0</v>
      </c>
      <c r="BL70" s="4">
        <v>1.0</v>
      </c>
      <c r="BM70" s="4">
        <v>1.0</v>
      </c>
      <c r="BY70" s="4">
        <v>1.0</v>
      </c>
      <c r="CA70" s="4">
        <v>1.0</v>
      </c>
      <c r="CB70" s="4">
        <v>1.0</v>
      </c>
      <c r="CK70" s="4">
        <v>1.0</v>
      </c>
      <c r="CN70" s="4">
        <v>1.0</v>
      </c>
      <c r="DF70" s="4">
        <v>1.0</v>
      </c>
      <c r="DG70" s="4">
        <v>1.0</v>
      </c>
      <c r="DL70" s="4">
        <v>1.0</v>
      </c>
      <c r="DP70" s="4">
        <v>1.0</v>
      </c>
      <c r="EC70" s="4">
        <v>1.0</v>
      </c>
      <c r="EI70" s="4">
        <v>1.0</v>
      </c>
      <c r="EW70" s="4">
        <v>1.0</v>
      </c>
      <c r="FA70" s="4">
        <v>1.0</v>
      </c>
      <c r="FN70" s="4"/>
      <c r="FO70" s="4">
        <v>1.0</v>
      </c>
      <c r="FP70" s="4">
        <v>1.0</v>
      </c>
      <c r="FR70" s="4">
        <v>1.0</v>
      </c>
      <c r="FS70" s="4">
        <v>1.0</v>
      </c>
    </row>
    <row r="71">
      <c r="A71" s="23">
        <v>42471.0</v>
      </c>
      <c r="B71" s="4" t="s">
        <v>266</v>
      </c>
      <c r="C71" s="4">
        <v>22.060684</v>
      </c>
      <c r="D71" s="4">
        <v>-159.318512</v>
      </c>
      <c r="E71" s="4" t="s">
        <v>297</v>
      </c>
      <c r="F71" s="24">
        <v>0.4895833333333333</v>
      </c>
      <c r="G71" s="24">
        <v>0.5416666666666666</v>
      </c>
      <c r="H71" s="4">
        <v>5.0</v>
      </c>
      <c r="I71" s="4">
        <v>12.0</v>
      </c>
      <c r="J71" s="4" t="s">
        <v>198</v>
      </c>
      <c r="K71" s="4">
        <v>5.0</v>
      </c>
      <c r="L71" s="4">
        <v>24.0</v>
      </c>
      <c r="M71" s="4" t="s">
        <v>298</v>
      </c>
      <c r="Q71" s="4">
        <v>1.0</v>
      </c>
      <c r="AL71" s="4">
        <v>1.0</v>
      </c>
      <c r="BA71" s="4">
        <v>1.0</v>
      </c>
      <c r="BL71" s="4">
        <v>1.0</v>
      </c>
      <c r="BM71" s="4">
        <v>1.0</v>
      </c>
      <c r="BY71" s="4">
        <v>1.0</v>
      </c>
      <c r="CU71" s="4">
        <v>1.0</v>
      </c>
      <c r="DT71" s="4"/>
      <c r="DU71" s="4">
        <v>1.0</v>
      </c>
      <c r="EI71" s="4">
        <v>1.0</v>
      </c>
      <c r="FR71" s="4">
        <v>1.0</v>
      </c>
    </row>
    <row r="72">
      <c r="A72" s="23">
        <v>42471.0</v>
      </c>
      <c r="B72" s="4" t="s">
        <v>216</v>
      </c>
      <c r="C72" s="4">
        <v>21.3002</v>
      </c>
      <c r="D72" s="4">
        <v>-157.882599</v>
      </c>
      <c r="E72" s="4" t="s">
        <v>299</v>
      </c>
      <c r="F72" s="24">
        <v>0.5277777777777778</v>
      </c>
      <c r="G72" s="24">
        <v>0.5729166666666666</v>
      </c>
      <c r="H72" s="4">
        <v>4.0</v>
      </c>
      <c r="I72" s="4">
        <v>26.0</v>
      </c>
      <c r="J72" s="4" t="s">
        <v>198</v>
      </c>
      <c r="K72" s="4">
        <v>9.0</v>
      </c>
      <c r="L72" s="4">
        <v>29.0</v>
      </c>
      <c r="M72" s="4" t="s">
        <v>300</v>
      </c>
      <c r="AB72" s="4">
        <v>1.0</v>
      </c>
      <c r="AL72" s="4">
        <v>1.0</v>
      </c>
      <c r="BL72" s="4">
        <v>1.0</v>
      </c>
      <c r="BM72" s="4">
        <v>1.0</v>
      </c>
      <c r="BP72" s="4">
        <v>1.0</v>
      </c>
      <c r="BU72" s="4">
        <v>1.0</v>
      </c>
      <c r="BY72" s="4">
        <v>1.0</v>
      </c>
      <c r="CB72" s="4">
        <v>1.0</v>
      </c>
      <c r="FP72" s="4">
        <v>1.0</v>
      </c>
      <c r="FR72" s="4">
        <v>1.0</v>
      </c>
    </row>
    <row r="73">
      <c r="A73" s="23">
        <v>42471.0</v>
      </c>
      <c r="B73" s="4" t="s">
        <v>301</v>
      </c>
      <c r="C73" s="4">
        <v>22.065599</v>
      </c>
      <c r="D73" s="4">
        <v>-159.317703</v>
      </c>
      <c r="E73" s="4" t="s">
        <v>302</v>
      </c>
      <c r="F73" s="24">
        <v>0.4895833333333333</v>
      </c>
      <c r="G73" s="24">
        <v>0.5416666666666666</v>
      </c>
      <c r="H73" s="4">
        <v>5.0</v>
      </c>
      <c r="I73" s="4">
        <v>5.0</v>
      </c>
      <c r="J73" s="4" t="s">
        <v>198</v>
      </c>
      <c r="K73" s="4">
        <v>5.0</v>
      </c>
      <c r="L73" s="4">
        <v>25.0</v>
      </c>
      <c r="Q73" s="4">
        <v>1.0</v>
      </c>
      <c r="AB73" s="4">
        <v>1.0</v>
      </c>
      <c r="AF73" s="4">
        <v>1.0</v>
      </c>
      <c r="AL73" s="4">
        <v>1.0</v>
      </c>
      <c r="AY73" s="4">
        <v>1.0</v>
      </c>
      <c r="BA73" s="4">
        <v>1.0</v>
      </c>
      <c r="BD73" s="4">
        <v>1.0</v>
      </c>
      <c r="BJ73" s="4">
        <v>1.0</v>
      </c>
      <c r="BL73" s="4">
        <v>1.0</v>
      </c>
      <c r="BM73" s="4">
        <v>1.0</v>
      </c>
      <c r="BN73" s="4">
        <v>1.0</v>
      </c>
      <c r="BU73" s="4">
        <v>1.0</v>
      </c>
      <c r="BY73" s="4">
        <v>1.0</v>
      </c>
      <c r="DL73" s="4">
        <v>1.0</v>
      </c>
      <c r="DT73" s="4"/>
      <c r="DU73" s="4">
        <v>1.0</v>
      </c>
      <c r="EI73" s="4">
        <v>1.0</v>
      </c>
      <c r="FA73" s="4">
        <v>1.0</v>
      </c>
      <c r="FN73" s="4"/>
      <c r="FO73" s="4">
        <v>1.0</v>
      </c>
      <c r="FQ73" s="4">
        <v>1.0</v>
      </c>
      <c r="FR73" s="4">
        <v>1.0</v>
      </c>
    </row>
    <row r="74">
      <c r="A74" s="23">
        <v>42475.0</v>
      </c>
      <c r="B74" s="4" t="s">
        <v>303</v>
      </c>
      <c r="C74" s="4">
        <v>20.99424</v>
      </c>
      <c r="D74" s="4">
        <v>-156.668259</v>
      </c>
      <c r="E74" s="4" t="s">
        <v>274</v>
      </c>
      <c r="F74" s="24">
        <v>0.3333333333333333</v>
      </c>
      <c r="G74" s="24">
        <v>0.4166666666666667</v>
      </c>
      <c r="H74" s="4">
        <v>4.0</v>
      </c>
      <c r="I74" s="4">
        <v>22.0</v>
      </c>
      <c r="J74" s="4" t="s">
        <v>217</v>
      </c>
      <c r="K74" s="4">
        <v>12.0</v>
      </c>
      <c r="L74" s="4">
        <v>35.0</v>
      </c>
      <c r="M74" s="4" t="s">
        <v>296</v>
      </c>
      <c r="Q74" s="4">
        <v>1.0</v>
      </c>
      <c r="S74" s="4">
        <v>1.0</v>
      </c>
      <c r="AA74" s="4">
        <v>1.0</v>
      </c>
      <c r="AC74" s="4">
        <v>1.0</v>
      </c>
      <c r="AE74" s="4">
        <v>1.0</v>
      </c>
      <c r="AL74" s="4">
        <v>1.0</v>
      </c>
      <c r="AW74" s="4">
        <v>1.0</v>
      </c>
      <c r="AY74" s="4">
        <v>1.0</v>
      </c>
      <c r="BA74" s="4">
        <v>1.0</v>
      </c>
      <c r="BF74" s="4">
        <v>1.0</v>
      </c>
      <c r="BH74" s="4">
        <v>1.0</v>
      </c>
      <c r="BJ74" s="4">
        <v>1.0</v>
      </c>
      <c r="BL74" s="4">
        <v>1.0</v>
      </c>
      <c r="BM74" s="4">
        <v>1.0</v>
      </c>
      <c r="BX74" s="4">
        <v>1.0</v>
      </c>
      <c r="CA74" s="4">
        <v>1.0</v>
      </c>
      <c r="CB74" s="4">
        <v>1.0</v>
      </c>
      <c r="CN74" s="4">
        <v>1.0</v>
      </c>
      <c r="DF74" s="4">
        <v>1.0</v>
      </c>
      <c r="DG74" s="4">
        <v>1.0</v>
      </c>
      <c r="DL74" s="4">
        <v>1.0</v>
      </c>
      <c r="DP74" s="4">
        <v>1.0</v>
      </c>
      <c r="EI74" s="4">
        <v>1.0</v>
      </c>
      <c r="EM74" s="4">
        <v>1.0</v>
      </c>
      <c r="EV74" s="4">
        <v>1.0</v>
      </c>
      <c r="FA74" s="4">
        <v>1.0</v>
      </c>
      <c r="FB74" s="4">
        <v>1.0</v>
      </c>
      <c r="FL74" s="4">
        <v>1.0</v>
      </c>
      <c r="FN74" s="4"/>
      <c r="FO74" s="4">
        <v>1.0</v>
      </c>
      <c r="FR74" s="4">
        <v>1.0</v>
      </c>
      <c r="FS74" s="4">
        <v>1.0</v>
      </c>
    </row>
    <row r="75">
      <c r="A75" s="23">
        <v>42479.0</v>
      </c>
      <c r="B75" s="4" t="s">
        <v>201</v>
      </c>
      <c r="C75" s="4">
        <v>21.25544</v>
      </c>
      <c r="D75" s="4">
        <v>-157.810303</v>
      </c>
      <c r="E75" s="4" t="s">
        <v>274</v>
      </c>
      <c r="F75" s="24">
        <v>0.3611111111111111</v>
      </c>
      <c r="G75" s="24">
        <v>0.4166666666666667</v>
      </c>
      <c r="H75" s="4">
        <v>5.0</v>
      </c>
      <c r="I75" s="4">
        <v>14.0</v>
      </c>
      <c r="J75" s="4" t="s">
        <v>217</v>
      </c>
      <c r="K75" s="4">
        <v>7.0</v>
      </c>
      <c r="L75" s="4">
        <v>29.0</v>
      </c>
      <c r="M75" s="4" t="s">
        <v>304</v>
      </c>
      <c r="Q75" s="4">
        <v>1.0</v>
      </c>
      <c r="W75" s="4">
        <v>1.0</v>
      </c>
      <c r="AA75" s="4">
        <v>1.0</v>
      </c>
      <c r="AH75" s="4">
        <v>1.0</v>
      </c>
      <c r="AN75" s="4"/>
      <c r="AO75" s="4">
        <v>1.0</v>
      </c>
      <c r="BA75" s="4">
        <v>1.0</v>
      </c>
      <c r="BK75" s="4">
        <v>1.0</v>
      </c>
      <c r="BL75" s="4">
        <v>1.0</v>
      </c>
      <c r="BM75" s="4">
        <v>1.0</v>
      </c>
      <c r="BP75" s="4">
        <v>1.0</v>
      </c>
      <c r="BU75" s="4">
        <v>1.0</v>
      </c>
      <c r="BY75" s="4">
        <v>1.0</v>
      </c>
      <c r="CJ75" s="4">
        <v>1.0</v>
      </c>
      <c r="CR75" s="4">
        <v>1.0</v>
      </c>
      <c r="DF75" s="4">
        <v>1.0</v>
      </c>
      <c r="DL75" s="4">
        <v>1.0</v>
      </c>
      <c r="DO75" s="4">
        <v>1.0</v>
      </c>
      <c r="DT75" s="4"/>
      <c r="DU75" s="4">
        <v>1.0</v>
      </c>
      <c r="EB75" s="4">
        <v>1.0</v>
      </c>
      <c r="ED75" s="4"/>
      <c r="EE75" s="4">
        <v>1.0</v>
      </c>
      <c r="EI75" s="4">
        <v>1.0</v>
      </c>
      <c r="EJ75" s="4">
        <v>1.0</v>
      </c>
      <c r="FA75" s="4">
        <v>1.0</v>
      </c>
      <c r="FH75" s="4">
        <v>1.0</v>
      </c>
      <c r="FN75" s="4"/>
      <c r="FO75" s="4">
        <v>1.0</v>
      </c>
      <c r="FQ75" s="4">
        <v>1.0</v>
      </c>
      <c r="FR75" s="4">
        <v>1.0</v>
      </c>
      <c r="FT75" s="4">
        <v>1.0</v>
      </c>
    </row>
    <row r="76">
      <c r="A76" s="41">
        <v>42479.0</v>
      </c>
      <c r="B76" s="42" t="s">
        <v>293</v>
      </c>
      <c r="C76" s="42">
        <v>19.738602</v>
      </c>
      <c r="D76" s="42">
        <v>-155.038879</v>
      </c>
      <c r="E76" s="42" t="s">
        <v>274</v>
      </c>
      <c r="F76" s="43">
        <v>0.4305555555555556</v>
      </c>
      <c r="G76" s="43">
        <v>0.4618055555555556</v>
      </c>
      <c r="H76" s="42">
        <v>4.0</v>
      </c>
      <c r="I76" s="42">
        <v>13.0</v>
      </c>
      <c r="J76" s="42" t="s">
        <v>314</v>
      </c>
      <c r="K76" s="42">
        <v>12.0</v>
      </c>
      <c r="L76" s="42">
        <v>26.0</v>
      </c>
      <c r="M76" s="42" t="s">
        <v>343</v>
      </c>
      <c r="N76" s="42"/>
      <c r="O76" s="42"/>
      <c r="P76" s="44"/>
      <c r="Q76" s="44"/>
      <c r="R76" s="44"/>
      <c r="S76" s="44"/>
      <c r="T76" s="44"/>
      <c r="U76" s="44"/>
      <c r="V76" s="44"/>
      <c r="W76" s="44"/>
      <c r="X76" s="44"/>
      <c r="Y76" s="44"/>
      <c r="Z76" s="44"/>
      <c r="AA76" s="44"/>
      <c r="AB76" s="44"/>
      <c r="AC76" s="44"/>
      <c r="AD76" s="44"/>
      <c r="AE76" s="44"/>
      <c r="AF76" s="44"/>
      <c r="AG76" s="42">
        <v>1.0</v>
      </c>
      <c r="AH76" s="44"/>
      <c r="AI76" s="44"/>
      <c r="AJ76" s="44"/>
      <c r="AK76" s="42">
        <v>1.0</v>
      </c>
      <c r="AL76" s="44"/>
      <c r="AM76" s="44"/>
      <c r="AN76" s="42"/>
      <c r="AO76" s="42"/>
      <c r="AP76" s="42">
        <v>1.0</v>
      </c>
      <c r="AQ76" s="44"/>
      <c r="AR76" s="44"/>
      <c r="AS76" s="44"/>
      <c r="AT76" s="44"/>
      <c r="AU76" s="44"/>
      <c r="AV76" s="44"/>
      <c r="AW76" s="44"/>
      <c r="AX76" s="44"/>
      <c r="AY76" s="44"/>
      <c r="AZ76" s="44"/>
      <c r="BA76" s="44"/>
      <c r="BB76" s="44"/>
      <c r="BC76" s="44"/>
      <c r="BD76" s="42"/>
      <c r="BE76" s="44"/>
      <c r="BF76" s="44"/>
      <c r="BG76" s="42"/>
      <c r="BH76" s="44"/>
      <c r="BI76" s="44"/>
      <c r="BJ76" s="44"/>
      <c r="BK76" s="44"/>
      <c r="BL76" s="42">
        <v>1.0</v>
      </c>
      <c r="BM76" s="42"/>
      <c r="BN76" s="44"/>
      <c r="BO76" s="44"/>
      <c r="BP76" s="44"/>
      <c r="BQ76" s="44"/>
      <c r="BR76" s="44"/>
      <c r="BS76" s="44"/>
      <c r="BT76" s="44"/>
      <c r="BU76" s="44"/>
      <c r="BV76" s="44"/>
      <c r="BW76" s="44"/>
      <c r="BX76" s="44"/>
      <c r="BY76" s="44"/>
      <c r="BZ76" s="44"/>
      <c r="CA76" s="44"/>
      <c r="CB76" s="42">
        <v>1.0</v>
      </c>
      <c r="CC76" s="42">
        <v>1.0</v>
      </c>
      <c r="CD76" s="44"/>
      <c r="CE76" s="44"/>
      <c r="CF76" s="44"/>
      <c r="CG76" s="44"/>
      <c r="CH76" s="44"/>
      <c r="CI76" s="44"/>
      <c r="CJ76" s="44"/>
      <c r="CK76" s="44"/>
      <c r="CL76" s="44"/>
      <c r="CM76" s="44"/>
      <c r="CN76" s="42">
        <v>1.0</v>
      </c>
      <c r="CO76" s="44"/>
      <c r="CP76" s="42"/>
      <c r="CQ76" s="44"/>
      <c r="CR76" s="44"/>
      <c r="CS76" s="44"/>
      <c r="CT76" s="44"/>
      <c r="CU76" s="44"/>
      <c r="CV76" s="42"/>
      <c r="CW76" s="44"/>
      <c r="CX76" s="44"/>
      <c r="CY76" s="44"/>
      <c r="CZ76" s="44"/>
      <c r="DA76" s="44"/>
      <c r="DB76" s="44"/>
      <c r="DC76" s="44"/>
      <c r="DD76" s="44"/>
      <c r="DE76" s="44"/>
      <c r="DF76" s="42"/>
      <c r="DG76" s="44"/>
      <c r="DH76" s="44"/>
      <c r="DI76" s="44"/>
      <c r="DJ76" s="44"/>
      <c r="DK76" s="44"/>
      <c r="DL76" s="44"/>
      <c r="DM76" s="44"/>
      <c r="DN76" s="44"/>
      <c r="DO76" s="44"/>
      <c r="DP76" s="44"/>
      <c r="DQ76" s="44"/>
      <c r="DR76" s="44"/>
      <c r="DS76" s="44"/>
      <c r="DT76" s="42"/>
      <c r="DU76" s="42"/>
      <c r="DV76" s="44"/>
      <c r="DW76" s="44"/>
      <c r="DX76" s="44"/>
      <c r="DY76" s="42"/>
      <c r="DZ76" s="44"/>
      <c r="EA76" s="44"/>
      <c r="EB76" s="44"/>
      <c r="EC76" s="44"/>
      <c r="ED76" s="42"/>
      <c r="EE76" s="44"/>
      <c r="EF76" s="42"/>
      <c r="EG76" s="44"/>
      <c r="EH76" s="44"/>
      <c r="EI76" s="42">
        <v>1.0</v>
      </c>
      <c r="EJ76" s="44"/>
      <c r="EK76" s="44"/>
      <c r="EL76" s="44"/>
      <c r="EM76" s="44"/>
      <c r="EN76" s="44"/>
      <c r="EO76" s="44"/>
      <c r="EP76" s="44"/>
      <c r="EQ76" s="44"/>
      <c r="ER76" s="44"/>
      <c r="ES76" s="44"/>
      <c r="ET76" s="44"/>
      <c r="EU76" s="44"/>
      <c r="EV76" s="44"/>
      <c r="EW76" s="42">
        <v>1.0</v>
      </c>
      <c r="EX76" s="44"/>
      <c r="EY76" s="44"/>
      <c r="EZ76" s="44"/>
      <c r="FA76" s="44"/>
      <c r="FB76" s="42"/>
      <c r="FC76" s="42"/>
      <c r="FD76" s="44"/>
      <c r="FE76" s="42"/>
      <c r="FF76" s="44"/>
      <c r="FG76" s="44"/>
      <c r="FH76" s="44"/>
      <c r="FI76" s="44"/>
      <c r="FJ76" s="44"/>
      <c r="FK76" s="44"/>
      <c r="FL76" s="44"/>
      <c r="FM76" s="44"/>
      <c r="FN76" s="44"/>
      <c r="FO76" s="44"/>
      <c r="FP76" s="42">
        <v>1.0</v>
      </c>
      <c r="FQ76" s="42">
        <v>1.0</v>
      </c>
      <c r="FR76" s="42">
        <v>1.0</v>
      </c>
      <c r="FS76" s="44"/>
      <c r="FT76" s="44"/>
      <c r="FU76" s="44"/>
      <c r="FV76" s="44"/>
      <c r="FW76" s="44"/>
      <c r="FX76" s="44"/>
      <c r="FY76" s="44"/>
      <c r="FZ76" s="44"/>
      <c r="GA76" s="44"/>
      <c r="GB76" s="44"/>
      <c r="GC76" s="44"/>
      <c r="GD76" s="44"/>
      <c r="GE76" s="44"/>
      <c r="GF76" s="44"/>
    </row>
    <row r="77">
      <c r="A77" s="37">
        <v>42481.0</v>
      </c>
      <c r="B77" s="38" t="s">
        <v>240</v>
      </c>
      <c r="C77" s="38">
        <v>21.1059</v>
      </c>
      <c r="D77" s="38">
        <v>-156.746094</v>
      </c>
      <c r="E77" s="38" t="s">
        <v>286</v>
      </c>
      <c r="F77" s="39">
        <v>0.3736111111111111</v>
      </c>
      <c r="G77" s="39">
        <v>0.4076388888888889</v>
      </c>
      <c r="H77" s="38">
        <v>4.0</v>
      </c>
      <c r="I77" s="38">
        <v>13.0</v>
      </c>
      <c r="J77" s="38" t="s">
        <v>198</v>
      </c>
      <c r="K77" s="38">
        <v>12.0</v>
      </c>
      <c r="L77" s="38">
        <v>34.0</v>
      </c>
      <c r="M77" s="38" t="s">
        <v>305</v>
      </c>
      <c r="N77" s="38"/>
      <c r="O77" s="38"/>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38"/>
      <c r="AO77" s="38">
        <v>1.0</v>
      </c>
      <c r="AP77" s="40"/>
      <c r="AQ77" s="40"/>
      <c r="AR77" s="40"/>
      <c r="AS77" s="40"/>
      <c r="AT77" s="40"/>
      <c r="AU77" s="40"/>
      <c r="AV77" s="40"/>
      <c r="AW77" s="40"/>
      <c r="AX77" s="40"/>
      <c r="AY77" s="40"/>
      <c r="AZ77" s="40"/>
      <c r="BA77" s="40"/>
      <c r="BB77" s="40"/>
      <c r="BC77" s="40"/>
      <c r="BD77" s="38">
        <v>1.0</v>
      </c>
      <c r="BE77" s="40"/>
      <c r="BF77" s="40"/>
      <c r="BG77" s="38">
        <v>1.0</v>
      </c>
      <c r="BH77" s="40"/>
      <c r="BI77" s="40"/>
      <c r="BJ77" s="40"/>
      <c r="BK77" s="40"/>
      <c r="BL77" s="38">
        <v>1.0</v>
      </c>
      <c r="BM77" s="38">
        <v>1.0</v>
      </c>
      <c r="BN77" s="40"/>
      <c r="BO77" s="40"/>
      <c r="BP77" s="40"/>
      <c r="BQ77" s="40"/>
      <c r="BR77" s="40"/>
      <c r="BS77" s="40"/>
      <c r="BT77" s="40"/>
      <c r="BU77" s="40"/>
      <c r="BV77" s="40"/>
      <c r="BW77" s="40"/>
      <c r="BX77" s="40"/>
      <c r="BY77" s="40"/>
      <c r="BZ77" s="40"/>
      <c r="CA77" s="40"/>
      <c r="CB77" s="40"/>
      <c r="CC77" s="40"/>
      <c r="CD77" s="40"/>
      <c r="CE77" s="40"/>
      <c r="CF77" s="40"/>
      <c r="CG77" s="40"/>
      <c r="CH77" s="40"/>
      <c r="CI77" s="40"/>
      <c r="CJ77" s="40"/>
      <c r="CK77" s="40"/>
      <c r="CL77" s="40"/>
      <c r="CM77" s="40"/>
      <c r="CN77" s="40"/>
      <c r="CO77" s="40"/>
      <c r="CP77" s="38">
        <v>1.0</v>
      </c>
      <c r="CQ77" s="40"/>
      <c r="CR77" s="40"/>
      <c r="CS77" s="40"/>
      <c r="CT77" s="40"/>
      <c r="CU77" s="40"/>
      <c r="CV77" s="38">
        <v>1.0</v>
      </c>
      <c r="CW77" s="40"/>
      <c r="CX77" s="40"/>
      <c r="CY77" s="40"/>
      <c r="CZ77" s="40"/>
      <c r="DA77" s="40"/>
      <c r="DB77" s="40"/>
      <c r="DC77" s="40"/>
      <c r="DD77" s="40"/>
      <c r="DE77" s="40"/>
      <c r="DF77" s="38">
        <v>1.0</v>
      </c>
      <c r="DG77" s="40"/>
      <c r="DH77" s="40"/>
      <c r="DI77" s="40"/>
      <c r="DJ77" s="40"/>
      <c r="DK77" s="40"/>
      <c r="DL77" s="40"/>
      <c r="DM77" s="40"/>
      <c r="DN77" s="40"/>
      <c r="DO77" s="40"/>
      <c r="DP77" s="40"/>
      <c r="DQ77" s="40"/>
      <c r="DR77" s="40"/>
      <c r="DS77" s="40"/>
      <c r="DT77" s="38"/>
      <c r="DU77" s="38">
        <v>1.0</v>
      </c>
      <c r="DV77" s="40"/>
      <c r="DW77" s="40"/>
      <c r="DX77" s="40"/>
      <c r="DY77" s="38">
        <v>1.0</v>
      </c>
      <c r="DZ77" s="40"/>
      <c r="EA77" s="40"/>
      <c r="EB77" s="40"/>
      <c r="EC77" s="40"/>
      <c r="ED77" s="38">
        <v>1.0</v>
      </c>
      <c r="EE77" s="40"/>
      <c r="EF77" s="38">
        <v>1.0</v>
      </c>
      <c r="EG77" s="40"/>
      <c r="EH77" s="40"/>
      <c r="EI77" s="38">
        <v>1.0</v>
      </c>
      <c r="EJ77" s="40"/>
      <c r="EK77" s="40"/>
      <c r="EL77" s="40"/>
      <c r="EM77" s="40"/>
      <c r="EN77" s="40"/>
      <c r="EO77" s="40"/>
      <c r="EP77" s="40"/>
      <c r="EQ77" s="40"/>
      <c r="ER77" s="40"/>
      <c r="ES77" s="40"/>
      <c r="ET77" s="40"/>
      <c r="EU77" s="40"/>
      <c r="EV77" s="40"/>
      <c r="EW77" s="38">
        <v>1.0</v>
      </c>
      <c r="EX77" s="40"/>
      <c r="EY77" s="40"/>
      <c r="EZ77" s="40"/>
      <c r="FA77" s="40"/>
      <c r="FB77" s="38">
        <v>1.0</v>
      </c>
      <c r="FC77" s="38">
        <v>1.0</v>
      </c>
      <c r="FD77" s="40"/>
      <c r="FE77" s="38">
        <v>1.0</v>
      </c>
      <c r="FF77" s="40"/>
      <c r="FG77" s="40"/>
      <c r="FH77" s="40"/>
      <c r="FI77" s="40"/>
      <c r="FJ77" s="40"/>
      <c r="FK77" s="40"/>
      <c r="FL77" s="40"/>
      <c r="FM77" s="40"/>
      <c r="FN77" s="40"/>
      <c r="FO77" s="40"/>
      <c r="FP77" s="40"/>
      <c r="FQ77" s="40"/>
      <c r="FR77" s="38">
        <v>1.0</v>
      </c>
      <c r="FS77" s="40"/>
      <c r="FT77" s="40"/>
      <c r="FU77" s="40"/>
      <c r="FV77" s="40"/>
      <c r="FW77" s="40"/>
      <c r="FX77" s="40"/>
      <c r="FY77" s="40"/>
      <c r="FZ77" s="40"/>
      <c r="GA77" s="40"/>
      <c r="GB77" s="40"/>
      <c r="GC77" s="40"/>
      <c r="GD77" s="40"/>
      <c r="GE77" s="40"/>
      <c r="GF77" s="40"/>
    </row>
    <row r="78">
      <c r="A78" s="41">
        <v>42482.0</v>
      </c>
      <c r="B78" s="42" t="s">
        <v>352</v>
      </c>
      <c r="C78" s="42">
        <v>21.7057</v>
      </c>
      <c r="D78" s="42">
        <v>-157.995697</v>
      </c>
      <c r="E78" s="42" t="s">
        <v>353</v>
      </c>
      <c r="F78" s="43">
        <v>0.4270833333333333</v>
      </c>
      <c r="G78" s="43">
        <v>0.4791666666666667</v>
      </c>
      <c r="H78" s="42">
        <v>5.0</v>
      </c>
      <c r="I78" s="42">
        <v>17.0</v>
      </c>
      <c r="J78" s="42" t="s">
        <v>198</v>
      </c>
      <c r="K78" s="42">
        <v>8.0</v>
      </c>
      <c r="L78" s="42">
        <v>27.0</v>
      </c>
      <c r="M78" s="42" t="s">
        <v>354</v>
      </c>
      <c r="N78" s="44"/>
      <c r="O78" s="42"/>
      <c r="P78" s="44"/>
      <c r="Q78" s="44"/>
      <c r="R78" s="44"/>
      <c r="S78" s="44"/>
      <c r="T78" s="44"/>
      <c r="U78" s="44"/>
      <c r="V78" s="44"/>
      <c r="W78" s="44"/>
      <c r="X78" s="44"/>
      <c r="Y78" s="44"/>
      <c r="Z78" s="44"/>
      <c r="AA78" s="44"/>
      <c r="AB78" s="44"/>
      <c r="AC78" s="44"/>
      <c r="AD78" s="44"/>
      <c r="AE78" s="44"/>
      <c r="AF78" s="44"/>
      <c r="AG78" s="44"/>
      <c r="AH78" s="44"/>
      <c r="AI78" s="44"/>
      <c r="AJ78" s="44"/>
      <c r="AK78" s="44"/>
      <c r="AL78" s="44"/>
      <c r="AM78" s="44"/>
      <c r="AN78" s="44"/>
      <c r="AO78" s="44"/>
      <c r="AP78" s="44"/>
      <c r="AQ78" s="44"/>
      <c r="AR78" s="44"/>
      <c r="AS78" s="44"/>
      <c r="AT78" s="44"/>
      <c r="AU78" s="44"/>
      <c r="AV78" s="44"/>
      <c r="AW78" s="44"/>
      <c r="AX78" s="44"/>
      <c r="AY78" s="44"/>
      <c r="AZ78" s="44"/>
      <c r="BA78" s="44"/>
      <c r="BB78" s="44"/>
      <c r="BC78" s="44"/>
      <c r="BD78" s="44"/>
      <c r="BE78" s="44"/>
      <c r="BF78" s="44"/>
      <c r="BG78" s="44"/>
      <c r="BH78" s="44"/>
      <c r="BI78" s="44"/>
      <c r="BJ78" s="42"/>
      <c r="BK78" s="44"/>
      <c r="BL78" s="42">
        <v>1.0</v>
      </c>
      <c r="BM78" s="42">
        <v>1.0</v>
      </c>
      <c r="BN78" s="44"/>
      <c r="BO78" s="44"/>
      <c r="BP78" s="42"/>
      <c r="BQ78" s="44"/>
      <c r="BR78" s="44"/>
      <c r="BS78" s="44"/>
      <c r="BT78" s="44"/>
      <c r="BU78" s="44"/>
      <c r="BV78" s="44"/>
      <c r="BW78" s="44"/>
      <c r="BX78" s="44"/>
      <c r="BY78" s="44"/>
      <c r="BZ78" s="44"/>
      <c r="CA78" s="42">
        <v>1.0</v>
      </c>
      <c r="CB78" s="42">
        <v>1.0</v>
      </c>
      <c r="CC78" s="44"/>
      <c r="CD78" s="44"/>
      <c r="CE78" s="44"/>
      <c r="CF78" s="44"/>
      <c r="CG78" s="44"/>
      <c r="CH78" s="44"/>
      <c r="CI78" s="44"/>
      <c r="CJ78" s="44"/>
      <c r="CK78" s="44"/>
      <c r="CL78" s="44"/>
      <c r="CM78" s="44"/>
      <c r="CN78" s="44"/>
      <c r="CO78" s="44"/>
      <c r="CP78" s="44"/>
      <c r="CQ78" s="44"/>
      <c r="CR78" s="44"/>
      <c r="CS78" s="44"/>
      <c r="CT78" s="44"/>
      <c r="CU78" s="44"/>
      <c r="CV78" s="44"/>
      <c r="CW78" s="44"/>
      <c r="CX78" s="44"/>
      <c r="CY78" s="44"/>
      <c r="CZ78" s="44"/>
      <c r="DA78" s="44"/>
      <c r="DB78" s="44"/>
      <c r="DC78" s="44"/>
      <c r="DD78" s="44"/>
      <c r="DE78" s="44"/>
      <c r="DF78" s="44"/>
      <c r="DG78" s="44"/>
      <c r="DH78" s="44"/>
      <c r="DI78" s="44"/>
      <c r="DJ78" s="44"/>
      <c r="DK78" s="44"/>
      <c r="DL78" s="44"/>
      <c r="DM78" s="44"/>
      <c r="DN78" s="44"/>
      <c r="DO78" s="42">
        <v>1.0</v>
      </c>
      <c r="DP78" s="44"/>
      <c r="DQ78" s="44"/>
      <c r="DR78" s="44"/>
      <c r="DS78" s="44"/>
      <c r="DT78" s="44"/>
      <c r="DU78" s="42">
        <v>1.0</v>
      </c>
      <c r="DV78" s="44"/>
      <c r="DW78" s="44"/>
      <c r="DX78" s="44"/>
      <c r="DY78" s="44"/>
      <c r="DZ78" s="44"/>
      <c r="EA78" s="44"/>
      <c r="EB78" s="44"/>
      <c r="EC78" s="42">
        <v>1.0</v>
      </c>
      <c r="ED78" s="44"/>
      <c r="EE78" s="42">
        <v>1.0</v>
      </c>
      <c r="EF78" s="44"/>
      <c r="EG78" s="44"/>
      <c r="EH78" s="44"/>
      <c r="EI78" s="44"/>
      <c r="EJ78" s="44"/>
      <c r="EK78" s="44"/>
      <c r="EL78" s="44"/>
      <c r="EM78" s="42">
        <v>1.0</v>
      </c>
      <c r="EN78" s="44"/>
      <c r="EO78" s="44"/>
      <c r="EP78" s="44"/>
      <c r="EQ78" s="44"/>
      <c r="ER78" s="44"/>
      <c r="ES78" s="44"/>
      <c r="ET78" s="44"/>
      <c r="EU78" s="44"/>
      <c r="EV78" s="44"/>
      <c r="EW78" s="44"/>
      <c r="EX78" s="44"/>
      <c r="EY78" s="44"/>
      <c r="EZ78" s="44"/>
      <c r="FA78" s="44"/>
      <c r="FB78" s="42">
        <v>1.0</v>
      </c>
      <c r="FC78" s="44"/>
      <c r="FD78" s="44"/>
      <c r="FE78" s="44"/>
      <c r="FF78" s="44"/>
      <c r="FG78" s="44"/>
      <c r="FH78" s="44"/>
      <c r="FI78" s="44"/>
      <c r="FJ78" s="42">
        <v>1.0</v>
      </c>
      <c r="FK78" s="44"/>
      <c r="FL78" s="44"/>
      <c r="FM78" s="44"/>
      <c r="FN78" s="44"/>
      <c r="FO78" s="44"/>
      <c r="FP78" s="44"/>
      <c r="FQ78" s="44"/>
      <c r="FR78" s="42">
        <v>1.0</v>
      </c>
      <c r="FS78" s="44"/>
      <c r="FT78" s="44"/>
      <c r="FU78" s="44"/>
      <c r="FV78" s="44"/>
      <c r="FW78" s="44"/>
      <c r="FX78" s="44"/>
      <c r="FY78" s="44"/>
      <c r="FZ78" s="44"/>
      <c r="GA78" s="44"/>
      <c r="GB78" s="44"/>
      <c r="GC78" s="44"/>
      <c r="GD78" s="44"/>
      <c r="GE78" s="44"/>
      <c r="GF78" s="44"/>
    </row>
    <row r="79">
      <c r="A79" s="41">
        <v>42482.0</v>
      </c>
      <c r="B79" s="42" t="s">
        <v>359</v>
      </c>
      <c r="C79" s="42">
        <v>21.196848</v>
      </c>
      <c r="D79" s="42">
        <v>-157.143478</v>
      </c>
      <c r="E79" s="42" t="s">
        <v>286</v>
      </c>
      <c r="F79" s="43">
        <v>0.3597222222222222</v>
      </c>
      <c r="G79" s="43">
        <v>0.3958333333333333</v>
      </c>
      <c r="H79" s="42">
        <v>4.0</v>
      </c>
      <c r="I79" s="42">
        <v>13.0</v>
      </c>
      <c r="J79" s="42" t="s">
        <v>314</v>
      </c>
      <c r="K79" s="42">
        <v>14.0</v>
      </c>
      <c r="L79" s="42">
        <v>36.0</v>
      </c>
      <c r="M79" s="42" t="s">
        <v>362</v>
      </c>
      <c r="N79" s="44"/>
      <c r="O79" s="42"/>
      <c r="P79" s="44"/>
      <c r="Q79" s="44"/>
      <c r="R79" s="44"/>
      <c r="S79" s="44"/>
      <c r="T79" s="44"/>
      <c r="U79" s="44"/>
      <c r="V79" s="44"/>
      <c r="W79" s="44"/>
      <c r="X79" s="44"/>
      <c r="Y79" s="44"/>
      <c r="Z79" s="44"/>
      <c r="AA79" s="44"/>
      <c r="AB79" s="44"/>
      <c r="AC79" s="44"/>
      <c r="AD79" s="44"/>
      <c r="AE79" s="44"/>
      <c r="AF79" s="44"/>
      <c r="AG79" s="44"/>
      <c r="AH79" s="44"/>
      <c r="AI79" s="44"/>
      <c r="AJ79" s="44"/>
      <c r="AK79" s="44"/>
      <c r="AL79" s="44"/>
      <c r="AM79" s="44"/>
      <c r="AN79" s="44"/>
      <c r="AO79" s="44"/>
      <c r="AP79" s="44"/>
      <c r="AQ79" s="44"/>
      <c r="AR79" s="44"/>
      <c r="AS79" s="44"/>
      <c r="AT79" s="44"/>
      <c r="AU79" s="44"/>
      <c r="AV79" s="44"/>
      <c r="AW79" s="44"/>
      <c r="AX79" s="44"/>
      <c r="AY79" s="44"/>
      <c r="AZ79" s="44"/>
      <c r="BA79" s="44"/>
      <c r="BB79" s="44"/>
      <c r="BC79" s="44"/>
      <c r="BD79" s="44"/>
      <c r="BE79" s="44"/>
      <c r="BF79" s="44"/>
      <c r="BG79" s="44"/>
      <c r="BH79" s="44"/>
      <c r="BI79" s="44"/>
      <c r="BJ79" s="42"/>
      <c r="BK79" s="44"/>
      <c r="BL79" s="42"/>
      <c r="BM79" s="44"/>
      <c r="BN79" s="44"/>
      <c r="BO79" s="44"/>
      <c r="BP79" s="42"/>
      <c r="BQ79" s="44"/>
      <c r="BR79" s="44"/>
      <c r="BS79" s="44"/>
      <c r="BT79" s="44"/>
      <c r="BU79" s="44"/>
      <c r="BV79" s="44"/>
      <c r="BW79" s="44"/>
      <c r="BX79" s="44"/>
      <c r="BY79" s="44"/>
      <c r="BZ79" s="44"/>
      <c r="CA79" s="44"/>
      <c r="CB79" s="44"/>
      <c r="CC79" s="44"/>
      <c r="CD79" s="44"/>
      <c r="CE79" s="44"/>
      <c r="CF79" s="44"/>
      <c r="CG79" s="44"/>
      <c r="CH79" s="44"/>
      <c r="CI79" s="44"/>
      <c r="CJ79" s="44"/>
      <c r="CK79" s="44"/>
      <c r="CL79" s="44"/>
      <c r="CM79" s="44"/>
      <c r="CN79" s="44"/>
      <c r="CO79" s="44"/>
      <c r="CP79" s="44"/>
      <c r="CQ79" s="44"/>
      <c r="CR79" s="44"/>
      <c r="CS79" s="44"/>
      <c r="CT79" s="44"/>
      <c r="CU79" s="42">
        <v>1.0</v>
      </c>
      <c r="CV79" s="44"/>
      <c r="CW79" s="44"/>
      <c r="CX79" s="44"/>
      <c r="CY79" s="44"/>
      <c r="CZ79" s="44"/>
      <c r="DA79" s="44"/>
      <c r="DB79" s="44"/>
      <c r="DC79" s="44"/>
      <c r="DD79" s="44"/>
      <c r="DE79" s="44"/>
      <c r="DF79" s="44"/>
      <c r="DG79" s="44"/>
      <c r="DH79" s="44"/>
      <c r="DI79" s="44"/>
      <c r="DJ79" s="44"/>
      <c r="DK79" s="44"/>
      <c r="DL79" s="44"/>
      <c r="DM79" s="44"/>
      <c r="DN79" s="44"/>
      <c r="DO79" s="44"/>
      <c r="DP79" s="44"/>
      <c r="DQ79" s="44"/>
      <c r="DR79" s="44"/>
      <c r="DS79" s="44"/>
      <c r="DT79" s="44"/>
      <c r="DU79" s="44"/>
      <c r="DV79" s="44"/>
      <c r="DW79" s="44"/>
      <c r="DX79" s="44"/>
      <c r="DY79" s="44"/>
      <c r="DZ79" s="44"/>
      <c r="EA79" s="44"/>
      <c r="EB79" s="44"/>
      <c r="EC79" s="42"/>
      <c r="ED79" s="44"/>
      <c r="EE79" s="44"/>
      <c r="EF79" s="44"/>
      <c r="EG79" s="44"/>
      <c r="EH79" s="44"/>
      <c r="EI79" s="42">
        <v>1.0</v>
      </c>
      <c r="EJ79" s="44"/>
      <c r="EK79" s="44"/>
      <c r="EL79" s="44"/>
      <c r="EM79" s="44"/>
      <c r="EN79" s="44"/>
      <c r="EO79" s="44"/>
      <c r="EP79" s="44"/>
      <c r="EQ79" s="44"/>
      <c r="ER79" s="44"/>
      <c r="ES79" s="44"/>
      <c r="ET79" s="44"/>
      <c r="EU79" s="44"/>
      <c r="EV79" s="44"/>
      <c r="EW79" s="44"/>
      <c r="EX79" s="44"/>
      <c r="EY79" s="44"/>
      <c r="EZ79" s="44"/>
      <c r="FA79" s="44"/>
      <c r="FB79" s="44"/>
      <c r="FC79" s="44"/>
      <c r="FD79" s="44"/>
      <c r="FE79" s="44"/>
      <c r="FF79" s="44"/>
      <c r="FG79" s="44"/>
      <c r="FH79" s="44"/>
      <c r="FI79" s="44"/>
      <c r="FJ79" s="44"/>
      <c r="FK79" s="42">
        <v>1.0</v>
      </c>
      <c r="FL79" s="44"/>
      <c r="FM79" s="44"/>
      <c r="FN79" s="44"/>
      <c r="FO79" s="44"/>
      <c r="FP79" s="44"/>
      <c r="FQ79" s="44"/>
      <c r="FR79" s="42">
        <v>1.0</v>
      </c>
      <c r="FS79" s="44"/>
      <c r="FT79" s="44"/>
      <c r="FU79" s="44"/>
      <c r="FV79" s="44"/>
      <c r="FW79" s="44"/>
      <c r="FX79" s="44"/>
      <c r="FY79" s="44"/>
      <c r="FZ79" s="44"/>
      <c r="GA79" s="44"/>
      <c r="GB79" s="44"/>
      <c r="GC79" s="44"/>
      <c r="GD79" s="44"/>
      <c r="GE79" s="44"/>
      <c r="GF79" s="44"/>
    </row>
    <row r="80">
      <c r="A80" s="41">
        <v>42487.0</v>
      </c>
      <c r="B80" s="42" t="s">
        <v>366</v>
      </c>
      <c r="C80" s="42">
        <v>19.715052</v>
      </c>
      <c r="D80" s="42">
        <v>-156.049133</v>
      </c>
      <c r="E80" s="42" t="s">
        <v>367</v>
      </c>
      <c r="F80" s="43">
        <v>0.4444444444444444</v>
      </c>
      <c r="G80" s="43">
        <v>0.46805555555555556</v>
      </c>
      <c r="H80" s="42">
        <v>4.0</v>
      </c>
      <c r="I80" s="42">
        <v>40.0</v>
      </c>
      <c r="J80" s="42" t="s">
        <v>198</v>
      </c>
      <c r="K80" s="42">
        <v>11.0</v>
      </c>
      <c r="L80" s="42">
        <v>38.0</v>
      </c>
      <c r="M80" s="42" t="s">
        <v>368</v>
      </c>
      <c r="N80" s="44"/>
      <c r="O80" s="42"/>
      <c r="P80" s="44"/>
      <c r="Q80" s="44"/>
      <c r="R80" s="44"/>
      <c r="S80" s="44"/>
      <c r="T80" s="44"/>
      <c r="U80" s="44"/>
      <c r="V80" s="44"/>
      <c r="W80" s="44"/>
      <c r="X80" s="44"/>
      <c r="Y80" s="44"/>
      <c r="Z80" s="44"/>
      <c r="AA80" s="44"/>
      <c r="AB80" s="44"/>
      <c r="AC80" s="44"/>
      <c r="AD80" s="44"/>
      <c r="AE80" s="44"/>
      <c r="AF80" s="44"/>
      <c r="AG80" s="44"/>
      <c r="AH80" s="44"/>
      <c r="AI80" s="44"/>
      <c r="AJ80" s="44"/>
      <c r="AK80" s="44"/>
      <c r="AL80" s="44"/>
      <c r="AM80" s="44"/>
      <c r="AN80" s="44"/>
      <c r="AO80" s="44"/>
      <c r="AP80" s="44"/>
      <c r="AQ80" s="44"/>
      <c r="AR80" s="44"/>
      <c r="AS80" s="44"/>
      <c r="AT80" s="44"/>
      <c r="AU80" s="44"/>
      <c r="AV80" s="44"/>
      <c r="AW80" s="44"/>
      <c r="AX80" s="44"/>
      <c r="AY80" s="44"/>
      <c r="AZ80" s="44"/>
      <c r="BA80" s="44"/>
      <c r="BB80" s="44"/>
      <c r="BC80" s="44"/>
      <c r="BD80" s="44"/>
      <c r="BE80" s="44"/>
      <c r="BF80" s="44"/>
      <c r="BG80" s="44"/>
      <c r="BH80" s="44"/>
      <c r="BI80" s="44"/>
      <c r="BJ80" s="42"/>
      <c r="BK80" s="44"/>
      <c r="BL80" s="42"/>
      <c r="BM80" s="44"/>
      <c r="BN80" s="44"/>
      <c r="BO80" s="44"/>
      <c r="BP80" s="42"/>
      <c r="BQ80" s="44"/>
      <c r="BR80" s="44"/>
      <c r="BS80" s="44"/>
      <c r="BT80" s="44"/>
      <c r="BU80" s="44"/>
      <c r="BV80" s="44"/>
      <c r="BW80" s="44"/>
      <c r="BX80" s="44"/>
      <c r="BY80" s="44"/>
      <c r="BZ80" s="44"/>
      <c r="CA80" s="44"/>
      <c r="CB80" s="42">
        <v>1.0</v>
      </c>
      <c r="CC80" s="44"/>
      <c r="CD80" s="44"/>
      <c r="CE80" s="44"/>
      <c r="CF80" s="44"/>
      <c r="CG80" s="44"/>
      <c r="CH80" s="44"/>
      <c r="CI80" s="44"/>
      <c r="CJ80" s="44"/>
      <c r="CK80" s="44"/>
      <c r="CL80" s="44"/>
      <c r="CM80" s="44"/>
      <c r="CN80" s="44"/>
      <c r="CO80" s="44"/>
      <c r="CP80" s="44"/>
      <c r="CQ80" s="44"/>
      <c r="CR80" s="44"/>
      <c r="CS80" s="44"/>
      <c r="CT80" s="44"/>
      <c r="CU80" s="44"/>
      <c r="CV80" s="44"/>
      <c r="CW80" s="44"/>
      <c r="CX80" s="44"/>
      <c r="CY80" s="44"/>
      <c r="CZ80" s="44"/>
      <c r="DA80" s="44"/>
      <c r="DB80" s="44"/>
      <c r="DC80" s="44"/>
      <c r="DD80" s="44"/>
      <c r="DE80" s="44"/>
      <c r="DF80" s="44"/>
      <c r="DG80" s="44"/>
      <c r="DH80" s="44"/>
      <c r="DI80" s="44"/>
      <c r="DJ80" s="44"/>
      <c r="DK80" s="44"/>
      <c r="DL80" s="44"/>
      <c r="DM80" s="44"/>
      <c r="DN80" s="44"/>
      <c r="DO80" s="44"/>
      <c r="DP80" s="44"/>
      <c r="DQ80" s="44"/>
      <c r="DR80" s="44"/>
      <c r="DS80" s="44"/>
      <c r="DT80" s="44"/>
      <c r="DU80" s="44"/>
      <c r="DV80" s="44"/>
      <c r="DW80" s="44"/>
      <c r="DX80" s="44"/>
      <c r="DY80" s="44"/>
      <c r="DZ80" s="44"/>
      <c r="EA80" s="44"/>
      <c r="EB80" s="44"/>
      <c r="EC80" s="42"/>
      <c r="ED80" s="44"/>
      <c r="EE80" s="44"/>
      <c r="EF80" s="44"/>
      <c r="EG80" s="44"/>
      <c r="EH80" s="44"/>
      <c r="EI80" s="44"/>
      <c r="EJ80" s="44"/>
      <c r="EK80" s="44"/>
      <c r="EL80" s="44"/>
      <c r="EM80" s="44"/>
      <c r="EN80" s="44"/>
      <c r="EO80" s="44"/>
      <c r="EP80" s="44"/>
      <c r="EQ80" s="44"/>
      <c r="ER80" s="44"/>
      <c r="ES80" s="44"/>
      <c r="ET80" s="44"/>
      <c r="EU80" s="44"/>
      <c r="EV80" s="44"/>
      <c r="EW80" s="44"/>
      <c r="EX80" s="44"/>
      <c r="EY80" s="44"/>
      <c r="EZ80" s="44"/>
      <c r="FA80" s="44"/>
      <c r="FB80" s="44"/>
      <c r="FC80" s="44"/>
      <c r="FD80" s="44"/>
      <c r="FE80" s="44"/>
      <c r="FF80" s="44"/>
      <c r="FG80" s="44"/>
      <c r="FH80" s="44"/>
      <c r="FI80" s="44"/>
      <c r="FJ80" s="44"/>
      <c r="FK80" s="44"/>
      <c r="FL80" s="44"/>
      <c r="FM80" s="44"/>
      <c r="FN80" s="42">
        <v>1.0</v>
      </c>
      <c r="FO80" s="44"/>
      <c r="FP80" s="44"/>
      <c r="FQ80" s="44"/>
      <c r="FR80" s="42">
        <v>1.0</v>
      </c>
      <c r="FS80" s="44"/>
      <c r="FT80" s="44"/>
      <c r="FU80" s="44"/>
      <c r="FV80" s="44"/>
      <c r="FW80" s="44"/>
      <c r="FX80" s="44"/>
      <c r="FY80" s="44"/>
      <c r="FZ80" s="44"/>
      <c r="GA80" s="44"/>
      <c r="GB80" s="44"/>
      <c r="GC80" s="44"/>
      <c r="GD80" s="44"/>
      <c r="GE80" s="44"/>
      <c r="GF80" s="44"/>
    </row>
    <row r="81">
      <c r="A81" s="23">
        <v>42488.0</v>
      </c>
      <c r="B81" s="4" t="s">
        <v>230</v>
      </c>
      <c r="C81" s="4">
        <v>20.7537</v>
      </c>
      <c r="D81" s="4">
        <v>-156.460907</v>
      </c>
      <c r="E81" s="4" t="s">
        <v>274</v>
      </c>
      <c r="F81" s="24">
        <v>0.4111111111111111</v>
      </c>
      <c r="G81" s="24">
        <v>0.5152777777777777</v>
      </c>
      <c r="H81" s="4">
        <v>4.0</v>
      </c>
      <c r="I81" s="4">
        <v>14.0</v>
      </c>
      <c r="J81" s="4" t="s">
        <v>277</v>
      </c>
      <c r="K81" s="4">
        <v>10.0</v>
      </c>
      <c r="L81" s="4">
        <v>39.0</v>
      </c>
      <c r="M81" s="4" t="s">
        <v>306</v>
      </c>
      <c r="BJ81" s="4">
        <v>1.0</v>
      </c>
      <c r="BL81" s="4">
        <v>1.0</v>
      </c>
      <c r="BP81" s="4">
        <v>1.0</v>
      </c>
      <c r="EC81" s="4">
        <v>1.0</v>
      </c>
      <c r="FR81" s="4">
        <v>1.0</v>
      </c>
    </row>
    <row r="82">
      <c r="A82" s="23">
        <v>42495.0</v>
      </c>
      <c r="B82" s="4" t="s">
        <v>307</v>
      </c>
      <c r="C82" s="4">
        <v>19.736111</v>
      </c>
      <c r="D82" s="4">
        <v>-155.030838</v>
      </c>
      <c r="E82" s="4" t="s">
        <v>308</v>
      </c>
      <c r="F82" s="24">
        <v>0.36180555555555555</v>
      </c>
      <c r="G82" s="24">
        <v>0.4166666666666667</v>
      </c>
      <c r="H82" s="4">
        <v>8.0</v>
      </c>
      <c r="I82" s="4">
        <v>11.0</v>
      </c>
      <c r="J82" s="4" t="s">
        <v>198</v>
      </c>
      <c r="K82" s="4">
        <v>11.0</v>
      </c>
      <c r="L82" s="4">
        <v>64.0</v>
      </c>
      <c r="M82" s="4" t="s">
        <v>309</v>
      </c>
      <c r="Q82" s="4">
        <v>1.0</v>
      </c>
      <c r="S82" s="4">
        <v>1.0</v>
      </c>
      <c r="AC82" s="4">
        <v>1.0</v>
      </c>
      <c r="BD82" s="4">
        <v>1.0</v>
      </c>
      <c r="BJ82" s="4">
        <v>1.0</v>
      </c>
      <c r="BL82" s="4">
        <v>1.0</v>
      </c>
      <c r="BU82" s="4">
        <v>1.0</v>
      </c>
      <c r="CA82" s="4">
        <v>1.0</v>
      </c>
      <c r="CN82" s="4">
        <v>1.0</v>
      </c>
      <c r="EC82" s="4">
        <v>1.0</v>
      </c>
      <c r="EI82" s="4">
        <v>1.0</v>
      </c>
      <c r="EW82" s="4">
        <v>1.0</v>
      </c>
      <c r="FK82" s="4">
        <v>1.0</v>
      </c>
      <c r="FP82" s="4">
        <v>1.0</v>
      </c>
      <c r="FQ82" s="4">
        <v>1.0</v>
      </c>
      <c r="FR82" s="4">
        <v>1.0</v>
      </c>
      <c r="FS82" s="4">
        <v>1.0</v>
      </c>
    </row>
    <row r="83">
      <c r="A83" s="41">
        <v>42508.0</v>
      </c>
      <c r="B83" s="42" t="s">
        <v>377</v>
      </c>
      <c r="C83" s="42">
        <v>20.705</v>
      </c>
      <c r="D83" s="42">
        <v>-156.446945</v>
      </c>
      <c r="E83" s="42" t="s">
        <v>378</v>
      </c>
      <c r="F83" s="43">
        <v>0.37222222222222223</v>
      </c>
      <c r="G83" s="43">
        <v>0.4166666666666667</v>
      </c>
      <c r="H83" s="42">
        <v>9.0</v>
      </c>
      <c r="I83" s="42">
        <v>13.0</v>
      </c>
      <c r="J83" s="42" t="s">
        <v>217</v>
      </c>
      <c r="K83" s="42">
        <v>9.0</v>
      </c>
      <c r="L83" s="42">
        <v>8.0</v>
      </c>
      <c r="M83" s="42" t="s">
        <v>379</v>
      </c>
      <c r="N83" s="44"/>
      <c r="O83" s="42"/>
      <c r="P83" s="44"/>
      <c r="Q83" s="42">
        <v>1.0</v>
      </c>
      <c r="R83" s="44"/>
      <c r="S83" s="44"/>
      <c r="T83" s="44"/>
      <c r="U83" s="44"/>
      <c r="V83" s="44"/>
      <c r="W83" s="44"/>
      <c r="X83" s="44"/>
      <c r="Y83" s="44"/>
      <c r="Z83" s="44"/>
      <c r="AA83" s="42"/>
      <c r="AB83" s="44"/>
      <c r="AC83" s="44"/>
      <c r="AD83" s="44"/>
      <c r="AE83" s="44"/>
      <c r="AF83" s="44"/>
      <c r="AG83" s="44"/>
      <c r="AH83" s="44"/>
      <c r="AI83" s="44"/>
      <c r="AJ83" s="44"/>
      <c r="AK83" s="44"/>
      <c r="AL83" s="42"/>
      <c r="AM83" s="44"/>
      <c r="AN83" s="44"/>
      <c r="AO83" s="44"/>
      <c r="AP83" s="44"/>
      <c r="AQ83" s="44"/>
      <c r="AR83" s="44"/>
      <c r="AS83" s="44"/>
      <c r="AT83" s="44"/>
      <c r="AU83" s="44"/>
      <c r="AV83" s="44"/>
      <c r="AW83" s="44"/>
      <c r="AX83" s="44"/>
      <c r="AY83" s="44"/>
      <c r="AZ83" s="44"/>
      <c r="BA83" s="42">
        <v>1.0</v>
      </c>
      <c r="BB83" s="44"/>
      <c r="BC83" s="44"/>
      <c r="BD83" s="44"/>
      <c r="BE83" s="44"/>
      <c r="BF83" s="42"/>
      <c r="BG83" s="44"/>
      <c r="BH83" s="44"/>
      <c r="BI83" s="44"/>
      <c r="BJ83" s="42">
        <v>1.0</v>
      </c>
      <c r="BK83" s="44"/>
      <c r="BL83" s="42"/>
      <c r="BM83" s="44"/>
      <c r="BN83" s="44"/>
      <c r="BO83" s="44"/>
      <c r="BP83" s="44"/>
      <c r="BQ83" s="44"/>
      <c r="BR83" s="44"/>
      <c r="BS83" s="44"/>
      <c r="BT83" s="44"/>
      <c r="BU83" s="44"/>
      <c r="BV83" s="44"/>
      <c r="BW83" s="44"/>
      <c r="BX83" s="44"/>
      <c r="BY83" s="44"/>
      <c r="BZ83" s="44"/>
      <c r="CA83" s="42"/>
      <c r="CB83" s="44"/>
      <c r="CC83" s="44"/>
      <c r="CD83" s="44"/>
      <c r="CE83" s="44"/>
      <c r="CF83" s="42"/>
      <c r="CG83" s="42"/>
      <c r="CH83" s="44"/>
      <c r="CI83" s="44"/>
      <c r="CJ83" s="44"/>
      <c r="CK83" s="44"/>
      <c r="CL83" s="44"/>
      <c r="CM83" s="44"/>
      <c r="CN83" s="44"/>
      <c r="CO83" s="44"/>
      <c r="CP83" s="44"/>
      <c r="CQ83" s="44"/>
      <c r="CR83" s="44"/>
      <c r="CS83" s="44"/>
      <c r="CT83" s="44"/>
      <c r="CU83" s="44"/>
      <c r="CV83" s="44"/>
      <c r="CW83" s="44"/>
      <c r="CX83" s="44"/>
      <c r="CY83" s="44"/>
      <c r="CZ83" s="44"/>
      <c r="DA83" s="44"/>
      <c r="DB83" s="44"/>
      <c r="DC83" s="44"/>
      <c r="DD83" s="44"/>
      <c r="DE83" s="44"/>
      <c r="DF83" s="44"/>
      <c r="DG83" s="42">
        <v>1.0</v>
      </c>
      <c r="DH83" s="44"/>
      <c r="DI83" s="44"/>
      <c r="DJ83" s="44"/>
      <c r="DK83" s="44"/>
      <c r="DL83" s="42"/>
      <c r="DM83" s="44"/>
      <c r="DN83" s="44"/>
      <c r="DO83" s="44"/>
      <c r="DP83" s="44"/>
      <c r="DQ83" s="44"/>
      <c r="DR83" s="44"/>
      <c r="DS83" s="44"/>
      <c r="DT83" s="42"/>
      <c r="DU83" s="42"/>
      <c r="DV83" s="44"/>
      <c r="DW83" s="44"/>
      <c r="DX83" s="44"/>
      <c r="DY83" s="44"/>
      <c r="DZ83" s="44"/>
      <c r="EA83" s="44"/>
      <c r="EB83" s="44"/>
      <c r="EC83" s="44"/>
      <c r="ED83" s="44"/>
      <c r="EE83" s="44"/>
      <c r="EF83" s="44"/>
      <c r="EG83" s="44"/>
      <c r="EH83" s="44"/>
      <c r="EI83" s="42"/>
      <c r="EJ83" s="44"/>
      <c r="EK83" s="44"/>
      <c r="EL83" s="44"/>
      <c r="EM83" s="44"/>
      <c r="EN83" s="44"/>
      <c r="EO83" s="44"/>
      <c r="EP83" s="44"/>
      <c r="EQ83" s="44"/>
      <c r="ER83" s="44"/>
      <c r="ES83" s="44"/>
      <c r="ET83" s="44"/>
      <c r="EU83" s="44"/>
      <c r="EV83" s="44"/>
      <c r="EW83" s="42">
        <v>1.0</v>
      </c>
      <c r="EX83" s="44"/>
      <c r="EY83" s="44"/>
      <c r="EZ83" s="44"/>
      <c r="FA83" s="42"/>
      <c r="FB83" s="42"/>
      <c r="FC83" s="44"/>
      <c r="FD83" s="44"/>
      <c r="FE83" s="42"/>
      <c r="FF83" s="44"/>
      <c r="FG83" s="44"/>
      <c r="FH83" s="44"/>
      <c r="FI83" s="44"/>
      <c r="FJ83" s="44"/>
      <c r="FK83" s="44"/>
      <c r="FL83" s="44"/>
      <c r="FM83" s="44"/>
      <c r="FN83" s="44"/>
      <c r="FO83" s="44"/>
      <c r="FP83" s="42"/>
      <c r="FQ83" s="42"/>
      <c r="FR83" s="42"/>
      <c r="FS83" s="44"/>
      <c r="FT83" s="42">
        <v>1.0</v>
      </c>
      <c r="FU83" s="44"/>
      <c r="FV83" s="44"/>
      <c r="FW83" s="44"/>
      <c r="FX83" s="44"/>
      <c r="FY83" s="44"/>
      <c r="FZ83" s="44"/>
      <c r="GA83" s="44"/>
      <c r="GB83" s="44"/>
      <c r="GC83" s="44"/>
      <c r="GD83" s="44"/>
      <c r="GE83" s="44"/>
      <c r="GF83" s="44"/>
    </row>
    <row r="84">
      <c r="A84" s="23">
        <v>42510.0</v>
      </c>
      <c r="B84" s="4" t="s">
        <v>310</v>
      </c>
      <c r="C84" s="4">
        <v>19.457222</v>
      </c>
      <c r="D84" s="4">
        <v>-155.925003</v>
      </c>
      <c r="E84" s="4" t="s">
        <v>197</v>
      </c>
      <c r="F84" s="24">
        <v>0.3194444444444444</v>
      </c>
      <c r="G84" s="24">
        <v>0.3854166666666667</v>
      </c>
      <c r="H84" s="4">
        <v>4.0</v>
      </c>
      <c r="I84" s="4">
        <v>30.0</v>
      </c>
      <c r="J84" s="4" t="s">
        <v>198</v>
      </c>
      <c r="K84" s="4">
        <v>14.0</v>
      </c>
      <c r="L84" s="4">
        <v>41.0</v>
      </c>
      <c r="M84" s="4" t="s">
        <v>311</v>
      </c>
      <c r="AA84" s="4">
        <v>1.0</v>
      </c>
      <c r="AL84" s="4">
        <v>1.0</v>
      </c>
      <c r="BA84" s="4">
        <v>1.0</v>
      </c>
      <c r="BF84" s="4">
        <v>1.0</v>
      </c>
      <c r="BL84" s="4">
        <v>1.0</v>
      </c>
      <c r="CA84" s="4">
        <v>1.0</v>
      </c>
      <c r="CF84" s="4"/>
      <c r="CG84" s="4">
        <v>1.0</v>
      </c>
      <c r="DL84" s="4">
        <v>1.0</v>
      </c>
      <c r="DT84" s="4"/>
      <c r="DU84" s="4">
        <v>1.0</v>
      </c>
      <c r="EI84" s="4">
        <v>1.0</v>
      </c>
      <c r="FA84" s="4">
        <v>1.0</v>
      </c>
      <c r="FB84" s="4">
        <v>1.0</v>
      </c>
      <c r="FE84" s="4">
        <v>1.0</v>
      </c>
      <c r="FP84" s="4">
        <v>1.0</v>
      </c>
      <c r="FQ84" s="4">
        <v>1.0</v>
      </c>
      <c r="FR84" s="4">
        <v>1.0</v>
      </c>
    </row>
    <row r="85">
      <c r="A85" s="23">
        <v>42761.0</v>
      </c>
      <c r="B85" s="4" t="s">
        <v>233</v>
      </c>
      <c r="C85" s="36">
        <v>21.066799</v>
      </c>
      <c r="D85" s="36">
        <v>-156.804993</v>
      </c>
      <c r="E85" s="4" t="s">
        <v>286</v>
      </c>
      <c r="F85" s="24">
        <v>0.4166666666666667</v>
      </c>
      <c r="G85" s="24">
        <v>0.4722222222222222</v>
      </c>
      <c r="H85" s="4">
        <v>4.0</v>
      </c>
      <c r="I85" s="4">
        <v>20.0</v>
      </c>
      <c r="J85" s="4" t="s">
        <v>217</v>
      </c>
      <c r="K85" s="4">
        <v>10.0</v>
      </c>
      <c r="L85" s="4">
        <v>20.0</v>
      </c>
      <c r="M85" s="4" t="s">
        <v>316</v>
      </c>
      <c r="N85" s="4" t="s">
        <v>317</v>
      </c>
      <c r="Q85" s="4">
        <v>1.0</v>
      </c>
      <c r="X85" s="4"/>
      <c r="Y85" s="4">
        <v>1.0</v>
      </c>
      <c r="CN85" s="4">
        <v>1.0</v>
      </c>
      <c r="DL85" s="4">
        <v>1.0</v>
      </c>
      <c r="DQ85" s="4"/>
      <c r="DR85" s="4">
        <v>1.0</v>
      </c>
      <c r="FR85" s="4">
        <v>1.0</v>
      </c>
      <c r="FY85" s="4">
        <v>1.0</v>
      </c>
    </row>
    <row r="86">
      <c r="A86" s="23">
        <v>42778.0</v>
      </c>
      <c r="B86" s="4" t="s">
        <v>201</v>
      </c>
      <c r="C86" s="4">
        <v>21.25544</v>
      </c>
      <c r="D86" s="4">
        <v>-157.810303</v>
      </c>
      <c r="E86" s="4" t="s">
        <v>197</v>
      </c>
      <c r="F86" s="24">
        <v>0.4479166666666667</v>
      </c>
      <c r="G86" s="24">
        <v>0.4895833333333333</v>
      </c>
      <c r="H86" s="4">
        <v>9.0</v>
      </c>
      <c r="I86" s="4">
        <v>12.0</v>
      </c>
      <c r="J86" s="4" t="s">
        <v>318</v>
      </c>
      <c r="K86" s="4">
        <v>7.0</v>
      </c>
      <c r="L86" s="4">
        <v>47.0</v>
      </c>
      <c r="M86" s="4" t="s">
        <v>319</v>
      </c>
      <c r="Q86" s="4">
        <v>1.0</v>
      </c>
      <c r="Z86" s="4"/>
      <c r="AA86" s="4">
        <v>1.0</v>
      </c>
      <c r="AB86" s="4">
        <v>1.0</v>
      </c>
      <c r="AH86" s="4">
        <v>1.0</v>
      </c>
      <c r="AY86" s="4">
        <v>1.0</v>
      </c>
      <c r="AZ86" s="4"/>
      <c r="BA86" s="4">
        <v>1.0</v>
      </c>
      <c r="BL86" s="4">
        <v>1.0</v>
      </c>
      <c r="BM86" s="4">
        <v>1.0</v>
      </c>
      <c r="BP86" s="4">
        <v>1.0</v>
      </c>
      <c r="BU86" s="4">
        <v>1.0</v>
      </c>
      <c r="BY86" s="4">
        <v>1.0</v>
      </c>
      <c r="CF86" s="4"/>
      <c r="CG86" s="4">
        <v>1.0</v>
      </c>
      <c r="CI86" s="4"/>
      <c r="CJ86" s="4">
        <v>1.0</v>
      </c>
      <c r="CN86" s="4">
        <v>1.0</v>
      </c>
      <c r="CR86" s="4">
        <v>1.0</v>
      </c>
      <c r="DE86" s="4"/>
      <c r="DF86" s="4">
        <v>1.0</v>
      </c>
      <c r="DI86" s="4">
        <v>1.0</v>
      </c>
      <c r="DK86" s="4">
        <v>1.0</v>
      </c>
      <c r="DL86" s="4">
        <v>1.0</v>
      </c>
      <c r="DM86" s="4">
        <v>1.0</v>
      </c>
      <c r="DN86" s="4">
        <v>1.0</v>
      </c>
      <c r="DQ86" s="4"/>
      <c r="DR86" s="4">
        <v>1.0</v>
      </c>
      <c r="DT86" s="4"/>
      <c r="DU86" s="4">
        <v>1.0</v>
      </c>
      <c r="DY86" s="4">
        <v>1.0</v>
      </c>
      <c r="EB86" s="4">
        <v>1.0</v>
      </c>
      <c r="ED86" s="4"/>
      <c r="EE86" s="4">
        <v>1.0</v>
      </c>
      <c r="EH86" s="4"/>
      <c r="EI86" s="4">
        <v>1.0</v>
      </c>
      <c r="EX86" s="4"/>
      <c r="EY86" s="4">
        <v>1.0</v>
      </c>
      <c r="EZ86" s="4">
        <v>1.0</v>
      </c>
      <c r="FA86" s="4">
        <v>1.0</v>
      </c>
      <c r="FB86" s="4">
        <v>1.0</v>
      </c>
      <c r="FH86" s="4">
        <v>1.0</v>
      </c>
      <c r="FL86" s="4">
        <v>1.0</v>
      </c>
      <c r="FQ86" s="4">
        <v>1.0</v>
      </c>
      <c r="FR86" s="4">
        <v>1.0</v>
      </c>
      <c r="GD86" s="4"/>
      <c r="GE86" s="4">
        <v>1.0</v>
      </c>
    </row>
    <row r="87">
      <c r="A87" s="23">
        <v>42788.0</v>
      </c>
      <c r="B87" s="4" t="s">
        <v>320</v>
      </c>
      <c r="C87" s="4">
        <v>22.005989</v>
      </c>
      <c r="D87" s="4">
        <v>-159.335648</v>
      </c>
      <c r="E87" s="4" t="s">
        <v>321</v>
      </c>
      <c r="F87" s="24">
        <v>0.3819444444444444</v>
      </c>
      <c r="G87" s="24">
        <v>0.48125</v>
      </c>
      <c r="H87" s="4">
        <v>2.0</v>
      </c>
      <c r="I87" s="4">
        <v>8.0</v>
      </c>
      <c r="J87" s="4" t="s">
        <v>318</v>
      </c>
      <c r="K87" s="4">
        <v>7.0</v>
      </c>
      <c r="L87" s="4">
        <v>12.0</v>
      </c>
      <c r="M87" s="4" t="s">
        <v>322</v>
      </c>
      <c r="Q87" s="4">
        <v>1.0</v>
      </c>
      <c r="AL87" s="4">
        <v>1.0</v>
      </c>
      <c r="AZ87" s="4"/>
      <c r="BA87" s="4">
        <v>1.0</v>
      </c>
      <c r="BV87" s="4">
        <v>1.0</v>
      </c>
      <c r="DK87" s="4">
        <v>1.0</v>
      </c>
      <c r="DT87" s="4"/>
      <c r="DU87" s="4">
        <v>1.0</v>
      </c>
      <c r="EH87" s="4"/>
      <c r="EI87" s="4">
        <v>1.0</v>
      </c>
      <c r="EX87" s="4"/>
      <c r="EY87" s="4">
        <v>1.0</v>
      </c>
      <c r="FD87" s="4">
        <v>1.0</v>
      </c>
      <c r="FR87" s="4">
        <v>1.0</v>
      </c>
      <c r="FT87" s="4">
        <v>1.0</v>
      </c>
      <c r="FZ87" s="4">
        <v>1.0</v>
      </c>
    </row>
    <row r="88">
      <c r="A88" s="23">
        <v>42791.0</v>
      </c>
      <c r="B88" s="4" t="s">
        <v>244</v>
      </c>
      <c r="C88" s="4">
        <v>21.310612</v>
      </c>
      <c r="D88" s="4">
        <v>-158.00441</v>
      </c>
      <c r="E88" s="4" t="s">
        <v>197</v>
      </c>
      <c r="F88" s="24">
        <v>0.4131944444444444</v>
      </c>
      <c r="G88" s="24">
        <v>0.4791666666666667</v>
      </c>
      <c r="H88" s="4">
        <v>9.0</v>
      </c>
      <c r="I88" s="4">
        <v>14.0</v>
      </c>
      <c r="J88" s="4" t="s">
        <v>318</v>
      </c>
      <c r="K88" s="4">
        <v>8.0</v>
      </c>
      <c r="L88" s="4">
        <v>54.0</v>
      </c>
      <c r="M88" s="4" t="s">
        <v>323</v>
      </c>
      <c r="Q88" s="4">
        <v>1.0</v>
      </c>
      <c r="S88" s="4">
        <v>1.0</v>
      </c>
      <c r="T88" s="4"/>
      <c r="U88" s="4">
        <v>1.0</v>
      </c>
      <c r="Z88" s="4"/>
      <c r="AA88" s="4">
        <v>1.0</v>
      </c>
      <c r="AD88" s="4">
        <v>1.0</v>
      </c>
      <c r="AH88" s="4">
        <v>1.0</v>
      </c>
      <c r="AQ88" s="4">
        <v>1.0</v>
      </c>
      <c r="AR88" s="4">
        <v>1.0</v>
      </c>
      <c r="AZ88" s="4"/>
      <c r="BA88" s="4">
        <v>1.0</v>
      </c>
      <c r="BB88" s="4">
        <v>1.0</v>
      </c>
      <c r="BD88" s="4">
        <v>1.0</v>
      </c>
      <c r="BJ88" s="4">
        <v>1.0</v>
      </c>
      <c r="BL88" s="4">
        <v>1.0</v>
      </c>
      <c r="BM88" s="4">
        <v>1.0</v>
      </c>
      <c r="BP88" s="4">
        <v>1.0</v>
      </c>
      <c r="BT88" s="4">
        <v>1.0</v>
      </c>
      <c r="BU88" s="4">
        <v>1.0</v>
      </c>
      <c r="BX88" s="4">
        <v>1.0</v>
      </c>
      <c r="BY88" s="4">
        <v>1.0</v>
      </c>
      <c r="CF88" s="4"/>
      <c r="CG88" s="4">
        <v>1.0</v>
      </c>
      <c r="CR88" s="4">
        <v>1.0</v>
      </c>
      <c r="DE88" s="4"/>
      <c r="DF88" s="4">
        <v>1.0</v>
      </c>
      <c r="DI88" s="4">
        <v>1.0</v>
      </c>
      <c r="DL88" s="4">
        <v>1.0</v>
      </c>
      <c r="DN88" s="4">
        <v>1.0</v>
      </c>
      <c r="DP88" s="4">
        <v>1.0</v>
      </c>
      <c r="DT88" s="4"/>
      <c r="DU88" s="4">
        <v>1.0</v>
      </c>
      <c r="EB88" s="4">
        <v>1.0</v>
      </c>
      <c r="EH88" s="4"/>
      <c r="EI88" s="4">
        <v>1.0</v>
      </c>
      <c r="EN88" s="4">
        <v>1.0</v>
      </c>
      <c r="EX88" s="4">
        <v>1.0</v>
      </c>
      <c r="FA88" s="4">
        <v>1.0</v>
      </c>
      <c r="FP88" s="4">
        <v>1.0</v>
      </c>
      <c r="FR88" s="4">
        <v>1.0</v>
      </c>
      <c r="FS88" s="4">
        <v>1.0</v>
      </c>
      <c r="GD88" s="4"/>
      <c r="GE88" s="4">
        <v>1.0</v>
      </c>
    </row>
    <row r="89">
      <c r="A89" s="23">
        <v>42798.0</v>
      </c>
      <c r="B89" s="4" t="s">
        <v>230</v>
      </c>
      <c r="C89" s="4">
        <v>20.7537</v>
      </c>
      <c r="D89" s="4">
        <v>-156.460907</v>
      </c>
      <c r="E89" s="4" t="s">
        <v>197</v>
      </c>
      <c r="F89" s="24">
        <v>0.5902777777777778</v>
      </c>
      <c r="G89" s="24">
        <v>0.6770833333333334</v>
      </c>
      <c r="H89" s="4">
        <v>3.0</v>
      </c>
      <c r="I89" s="4">
        <v>21.0</v>
      </c>
      <c r="J89" s="4" t="s">
        <v>318</v>
      </c>
      <c r="K89" s="4">
        <v>16.0</v>
      </c>
      <c r="L89" s="4">
        <v>43.0</v>
      </c>
      <c r="M89" s="4" t="s">
        <v>324</v>
      </c>
      <c r="Q89" s="4">
        <v>1.0</v>
      </c>
      <c r="AL89" s="4">
        <v>1.0</v>
      </c>
      <c r="BL89" s="4">
        <v>1.0</v>
      </c>
      <c r="CI89" s="4">
        <v>1.0</v>
      </c>
      <c r="DE89" s="4"/>
      <c r="DF89" s="4">
        <v>1.0</v>
      </c>
      <c r="DO89" s="4">
        <v>1.0</v>
      </c>
      <c r="DT89" s="4"/>
      <c r="DU89" s="4">
        <v>1.0</v>
      </c>
      <c r="EC89" s="4">
        <v>1.0</v>
      </c>
      <c r="EH89" s="4">
        <v>1.0</v>
      </c>
      <c r="EW89" s="4">
        <v>1.0</v>
      </c>
      <c r="FP89" s="4">
        <v>1.0</v>
      </c>
      <c r="FR89" s="4">
        <v>1.0</v>
      </c>
      <c r="FS89" s="4">
        <v>1.0</v>
      </c>
      <c r="GC89" s="4">
        <v>1.0</v>
      </c>
      <c r="GD89" s="4"/>
      <c r="GE89" s="4">
        <v>1.0</v>
      </c>
    </row>
    <row r="90">
      <c r="A90" s="37">
        <v>42802.0</v>
      </c>
      <c r="B90" s="38" t="s">
        <v>244</v>
      </c>
      <c r="C90" s="38">
        <v>21.310612</v>
      </c>
      <c r="D90" s="38">
        <v>-158.00441</v>
      </c>
      <c r="E90" s="38" t="s">
        <v>278</v>
      </c>
      <c r="F90" s="39">
        <v>0.3854166666666667</v>
      </c>
      <c r="G90" s="39">
        <v>0.46875</v>
      </c>
      <c r="H90" s="38">
        <v>6.0</v>
      </c>
      <c r="I90" s="38">
        <v>10.0</v>
      </c>
      <c r="J90" s="38" t="s">
        <v>198</v>
      </c>
      <c r="K90" s="38">
        <v>5.0</v>
      </c>
      <c r="L90" s="38">
        <v>30.0</v>
      </c>
      <c r="M90" s="40"/>
      <c r="N90" s="38"/>
      <c r="O90" s="38"/>
      <c r="P90" s="40"/>
      <c r="Q90" s="38">
        <v>1.0</v>
      </c>
      <c r="R90" s="40"/>
      <c r="S90" s="40"/>
      <c r="T90" s="40"/>
      <c r="U90" s="40"/>
      <c r="V90" s="40"/>
      <c r="W90" s="40"/>
      <c r="X90" s="40"/>
      <c r="Y90" s="40"/>
      <c r="Z90" s="38"/>
      <c r="AA90" s="38">
        <v>1.0</v>
      </c>
      <c r="AB90" s="40"/>
      <c r="AC90" s="40"/>
      <c r="AD90" s="38">
        <v>1.0</v>
      </c>
      <c r="AE90" s="40"/>
      <c r="AF90" s="40"/>
      <c r="AG90" s="40"/>
      <c r="AH90" s="38">
        <v>1.0</v>
      </c>
      <c r="AI90" s="40"/>
      <c r="AJ90" s="40"/>
      <c r="AK90" s="40"/>
      <c r="AL90" s="38">
        <v>1.0</v>
      </c>
      <c r="AM90" s="40"/>
      <c r="AN90" s="40"/>
      <c r="AO90" s="40"/>
      <c r="AP90" s="40"/>
      <c r="AQ90" s="40"/>
      <c r="AR90" s="40"/>
      <c r="AS90" s="40"/>
      <c r="AT90" s="40"/>
      <c r="AU90" s="40"/>
      <c r="AV90" s="40"/>
      <c r="AW90" s="40"/>
      <c r="AX90" s="40"/>
      <c r="AY90" s="40"/>
      <c r="AZ90" s="38"/>
      <c r="BA90" s="38">
        <v>1.0</v>
      </c>
      <c r="BB90" s="40"/>
      <c r="BC90" s="40"/>
      <c r="BD90" s="38">
        <v>1.0</v>
      </c>
      <c r="BE90" s="40"/>
      <c r="BF90" s="40"/>
      <c r="BG90" s="40"/>
      <c r="BH90" s="40"/>
      <c r="BI90" s="40"/>
      <c r="BJ90" s="38">
        <v>1.0</v>
      </c>
      <c r="BK90" s="40"/>
      <c r="BL90" s="38">
        <v>1.0</v>
      </c>
      <c r="BM90" s="40"/>
      <c r="BN90" s="40"/>
      <c r="BO90" s="40"/>
      <c r="BP90" s="40"/>
      <c r="BQ90" s="40"/>
      <c r="BR90" s="40"/>
      <c r="BS90" s="40"/>
      <c r="BT90" s="40"/>
      <c r="BU90" s="40"/>
      <c r="BV90" s="40"/>
      <c r="BW90" s="40"/>
      <c r="BX90" s="40"/>
      <c r="BY90" s="38">
        <v>1.0</v>
      </c>
      <c r="BZ90" s="40"/>
      <c r="CA90" s="40"/>
      <c r="CB90" s="40"/>
      <c r="CC90" s="40"/>
      <c r="CD90" s="40"/>
      <c r="CE90" s="40"/>
      <c r="CF90" s="40"/>
      <c r="CG90" s="40"/>
      <c r="CH90" s="40"/>
      <c r="CI90" s="40"/>
      <c r="CJ90" s="40"/>
      <c r="CK90" s="40"/>
      <c r="CL90" s="40"/>
      <c r="CM90" s="40"/>
      <c r="CN90" s="40"/>
      <c r="CO90" s="40"/>
      <c r="CP90" s="40"/>
      <c r="CQ90" s="40"/>
      <c r="CR90" s="38">
        <v>1.0</v>
      </c>
      <c r="CS90" s="40"/>
      <c r="CT90" s="40"/>
      <c r="CU90" s="38">
        <v>1.0</v>
      </c>
      <c r="CV90" s="40"/>
      <c r="CW90" s="40"/>
      <c r="CX90" s="40"/>
      <c r="CY90" s="40"/>
      <c r="CZ90" s="40"/>
      <c r="DA90" s="40"/>
      <c r="DB90" s="40"/>
      <c r="DC90" s="40"/>
      <c r="DD90" s="40"/>
      <c r="DE90" s="38"/>
      <c r="DF90" s="38">
        <v>1.0</v>
      </c>
      <c r="DG90" s="40"/>
      <c r="DH90" s="40"/>
      <c r="DI90" s="40"/>
      <c r="DJ90" s="40"/>
      <c r="DK90" s="40"/>
      <c r="DL90" s="38">
        <v>1.0</v>
      </c>
      <c r="DM90" s="40"/>
      <c r="DN90" s="38">
        <v>1.0</v>
      </c>
      <c r="DO90" s="40"/>
      <c r="DP90" s="40"/>
      <c r="DQ90" s="38"/>
      <c r="DR90" s="38">
        <v>1.0</v>
      </c>
      <c r="DS90" s="40"/>
      <c r="DT90" s="40"/>
      <c r="DU90" s="40"/>
      <c r="DV90" s="40"/>
      <c r="DW90" s="40"/>
      <c r="DX90" s="40"/>
      <c r="DY90" s="40"/>
      <c r="DZ90" s="40"/>
      <c r="EA90" s="40"/>
      <c r="EB90" s="40"/>
      <c r="EC90" s="40"/>
      <c r="ED90" s="40"/>
      <c r="EE90" s="40"/>
      <c r="EF90" s="40"/>
      <c r="EG90" s="40"/>
      <c r="EH90" s="40"/>
      <c r="EI90" s="38">
        <v>1.0</v>
      </c>
      <c r="EJ90" s="40"/>
      <c r="EK90" s="40"/>
      <c r="EL90" s="40"/>
      <c r="EM90" s="40"/>
      <c r="EN90" s="40"/>
      <c r="EO90" s="40"/>
      <c r="EP90" s="40"/>
      <c r="EQ90" s="40"/>
      <c r="ER90" s="40"/>
      <c r="ES90" s="40"/>
      <c r="ET90" s="40"/>
      <c r="EU90" s="40"/>
      <c r="EV90" s="40"/>
      <c r="EW90" s="40"/>
      <c r="EX90" s="40"/>
      <c r="EY90" s="40"/>
      <c r="EZ90" s="40"/>
      <c r="FA90" s="38">
        <v>1.0</v>
      </c>
      <c r="FB90" s="40"/>
      <c r="FC90" s="40"/>
      <c r="FD90" s="40"/>
      <c r="FE90" s="40"/>
      <c r="FF90" s="40"/>
      <c r="FG90" s="40"/>
      <c r="FH90" s="40"/>
      <c r="FI90" s="40"/>
      <c r="FJ90" s="40"/>
      <c r="FK90" s="40"/>
      <c r="FL90" s="40"/>
      <c r="FM90" s="40"/>
      <c r="FN90" s="40"/>
      <c r="FO90" s="40"/>
      <c r="FP90" s="40"/>
      <c r="FQ90" s="40"/>
      <c r="FR90" s="38">
        <v>1.0</v>
      </c>
      <c r="FS90" s="40"/>
      <c r="FT90" s="40"/>
      <c r="FU90" s="38"/>
      <c r="FV90" s="38">
        <v>1.0</v>
      </c>
      <c r="FW90" s="40"/>
      <c r="FX90" s="40"/>
      <c r="FY90" s="40"/>
      <c r="FZ90" s="40"/>
      <c r="GA90" s="40"/>
      <c r="GB90" s="40"/>
      <c r="GC90" s="40"/>
      <c r="GD90" s="40"/>
      <c r="GE90" s="40"/>
      <c r="GF90" s="40"/>
    </row>
    <row r="91">
      <c r="A91" s="37">
        <v>42803.0</v>
      </c>
      <c r="B91" s="38" t="s">
        <v>244</v>
      </c>
      <c r="C91" s="38">
        <v>21.310612</v>
      </c>
      <c r="D91" s="38">
        <v>-158.00441</v>
      </c>
      <c r="E91" s="38" t="s">
        <v>326</v>
      </c>
      <c r="F91" s="39">
        <v>0.3958333333333333</v>
      </c>
      <c r="G91" s="39">
        <v>0.4791666666666667</v>
      </c>
      <c r="H91" s="38">
        <v>7.0</v>
      </c>
      <c r="I91" s="38">
        <v>14.0</v>
      </c>
      <c r="J91" s="38" t="s">
        <v>318</v>
      </c>
      <c r="K91" s="38">
        <v>5.0</v>
      </c>
      <c r="L91" s="38">
        <v>26.0</v>
      </c>
      <c r="M91" s="38" t="s">
        <v>327</v>
      </c>
      <c r="N91" s="38"/>
      <c r="O91" s="38"/>
      <c r="P91" s="40"/>
      <c r="Q91" s="38">
        <v>1.0</v>
      </c>
      <c r="R91" s="40"/>
      <c r="S91" s="40"/>
      <c r="T91" s="40"/>
      <c r="U91" s="40"/>
      <c r="V91" s="38"/>
      <c r="W91" s="38">
        <v>1.0</v>
      </c>
      <c r="X91" s="40"/>
      <c r="Y91" s="40"/>
      <c r="Z91" s="40"/>
      <c r="AA91" s="38">
        <v>1.0</v>
      </c>
      <c r="AB91" s="38">
        <v>1.0</v>
      </c>
      <c r="AC91" s="40"/>
      <c r="AD91" s="38">
        <v>1.0</v>
      </c>
      <c r="AE91" s="40"/>
      <c r="AF91" s="40"/>
      <c r="AG91" s="40"/>
      <c r="AH91" s="38">
        <v>1.0</v>
      </c>
      <c r="AI91" s="40"/>
      <c r="AJ91" s="40"/>
      <c r="AK91" s="40"/>
      <c r="AL91" s="40"/>
      <c r="AM91" s="40"/>
      <c r="AN91" s="40"/>
      <c r="AO91" s="40"/>
      <c r="AP91" s="40"/>
      <c r="AQ91" s="40"/>
      <c r="AR91" s="40"/>
      <c r="AS91" s="40"/>
      <c r="AT91" s="40"/>
      <c r="AU91" s="40"/>
      <c r="AV91" s="40"/>
      <c r="AW91" s="40"/>
      <c r="AX91" s="40"/>
      <c r="AY91" s="40"/>
      <c r="AZ91" s="40"/>
      <c r="BA91" s="40"/>
      <c r="BB91" s="40"/>
      <c r="BC91" s="40"/>
      <c r="BD91" s="38">
        <v>1.0</v>
      </c>
      <c r="BE91" s="40"/>
      <c r="BF91" s="40"/>
      <c r="BG91" s="40"/>
      <c r="BH91" s="40"/>
      <c r="BI91" s="40"/>
      <c r="BJ91" s="40"/>
      <c r="BK91" s="40"/>
      <c r="BL91" s="40"/>
      <c r="BM91" s="38">
        <v>1.0</v>
      </c>
      <c r="BN91" s="40"/>
      <c r="BO91" s="40"/>
      <c r="BP91" s="40"/>
      <c r="BQ91" s="40"/>
      <c r="BR91" s="40"/>
      <c r="BS91" s="40"/>
      <c r="BT91" s="40"/>
      <c r="BU91" s="38">
        <v>1.0</v>
      </c>
      <c r="BV91" s="40"/>
      <c r="BW91" s="40"/>
      <c r="BX91" s="40"/>
      <c r="BY91" s="38">
        <v>1.0</v>
      </c>
      <c r="BZ91" s="40"/>
      <c r="CA91" s="40"/>
      <c r="CB91" s="40"/>
      <c r="CC91" s="40"/>
      <c r="CD91" s="40"/>
      <c r="CE91" s="40"/>
      <c r="CF91" s="38"/>
      <c r="CG91" s="38">
        <v>1.0</v>
      </c>
      <c r="CH91" s="40"/>
      <c r="CI91" s="40"/>
      <c r="CJ91" s="40"/>
      <c r="CK91" s="40"/>
      <c r="CL91" s="40"/>
      <c r="CM91" s="40"/>
      <c r="CN91" s="40"/>
      <c r="CO91" s="40"/>
      <c r="CP91" s="40"/>
      <c r="CQ91" s="40"/>
      <c r="CR91" s="38">
        <v>1.0</v>
      </c>
      <c r="CS91" s="40"/>
      <c r="CT91" s="40"/>
      <c r="CU91" s="40"/>
      <c r="CV91" s="40"/>
      <c r="CW91" s="40"/>
      <c r="CX91" s="40"/>
      <c r="CY91" s="40"/>
      <c r="CZ91" s="40"/>
      <c r="DA91" s="40"/>
      <c r="DB91" s="40"/>
      <c r="DC91" s="40"/>
      <c r="DD91" s="40"/>
      <c r="DE91" s="38"/>
      <c r="DF91" s="38">
        <v>1.0</v>
      </c>
      <c r="DG91" s="40"/>
      <c r="DH91" s="40"/>
      <c r="DI91" s="38">
        <v>1.0</v>
      </c>
      <c r="DJ91" s="40"/>
      <c r="DK91" s="40"/>
      <c r="DL91" s="38">
        <v>1.0</v>
      </c>
      <c r="DM91" s="40"/>
      <c r="DN91" s="38">
        <v>1.0</v>
      </c>
      <c r="DO91" s="40"/>
      <c r="DP91" s="40"/>
      <c r="DQ91" s="40"/>
      <c r="DR91" s="40"/>
      <c r="DS91" s="38"/>
      <c r="DT91" s="38"/>
      <c r="DU91" s="38">
        <v>1.0</v>
      </c>
      <c r="DV91" s="40"/>
      <c r="DW91" s="40"/>
      <c r="DX91" s="40"/>
      <c r="DY91" s="40"/>
      <c r="DZ91" s="40"/>
      <c r="EA91" s="40"/>
      <c r="EB91" s="38">
        <v>1.0</v>
      </c>
      <c r="EC91" s="40"/>
      <c r="ED91" s="38"/>
      <c r="EE91" s="38">
        <v>1.0</v>
      </c>
      <c r="EF91" s="40"/>
      <c r="EG91" s="40"/>
      <c r="EH91" s="40"/>
      <c r="EI91" s="38">
        <v>1.0</v>
      </c>
      <c r="EJ91" s="40"/>
      <c r="EK91" s="40"/>
      <c r="EL91" s="40"/>
      <c r="EM91" s="40"/>
      <c r="EN91" s="40"/>
      <c r="EO91" s="40"/>
      <c r="EP91" s="40"/>
      <c r="EQ91" s="40"/>
      <c r="ER91" s="40"/>
      <c r="ES91" s="40"/>
      <c r="ET91" s="40"/>
      <c r="EU91" s="40"/>
      <c r="EV91" s="38">
        <v>1.0</v>
      </c>
      <c r="EW91" s="40"/>
      <c r="EX91" s="40"/>
      <c r="EY91" s="40"/>
      <c r="EZ91" s="40"/>
      <c r="FA91" s="40"/>
      <c r="FB91" s="40"/>
      <c r="FC91" s="40"/>
      <c r="FD91" s="40"/>
      <c r="FE91" s="40"/>
      <c r="FF91" s="40"/>
      <c r="FG91" s="40"/>
      <c r="FH91" s="38">
        <v>1.0</v>
      </c>
      <c r="FI91" s="40"/>
      <c r="FJ91" s="40"/>
      <c r="FK91" s="40"/>
      <c r="FL91" s="40"/>
      <c r="FM91" s="40"/>
      <c r="FN91" s="40"/>
      <c r="FO91" s="40"/>
      <c r="FP91" s="40"/>
      <c r="FQ91" s="38">
        <v>1.0</v>
      </c>
      <c r="FR91" s="38">
        <v>1.0</v>
      </c>
      <c r="FS91" s="40"/>
      <c r="FT91" s="40"/>
      <c r="FU91" s="40"/>
      <c r="FV91" s="40"/>
      <c r="FW91" s="40"/>
      <c r="FX91" s="40"/>
      <c r="FY91" s="40"/>
      <c r="FZ91" s="40"/>
      <c r="GA91" s="40"/>
      <c r="GB91" s="38">
        <v>1.0</v>
      </c>
      <c r="GC91" s="38">
        <v>1.0</v>
      </c>
      <c r="GD91" s="40"/>
      <c r="GE91" s="40"/>
      <c r="GF91" s="40"/>
    </row>
    <row r="92">
      <c r="A92" s="37">
        <v>42804.0</v>
      </c>
      <c r="B92" s="38" t="s">
        <v>329</v>
      </c>
      <c r="C92" s="38">
        <v>21.1408</v>
      </c>
      <c r="D92" s="38">
        <v>-157.290115</v>
      </c>
      <c r="E92" s="38" t="s">
        <v>330</v>
      </c>
      <c r="F92" s="39">
        <v>0.4375</v>
      </c>
      <c r="G92" s="39">
        <v>0.4673611111111111</v>
      </c>
      <c r="H92" s="38">
        <v>6.0</v>
      </c>
      <c r="I92" s="38">
        <v>10.0</v>
      </c>
      <c r="J92" s="38" t="s">
        <v>318</v>
      </c>
      <c r="K92" s="38">
        <v>5.0</v>
      </c>
      <c r="L92" s="38">
        <v>27.0</v>
      </c>
      <c r="M92" s="38" t="s">
        <v>331</v>
      </c>
      <c r="N92" s="38"/>
      <c r="O92" s="38"/>
      <c r="P92" s="40"/>
      <c r="Q92" s="40"/>
      <c r="R92" s="40"/>
      <c r="S92" s="40"/>
      <c r="T92" s="40"/>
      <c r="U92" s="40"/>
      <c r="V92" s="40"/>
      <c r="W92" s="40"/>
      <c r="X92" s="40"/>
      <c r="Y92" s="40"/>
      <c r="Z92" s="40"/>
      <c r="AA92" s="40"/>
      <c r="AB92" s="38">
        <v>1.0</v>
      </c>
      <c r="AC92" s="40"/>
      <c r="AD92" s="40"/>
      <c r="AE92" s="40"/>
      <c r="AF92" s="40"/>
      <c r="AG92" s="40"/>
      <c r="AH92" s="40"/>
      <c r="AI92" s="40"/>
      <c r="AJ92" s="40"/>
      <c r="AK92" s="40"/>
      <c r="AL92" s="40"/>
      <c r="AM92" s="40"/>
      <c r="AN92" s="40"/>
      <c r="AO92" s="40"/>
      <c r="AP92" s="40"/>
      <c r="AQ92" s="40"/>
      <c r="AR92" s="40"/>
      <c r="AS92" s="40"/>
      <c r="AT92" s="40"/>
      <c r="AU92" s="40"/>
      <c r="AV92" s="40"/>
      <c r="AW92" s="40"/>
      <c r="AX92" s="40"/>
      <c r="AY92" s="40"/>
      <c r="AZ92" s="40"/>
      <c r="BA92" s="40"/>
      <c r="BB92" s="40"/>
      <c r="BC92" s="40"/>
      <c r="BD92" s="40"/>
      <c r="BE92" s="40"/>
      <c r="BF92" s="40"/>
      <c r="BG92" s="40"/>
      <c r="BH92" s="40"/>
      <c r="BI92" s="40"/>
      <c r="BJ92" s="40"/>
      <c r="BK92" s="40"/>
      <c r="BL92" s="38">
        <v>1.0</v>
      </c>
      <c r="BM92" s="40"/>
      <c r="BN92" s="40"/>
      <c r="BO92" s="40"/>
      <c r="BP92" s="40"/>
      <c r="BQ92" s="40"/>
      <c r="BR92" s="40"/>
      <c r="BS92" s="40"/>
      <c r="BT92" s="40"/>
      <c r="BU92" s="40"/>
      <c r="BV92" s="40"/>
      <c r="BW92" s="40"/>
      <c r="BX92" s="40"/>
      <c r="BY92" s="40"/>
      <c r="BZ92" s="40"/>
      <c r="CA92" s="40"/>
      <c r="CB92" s="40"/>
      <c r="CC92" s="40"/>
      <c r="CD92" s="40"/>
      <c r="CE92" s="40"/>
      <c r="CF92" s="38"/>
      <c r="CG92" s="38">
        <v>1.0</v>
      </c>
      <c r="CH92" s="40"/>
      <c r="CI92" s="40"/>
      <c r="CJ92" s="40"/>
      <c r="CK92" s="40"/>
      <c r="CL92" s="40"/>
      <c r="CM92" s="40"/>
      <c r="CN92" s="40"/>
      <c r="CO92" s="40"/>
      <c r="CP92" s="40"/>
      <c r="CQ92" s="40"/>
      <c r="CR92" s="38">
        <v>1.0</v>
      </c>
      <c r="CS92" s="40"/>
      <c r="CT92" s="40"/>
      <c r="CU92" s="40"/>
      <c r="CV92" s="40"/>
      <c r="CW92" s="40"/>
      <c r="CX92" s="40"/>
      <c r="CY92" s="40"/>
      <c r="CZ92" s="40"/>
      <c r="DA92" s="40"/>
      <c r="DB92" s="40"/>
      <c r="DC92" s="40"/>
      <c r="DD92" s="40"/>
      <c r="DE92" s="40"/>
      <c r="DF92" s="40"/>
      <c r="DG92" s="40"/>
      <c r="DH92" s="40"/>
      <c r="DI92" s="40"/>
      <c r="DJ92" s="40"/>
      <c r="DK92" s="40"/>
      <c r="DL92" s="40"/>
      <c r="DM92" s="40"/>
      <c r="DN92" s="38">
        <v>1.0</v>
      </c>
      <c r="DO92" s="40"/>
      <c r="DP92" s="40"/>
      <c r="DQ92" s="40"/>
      <c r="DR92" s="40"/>
      <c r="DS92" s="40"/>
      <c r="DT92" s="40"/>
      <c r="DU92" s="40"/>
      <c r="DV92" s="40"/>
      <c r="DW92" s="40"/>
      <c r="DX92" s="40"/>
      <c r="DY92" s="40"/>
      <c r="DZ92" s="40"/>
      <c r="EA92" s="40"/>
      <c r="EB92" s="40"/>
      <c r="EC92" s="40"/>
      <c r="ED92" s="40"/>
      <c r="EE92" s="40"/>
      <c r="EF92" s="40"/>
      <c r="EG92" s="40"/>
      <c r="EH92" s="40"/>
      <c r="EI92" s="38">
        <v>1.0</v>
      </c>
      <c r="EJ92" s="40"/>
      <c r="EK92" s="40"/>
      <c r="EL92" s="40"/>
      <c r="EM92" s="40"/>
      <c r="EN92" s="40"/>
      <c r="EO92" s="40"/>
      <c r="EP92" s="40"/>
      <c r="EQ92" s="40"/>
      <c r="ER92" s="40"/>
      <c r="ES92" s="40"/>
      <c r="ET92" s="40"/>
      <c r="EU92" s="40"/>
      <c r="EV92" s="40"/>
      <c r="EW92" s="40"/>
      <c r="EX92" s="40"/>
      <c r="EY92" s="40"/>
      <c r="EZ92" s="40"/>
      <c r="FA92" s="38">
        <v>1.0</v>
      </c>
      <c r="FB92" s="40"/>
      <c r="FC92" s="40"/>
      <c r="FD92" s="40"/>
      <c r="FE92" s="40"/>
      <c r="FF92" s="40"/>
      <c r="FG92" s="40"/>
      <c r="FH92" s="40"/>
      <c r="FI92" s="40"/>
      <c r="FJ92" s="40"/>
      <c r="FK92" s="40"/>
      <c r="FL92" s="40"/>
      <c r="FM92" s="40"/>
      <c r="FN92" s="40"/>
      <c r="FO92" s="40"/>
      <c r="FP92" s="40"/>
      <c r="FQ92" s="40"/>
      <c r="FR92" s="38">
        <v>1.0</v>
      </c>
      <c r="FS92" s="40"/>
      <c r="FT92" s="38">
        <v>1.0</v>
      </c>
      <c r="FU92" s="40"/>
      <c r="FV92" s="40"/>
      <c r="FW92" s="40"/>
      <c r="FX92" s="40"/>
      <c r="FY92" s="40"/>
      <c r="FZ92" s="40"/>
      <c r="GA92" s="40"/>
      <c r="GB92" s="40"/>
      <c r="GC92" s="40"/>
      <c r="GD92" s="40"/>
      <c r="GE92" s="40"/>
      <c r="GF92" s="40"/>
    </row>
    <row r="93">
      <c r="A93" s="23">
        <v>42804.0</v>
      </c>
      <c r="B93" s="4" t="s">
        <v>201</v>
      </c>
      <c r="C93" s="4">
        <v>21.25544</v>
      </c>
      <c r="D93" s="4">
        <v>-157.810303</v>
      </c>
      <c r="E93" s="4" t="s">
        <v>325</v>
      </c>
      <c r="F93" s="24">
        <v>0.4166666666666667</v>
      </c>
      <c r="G93" s="24">
        <v>0.4583333333333333</v>
      </c>
      <c r="H93" s="4">
        <v>6.0</v>
      </c>
      <c r="I93" s="4">
        <v>5.0</v>
      </c>
      <c r="J93" s="4" t="s">
        <v>318</v>
      </c>
      <c r="K93" s="4">
        <v>5.0</v>
      </c>
      <c r="L93" s="4">
        <v>24.0</v>
      </c>
      <c r="M93" s="4" t="s">
        <v>332</v>
      </c>
      <c r="N93" s="4" t="s">
        <v>288</v>
      </c>
      <c r="BX93" s="4">
        <v>1.0</v>
      </c>
      <c r="BY93" s="4">
        <v>1.0</v>
      </c>
      <c r="CR93" s="4">
        <v>1.0</v>
      </c>
      <c r="DA93" s="4"/>
      <c r="DB93" s="4">
        <v>1.0</v>
      </c>
      <c r="DI93" s="4">
        <v>1.0</v>
      </c>
      <c r="DK93" s="4">
        <v>1.0</v>
      </c>
      <c r="DL93" s="4">
        <v>1.0</v>
      </c>
      <c r="DQ93" s="4"/>
      <c r="DR93" s="4">
        <v>1.0</v>
      </c>
      <c r="EI93" s="4">
        <v>1.0</v>
      </c>
      <c r="FA93" s="4">
        <v>1.0</v>
      </c>
      <c r="FH93" s="4">
        <v>1.0</v>
      </c>
      <c r="FQ93" s="4">
        <v>1.0</v>
      </c>
      <c r="FR93" s="4">
        <v>1.0</v>
      </c>
    </row>
    <row r="94">
      <c r="A94" s="37">
        <v>42804.0</v>
      </c>
      <c r="B94" s="38" t="s">
        <v>219</v>
      </c>
      <c r="C94" s="38">
        <v>21.295799</v>
      </c>
      <c r="D94" s="38">
        <v>-158.103699</v>
      </c>
      <c r="E94" s="38" t="s">
        <v>333</v>
      </c>
      <c r="F94" s="39">
        <v>0.3854166666666667</v>
      </c>
      <c r="G94" s="39">
        <v>0.4479166666666667</v>
      </c>
      <c r="H94" s="38">
        <v>7.0</v>
      </c>
      <c r="I94" s="38">
        <v>10.0</v>
      </c>
      <c r="J94" s="38" t="s">
        <v>318</v>
      </c>
      <c r="K94" s="38">
        <v>5.0</v>
      </c>
      <c r="L94" s="38">
        <v>31.0</v>
      </c>
      <c r="M94" s="38" t="s">
        <v>334</v>
      </c>
      <c r="N94" s="38"/>
      <c r="O94" s="38"/>
      <c r="P94" s="40"/>
      <c r="Q94" s="38">
        <v>1.0</v>
      </c>
      <c r="R94" s="38">
        <v>1.0</v>
      </c>
      <c r="S94" s="40"/>
      <c r="T94" s="40"/>
      <c r="U94" s="40"/>
      <c r="V94" s="40"/>
      <c r="W94" s="40"/>
      <c r="X94" s="40"/>
      <c r="Y94" s="40"/>
      <c r="Z94" s="38"/>
      <c r="AA94" s="38">
        <v>1.0</v>
      </c>
      <c r="AB94" s="38">
        <v>1.0</v>
      </c>
      <c r="AC94" s="38">
        <v>1.0</v>
      </c>
      <c r="AD94" s="38">
        <v>1.0</v>
      </c>
      <c r="AE94" s="40"/>
      <c r="AF94" s="40"/>
      <c r="AG94" s="40"/>
      <c r="AH94" s="38">
        <v>1.0</v>
      </c>
      <c r="AI94" s="40"/>
      <c r="AJ94" s="40"/>
      <c r="AK94" s="40"/>
      <c r="AL94" s="40"/>
      <c r="AM94" s="40"/>
      <c r="AN94" s="40"/>
      <c r="AO94" s="40"/>
      <c r="AP94" s="40"/>
      <c r="AQ94" s="40"/>
      <c r="AR94" s="40"/>
      <c r="AS94" s="38">
        <v>1.0</v>
      </c>
      <c r="AT94" s="40"/>
      <c r="AU94" s="40"/>
      <c r="AV94" s="40"/>
      <c r="AW94" s="40"/>
      <c r="AX94" s="40"/>
      <c r="AY94" s="40"/>
      <c r="AZ94" s="40"/>
      <c r="BA94" s="40"/>
      <c r="BB94" s="38">
        <v>1.0</v>
      </c>
      <c r="BC94" s="38">
        <v>1.0</v>
      </c>
      <c r="BD94" s="38">
        <v>1.0</v>
      </c>
      <c r="BE94" s="40"/>
      <c r="BF94" s="40"/>
      <c r="BG94" s="38">
        <v>1.0</v>
      </c>
      <c r="BH94" s="40"/>
      <c r="BI94" s="40"/>
      <c r="BJ94" s="40"/>
      <c r="BK94" s="40"/>
      <c r="BL94" s="38">
        <v>1.0</v>
      </c>
      <c r="BM94" s="38">
        <v>1.0</v>
      </c>
      <c r="BN94" s="40"/>
      <c r="BO94" s="40"/>
      <c r="BP94" s="38">
        <v>1.0</v>
      </c>
      <c r="BQ94" s="40"/>
      <c r="BR94" s="40"/>
      <c r="BS94" s="40"/>
      <c r="BT94" s="40"/>
      <c r="BU94" s="38">
        <v>1.0</v>
      </c>
      <c r="BV94" s="40"/>
      <c r="BW94" s="40"/>
      <c r="BX94" s="40"/>
      <c r="BY94" s="38">
        <v>1.0</v>
      </c>
      <c r="BZ94" s="40"/>
      <c r="CA94" s="40"/>
      <c r="CB94" s="38">
        <v>1.0</v>
      </c>
      <c r="CC94" s="40"/>
      <c r="CD94" s="40"/>
      <c r="CE94" s="40"/>
      <c r="CF94" s="40"/>
      <c r="CG94" s="40"/>
      <c r="CH94" s="40"/>
      <c r="CI94" s="40"/>
      <c r="CJ94" s="40"/>
      <c r="CK94" s="40"/>
      <c r="CL94" s="40"/>
      <c r="CM94" s="40"/>
      <c r="CN94" s="40"/>
      <c r="CO94" s="40"/>
      <c r="CP94" s="40"/>
      <c r="CQ94" s="40"/>
      <c r="CR94" s="38">
        <v>1.0</v>
      </c>
      <c r="CS94" s="40"/>
      <c r="CT94" s="40"/>
      <c r="CU94" s="40"/>
      <c r="CV94" s="40"/>
      <c r="CW94" s="40"/>
      <c r="CX94" s="40"/>
      <c r="CY94" s="40"/>
      <c r="CZ94" s="40"/>
      <c r="DA94" s="40"/>
      <c r="DB94" s="40"/>
      <c r="DC94" s="38">
        <v>1.0</v>
      </c>
      <c r="DD94" s="40"/>
      <c r="DE94" s="38"/>
      <c r="DF94" s="38">
        <v>1.0</v>
      </c>
      <c r="DG94" s="40"/>
      <c r="DH94" s="40"/>
      <c r="DI94" s="40"/>
      <c r="DJ94" s="40"/>
      <c r="DK94" s="40"/>
      <c r="DL94" s="38">
        <v>1.0</v>
      </c>
      <c r="DM94" s="40"/>
      <c r="DN94" s="40"/>
      <c r="DO94" s="40"/>
      <c r="DP94" s="40"/>
      <c r="DQ94" s="38"/>
      <c r="DR94" s="38">
        <v>1.0</v>
      </c>
      <c r="DS94" s="40"/>
      <c r="DT94" s="40"/>
      <c r="DU94" s="40"/>
      <c r="DV94" s="40"/>
      <c r="DW94" s="40"/>
      <c r="DX94" s="40"/>
      <c r="DY94" s="38">
        <v>1.0</v>
      </c>
      <c r="DZ94" s="40"/>
      <c r="EA94" s="40"/>
      <c r="EB94" s="38">
        <v>1.0</v>
      </c>
      <c r="EC94" s="40"/>
      <c r="ED94" s="40"/>
      <c r="EE94" s="40"/>
      <c r="EF94" s="40"/>
      <c r="EG94" s="40"/>
      <c r="EH94" s="40"/>
      <c r="EI94" s="38">
        <v>1.0</v>
      </c>
      <c r="EJ94" s="38">
        <v>1.0</v>
      </c>
      <c r="EK94" s="40"/>
      <c r="EL94" s="40"/>
      <c r="EM94" s="40"/>
      <c r="EN94" s="40"/>
      <c r="EO94" s="40"/>
      <c r="EP94" s="40"/>
      <c r="EQ94" s="40"/>
      <c r="ER94" s="40"/>
      <c r="ES94" s="40"/>
      <c r="ET94" s="40"/>
      <c r="EU94" s="40"/>
      <c r="EV94" s="40"/>
      <c r="EW94" s="40"/>
      <c r="EX94" s="40"/>
      <c r="EY94" s="40"/>
      <c r="EZ94" s="40"/>
      <c r="FA94" s="38">
        <v>1.0</v>
      </c>
      <c r="FB94" s="40"/>
      <c r="FC94" s="40"/>
      <c r="FD94" s="40"/>
      <c r="FE94" s="38">
        <v>1.0</v>
      </c>
      <c r="FF94" s="40"/>
      <c r="FG94" s="40"/>
      <c r="FH94" s="38">
        <v>1.0</v>
      </c>
      <c r="FI94" s="40"/>
      <c r="FJ94" s="40"/>
      <c r="FK94" s="40"/>
      <c r="FL94" s="40"/>
      <c r="FM94" s="40"/>
      <c r="FN94" s="40"/>
      <c r="FO94" s="40"/>
      <c r="FP94" s="40"/>
      <c r="FQ94" s="38">
        <v>1.0</v>
      </c>
      <c r="FR94" s="38">
        <v>1.0</v>
      </c>
      <c r="FS94" s="40"/>
      <c r="FT94" s="40"/>
      <c r="FU94" s="40"/>
      <c r="FV94" s="40"/>
      <c r="FW94" s="40"/>
      <c r="FX94" s="40"/>
      <c r="FY94" s="40"/>
      <c r="FZ94" s="40"/>
      <c r="GA94" s="40"/>
      <c r="GB94" s="40"/>
      <c r="GC94" s="40"/>
      <c r="GD94" s="40"/>
      <c r="GE94" s="40"/>
      <c r="GF94" s="40"/>
    </row>
    <row r="95">
      <c r="A95" s="23">
        <v>42806.0</v>
      </c>
      <c r="B95" s="4" t="s">
        <v>293</v>
      </c>
      <c r="C95" s="4">
        <v>19.738602</v>
      </c>
      <c r="D95" s="4">
        <v>-155.038879</v>
      </c>
      <c r="E95" s="4" t="s">
        <v>197</v>
      </c>
      <c r="F95" s="24">
        <v>0.3993055555555556</v>
      </c>
      <c r="G95" s="24">
        <v>0.43333333333333335</v>
      </c>
      <c r="H95" s="4">
        <v>6.0</v>
      </c>
      <c r="I95" s="4">
        <v>12.0</v>
      </c>
      <c r="J95" s="4" t="s">
        <v>198</v>
      </c>
      <c r="K95" s="4">
        <v>7.0</v>
      </c>
      <c r="L95" s="4">
        <v>32.0</v>
      </c>
      <c r="M95" s="4" t="s">
        <v>336</v>
      </c>
      <c r="Q95" s="4">
        <v>1.0</v>
      </c>
      <c r="Z95" s="4"/>
      <c r="AA95" s="4">
        <v>1.0</v>
      </c>
      <c r="AF95" s="4">
        <v>1.0</v>
      </c>
      <c r="AL95" s="4">
        <v>1.0</v>
      </c>
      <c r="BJ95" s="4">
        <v>1.0</v>
      </c>
      <c r="BL95" s="4">
        <v>1.0</v>
      </c>
      <c r="BQ95" s="4">
        <v>1.0</v>
      </c>
      <c r="BV95" s="4">
        <v>1.0</v>
      </c>
      <c r="CB95" s="4">
        <v>1.0</v>
      </c>
      <c r="CF95" s="4"/>
      <c r="CG95" s="4">
        <v>1.0</v>
      </c>
      <c r="CN95" s="4">
        <v>1.0</v>
      </c>
      <c r="DE95" s="4"/>
      <c r="DF95" s="4">
        <v>1.0</v>
      </c>
      <c r="DH95" s="4">
        <v>1.0</v>
      </c>
      <c r="EI95" s="4">
        <v>1.0</v>
      </c>
      <c r="EO95" s="4">
        <v>1.0</v>
      </c>
      <c r="EQ95" s="4">
        <v>1.0</v>
      </c>
      <c r="FL95" s="4">
        <v>1.0</v>
      </c>
      <c r="FR95" s="4">
        <v>1.0</v>
      </c>
      <c r="FS95" s="4">
        <v>1.0</v>
      </c>
    </row>
    <row r="96">
      <c r="A96" s="23">
        <v>42810.0</v>
      </c>
      <c r="B96" s="4" t="s">
        <v>337</v>
      </c>
      <c r="C96" s="4">
        <v>19.957188</v>
      </c>
      <c r="D96" s="4">
        <v>-155.859497</v>
      </c>
      <c r="E96" s="4" t="s">
        <v>313</v>
      </c>
      <c r="F96" s="24">
        <v>0.48055555555555557</v>
      </c>
      <c r="G96" s="24">
        <v>0.5520833333333334</v>
      </c>
      <c r="H96" s="4">
        <v>3.0</v>
      </c>
      <c r="I96" s="4">
        <v>10.0</v>
      </c>
      <c r="J96" s="4" t="s">
        <v>318</v>
      </c>
      <c r="K96" s="4">
        <v>10.0</v>
      </c>
      <c r="L96" s="4">
        <v>30.0</v>
      </c>
      <c r="Z96" s="4"/>
      <c r="AA96" s="4">
        <v>1.0</v>
      </c>
      <c r="AK96" s="4">
        <v>1.0</v>
      </c>
      <c r="AL96" s="4">
        <v>1.0</v>
      </c>
      <c r="AM96" s="4">
        <v>1.0</v>
      </c>
      <c r="BG96" s="4">
        <v>1.0</v>
      </c>
      <c r="BL96" s="4">
        <v>1.0</v>
      </c>
      <c r="BX96" s="4">
        <v>1.0</v>
      </c>
      <c r="CB96" s="4">
        <v>1.0</v>
      </c>
      <c r="CC96" s="4">
        <v>1.0</v>
      </c>
      <c r="CJ96" s="4">
        <v>1.0</v>
      </c>
      <c r="CT96" s="4">
        <v>1.0</v>
      </c>
      <c r="DG96" s="4">
        <v>1.0</v>
      </c>
      <c r="DQ96" s="4"/>
      <c r="DR96" s="4">
        <v>1.0</v>
      </c>
      <c r="EA96" s="4">
        <v>1.0</v>
      </c>
      <c r="EI96" s="4">
        <v>1.0</v>
      </c>
      <c r="EV96" s="4">
        <v>1.0</v>
      </c>
      <c r="FA96" s="4">
        <v>1.0</v>
      </c>
      <c r="FQ96" s="4">
        <v>1.0</v>
      </c>
      <c r="FR96" s="4">
        <v>1.0</v>
      </c>
    </row>
    <row r="97">
      <c r="A97" s="41">
        <v>42822.0</v>
      </c>
      <c r="B97" s="42" t="s">
        <v>216</v>
      </c>
      <c r="C97" s="42">
        <v>21.3002</v>
      </c>
      <c r="D97" s="42">
        <v>-157.882599</v>
      </c>
      <c r="E97" s="42" t="s">
        <v>413</v>
      </c>
      <c r="F97" s="43">
        <v>0.4027777777777778</v>
      </c>
      <c r="G97" s="43">
        <v>0.4583333333333333</v>
      </c>
      <c r="H97" s="42">
        <v>6.0</v>
      </c>
      <c r="I97" s="42">
        <v>14.7</v>
      </c>
      <c r="J97" s="42" t="s">
        <v>198</v>
      </c>
      <c r="K97" s="42">
        <v>5.0</v>
      </c>
      <c r="L97" s="42">
        <v>19.0</v>
      </c>
      <c r="M97" s="42" t="s">
        <v>414</v>
      </c>
      <c r="N97" s="44"/>
      <c r="O97" s="42"/>
      <c r="P97" s="44"/>
      <c r="Q97" s="42"/>
      <c r="R97" s="44"/>
      <c r="S97" s="44"/>
      <c r="T97" s="44"/>
      <c r="U97" s="44"/>
      <c r="V97" s="44"/>
      <c r="W97" s="44"/>
      <c r="X97" s="44"/>
      <c r="Y97" s="44"/>
      <c r="Z97" s="44"/>
      <c r="AA97" s="42">
        <v>1.0</v>
      </c>
      <c r="AB97" s="44"/>
      <c r="AC97" s="44"/>
      <c r="AD97" s="44"/>
      <c r="AE97" s="44"/>
      <c r="AF97" s="44"/>
      <c r="AG97" s="44"/>
      <c r="AH97" s="42">
        <v>1.0</v>
      </c>
      <c r="AI97" s="44"/>
      <c r="AJ97" s="44"/>
      <c r="AK97" s="42">
        <v>1.0</v>
      </c>
      <c r="AL97" s="44"/>
      <c r="AM97" s="44"/>
      <c r="AN97" s="44"/>
      <c r="AO97" s="44"/>
      <c r="AP97" s="44"/>
      <c r="AQ97" s="44"/>
      <c r="AR97" s="44"/>
      <c r="AS97" s="44"/>
      <c r="AT97" s="44"/>
      <c r="AU97" s="44"/>
      <c r="AV97" s="44"/>
      <c r="AW97" s="44"/>
      <c r="AX97" s="44"/>
      <c r="AY97" s="44"/>
      <c r="AZ97" s="44"/>
      <c r="BA97" s="44"/>
      <c r="BB97" s="44"/>
      <c r="BC97" s="44"/>
      <c r="BD97" s="42">
        <v>1.0</v>
      </c>
      <c r="BE97" s="44"/>
      <c r="BF97" s="44"/>
      <c r="BG97" s="42">
        <v>1.0</v>
      </c>
      <c r="BH97" s="44"/>
      <c r="BI97" s="44"/>
      <c r="BJ97" s="44"/>
      <c r="BK97" s="44"/>
      <c r="BL97" s="42">
        <v>1.0</v>
      </c>
      <c r="BM97" s="44"/>
      <c r="BN97" s="44"/>
      <c r="BO97" s="44"/>
      <c r="BP97" s="44"/>
      <c r="BQ97" s="44"/>
      <c r="BR97" s="44"/>
      <c r="BS97" s="44"/>
      <c r="BT97" s="44"/>
      <c r="BU97" s="42"/>
      <c r="BV97" s="42">
        <v>1.0</v>
      </c>
      <c r="BW97" s="44"/>
      <c r="BX97" s="44"/>
      <c r="BY97" s="42"/>
      <c r="BZ97" s="44"/>
      <c r="CA97" s="44"/>
      <c r="CB97" s="44"/>
      <c r="CC97" s="44"/>
      <c r="CD97" s="44"/>
      <c r="CE97" s="44"/>
      <c r="CF97" s="44"/>
      <c r="CG97" s="44"/>
      <c r="CH97" s="44"/>
      <c r="CI97" s="44"/>
      <c r="CJ97" s="44"/>
      <c r="CK97" s="44"/>
      <c r="CL97" s="44"/>
      <c r="CM97" s="44"/>
      <c r="CN97" s="44"/>
      <c r="CO97" s="44"/>
      <c r="CP97" s="44"/>
      <c r="CQ97" s="44"/>
      <c r="CR97" s="44"/>
      <c r="CS97" s="44"/>
      <c r="CT97" s="44"/>
      <c r="CU97" s="44"/>
      <c r="CV97" s="44"/>
      <c r="CW97" s="44"/>
      <c r="CX97" s="44"/>
      <c r="CY97" s="44"/>
      <c r="CZ97" s="44"/>
      <c r="DA97" s="44"/>
      <c r="DB97" s="44"/>
      <c r="DC97" s="44"/>
      <c r="DD97" s="44"/>
      <c r="DE97" s="42"/>
      <c r="DF97" s="42"/>
      <c r="DG97" s="44"/>
      <c r="DH97" s="44"/>
      <c r="DI97" s="44"/>
      <c r="DJ97" s="44"/>
      <c r="DK97" s="44"/>
      <c r="DL97" s="42"/>
      <c r="DM97" s="44"/>
      <c r="DN97" s="44"/>
      <c r="DO97" s="44"/>
      <c r="DP97" s="44"/>
      <c r="DQ97" s="42"/>
      <c r="DR97" s="42"/>
      <c r="DS97" s="44"/>
      <c r="DT97" s="44"/>
      <c r="DU97" s="44"/>
      <c r="DV97" s="44"/>
      <c r="DW97" s="44"/>
      <c r="DX97" s="44"/>
      <c r="DY97" s="44"/>
      <c r="DZ97" s="44"/>
      <c r="EA97" s="44"/>
      <c r="EB97" s="42">
        <v>1.0</v>
      </c>
      <c r="EC97" s="44"/>
      <c r="ED97" s="44"/>
      <c r="EE97" s="44"/>
      <c r="EF97" s="44"/>
      <c r="EG97" s="44"/>
      <c r="EH97" s="44"/>
      <c r="EI97" s="42"/>
      <c r="EJ97" s="44"/>
      <c r="EK97" s="44"/>
      <c r="EL97" s="44"/>
      <c r="EM97" s="44"/>
      <c r="EN97" s="44"/>
      <c r="EO97" s="44"/>
      <c r="EP97" s="44"/>
      <c r="EQ97" s="44"/>
      <c r="ER97" s="44"/>
      <c r="ES97" s="44"/>
      <c r="ET97" s="44"/>
      <c r="EU97" s="44"/>
      <c r="EV97" s="44"/>
      <c r="EW97" s="44"/>
      <c r="EX97" s="44"/>
      <c r="EY97" s="44"/>
      <c r="EZ97" s="44"/>
      <c r="FA97" s="42"/>
      <c r="FB97" s="44"/>
      <c r="FC97" s="44"/>
      <c r="FD97" s="44"/>
      <c r="FE97" s="44"/>
      <c r="FF97" s="44"/>
      <c r="FG97" s="44"/>
      <c r="FH97" s="44"/>
      <c r="FI97" s="44"/>
      <c r="FJ97" s="44"/>
      <c r="FK97" s="44"/>
      <c r="FL97" s="44"/>
      <c r="FM97" s="44"/>
      <c r="FN97" s="44"/>
      <c r="FO97" s="44"/>
      <c r="FP97" s="44"/>
      <c r="FQ97" s="44"/>
      <c r="FR97" s="42">
        <v>1.0</v>
      </c>
      <c r="FS97" s="44"/>
      <c r="FT97" s="44"/>
      <c r="FU97" s="44"/>
      <c r="FV97" s="44"/>
      <c r="FW97" s="44"/>
      <c r="FX97" s="44"/>
      <c r="FY97" s="44"/>
      <c r="FZ97" s="44"/>
      <c r="GA97" s="44"/>
      <c r="GB97" s="44"/>
      <c r="GC97" s="44"/>
      <c r="GD97" s="44"/>
      <c r="GE97" s="44"/>
      <c r="GF97" s="44"/>
    </row>
    <row r="98">
      <c r="A98" s="23">
        <v>42823.0</v>
      </c>
      <c r="B98" s="4" t="s">
        <v>244</v>
      </c>
      <c r="C98" s="4">
        <v>21.310612</v>
      </c>
      <c r="D98" s="4">
        <v>-158.00441</v>
      </c>
      <c r="E98" s="4" t="s">
        <v>278</v>
      </c>
      <c r="F98" s="24">
        <v>0.3854166666666667</v>
      </c>
      <c r="G98" s="24">
        <v>0.46875</v>
      </c>
      <c r="H98" s="4">
        <v>6.0</v>
      </c>
      <c r="I98" s="4">
        <v>10.0</v>
      </c>
      <c r="J98" s="4" t="s">
        <v>198</v>
      </c>
      <c r="K98" s="4">
        <v>5.0</v>
      </c>
      <c r="L98" s="4">
        <v>26.0</v>
      </c>
      <c r="M98" s="4" t="s">
        <v>338</v>
      </c>
      <c r="Q98" s="4">
        <v>1.0</v>
      </c>
      <c r="AH98" s="4">
        <v>1.0</v>
      </c>
      <c r="BL98" s="4">
        <v>1.0</v>
      </c>
      <c r="BU98" s="4">
        <v>1.0</v>
      </c>
      <c r="BY98" s="4">
        <v>1.0</v>
      </c>
      <c r="DE98" s="4"/>
      <c r="DF98" s="4">
        <v>1.0</v>
      </c>
      <c r="DL98" s="4">
        <v>1.0</v>
      </c>
      <c r="DQ98" s="4"/>
      <c r="DR98" s="4">
        <v>1.0</v>
      </c>
      <c r="EI98" s="4">
        <v>1.0</v>
      </c>
      <c r="FA98" s="4">
        <v>1.0</v>
      </c>
      <c r="FR98" s="4">
        <v>1.0</v>
      </c>
    </row>
    <row r="99">
      <c r="A99" s="41">
        <v>42825.0</v>
      </c>
      <c r="B99" s="42" t="s">
        <v>246</v>
      </c>
      <c r="C99" s="42">
        <v>21.2882</v>
      </c>
      <c r="D99" s="42">
        <v>-157.667999</v>
      </c>
      <c r="E99" s="42" t="s">
        <v>278</v>
      </c>
      <c r="F99" s="43">
        <v>0.4173611111111111</v>
      </c>
      <c r="G99" s="43">
        <v>0.45069444444444445</v>
      </c>
      <c r="H99" s="42">
        <v>6.0</v>
      </c>
      <c r="I99" s="42">
        <v>12.0</v>
      </c>
      <c r="J99" s="42" t="s">
        <v>398</v>
      </c>
      <c r="K99" s="42">
        <v>5.0</v>
      </c>
      <c r="L99" s="42">
        <v>9.0</v>
      </c>
      <c r="M99" s="42" t="s">
        <v>420</v>
      </c>
      <c r="N99" s="44"/>
      <c r="O99" s="42"/>
      <c r="P99" s="44"/>
      <c r="Q99" s="42">
        <v>1.0</v>
      </c>
      <c r="R99" s="44"/>
      <c r="S99" s="44"/>
      <c r="T99" s="44"/>
      <c r="U99" s="44"/>
      <c r="V99" s="44"/>
      <c r="W99" s="44"/>
      <c r="X99" s="44"/>
      <c r="Y99" s="44"/>
      <c r="Z99" s="42"/>
      <c r="AA99" s="42"/>
      <c r="AB99" s="44"/>
      <c r="AC99" s="44"/>
      <c r="AD99" s="44"/>
      <c r="AE99" s="44"/>
      <c r="AF99" s="44"/>
      <c r="AG99" s="44"/>
      <c r="AH99" s="44"/>
      <c r="AI99" s="44"/>
      <c r="AJ99" s="44"/>
      <c r="AK99" s="44"/>
      <c r="AL99" s="42"/>
      <c r="AM99" s="44"/>
      <c r="AN99" s="44"/>
      <c r="AO99" s="44"/>
      <c r="AP99" s="44"/>
      <c r="AQ99" s="44"/>
      <c r="AR99" s="44"/>
      <c r="AS99" s="44"/>
      <c r="AT99" s="44"/>
      <c r="AU99" s="44"/>
      <c r="AV99" s="44"/>
      <c r="AW99" s="44"/>
      <c r="AX99" s="44"/>
      <c r="AY99" s="44"/>
      <c r="AZ99" s="44"/>
      <c r="BA99" s="44"/>
      <c r="BB99" s="44"/>
      <c r="BC99" s="44"/>
      <c r="BD99" s="44"/>
      <c r="BE99" s="44"/>
      <c r="BF99" s="44"/>
      <c r="BG99" s="44"/>
      <c r="BH99" s="44"/>
      <c r="BI99" s="44"/>
      <c r="BJ99" s="42"/>
      <c r="BK99" s="44"/>
      <c r="BL99" s="42">
        <v>1.0</v>
      </c>
      <c r="BM99" s="44"/>
      <c r="BN99" s="44"/>
      <c r="BO99" s="44"/>
      <c r="BP99" s="42"/>
      <c r="BQ99" s="44"/>
      <c r="BR99" s="44"/>
      <c r="BS99" s="44"/>
      <c r="BT99" s="44"/>
      <c r="BU99" s="44"/>
      <c r="BV99" s="44"/>
      <c r="BW99" s="44"/>
      <c r="BX99" s="44"/>
      <c r="BY99" s="42">
        <v>1.0</v>
      </c>
      <c r="BZ99" s="44"/>
      <c r="CA99" s="44"/>
      <c r="CB99" s="42"/>
      <c r="CC99" s="42"/>
      <c r="CD99" s="44"/>
      <c r="CE99" s="44"/>
      <c r="CF99" s="44"/>
      <c r="CG99" s="44"/>
      <c r="CH99" s="44"/>
      <c r="CI99" s="44"/>
      <c r="CJ99" s="42"/>
      <c r="CK99" s="44"/>
      <c r="CL99" s="44"/>
      <c r="CM99" s="44"/>
      <c r="CN99" s="44"/>
      <c r="CO99" s="44"/>
      <c r="CP99" s="44"/>
      <c r="CQ99" s="44"/>
      <c r="CR99" s="44"/>
      <c r="CS99" s="44"/>
      <c r="CT99" s="42">
        <v>1.0</v>
      </c>
      <c r="CU99" s="44"/>
      <c r="CV99" s="44"/>
      <c r="CW99" s="44"/>
      <c r="CX99" s="44"/>
      <c r="CY99" s="44"/>
      <c r="CZ99" s="44"/>
      <c r="DA99" s="44"/>
      <c r="DB99" s="44"/>
      <c r="DC99" s="44"/>
      <c r="DD99" s="44"/>
      <c r="DE99" s="44"/>
      <c r="DF99" s="44"/>
      <c r="DG99" s="42">
        <v>1.0</v>
      </c>
      <c r="DH99" s="44"/>
      <c r="DI99" s="44"/>
      <c r="DJ99" s="44"/>
      <c r="DK99" s="44"/>
      <c r="DL99" s="44"/>
      <c r="DM99" s="44"/>
      <c r="DN99" s="44"/>
      <c r="DO99" s="42"/>
      <c r="DP99" s="44"/>
      <c r="DQ99" s="44"/>
      <c r="DR99" s="44"/>
      <c r="DS99" s="44"/>
      <c r="DT99" s="44"/>
      <c r="DU99" s="42">
        <v>1.0</v>
      </c>
      <c r="DV99" s="44"/>
      <c r="DW99" s="44"/>
      <c r="DX99" s="44"/>
      <c r="DY99" s="44"/>
      <c r="DZ99" s="44"/>
      <c r="EA99" s="44"/>
      <c r="EB99" s="44"/>
      <c r="EC99" s="42"/>
      <c r="ED99" s="44"/>
      <c r="EE99" s="44"/>
      <c r="EF99" s="44"/>
      <c r="EG99" s="44"/>
      <c r="EH99" s="44"/>
      <c r="EI99" s="42">
        <v>1.0</v>
      </c>
      <c r="EJ99" s="44"/>
      <c r="EK99" s="44"/>
      <c r="EL99" s="44"/>
      <c r="EM99" s="44"/>
      <c r="EN99" s="44"/>
      <c r="EO99" s="44"/>
      <c r="EP99" s="44"/>
      <c r="EQ99" s="44"/>
      <c r="ER99" s="44"/>
      <c r="ES99" s="42"/>
      <c r="ET99" s="42"/>
      <c r="EU99" s="42"/>
      <c r="EV99" s="44"/>
      <c r="EW99" s="44"/>
      <c r="EX99" s="44"/>
      <c r="EY99" s="44"/>
      <c r="EZ99" s="44"/>
      <c r="FA99" s="44"/>
      <c r="FB99" s="42"/>
      <c r="FC99" s="44"/>
      <c r="FD99" s="42">
        <v>1.0</v>
      </c>
      <c r="FE99" s="44"/>
      <c r="FF99" s="44"/>
      <c r="FG99" s="44"/>
      <c r="FH99" s="44"/>
      <c r="FI99" s="44"/>
      <c r="FJ99" s="44"/>
      <c r="FK99" s="44"/>
      <c r="FL99" s="44"/>
      <c r="FM99" s="44"/>
      <c r="FN99" s="44"/>
      <c r="FO99" s="44"/>
      <c r="FP99" s="44"/>
      <c r="FQ99" s="42">
        <v>1.0</v>
      </c>
      <c r="FR99" s="42">
        <v>1.0</v>
      </c>
      <c r="FS99" s="44"/>
      <c r="FT99" s="44"/>
      <c r="FU99" s="44"/>
      <c r="FV99" s="44"/>
      <c r="FW99" s="44"/>
      <c r="FX99" s="44"/>
      <c r="FY99" s="42"/>
      <c r="FZ99" s="44"/>
      <c r="GA99" s="44"/>
      <c r="GB99" s="44"/>
      <c r="GC99" s="44"/>
      <c r="GD99" s="44"/>
      <c r="GE99" s="44"/>
      <c r="GF99" s="44"/>
    </row>
    <row r="100">
      <c r="A100" s="23">
        <v>42826.0</v>
      </c>
      <c r="B100" s="4" t="s">
        <v>303</v>
      </c>
      <c r="C100" s="4">
        <v>20.99424</v>
      </c>
      <c r="D100" s="4">
        <v>-156.668259</v>
      </c>
      <c r="E100" s="4" t="s">
        <v>197</v>
      </c>
      <c r="F100" s="24">
        <v>0.4708333333333333</v>
      </c>
      <c r="G100" s="24">
        <v>0.5041666666666667</v>
      </c>
      <c r="H100" s="4">
        <v>3.0</v>
      </c>
      <c r="I100" s="4">
        <v>25.0</v>
      </c>
      <c r="J100" s="4" t="s">
        <v>198</v>
      </c>
      <c r="K100" s="4">
        <v>11.0</v>
      </c>
      <c r="L100" s="4">
        <v>20.0</v>
      </c>
      <c r="M100" s="4" t="s">
        <v>339</v>
      </c>
      <c r="Z100" s="4"/>
      <c r="AA100" s="4">
        <v>1.0</v>
      </c>
      <c r="AL100" s="4">
        <v>1.0</v>
      </c>
      <c r="BJ100" s="4">
        <v>1.0</v>
      </c>
      <c r="BL100" s="4">
        <v>1.0</v>
      </c>
      <c r="BP100" s="4">
        <v>1.0</v>
      </c>
      <c r="CB100" s="4">
        <v>1.0</v>
      </c>
      <c r="CC100" s="4">
        <v>1.0</v>
      </c>
      <c r="CJ100" s="4">
        <v>1.0</v>
      </c>
      <c r="DG100" s="4">
        <v>1.0</v>
      </c>
      <c r="DO100" s="4">
        <v>1.0</v>
      </c>
      <c r="EC100" s="4">
        <v>1.0</v>
      </c>
      <c r="ES100" s="4"/>
      <c r="ET100" s="4"/>
      <c r="EU100" s="4">
        <v>1.0</v>
      </c>
      <c r="FB100" s="4">
        <v>1.0</v>
      </c>
      <c r="FR100" s="4">
        <v>1.0</v>
      </c>
      <c r="FY100" s="4">
        <v>1.0</v>
      </c>
    </row>
    <row r="101">
      <c r="A101" s="23">
        <v>42827.0</v>
      </c>
      <c r="B101" s="4" t="s">
        <v>340</v>
      </c>
      <c r="C101" s="4">
        <v>19.643276</v>
      </c>
      <c r="D101" s="4">
        <v>-156.010193</v>
      </c>
      <c r="E101" s="4" t="s">
        <v>197</v>
      </c>
      <c r="F101" s="24">
        <v>0.48680555555555555</v>
      </c>
      <c r="G101" s="24">
        <v>0.525</v>
      </c>
      <c r="H101" s="4">
        <v>3.0</v>
      </c>
      <c r="I101" s="4">
        <v>40.0</v>
      </c>
      <c r="J101" s="4" t="s">
        <v>198</v>
      </c>
      <c r="K101" s="4">
        <v>10.0</v>
      </c>
      <c r="L101" s="4">
        <v>28.0</v>
      </c>
      <c r="M101" s="4" t="s">
        <v>341</v>
      </c>
      <c r="S101" s="4">
        <v>1.0</v>
      </c>
      <c r="AC101" s="4">
        <v>1.0</v>
      </c>
      <c r="AL101" s="4">
        <v>1.0</v>
      </c>
      <c r="BL101" s="4">
        <v>1.0</v>
      </c>
      <c r="BY101" s="4">
        <v>1.0</v>
      </c>
      <c r="CB101" s="4">
        <v>1.0</v>
      </c>
      <c r="CM101" s="4">
        <v>1.0</v>
      </c>
      <c r="EI101" s="4">
        <v>1.0</v>
      </c>
      <c r="FC101" s="4"/>
      <c r="FE101" s="4">
        <v>1.0</v>
      </c>
      <c r="FL101" s="4">
        <v>1.0</v>
      </c>
      <c r="FQ101" s="4">
        <v>1.0</v>
      </c>
      <c r="FR101" s="4">
        <v>1.0</v>
      </c>
    </row>
    <row r="102">
      <c r="A102" s="23">
        <v>42831.0</v>
      </c>
      <c r="B102" s="4" t="s">
        <v>201</v>
      </c>
      <c r="C102" s="4">
        <v>21.25544</v>
      </c>
      <c r="D102" s="4">
        <v>-157.810303</v>
      </c>
      <c r="E102" s="4" t="s">
        <v>197</v>
      </c>
      <c r="F102" s="24">
        <v>0.0</v>
      </c>
      <c r="G102" s="24">
        <v>0.041666666666666664</v>
      </c>
      <c r="H102" s="4">
        <v>6.0</v>
      </c>
      <c r="I102" s="4">
        <v>11.0</v>
      </c>
      <c r="J102" s="4" t="s">
        <v>198</v>
      </c>
      <c r="K102" s="4">
        <v>12.0</v>
      </c>
      <c r="L102" s="4">
        <v>55.0</v>
      </c>
      <c r="M102" s="4" t="s">
        <v>342</v>
      </c>
      <c r="Q102" s="4">
        <v>1.0</v>
      </c>
      <c r="Z102" s="4"/>
      <c r="AA102" s="4">
        <v>1.0</v>
      </c>
      <c r="AC102" s="4">
        <v>1.0</v>
      </c>
      <c r="AE102" s="4">
        <v>1.0</v>
      </c>
      <c r="BG102" s="4">
        <v>1.0</v>
      </c>
      <c r="BL102" s="4">
        <v>1.0</v>
      </c>
      <c r="BV102" s="4">
        <v>1.0</v>
      </c>
      <c r="BY102" s="4">
        <v>1.0</v>
      </c>
      <c r="CA102" s="4">
        <v>1.0</v>
      </c>
      <c r="CR102" s="4">
        <v>1.0</v>
      </c>
      <c r="DL102" s="4">
        <v>1.0</v>
      </c>
      <c r="DS102" s="4">
        <v>1.0</v>
      </c>
      <c r="EC102" s="4">
        <v>1.0</v>
      </c>
      <c r="EI102" s="4">
        <v>1.0</v>
      </c>
      <c r="FA102" s="4">
        <v>1.0</v>
      </c>
      <c r="FB102" s="4">
        <v>1.0</v>
      </c>
      <c r="FR102" s="4">
        <v>1.0</v>
      </c>
      <c r="FT102" s="4">
        <v>1.0</v>
      </c>
      <c r="GD102" s="4">
        <v>1.0</v>
      </c>
      <c r="GE102" s="4">
        <v>1.0</v>
      </c>
    </row>
    <row r="103">
      <c r="A103" s="41">
        <v>42832.0</v>
      </c>
      <c r="B103" s="42" t="s">
        <v>250</v>
      </c>
      <c r="C103" s="42">
        <v>21.4104</v>
      </c>
      <c r="D103" s="42">
        <v>-158.177704</v>
      </c>
      <c r="E103" s="42" t="s">
        <v>428</v>
      </c>
      <c r="F103" s="43">
        <v>0.375</v>
      </c>
      <c r="G103" s="43">
        <v>0.4791666666666667</v>
      </c>
      <c r="H103" s="42">
        <v>4.0</v>
      </c>
      <c r="I103" s="42">
        <v>7.0</v>
      </c>
      <c r="J103" s="42" t="s">
        <v>198</v>
      </c>
      <c r="K103" s="42">
        <v>5.0</v>
      </c>
      <c r="L103" s="42">
        <v>15.0</v>
      </c>
      <c r="M103" s="42" t="s">
        <v>429</v>
      </c>
      <c r="N103" s="44"/>
      <c r="O103" s="42"/>
      <c r="P103" s="44"/>
      <c r="Q103" s="42">
        <v>1.0</v>
      </c>
      <c r="R103" s="44"/>
      <c r="S103" s="44"/>
      <c r="T103" s="44"/>
      <c r="U103" s="44"/>
      <c r="V103" s="44"/>
      <c r="W103" s="44"/>
      <c r="X103" s="44"/>
      <c r="Y103" s="44"/>
      <c r="Z103" s="42"/>
      <c r="AA103" s="42"/>
      <c r="AB103" s="44"/>
      <c r="AC103" s="42"/>
      <c r="AD103" s="44"/>
      <c r="AE103" s="44"/>
      <c r="AF103" s="44"/>
      <c r="AG103" s="44"/>
      <c r="AH103" s="44"/>
      <c r="AI103" s="44"/>
      <c r="AJ103" s="44"/>
      <c r="AK103" s="44"/>
      <c r="AL103" s="44"/>
      <c r="AM103" s="44"/>
      <c r="AN103" s="44"/>
      <c r="AO103" s="44"/>
      <c r="AP103" s="44"/>
      <c r="AQ103" s="44"/>
      <c r="AR103" s="44"/>
      <c r="AS103" s="44"/>
      <c r="AT103" s="44"/>
      <c r="AU103" s="44"/>
      <c r="AV103" s="44"/>
      <c r="AW103" s="44"/>
      <c r="AX103" s="44"/>
      <c r="AY103" s="44"/>
      <c r="AZ103" s="42"/>
      <c r="BA103" s="42"/>
      <c r="BB103" s="44"/>
      <c r="BC103" s="44"/>
      <c r="BD103" s="44"/>
      <c r="BE103" s="44"/>
      <c r="BF103" s="44"/>
      <c r="BG103" s="44"/>
      <c r="BH103" s="44"/>
      <c r="BI103" s="44"/>
      <c r="BJ103" s="44"/>
      <c r="BK103" s="44"/>
      <c r="BL103" s="42">
        <v>1.0</v>
      </c>
      <c r="BM103" s="42"/>
      <c r="BN103" s="44"/>
      <c r="BO103" s="44"/>
      <c r="BP103" s="44"/>
      <c r="BQ103" s="44"/>
      <c r="BR103" s="44"/>
      <c r="BS103" s="44"/>
      <c r="BT103" s="44"/>
      <c r="BU103" s="42"/>
      <c r="BV103" s="44"/>
      <c r="BW103" s="44"/>
      <c r="BX103" s="44"/>
      <c r="BY103" s="42">
        <v>1.0</v>
      </c>
      <c r="BZ103" s="44"/>
      <c r="CA103" s="44"/>
      <c r="CB103" s="44"/>
      <c r="CC103" s="44"/>
      <c r="CD103" s="44"/>
      <c r="CE103" s="44"/>
      <c r="CF103" s="44"/>
      <c r="CG103" s="44"/>
      <c r="CH103" s="44"/>
      <c r="CI103" s="44"/>
      <c r="CJ103" s="44"/>
      <c r="CK103" s="44"/>
      <c r="CL103" s="44"/>
      <c r="CM103" s="44"/>
      <c r="CN103" s="42">
        <v>1.0</v>
      </c>
      <c r="CO103" s="44"/>
      <c r="CP103" s="44"/>
      <c r="CQ103" s="44"/>
      <c r="CR103" s="44"/>
      <c r="CS103" s="44"/>
      <c r="CT103" s="44"/>
      <c r="CU103" s="44"/>
      <c r="CV103" s="44"/>
      <c r="CW103" s="44"/>
      <c r="CX103" s="44"/>
      <c r="CY103" s="44"/>
      <c r="CZ103" s="44"/>
      <c r="DA103" s="44"/>
      <c r="DB103" s="44"/>
      <c r="DC103" s="44"/>
      <c r="DD103" s="44"/>
      <c r="DE103" s="44"/>
      <c r="DF103" s="42">
        <v>1.0</v>
      </c>
      <c r="DG103" s="44"/>
      <c r="DH103" s="44"/>
      <c r="DI103" s="44"/>
      <c r="DJ103" s="44"/>
      <c r="DK103" s="44"/>
      <c r="DL103" s="42">
        <v>1.0</v>
      </c>
      <c r="DM103" s="42"/>
      <c r="DN103" s="44"/>
      <c r="DO103" s="42">
        <v>1.0</v>
      </c>
      <c r="DP103" s="44"/>
      <c r="DQ103" s="42"/>
      <c r="DR103" s="42"/>
      <c r="DS103" s="44"/>
      <c r="DT103" s="44"/>
      <c r="DU103" s="44"/>
      <c r="DV103" s="44"/>
      <c r="DW103" s="44"/>
      <c r="DX103" s="44"/>
      <c r="DY103" s="44"/>
      <c r="DZ103" s="44"/>
      <c r="EA103" s="44"/>
      <c r="EB103" s="44"/>
      <c r="EC103" s="44"/>
      <c r="ED103" s="44"/>
      <c r="EE103" s="44"/>
      <c r="EF103" s="44"/>
      <c r="EG103" s="44"/>
      <c r="EH103" s="44"/>
      <c r="EI103" s="42">
        <v>1.0</v>
      </c>
      <c r="EJ103" s="44"/>
      <c r="EK103" s="44"/>
      <c r="EL103" s="44"/>
      <c r="EM103" s="44"/>
      <c r="EN103" s="44"/>
      <c r="EO103" s="44"/>
      <c r="EP103" s="44"/>
      <c r="EQ103" s="44"/>
      <c r="ER103" s="44"/>
      <c r="ES103" s="44"/>
      <c r="ET103" s="44"/>
      <c r="EU103" s="44"/>
      <c r="EV103" s="44"/>
      <c r="EW103" s="44"/>
      <c r="EX103" s="44"/>
      <c r="EY103" s="44"/>
      <c r="EZ103" s="44"/>
      <c r="FA103" s="42">
        <v>1.0</v>
      </c>
      <c r="FB103" s="44"/>
      <c r="FC103" s="44"/>
      <c r="FD103" s="42">
        <v>1.0</v>
      </c>
      <c r="FE103" s="44"/>
      <c r="FF103" s="44"/>
      <c r="FG103" s="44"/>
      <c r="FH103" s="42">
        <v>1.0</v>
      </c>
      <c r="FI103" s="44"/>
      <c r="FJ103" s="44"/>
      <c r="FK103" s="44"/>
      <c r="FL103" s="44"/>
      <c r="FM103" s="44"/>
      <c r="FN103" s="44"/>
      <c r="FO103" s="44"/>
      <c r="FP103" s="44"/>
      <c r="FQ103" s="42"/>
      <c r="FR103" s="42">
        <v>1.0</v>
      </c>
      <c r="FS103" s="44"/>
      <c r="FT103" s="44"/>
      <c r="FU103" s="44"/>
      <c r="FV103" s="44"/>
      <c r="FW103" s="44"/>
      <c r="FX103" s="44"/>
      <c r="FY103" s="44"/>
      <c r="FZ103" s="42">
        <v>1.0</v>
      </c>
      <c r="GA103" s="42"/>
      <c r="GB103" s="44"/>
      <c r="GC103" s="44"/>
      <c r="GD103" s="44"/>
      <c r="GE103" s="44"/>
      <c r="GF103" s="44"/>
    </row>
    <row r="104">
      <c r="A104" s="23">
        <v>42834.0</v>
      </c>
      <c r="B104" s="4" t="s">
        <v>301</v>
      </c>
      <c r="C104" s="4">
        <v>22.065599</v>
      </c>
      <c r="D104" s="4">
        <v>-159.317703</v>
      </c>
      <c r="E104" s="4" t="s">
        <v>344</v>
      </c>
      <c r="F104" s="24">
        <v>0.36875</v>
      </c>
      <c r="G104" s="24">
        <v>0.41041666666666665</v>
      </c>
      <c r="H104" s="4">
        <v>4.0</v>
      </c>
      <c r="I104" s="4">
        <v>15.0</v>
      </c>
      <c r="J104" s="4" t="s">
        <v>198</v>
      </c>
      <c r="K104" s="4">
        <v>8.0</v>
      </c>
      <c r="L104" s="4">
        <v>25.0</v>
      </c>
      <c r="M104" s="4" t="s">
        <v>345</v>
      </c>
      <c r="Q104" s="4">
        <v>1.0</v>
      </c>
      <c r="Z104" s="4"/>
      <c r="AA104" s="4">
        <v>1.0</v>
      </c>
      <c r="AC104" s="4">
        <v>1.0</v>
      </c>
      <c r="AZ104" s="4"/>
      <c r="BA104" s="4">
        <v>1.0</v>
      </c>
      <c r="BM104" s="4">
        <v>1.0</v>
      </c>
      <c r="BU104" s="4">
        <v>1.0</v>
      </c>
      <c r="DL104" s="4">
        <v>1.0</v>
      </c>
      <c r="DM104" s="4">
        <v>1.0</v>
      </c>
      <c r="DQ104" s="4"/>
      <c r="DR104" s="4">
        <v>1.0</v>
      </c>
      <c r="EI104" s="4">
        <v>1.0</v>
      </c>
      <c r="FA104" s="4">
        <v>1.0</v>
      </c>
      <c r="FH104" s="4">
        <v>1.0</v>
      </c>
      <c r="FQ104" s="4">
        <v>1.0</v>
      </c>
      <c r="FR104" s="4">
        <v>1.0</v>
      </c>
      <c r="GA104" s="4">
        <v>1.0</v>
      </c>
    </row>
    <row r="105">
      <c r="A105" s="23">
        <v>42835.0</v>
      </c>
      <c r="B105" s="4" t="s">
        <v>216</v>
      </c>
      <c r="C105" s="4">
        <v>21.3002</v>
      </c>
      <c r="D105" s="4">
        <v>-157.882599</v>
      </c>
      <c r="E105" s="4" t="s">
        <v>272</v>
      </c>
      <c r="F105" s="24">
        <v>0.3888888888888889</v>
      </c>
      <c r="G105" s="24">
        <v>0.4236111111111111</v>
      </c>
      <c r="H105" s="4">
        <v>7.0</v>
      </c>
      <c r="I105" s="4">
        <v>20.0</v>
      </c>
      <c r="J105" s="4" t="s">
        <v>198</v>
      </c>
      <c r="K105" s="4">
        <v>5.0</v>
      </c>
      <c r="L105" s="4">
        <v>33.0</v>
      </c>
      <c r="M105" s="4" t="s">
        <v>346</v>
      </c>
      <c r="V105" s="4"/>
      <c r="W105" s="4">
        <v>1.0</v>
      </c>
      <c r="Z105" s="4"/>
      <c r="AA105" s="4">
        <v>1.0</v>
      </c>
      <c r="AB105" s="4">
        <v>1.0</v>
      </c>
      <c r="AH105" s="4">
        <v>1.0</v>
      </c>
      <c r="BL105" s="4">
        <v>1.0</v>
      </c>
      <c r="BU105" s="4">
        <v>1.0</v>
      </c>
      <c r="BY105" s="4">
        <v>1.0</v>
      </c>
      <c r="CB105" s="4">
        <v>1.0</v>
      </c>
      <c r="DE105" s="4"/>
      <c r="DF105" s="4">
        <v>1.0</v>
      </c>
      <c r="DG105" s="4">
        <v>1.0</v>
      </c>
      <c r="DN105" s="4">
        <v>1.0</v>
      </c>
      <c r="EB105" s="4">
        <v>1.0</v>
      </c>
      <c r="EF105" s="4">
        <v>1.0</v>
      </c>
      <c r="EI105" s="4">
        <v>1.0</v>
      </c>
      <c r="FH105" s="4">
        <v>1.0</v>
      </c>
      <c r="FR105" s="4">
        <v>1.0</v>
      </c>
    </row>
    <row r="106">
      <c r="A106" s="23">
        <v>42836.0</v>
      </c>
      <c r="B106" s="4" t="s">
        <v>301</v>
      </c>
      <c r="C106" s="4">
        <v>22.065599</v>
      </c>
      <c r="D106" s="4">
        <v>-159.317703</v>
      </c>
      <c r="E106" s="4" t="s">
        <v>347</v>
      </c>
      <c r="F106" s="24">
        <v>0.3958333333333333</v>
      </c>
      <c r="G106" s="24">
        <v>0.44375</v>
      </c>
      <c r="H106" s="4">
        <v>6.0</v>
      </c>
      <c r="I106" s="4">
        <v>15.0</v>
      </c>
      <c r="J106" s="4" t="s">
        <v>198</v>
      </c>
      <c r="K106" s="4">
        <v>7.0</v>
      </c>
      <c r="L106" s="4">
        <v>33.0</v>
      </c>
      <c r="M106" s="4" t="s">
        <v>348</v>
      </c>
      <c r="V106" s="4"/>
      <c r="W106" s="4">
        <v>1.0</v>
      </c>
      <c r="Z106" s="4"/>
      <c r="AA106" s="4">
        <v>1.0</v>
      </c>
      <c r="AM106" s="4">
        <v>1.0</v>
      </c>
      <c r="AT106" s="4">
        <v>1.0</v>
      </c>
      <c r="AV106" s="4"/>
      <c r="AW106" s="4">
        <v>1.0</v>
      </c>
      <c r="AY106" s="4">
        <v>1.0</v>
      </c>
      <c r="AZ106" s="4"/>
      <c r="BA106" s="4">
        <v>1.0</v>
      </c>
      <c r="BL106" s="4">
        <v>1.0</v>
      </c>
      <c r="BM106" s="4">
        <v>1.0</v>
      </c>
      <c r="BT106" s="4">
        <v>1.0</v>
      </c>
      <c r="BU106" s="4">
        <v>1.0</v>
      </c>
      <c r="BY106" s="4">
        <v>1.0</v>
      </c>
      <c r="CR106" s="4">
        <v>1.0</v>
      </c>
      <c r="CU106" s="4">
        <v>1.0</v>
      </c>
      <c r="DI106" s="4">
        <v>1.0</v>
      </c>
      <c r="DK106" s="4">
        <v>1.0</v>
      </c>
      <c r="DL106" s="4">
        <v>1.0</v>
      </c>
      <c r="DQ106" s="4"/>
      <c r="DR106" s="4">
        <v>1.0</v>
      </c>
      <c r="DT106" s="4"/>
      <c r="DU106" s="4">
        <v>1.0</v>
      </c>
      <c r="DY106" s="4">
        <v>1.0</v>
      </c>
      <c r="EI106" s="4">
        <v>1.0</v>
      </c>
      <c r="ES106" s="4"/>
      <c r="ET106" s="4"/>
      <c r="EU106" s="4">
        <v>1.0</v>
      </c>
      <c r="FA106" s="4">
        <v>1.0</v>
      </c>
      <c r="FC106" s="4"/>
      <c r="FE106" s="4">
        <v>1.0</v>
      </c>
      <c r="FH106" s="4">
        <v>1.0</v>
      </c>
      <c r="FR106" s="4">
        <v>1.0</v>
      </c>
      <c r="GA106" s="4">
        <v>1.0</v>
      </c>
    </row>
    <row r="107">
      <c r="A107" s="23">
        <v>42836.0</v>
      </c>
      <c r="B107" s="4" t="s">
        <v>266</v>
      </c>
      <c r="C107" s="4">
        <v>22.060684</v>
      </c>
      <c r="D107" s="4">
        <v>-159.318512</v>
      </c>
      <c r="E107" s="4" t="s">
        <v>297</v>
      </c>
      <c r="F107" s="24">
        <v>0.4041666666666667</v>
      </c>
      <c r="G107" s="24">
        <v>0.4409722222222222</v>
      </c>
      <c r="H107" s="4">
        <v>6.0</v>
      </c>
      <c r="I107" s="4">
        <v>14.0</v>
      </c>
      <c r="J107" s="4" t="s">
        <v>198</v>
      </c>
      <c r="K107" s="4">
        <v>8.0</v>
      </c>
      <c r="L107" s="4">
        <v>37.0</v>
      </c>
      <c r="M107" s="4" t="s">
        <v>349</v>
      </c>
      <c r="S107" s="4">
        <v>1.0</v>
      </c>
      <c r="Z107" s="4">
        <v>1.0</v>
      </c>
      <c r="AU107" s="4">
        <v>1.0</v>
      </c>
      <c r="AZ107" s="4"/>
      <c r="BA107" s="4">
        <v>1.0</v>
      </c>
      <c r="BM107" s="4">
        <v>1.0</v>
      </c>
      <c r="BU107" s="4">
        <v>1.0</v>
      </c>
      <c r="CV107" s="4"/>
      <c r="CW107" s="4"/>
      <c r="CX107" s="4"/>
      <c r="CY107" s="4">
        <v>1.0</v>
      </c>
      <c r="DL107" s="4">
        <v>1.0</v>
      </c>
      <c r="DQ107" s="4"/>
      <c r="DR107" s="4">
        <v>1.0</v>
      </c>
      <c r="DT107" s="4"/>
      <c r="DU107" s="4">
        <v>1.0</v>
      </c>
      <c r="EI107" s="4">
        <v>1.0</v>
      </c>
      <c r="FA107" s="4">
        <v>1.0</v>
      </c>
      <c r="FB107" s="4">
        <v>1.0</v>
      </c>
      <c r="FC107" s="4"/>
      <c r="FE107" s="4">
        <v>1.0</v>
      </c>
      <c r="FH107" s="4">
        <v>1.0</v>
      </c>
      <c r="FQ107" s="4">
        <v>1.0</v>
      </c>
      <c r="FR107" s="4">
        <v>1.0</v>
      </c>
      <c r="FT107" s="4">
        <v>1.0</v>
      </c>
    </row>
    <row r="108">
      <c r="A108" s="23">
        <v>42837.0</v>
      </c>
      <c r="B108" s="4" t="s">
        <v>266</v>
      </c>
      <c r="C108" s="4">
        <v>22.060684</v>
      </c>
      <c r="D108" s="4">
        <v>-159.318512</v>
      </c>
      <c r="E108" s="4" t="s">
        <v>350</v>
      </c>
      <c r="F108" s="24">
        <v>0.3611111111111111</v>
      </c>
      <c r="G108" s="24">
        <v>0.4409722222222222</v>
      </c>
      <c r="H108" s="4">
        <v>6.0</v>
      </c>
      <c r="I108" s="4">
        <v>13.0</v>
      </c>
      <c r="J108" s="4" t="s">
        <v>198</v>
      </c>
      <c r="K108" s="4">
        <v>5.0</v>
      </c>
      <c r="L108" s="4">
        <v>28.0</v>
      </c>
      <c r="M108" s="4" t="s">
        <v>351</v>
      </c>
      <c r="O108" s="4">
        <v>1.0</v>
      </c>
      <c r="AM108" s="4">
        <v>1.0</v>
      </c>
      <c r="AY108" s="4">
        <v>1.0</v>
      </c>
      <c r="BM108" s="4">
        <v>1.0</v>
      </c>
      <c r="BU108" s="4">
        <v>1.0</v>
      </c>
      <c r="DC108" s="4">
        <v>1.0</v>
      </c>
      <c r="DL108" s="4">
        <v>1.0</v>
      </c>
      <c r="DT108" s="4"/>
      <c r="DU108" s="4">
        <v>1.0</v>
      </c>
      <c r="EI108" s="4">
        <v>1.0</v>
      </c>
      <c r="FQ108" s="4">
        <v>1.0</v>
      </c>
      <c r="FR108" s="4">
        <v>1.0</v>
      </c>
    </row>
    <row r="109">
      <c r="A109" s="23">
        <v>42837.0</v>
      </c>
      <c r="B109" s="4" t="s">
        <v>355</v>
      </c>
      <c r="C109" s="4">
        <v>21.2843</v>
      </c>
      <c r="D109" s="4">
        <v>-157.675293</v>
      </c>
      <c r="E109" s="4" t="s">
        <v>356</v>
      </c>
      <c r="F109" s="24">
        <v>0.39791666666666664</v>
      </c>
      <c r="G109" s="24">
        <v>0.4409722222222222</v>
      </c>
      <c r="H109" s="4">
        <v>7.0</v>
      </c>
      <c r="I109" s="4">
        <v>25.0</v>
      </c>
      <c r="J109" s="4" t="s">
        <v>198</v>
      </c>
      <c r="K109" s="4">
        <v>4.0</v>
      </c>
      <c r="L109" s="4">
        <v>23.0</v>
      </c>
      <c r="M109" s="4" t="s">
        <v>357</v>
      </c>
      <c r="AA109" s="4">
        <v>1.0</v>
      </c>
      <c r="AB109" s="4">
        <v>1.0</v>
      </c>
      <c r="AC109" s="4">
        <v>1.0</v>
      </c>
      <c r="AF109" s="4">
        <v>1.0</v>
      </c>
      <c r="BJ109" s="4">
        <v>1.0</v>
      </c>
      <c r="BL109" s="4">
        <v>1.0</v>
      </c>
      <c r="BY109" s="4">
        <v>1.0</v>
      </c>
      <c r="CF109" s="4"/>
      <c r="CG109" s="4">
        <v>1.0</v>
      </c>
      <c r="EI109" s="4">
        <v>1.0</v>
      </c>
      <c r="EJ109" s="4">
        <v>1.0</v>
      </c>
      <c r="FA109" s="4">
        <v>1.0</v>
      </c>
      <c r="FC109" s="4"/>
      <c r="FE109" s="4">
        <v>1.0</v>
      </c>
      <c r="FQ109" s="4">
        <v>1.0</v>
      </c>
      <c r="FR109" s="4">
        <v>1.0</v>
      </c>
      <c r="FT109" s="4">
        <v>1.0</v>
      </c>
    </row>
    <row r="110">
      <c r="A110" s="23">
        <v>42838.0</v>
      </c>
      <c r="B110" s="4" t="s">
        <v>259</v>
      </c>
      <c r="C110" s="4">
        <v>19.737894</v>
      </c>
      <c r="D110" s="4">
        <v>-155.034058</v>
      </c>
      <c r="E110" s="4" t="s">
        <v>358</v>
      </c>
      <c r="F110" s="24">
        <v>0.4027777777777778</v>
      </c>
      <c r="G110" s="24">
        <v>0.47847222222222224</v>
      </c>
      <c r="H110" s="4">
        <v>4.0</v>
      </c>
      <c r="I110" s="4">
        <v>60.0</v>
      </c>
      <c r="J110" s="4" t="s">
        <v>360</v>
      </c>
      <c r="K110" s="4">
        <v>10.0</v>
      </c>
      <c r="L110" s="4">
        <v>27.0</v>
      </c>
      <c r="M110" s="4" t="s">
        <v>361</v>
      </c>
      <c r="AB110" s="4">
        <v>1.0</v>
      </c>
      <c r="AE110" s="4">
        <v>1.0</v>
      </c>
      <c r="AH110" s="4">
        <v>1.0</v>
      </c>
      <c r="BJ110" s="4">
        <v>1.0</v>
      </c>
      <c r="BL110" s="4">
        <v>1.0</v>
      </c>
      <c r="BM110" s="4">
        <v>1.0</v>
      </c>
      <c r="BP110" s="4">
        <v>1.0</v>
      </c>
      <c r="CF110" s="4"/>
      <c r="CG110" s="4">
        <v>1.0</v>
      </c>
      <c r="CN110" s="4">
        <v>1.0</v>
      </c>
      <c r="EC110" s="4">
        <v>1.0</v>
      </c>
      <c r="FA110" s="4">
        <v>1.0</v>
      </c>
      <c r="FC110" s="4"/>
      <c r="FE110" s="4">
        <v>1.0</v>
      </c>
      <c r="FR110" s="4">
        <v>1.0</v>
      </c>
      <c r="FT110" s="4">
        <v>1.0</v>
      </c>
      <c r="FU110" s="4"/>
      <c r="FV110" s="4">
        <v>1.0</v>
      </c>
    </row>
    <row r="111">
      <c r="A111" s="23">
        <v>42838.0</v>
      </c>
      <c r="B111" s="4" t="s">
        <v>352</v>
      </c>
      <c r="C111" s="4">
        <v>21.7057</v>
      </c>
      <c r="D111" s="4">
        <v>-157.995697</v>
      </c>
      <c r="E111" s="4" t="s">
        <v>353</v>
      </c>
      <c r="F111" s="24">
        <v>0.4375</v>
      </c>
      <c r="G111" s="24">
        <v>0.4791666666666667</v>
      </c>
      <c r="H111" s="4">
        <v>9.0</v>
      </c>
      <c r="I111" s="4">
        <v>16.0</v>
      </c>
      <c r="J111" s="4" t="s">
        <v>198</v>
      </c>
      <c r="K111" s="4">
        <v>10.0</v>
      </c>
      <c r="L111" s="4">
        <v>40.0</v>
      </c>
      <c r="M111" s="4" t="s">
        <v>363</v>
      </c>
      <c r="N111" s="4" t="s">
        <v>364</v>
      </c>
      <c r="AH111" s="4">
        <v>1.0</v>
      </c>
      <c r="AM111" s="4">
        <v>1.0</v>
      </c>
      <c r="AT111" s="4">
        <v>1.0</v>
      </c>
      <c r="BL111" s="4">
        <v>1.0</v>
      </c>
      <c r="BM111" s="4">
        <v>1.0</v>
      </c>
      <c r="BU111" s="4">
        <v>1.0</v>
      </c>
      <c r="CB111" s="4">
        <v>1.0</v>
      </c>
      <c r="CC111" s="4">
        <v>1.0</v>
      </c>
      <c r="CR111" s="4">
        <v>1.0</v>
      </c>
      <c r="DL111" s="4">
        <v>1.0</v>
      </c>
      <c r="DT111" s="4"/>
      <c r="DU111" s="4">
        <v>1.0</v>
      </c>
      <c r="DY111" s="4">
        <v>1.0</v>
      </c>
      <c r="EI111" s="4">
        <v>1.0</v>
      </c>
      <c r="FA111" s="4">
        <v>1.0</v>
      </c>
      <c r="FG111" s="4">
        <v>1.0</v>
      </c>
      <c r="FQ111" s="4">
        <v>1.0</v>
      </c>
      <c r="FR111" s="4">
        <v>1.0</v>
      </c>
      <c r="GB111" s="4">
        <v>1.0</v>
      </c>
    </row>
    <row r="112">
      <c r="A112" s="41">
        <v>42838.0</v>
      </c>
      <c r="B112" s="42" t="s">
        <v>226</v>
      </c>
      <c r="C112" s="42">
        <v>21.706499</v>
      </c>
      <c r="D112" s="42">
        <v>-157.998505</v>
      </c>
      <c r="E112" s="42" t="s">
        <v>353</v>
      </c>
      <c r="F112" s="43">
        <v>0.4375</v>
      </c>
      <c r="G112" s="43">
        <v>0.4583333333333333</v>
      </c>
      <c r="H112" s="42">
        <v>5.0</v>
      </c>
      <c r="I112" s="42">
        <v>10.0</v>
      </c>
      <c r="J112" s="42" t="s">
        <v>198</v>
      </c>
      <c r="K112" s="42">
        <v>3.0</v>
      </c>
      <c r="L112" s="42">
        <v>7.0</v>
      </c>
      <c r="M112" s="42" t="s">
        <v>439</v>
      </c>
      <c r="N112" s="42"/>
      <c r="O112" s="42"/>
      <c r="P112" s="44"/>
      <c r="Q112" s="42">
        <v>1.0</v>
      </c>
      <c r="R112" s="44"/>
      <c r="S112" s="44"/>
      <c r="T112" s="44"/>
      <c r="U112" s="44"/>
      <c r="V112" s="44"/>
      <c r="W112" s="44"/>
      <c r="X112" s="44"/>
      <c r="Y112" s="44"/>
      <c r="Z112" s="44"/>
      <c r="AA112" s="42">
        <v>1.0</v>
      </c>
      <c r="AB112" s="44"/>
      <c r="AC112" s="44"/>
      <c r="AD112" s="42"/>
      <c r="AE112" s="44"/>
      <c r="AF112" s="44"/>
      <c r="AG112" s="44"/>
      <c r="AH112" s="42"/>
      <c r="AI112" s="44"/>
      <c r="AJ112" s="44"/>
      <c r="AK112" s="44"/>
      <c r="AL112" s="44"/>
      <c r="AM112" s="44"/>
      <c r="AN112" s="44"/>
      <c r="AO112" s="44"/>
      <c r="AP112" s="44"/>
      <c r="AQ112" s="44"/>
      <c r="AR112" s="44"/>
      <c r="AS112" s="44"/>
      <c r="AT112" s="44"/>
      <c r="AU112" s="44"/>
      <c r="AV112" s="42"/>
      <c r="AW112" s="44"/>
      <c r="AX112" s="44"/>
      <c r="AY112" s="44"/>
      <c r="AZ112" s="42"/>
      <c r="BA112" s="42">
        <v>1.0</v>
      </c>
      <c r="BB112" s="44"/>
      <c r="BC112" s="44"/>
      <c r="BD112" s="44"/>
      <c r="BE112" s="44"/>
      <c r="BF112" s="44"/>
      <c r="BG112" s="44"/>
      <c r="BH112" s="44"/>
      <c r="BI112" s="44"/>
      <c r="BJ112" s="42">
        <v>1.0</v>
      </c>
      <c r="BK112" s="44"/>
      <c r="BL112" s="42"/>
      <c r="BM112" s="44"/>
      <c r="BN112" s="44"/>
      <c r="BO112" s="44"/>
      <c r="BP112" s="44"/>
      <c r="BQ112" s="44"/>
      <c r="BR112" s="44"/>
      <c r="BS112" s="44"/>
      <c r="BT112" s="44"/>
      <c r="BU112" s="42"/>
      <c r="BV112" s="44"/>
      <c r="BW112" s="44"/>
      <c r="BX112" s="44"/>
      <c r="BY112" s="42"/>
      <c r="BZ112" s="44"/>
      <c r="CA112" s="44"/>
      <c r="CB112" s="44"/>
      <c r="CC112" s="44"/>
      <c r="CD112" s="44"/>
      <c r="CE112" s="44"/>
      <c r="CF112" s="44"/>
      <c r="CG112" s="44"/>
      <c r="CH112" s="44"/>
      <c r="CI112" s="44"/>
      <c r="CJ112" s="44"/>
      <c r="CK112" s="44"/>
      <c r="CL112" s="44"/>
      <c r="CM112" s="44"/>
      <c r="CN112" s="44"/>
      <c r="CO112" s="44"/>
      <c r="CP112" s="44"/>
      <c r="CQ112" s="44"/>
      <c r="CR112" s="42">
        <v>1.0</v>
      </c>
      <c r="CS112" s="44"/>
      <c r="CT112" s="44"/>
      <c r="CU112" s="44"/>
      <c r="CV112" s="44"/>
      <c r="CW112" s="44"/>
      <c r="CX112" s="44"/>
      <c r="CY112" s="44"/>
      <c r="CZ112" s="44"/>
      <c r="DA112" s="44"/>
      <c r="DB112" s="44"/>
      <c r="DC112" s="44"/>
      <c r="DD112" s="44"/>
      <c r="DE112" s="42"/>
      <c r="DF112" s="42"/>
      <c r="DG112" s="44"/>
      <c r="DH112" s="44"/>
      <c r="DI112" s="44"/>
      <c r="DJ112" s="44"/>
      <c r="DK112" s="44"/>
      <c r="DL112" s="42"/>
      <c r="DM112" s="44"/>
      <c r="DN112" s="44"/>
      <c r="DO112" s="44"/>
      <c r="DP112" s="44"/>
      <c r="DQ112" s="42"/>
      <c r="DR112" s="42"/>
      <c r="DS112" s="44"/>
      <c r="DT112" s="44"/>
      <c r="DU112" s="42">
        <v>1.0</v>
      </c>
      <c r="DV112" s="44"/>
      <c r="DW112" s="44"/>
      <c r="DX112" s="44"/>
      <c r="DY112" s="44"/>
      <c r="DZ112" s="44"/>
      <c r="EA112" s="44"/>
      <c r="EB112" s="42"/>
      <c r="EC112" s="42">
        <v>1.0</v>
      </c>
      <c r="ED112" s="44"/>
      <c r="EE112" s="44"/>
      <c r="EF112" s="44"/>
      <c r="EG112" s="44"/>
      <c r="EH112" s="44"/>
      <c r="EI112" s="42">
        <v>1.0</v>
      </c>
      <c r="EJ112" s="42">
        <v>1.0</v>
      </c>
      <c r="EK112" s="44"/>
      <c r="EL112" s="44"/>
      <c r="EM112" s="44"/>
      <c r="EN112" s="44"/>
      <c r="EO112" s="44"/>
      <c r="EP112" s="44"/>
      <c r="EQ112" s="44"/>
      <c r="ER112" s="44"/>
      <c r="ES112" s="44"/>
      <c r="ET112" s="44"/>
      <c r="EU112" s="42">
        <v>1.0</v>
      </c>
      <c r="EV112" s="42">
        <v>1.0</v>
      </c>
      <c r="EW112" s="42"/>
      <c r="EX112" s="44"/>
      <c r="EY112" s="44"/>
      <c r="EZ112" s="44"/>
      <c r="FA112" s="42">
        <v>1.0</v>
      </c>
      <c r="FB112" s="44"/>
      <c r="FC112" s="44"/>
      <c r="FD112" s="44"/>
      <c r="FE112" s="42"/>
      <c r="FF112" s="44"/>
      <c r="FG112" s="44"/>
      <c r="FH112" s="42"/>
      <c r="FI112" s="44"/>
      <c r="FJ112" s="44"/>
      <c r="FK112" s="44"/>
      <c r="FL112" s="44"/>
      <c r="FM112" s="44"/>
      <c r="FN112" s="44"/>
      <c r="FO112" s="44"/>
      <c r="FP112" s="44"/>
      <c r="FQ112" s="44"/>
      <c r="FR112" s="42">
        <v>1.0</v>
      </c>
      <c r="FS112" s="44"/>
      <c r="FT112" s="44"/>
      <c r="FU112" s="42"/>
      <c r="FV112" s="42"/>
      <c r="FW112" s="44"/>
      <c r="FX112" s="44"/>
      <c r="FY112" s="44"/>
      <c r="FZ112" s="44"/>
      <c r="GA112" s="44"/>
      <c r="GB112" s="44"/>
      <c r="GC112" s="44"/>
      <c r="GD112" s="44"/>
      <c r="GE112" s="44"/>
      <c r="GF112" s="44"/>
    </row>
    <row r="113">
      <c r="A113" s="23">
        <v>42844.0</v>
      </c>
      <c r="B113" s="4" t="s">
        <v>244</v>
      </c>
      <c r="C113" s="4">
        <v>21.310612</v>
      </c>
      <c r="D113" s="4">
        <v>-158.00441</v>
      </c>
      <c r="E113" s="4" t="s">
        <v>278</v>
      </c>
      <c r="F113" s="24">
        <v>0.3854166666666667</v>
      </c>
      <c r="G113" s="24">
        <v>0.46875</v>
      </c>
      <c r="H113" s="4">
        <v>6.0</v>
      </c>
      <c r="I113" s="4">
        <v>6.0</v>
      </c>
      <c r="J113" s="4" t="s">
        <v>198</v>
      </c>
      <c r="K113" s="4">
        <v>5.0</v>
      </c>
      <c r="L113" s="4">
        <v>24.0</v>
      </c>
      <c r="M113" s="4" t="s">
        <v>365</v>
      </c>
      <c r="N113" s="4" t="s">
        <v>295</v>
      </c>
      <c r="Q113" s="4">
        <v>1.0</v>
      </c>
      <c r="AD113" s="4">
        <v>1.0</v>
      </c>
      <c r="AH113" s="4">
        <v>1.0</v>
      </c>
      <c r="AV113" s="4">
        <v>1.0</v>
      </c>
      <c r="AZ113" s="4"/>
      <c r="BA113" s="4">
        <v>1.0</v>
      </c>
      <c r="BL113" s="4">
        <v>1.0</v>
      </c>
      <c r="BU113" s="4">
        <v>1.0</v>
      </c>
      <c r="BY113" s="4">
        <v>1.0</v>
      </c>
      <c r="DE113" s="4"/>
      <c r="DF113" s="4">
        <v>1.0</v>
      </c>
      <c r="DL113" s="4">
        <v>1.0</v>
      </c>
      <c r="DQ113" s="4"/>
      <c r="DR113" s="4">
        <v>1.0</v>
      </c>
      <c r="EB113" s="4">
        <v>1.0</v>
      </c>
      <c r="EI113" s="4">
        <v>1.0</v>
      </c>
      <c r="EW113" s="4">
        <v>1.0</v>
      </c>
      <c r="FC113" s="4"/>
      <c r="FE113" s="4">
        <v>1.0</v>
      </c>
      <c r="FH113" s="4">
        <v>1.0</v>
      </c>
      <c r="FR113" s="4">
        <v>1.0</v>
      </c>
      <c r="FU113" s="4"/>
      <c r="FV113" s="4">
        <v>1.0</v>
      </c>
    </row>
    <row r="114">
      <c r="A114" s="23">
        <v>42844.0</v>
      </c>
      <c r="B114" s="4" t="s">
        <v>369</v>
      </c>
      <c r="C114" s="4">
        <v>21.888725</v>
      </c>
      <c r="D114" s="4">
        <v>-159.416412</v>
      </c>
      <c r="E114" s="4" t="s">
        <v>321</v>
      </c>
      <c r="F114" s="24">
        <v>0.3541666666666667</v>
      </c>
      <c r="G114" s="24">
        <v>0.5</v>
      </c>
      <c r="H114" s="4">
        <v>5.0</v>
      </c>
      <c r="I114" s="4">
        <v>18.0</v>
      </c>
      <c r="J114" s="4" t="s">
        <v>217</v>
      </c>
      <c r="K114" s="4">
        <v>5.0</v>
      </c>
      <c r="L114" s="4">
        <v>19.0</v>
      </c>
      <c r="M114" s="4" t="s">
        <v>370</v>
      </c>
      <c r="AA114" s="4">
        <v>1.0</v>
      </c>
      <c r="AH114" s="4">
        <v>1.0</v>
      </c>
      <c r="AM114" s="4">
        <v>1.0</v>
      </c>
      <c r="BG114" s="4">
        <v>1.0</v>
      </c>
      <c r="BN114" s="4"/>
      <c r="BO114" s="4">
        <v>1.0</v>
      </c>
      <c r="BU114" s="4">
        <v>1.0</v>
      </c>
      <c r="BY114" s="4">
        <v>1.0</v>
      </c>
      <c r="CR114" s="4">
        <v>1.0</v>
      </c>
      <c r="DQ114" s="4"/>
      <c r="DR114" s="4">
        <v>1.0</v>
      </c>
      <c r="DT114" s="4"/>
      <c r="DU114" s="4">
        <v>1.0</v>
      </c>
      <c r="EI114" s="4">
        <v>1.0</v>
      </c>
      <c r="FH114" s="4">
        <v>1.0</v>
      </c>
      <c r="FR114" s="4">
        <v>1.0</v>
      </c>
    </row>
    <row r="115">
      <c r="A115" s="23">
        <v>42850.0</v>
      </c>
      <c r="B115" s="4" t="s">
        <v>244</v>
      </c>
      <c r="C115" s="4">
        <v>21.310612</v>
      </c>
      <c r="D115" s="4">
        <v>-158.00441</v>
      </c>
      <c r="E115" s="4" t="s">
        <v>326</v>
      </c>
      <c r="F115" s="24">
        <v>0.3958333333333333</v>
      </c>
      <c r="G115" s="24">
        <v>0.4583333333333333</v>
      </c>
      <c r="H115" s="4">
        <v>7.0</v>
      </c>
      <c r="I115" s="4">
        <v>10.0</v>
      </c>
      <c r="J115" s="4" t="s">
        <v>318</v>
      </c>
      <c r="K115" s="4">
        <v>5.0</v>
      </c>
      <c r="L115" s="4">
        <v>34.0</v>
      </c>
      <c r="M115" s="4" t="s">
        <v>371</v>
      </c>
      <c r="Q115" s="4">
        <v>1.0</v>
      </c>
      <c r="AA115" s="4">
        <v>1.0</v>
      </c>
      <c r="AB115" s="4">
        <v>1.0</v>
      </c>
      <c r="AD115" s="4">
        <v>1.0</v>
      </c>
      <c r="AH115" s="4">
        <v>1.0</v>
      </c>
      <c r="AL115" s="4">
        <v>1.0</v>
      </c>
      <c r="AM115" s="4">
        <v>1.0</v>
      </c>
      <c r="AS115" s="4">
        <v>1.0</v>
      </c>
      <c r="AZ115" s="4"/>
      <c r="BA115" s="4">
        <v>1.0</v>
      </c>
      <c r="BL115" s="4">
        <v>1.0</v>
      </c>
      <c r="BU115" s="4">
        <v>1.0</v>
      </c>
      <c r="BY115" s="4">
        <v>1.0</v>
      </c>
      <c r="CO115" s="4"/>
      <c r="CP115" s="4"/>
      <c r="CQ115" s="4">
        <v>1.0</v>
      </c>
      <c r="CV115" s="4"/>
      <c r="CW115" s="4"/>
      <c r="CX115" s="4">
        <v>1.0</v>
      </c>
      <c r="DE115" s="4"/>
      <c r="DF115" s="4">
        <v>1.0</v>
      </c>
      <c r="DL115" s="4">
        <v>1.0</v>
      </c>
      <c r="DN115" s="4">
        <v>1.0</v>
      </c>
      <c r="DT115" s="4"/>
      <c r="DU115" s="4">
        <v>1.0</v>
      </c>
      <c r="EI115" s="4">
        <v>1.0</v>
      </c>
      <c r="EJ115" s="4">
        <v>1.0</v>
      </c>
      <c r="EN115" s="4">
        <v>1.0</v>
      </c>
      <c r="FA115" s="4">
        <v>1.0</v>
      </c>
      <c r="FR115" s="4">
        <v>1.0</v>
      </c>
      <c r="FU115" s="4"/>
      <c r="FV115" s="4">
        <v>1.0</v>
      </c>
    </row>
    <row r="116">
      <c r="A116" s="23">
        <v>42850.0</v>
      </c>
      <c r="B116" s="4" t="s">
        <v>250</v>
      </c>
      <c r="C116" s="4">
        <v>21.4104</v>
      </c>
      <c r="D116" s="4">
        <v>-158.177704</v>
      </c>
      <c r="E116" s="4" t="s">
        <v>372</v>
      </c>
      <c r="F116" s="24">
        <v>0.3888888888888889</v>
      </c>
      <c r="G116" s="24">
        <v>0.4791666666666667</v>
      </c>
      <c r="H116" s="4">
        <v>6.0</v>
      </c>
      <c r="I116" s="4">
        <v>20.0</v>
      </c>
      <c r="J116" s="4" t="s">
        <v>198</v>
      </c>
      <c r="K116" s="4">
        <v>5.0</v>
      </c>
      <c r="L116" s="4">
        <v>23.0</v>
      </c>
      <c r="M116" s="4" t="s">
        <v>373</v>
      </c>
      <c r="Q116" s="4">
        <v>1.0</v>
      </c>
      <c r="AB116" s="4">
        <v>1.0</v>
      </c>
      <c r="BR116" s="4">
        <v>1.0</v>
      </c>
      <c r="BY116" s="4">
        <v>1.0</v>
      </c>
      <c r="CB116" s="4">
        <v>1.0</v>
      </c>
      <c r="CJ116" s="4">
        <v>1.0</v>
      </c>
      <c r="CM116" s="4">
        <v>1.0</v>
      </c>
      <c r="CN116" s="4">
        <v>1.0</v>
      </c>
      <c r="DE116" s="4"/>
      <c r="DF116" s="4">
        <v>1.0</v>
      </c>
      <c r="DI116" s="4">
        <v>1.0</v>
      </c>
      <c r="DK116" s="4">
        <v>1.0</v>
      </c>
      <c r="DL116" s="4">
        <v>1.0</v>
      </c>
      <c r="DQ116" s="4"/>
      <c r="DR116" s="4">
        <v>1.0</v>
      </c>
      <c r="EJ116" s="4">
        <v>1.0</v>
      </c>
      <c r="EW116" s="4">
        <v>1.0</v>
      </c>
      <c r="EX116" s="4">
        <v>1.0</v>
      </c>
      <c r="FQ116" s="4">
        <v>1.0</v>
      </c>
      <c r="FR116" s="4">
        <v>1.0</v>
      </c>
      <c r="GB116" s="4">
        <v>1.0</v>
      </c>
      <c r="GE116" s="4">
        <v>1.0</v>
      </c>
    </row>
    <row r="117">
      <c r="A117" s="23">
        <v>42850.0</v>
      </c>
      <c r="B117" s="4" t="s">
        <v>374</v>
      </c>
      <c r="C117" s="4">
        <v>20.738001</v>
      </c>
      <c r="D117" s="4">
        <v>-156.895004</v>
      </c>
      <c r="E117" s="4" t="s">
        <v>375</v>
      </c>
      <c r="F117" s="24">
        <v>0.40625</v>
      </c>
      <c r="G117" s="24">
        <v>0.46875</v>
      </c>
      <c r="H117" s="4">
        <v>5.0</v>
      </c>
      <c r="I117" s="4">
        <v>20.0</v>
      </c>
      <c r="J117" s="4" t="s">
        <v>318</v>
      </c>
      <c r="K117" s="4">
        <v>5.0</v>
      </c>
      <c r="L117" s="4">
        <v>20.0</v>
      </c>
      <c r="M117" s="4" t="s">
        <v>376</v>
      </c>
      <c r="Q117" s="4">
        <v>1.0</v>
      </c>
      <c r="R117" s="4">
        <v>1.0</v>
      </c>
      <c r="AA117" s="4">
        <v>1.0</v>
      </c>
      <c r="AC117" s="4">
        <v>1.0</v>
      </c>
      <c r="AG117" s="4">
        <v>1.0</v>
      </c>
      <c r="AL117" s="4">
        <v>1.0</v>
      </c>
      <c r="AY117" s="4">
        <v>1.0</v>
      </c>
      <c r="BD117" s="4">
        <v>1.0</v>
      </c>
      <c r="BL117" s="4">
        <v>1.0</v>
      </c>
      <c r="BU117" s="4">
        <v>1.0</v>
      </c>
      <c r="BV117" s="4">
        <v>1.0</v>
      </c>
      <c r="BX117" s="4">
        <v>1.0</v>
      </c>
      <c r="BY117" s="4">
        <v>1.0</v>
      </c>
      <c r="CB117" s="4">
        <v>1.0</v>
      </c>
      <c r="CO117" s="4">
        <v>1.0</v>
      </c>
      <c r="CY117" s="4">
        <v>1.0</v>
      </c>
      <c r="DA117" s="4">
        <v>1.0</v>
      </c>
      <c r="DE117" s="4"/>
      <c r="DF117" s="4">
        <v>1.0</v>
      </c>
      <c r="DI117" s="4">
        <v>1.0</v>
      </c>
      <c r="DO117" s="4">
        <v>1.0</v>
      </c>
      <c r="DV117" s="4">
        <v>1.0</v>
      </c>
      <c r="EC117" s="4">
        <v>1.0</v>
      </c>
      <c r="EI117" s="4">
        <v>1.0</v>
      </c>
      <c r="EY117" s="4">
        <v>1.0</v>
      </c>
      <c r="FA117" s="4">
        <v>1.0</v>
      </c>
      <c r="FC117" s="4"/>
      <c r="FE117" s="4">
        <v>1.0</v>
      </c>
      <c r="FQ117" s="4">
        <v>1.0</v>
      </c>
      <c r="FR117" s="4">
        <v>1.0</v>
      </c>
    </row>
    <row r="118">
      <c r="A118" s="23">
        <v>42851.0</v>
      </c>
      <c r="B118" s="4" t="s">
        <v>369</v>
      </c>
      <c r="C118" s="4">
        <v>21.888725</v>
      </c>
      <c r="D118" s="4">
        <v>-159.416412</v>
      </c>
      <c r="E118" s="4" t="s">
        <v>321</v>
      </c>
      <c r="F118" s="24">
        <v>0.375</v>
      </c>
      <c r="G118" s="24">
        <v>0.5625</v>
      </c>
      <c r="H118" s="4">
        <v>5.0</v>
      </c>
      <c r="I118" s="4">
        <v>10.0</v>
      </c>
      <c r="J118" s="4" t="s">
        <v>217</v>
      </c>
      <c r="K118" s="4">
        <v>5.0</v>
      </c>
      <c r="L118" s="4">
        <v>23.0</v>
      </c>
      <c r="M118" s="4" t="s">
        <v>380</v>
      </c>
      <c r="AA118" s="4">
        <v>1.0</v>
      </c>
      <c r="AB118" s="4">
        <v>1.0</v>
      </c>
      <c r="AG118" s="4">
        <v>1.0</v>
      </c>
      <c r="AH118" s="4">
        <v>1.0</v>
      </c>
      <c r="AZ118" s="4"/>
      <c r="BA118" s="4">
        <v>1.0</v>
      </c>
      <c r="BG118" s="4">
        <v>1.0</v>
      </c>
      <c r="BL118" s="4">
        <v>1.0</v>
      </c>
      <c r="BN118" s="4"/>
      <c r="BO118" s="4">
        <v>1.0</v>
      </c>
      <c r="BU118" s="4">
        <v>1.0</v>
      </c>
      <c r="BY118" s="4">
        <v>1.0</v>
      </c>
      <c r="CR118" s="4">
        <v>1.0</v>
      </c>
      <c r="DE118" s="4"/>
      <c r="DF118" s="4">
        <v>1.0</v>
      </c>
      <c r="DL118" s="4">
        <v>1.0</v>
      </c>
      <c r="DQ118" s="4"/>
      <c r="DR118" s="4">
        <v>1.0</v>
      </c>
      <c r="DT118" s="4"/>
      <c r="DU118" s="4">
        <v>1.0</v>
      </c>
      <c r="EI118" s="4">
        <v>1.0</v>
      </c>
      <c r="FA118" s="4">
        <v>1.0</v>
      </c>
      <c r="FH118" s="4">
        <v>1.0</v>
      </c>
      <c r="FR118" s="4">
        <v>1.0</v>
      </c>
    </row>
    <row r="119">
      <c r="A119" s="23">
        <v>42851.0</v>
      </c>
      <c r="B119" s="4" t="s">
        <v>340</v>
      </c>
      <c r="C119" s="4">
        <v>19.643276</v>
      </c>
      <c r="D119" s="4">
        <v>-156.010193</v>
      </c>
      <c r="E119" s="4" t="s">
        <v>381</v>
      </c>
      <c r="F119" s="24">
        <v>0.3854166666666667</v>
      </c>
      <c r="G119" s="24">
        <v>0.4583333333333333</v>
      </c>
      <c r="H119" s="4">
        <v>7.0</v>
      </c>
      <c r="I119" s="4">
        <v>21.0</v>
      </c>
      <c r="J119" s="4" t="s">
        <v>198</v>
      </c>
      <c r="K119" s="4">
        <v>11.0</v>
      </c>
      <c r="L119" s="4">
        <v>75.0</v>
      </c>
      <c r="M119" s="4" t="s">
        <v>382</v>
      </c>
      <c r="S119" s="4">
        <v>1.0</v>
      </c>
      <c r="AF119" s="4">
        <v>1.0</v>
      </c>
      <c r="AL119" s="4">
        <v>1.0</v>
      </c>
      <c r="BL119" s="4">
        <v>1.0</v>
      </c>
      <c r="BQ119" s="4">
        <v>1.0</v>
      </c>
      <c r="CB119" s="4">
        <v>1.0</v>
      </c>
      <c r="EI119" s="4">
        <v>1.0</v>
      </c>
      <c r="EY119" s="4">
        <v>1.0</v>
      </c>
      <c r="FC119" s="4"/>
      <c r="FE119" s="4">
        <v>1.0</v>
      </c>
      <c r="FL119" s="4">
        <v>1.0</v>
      </c>
      <c r="FQ119" s="4">
        <v>1.0</v>
      </c>
      <c r="FR119" s="4">
        <v>1.0</v>
      </c>
      <c r="GB119" s="4">
        <v>1.0</v>
      </c>
    </row>
    <row r="120">
      <c r="A120" s="23">
        <v>42851.0</v>
      </c>
      <c r="B120" s="4" t="s">
        <v>293</v>
      </c>
      <c r="C120" s="4">
        <v>19.738602</v>
      </c>
      <c r="D120" s="4">
        <v>-155.038879</v>
      </c>
      <c r="E120" s="4" t="s">
        <v>383</v>
      </c>
      <c r="F120" s="24">
        <v>0.3993055555555556</v>
      </c>
      <c r="G120" s="24">
        <v>0.4548611111111111</v>
      </c>
      <c r="H120" s="4">
        <v>5.0</v>
      </c>
      <c r="I120" s="4">
        <v>22.0</v>
      </c>
      <c r="J120" s="4" t="s">
        <v>198</v>
      </c>
      <c r="K120" s="4">
        <v>6.0</v>
      </c>
      <c r="L120" s="4">
        <v>28.0</v>
      </c>
      <c r="M120" s="4" t="s">
        <v>384</v>
      </c>
      <c r="BJ120" s="4">
        <v>1.0</v>
      </c>
      <c r="BL120" s="4">
        <v>1.0</v>
      </c>
      <c r="CB120" s="4">
        <v>1.0</v>
      </c>
      <c r="CN120" s="4">
        <v>1.0</v>
      </c>
      <c r="EI120" s="4">
        <v>1.0</v>
      </c>
      <c r="EO120" s="4">
        <v>1.0</v>
      </c>
      <c r="FR120" s="4">
        <v>1.0</v>
      </c>
      <c r="FS120" s="4">
        <v>1.0</v>
      </c>
    </row>
    <row r="121">
      <c r="A121" s="23">
        <v>42851.0</v>
      </c>
      <c r="B121" s="4" t="s">
        <v>216</v>
      </c>
      <c r="C121" s="4">
        <v>21.3002</v>
      </c>
      <c r="D121" s="4">
        <v>-157.882599</v>
      </c>
      <c r="E121" s="4" t="s">
        <v>385</v>
      </c>
      <c r="F121" s="24">
        <v>0.4027777777777778</v>
      </c>
      <c r="G121" s="24">
        <v>0.4479166666666667</v>
      </c>
      <c r="H121" s="4">
        <v>7.0</v>
      </c>
      <c r="I121" s="4">
        <v>16.0</v>
      </c>
      <c r="J121" s="4" t="s">
        <v>217</v>
      </c>
      <c r="K121" s="4">
        <v>5.0</v>
      </c>
      <c r="L121" s="4">
        <v>28.0</v>
      </c>
      <c r="M121" s="4" t="s">
        <v>386</v>
      </c>
      <c r="N121" s="4" t="s">
        <v>387</v>
      </c>
      <c r="AA121" s="4">
        <v>1.0</v>
      </c>
      <c r="AL121" s="4">
        <v>1.0</v>
      </c>
      <c r="BL121" s="4">
        <v>1.0</v>
      </c>
      <c r="BV121" s="4">
        <v>1.0</v>
      </c>
      <c r="CB121" s="4">
        <v>1.0</v>
      </c>
      <c r="CC121" s="4">
        <v>1.0</v>
      </c>
      <c r="DH121" s="4">
        <v>1.0</v>
      </c>
      <c r="DN121" s="4">
        <v>1.0</v>
      </c>
      <c r="DQ121" s="4"/>
      <c r="DR121" s="4">
        <v>1.0</v>
      </c>
      <c r="EB121" s="4">
        <v>1.0</v>
      </c>
      <c r="EI121" s="4">
        <v>1.0</v>
      </c>
      <c r="FH121" s="4">
        <v>1.0</v>
      </c>
      <c r="FR121" s="4">
        <v>1.0</v>
      </c>
    </row>
    <row r="122">
      <c r="A122" s="23">
        <v>42852.0</v>
      </c>
      <c r="B122" s="4" t="s">
        <v>293</v>
      </c>
      <c r="C122" s="4">
        <v>19.738602</v>
      </c>
      <c r="D122" s="4">
        <v>-155.038879</v>
      </c>
      <c r="F122" s="24">
        <v>0.3611111111111111</v>
      </c>
      <c r="G122" s="24">
        <v>0.4583333333333333</v>
      </c>
      <c r="H122" s="4">
        <v>3.0</v>
      </c>
      <c r="I122" s="4">
        <v>10.0</v>
      </c>
      <c r="J122" s="4" t="s">
        <v>198</v>
      </c>
      <c r="K122" s="4">
        <v>5.0</v>
      </c>
      <c r="L122" s="4">
        <v>8.0</v>
      </c>
      <c r="M122" s="4" t="s">
        <v>388</v>
      </c>
      <c r="N122" s="4" t="s">
        <v>295</v>
      </c>
      <c r="BJ122" s="4">
        <v>1.0</v>
      </c>
      <c r="BL122" s="4">
        <v>1.0</v>
      </c>
      <c r="CB122" s="4">
        <v>1.0</v>
      </c>
      <c r="CN122" s="4">
        <v>1.0</v>
      </c>
      <c r="DL122" s="4">
        <v>1.0</v>
      </c>
      <c r="DQ122" s="4">
        <v>1.0</v>
      </c>
      <c r="ES122" s="4"/>
      <c r="ET122" s="4"/>
      <c r="EU122" s="4">
        <v>1.0</v>
      </c>
      <c r="FA122" s="4">
        <v>1.0</v>
      </c>
      <c r="FR122" s="4">
        <v>1.0</v>
      </c>
      <c r="FU122" s="4"/>
      <c r="FV122" s="4">
        <v>1.0</v>
      </c>
    </row>
    <row r="123">
      <c r="A123" s="23">
        <v>42852.0</v>
      </c>
      <c r="B123" s="4" t="s">
        <v>201</v>
      </c>
      <c r="C123" s="4">
        <v>21.25544</v>
      </c>
      <c r="D123" s="4">
        <v>-157.810303</v>
      </c>
      <c r="E123" s="4" t="s">
        <v>389</v>
      </c>
      <c r="F123" s="24">
        <v>0.3784722222222222</v>
      </c>
      <c r="G123" s="24">
        <v>0.4236111111111111</v>
      </c>
      <c r="H123" s="4">
        <v>7.0</v>
      </c>
      <c r="I123" s="4">
        <v>12.0</v>
      </c>
      <c r="J123" s="4" t="s">
        <v>198</v>
      </c>
      <c r="K123" s="4">
        <v>6.0</v>
      </c>
      <c r="L123" s="4">
        <v>31.0</v>
      </c>
      <c r="M123" s="4" t="s">
        <v>390</v>
      </c>
      <c r="AE123" s="4">
        <v>1.0</v>
      </c>
      <c r="AY123" s="4">
        <v>1.0</v>
      </c>
      <c r="BU123" s="4">
        <v>1.0</v>
      </c>
      <c r="BY123" s="4">
        <v>1.0</v>
      </c>
      <c r="DE123" s="4"/>
      <c r="DF123" s="4">
        <v>1.0</v>
      </c>
      <c r="DR123" s="4">
        <v>1.0</v>
      </c>
      <c r="EI123" s="4">
        <v>1.0</v>
      </c>
      <c r="FA123" s="4">
        <v>1.0</v>
      </c>
      <c r="FD123" s="4">
        <v>1.0</v>
      </c>
      <c r="FQ123" s="4">
        <v>1.0</v>
      </c>
      <c r="FR123" s="4">
        <v>1.0</v>
      </c>
    </row>
    <row r="124">
      <c r="A124" s="41">
        <v>42852.0</v>
      </c>
      <c r="B124" s="42" t="s">
        <v>201</v>
      </c>
      <c r="C124" s="42">
        <v>21.25544</v>
      </c>
      <c r="D124" s="42">
        <v>-157.810303</v>
      </c>
      <c r="E124" s="42" t="s">
        <v>453</v>
      </c>
      <c r="F124" s="43">
        <v>0.4236111111111111</v>
      </c>
      <c r="G124" s="43">
        <v>0.4722222222222222</v>
      </c>
      <c r="H124" s="42">
        <v>6.0</v>
      </c>
      <c r="I124" s="42">
        <v>15.0</v>
      </c>
      <c r="J124" s="42" t="s">
        <v>227</v>
      </c>
      <c r="K124" s="42">
        <v>5.0</v>
      </c>
      <c r="L124" s="42">
        <v>10.0</v>
      </c>
      <c r="M124" s="42" t="s">
        <v>454</v>
      </c>
      <c r="N124" s="44"/>
      <c r="O124" s="42"/>
      <c r="P124" s="44"/>
      <c r="Q124" s="44"/>
      <c r="R124" s="44"/>
      <c r="S124" s="44"/>
      <c r="T124" s="44"/>
      <c r="U124" s="44"/>
      <c r="V124" s="44"/>
      <c r="W124" s="44"/>
      <c r="X124" s="44"/>
      <c r="Y124" s="44"/>
      <c r="Z124" s="44"/>
      <c r="AA124" s="44"/>
      <c r="AB124" s="44"/>
      <c r="AC124" s="44"/>
      <c r="AD124" s="44"/>
      <c r="AE124" s="44"/>
      <c r="AF124" s="44"/>
      <c r="AG124" s="44"/>
      <c r="AH124" s="42">
        <v>1.0</v>
      </c>
      <c r="AI124" s="44"/>
      <c r="AJ124" s="44"/>
      <c r="AK124" s="44"/>
      <c r="AL124" s="44"/>
      <c r="AM124" s="44"/>
      <c r="AN124" s="44"/>
      <c r="AO124" s="44"/>
      <c r="AP124" s="44"/>
      <c r="AQ124" s="44"/>
      <c r="AR124" s="44"/>
      <c r="AS124" s="44"/>
      <c r="AT124" s="44"/>
      <c r="AU124" s="44"/>
      <c r="AV124" s="44"/>
      <c r="AW124" s="44"/>
      <c r="AX124" s="44"/>
      <c r="AY124" s="44"/>
      <c r="AZ124" s="44"/>
      <c r="BA124" s="44"/>
      <c r="BB124" s="44"/>
      <c r="BC124" s="44"/>
      <c r="BD124" s="44"/>
      <c r="BE124" s="44"/>
      <c r="BF124" s="44"/>
      <c r="BG124" s="44"/>
      <c r="BH124" s="44"/>
      <c r="BI124" s="44"/>
      <c r="BJ124" s="44"/>
      <c r="BK124" s="44"/>
      <c r="BL124" s="42"/>
      <c r="BM124" s="44"/>
      <c r="BN124" s="44"/>
      <c r="BO124" s="44"/>
      <c r="BP124" s="44"/>
      <c r="BQ124" s="44"/>
      <c r="BR124" s="44"/>
      <c r="BS124" s="44"/>
      <c r="BT124" s="44"/>
      <c r="BU124" s="42">
        <v>1.0</v>
      </c>
      <c r="BV124" s="44"/>
      <c r="BW124" s="44"/>
      <c r="BX124" s="44"/>
      <c r="BY124" s="42">
        <v>1.0</v>
      </c>
      <c r="BZ124" s="44"/>
      <c r="CA124" s="44"/>
      <c r="CB124" s="44"/>
      <c r="CC124" s="44"/>
      <c r="CD124" s="44"/>
      <c r="CE124" s="44"/>
      <c r="CF124" s="42"/>
      <c r="CG124" s="42"/>
      <c r="CH124" s="44"/>
      <c r="CI124" s="44"/>
      <c r="CJ124" s="44"/>
      <c r="CK124" s="44"/>
      <c r="CL124" s="44"/>
      <c r="CM124" s="44"/>
      <c r="CN124" s="44"/>
      <c r="CO124" s="44"/>
      <c r="CP124" s="44"/>
      <c r="CQ124" s="44"/>
      <c r="CR124" s="44"/>
      <c r="CS124" s="44"/>
      <c r="CT124" s="42"/>
      <c r="CU124" s="44"/>
      <c r="CV124" s="44"/>
      <c r="CW124" s="44"/>
      <c r="CX124" s="44"/>
      <c r="CY124" s="44"/>
      <c r="CZ124" s="44"/>
      <c r="DA124" s="44"/>
      <c r="DB124" s="44"/>
      <c r="DC124" s="44"/>
      <c r="DD124" s="44"/>
      <c r="DE124" s="44"/>
      <c r="DF124" s="44"/>
      <c r="DG124" s="44"/>
      <c r="DH124" s="44"/>
      <c r="DI124" s="44"/>
      <c r="DJ124" s="44"/>
      <c r="DK124" s="44"/>
      <c r="DL124" s="42">
        <v>1.0</v>
      </c>
      <c r="DM124" s="44"/>
      <c r="DN124" s="44"/>
      <c r="DO124" s="44"/>
      <c r="DP124" s="44"/>
      <c r="DQ124" s="44"/>
      <c r="DR124" s="44"/>
      <c r="DS124" s="44"/>
      <c r="DT124" s="44"/>
      <c r="DU124" s="44"/>
      <c r="DV124" s="44"/>
      <c r="DW124" s="44"/>
      <c r="DX124" s="44"/>
      <c r="DY124" s="44"/>
      <c r="DZ124" s="44"/>
      <c r="EA124" s="44"/>
      <c r="EB124" s="44"/>
      <c r="EC124" s="44"/>
      <c r="ED124" s="44"/>
      <c r="EE124" s="44"/>
      <c r="EF124" s="44"/>
      <c r="EG124" s="44"/>
      <c r="EH124" s="44"/>
      <c r="EI124" s="42">
        <v>1.0</v>
      </c>
      <c r="EJ124" s="44"/>
      <c r="EK124" s="44"/>
      <c r="EL124" s="44"/>
      <c r="EM124" s="44"/>
      <c r="EN124" s="44"/>
      <c r="EO124" s="44"/>
      <c r="EP124" s="44"/>
      <c r="EQ124" s="44"/>
      <c r="ER124" s="44"/>
      <c r="ES124" s="44"/>
      <c r="ET124" s="44"/>
      <c r="EU124" s="44"/>
      <c r="EV124" s="44"/>
      <c r="EW124" s="44"/>
      <c r="EX124" s="44"/>
      <c r="EY124" s="44"/>
      <c r="EZ124" s="44"/>
      <c r="FA124" s="44"/>
      <c r="FB124" s="44"/>
      <c r="FC124" s="44"/>
      <c r="FD124" s="44"/>
      <c r="FE124" s="44"/>
      <c r="FF124" s="44"/>
      <c r="FG124" s="44"/>
      <c r="FH124" s="44"/>
      <c r="FI124" s="44"/>
      <c r="FJ124" s="44"/>
      <c r="FK124" s="44"/>
      <c r="FL124" s="42"/>
      <c r="FM124" s="44"/>
      <c r="FN124" s="44"/>
      <c r="FO124" s="44"/>
      <c r="FP124" s="44"/>
      <c r="FQ124" s="42">
        <v>1.0</v>
      </c>
      <c r="FR124" s="42">
        <v>1.0</v>
      </c>
      <c r="FS124" s="44"/>
      <c r="FT124" s="42"/>
      <c r="FU124" s="44"/>
      <c r="FV124" s="44"/>
      <c r="FW124" s="44"/>
      <c r="FX124" s="44"/>
      <c r="FY124" s="44"/>
      <c r="FZ124" s="44"/>
      <c r="GA124" s="44"/>
      <c r="GB124" s="44"/>
      <c r="GC124" s="44"/>
      <c r="GD124" s="44"/>
      <c r="GE124" s="44"/>
      <c r="GF124" s="44"/>
    </row>
    <row r="125">
      <c r="A125" s="23">
        <v>42853.0</v>
      </c>
      <c r="B125" s="4" t="s">
        <v>374</v>
      </c>
      <c r="C125" s="4">
        <v>20.738001</v>
      </c>
      <c r="D125" s="4">
        <v>-156.895004</v>
      </c>
      <c r="E125" s="4" t="s">
        <v>391</v>
      </c>
      <c r="F125" s="24">
        <v>0.4708333333333333</v>
      </c>
      <c r="G125" s="24">
        <v>0.4986111111111111</v>
      </c>
      <c r="H125" s="4">
        <v>2.0</v>
      </c>
      <c r="I125" s="4">
        <v>25.0</v>
      </c>
      <c r="J125" s="4" t="s">
        <v>198</v>
      </c>
      <c r="K125" s="4">
        <v>13.0</v>
      </c>
      <c r="L125" s="4">
        <v>11.0</v>
      </c>
      <c r="M125" s="4" t="s">
        <v>392</v>
      </c>
      <c r="BL125" s="4">
        <v>1.0</v>
      </c>
      <c r="CF125" s="4"/>
      <c r="CG125" s="4">
        <v>1.0</v>
      </c>
      <c r="CT125" s="4">
        <v>1.0</v>
      </c>
      <c r="EI125" s="4">
        <v>1.0</v>
      </c>
      <c r="FL125" s="4">
        <v>1.0</v>
      </c>
      <c r="FR125" s="4">
        <v>1.0</v>
      </c>
      <c r="FT125" s="4">
        <v>1.0</v>
      </c>
    </row>
    <row r="126">
      <c r="A126" s="41">
        <v>42853.0</v>
      </c>
      <c r="B126" s="42" t="s">
        <v>266</v>
      </c>
      <c r="C126" s="42">
        <v>22.060684</v>
      </c>
      <c r="D126" s="42">
        <v>-159.318512</v>
      </c>
      <c r="E126" s="42" t="s">
        <v>367</v>
      </c>
      <c r="F126" s="43">
        <v>0.4479166666666667</v>
      </c>
      <c r="G126" s="43">
        <v>0.5048611111111111</v>
      </c>
      <c r="H126" s="42">
        <v>4.0</v>
      </c>
      <c r="I126" s="42">
        <v>20.0</v>
      </c>
      <c r="J126" s="42" t="s">
        <v>198</v>
      </c>
      <c r="K126" s="42">
        <v>10.0</v>
      </c>
      <c r="L126" s="42">
        <v>31.0</v>
      </c>
      <c r="M126" s="42" t="s">
        <v>455</v>
      </c>
      <c r="N126" s="44"/>
      <c r="O126" s="42"/>
      <c r="P126" s="44"/>
      <c r="Q126" s="42"/>
      <c r="R126" s="44"/>
      <c r="S126" s="44"/>
      <c r="T126" s="44"/>
      <c r="U126" s="44"/>
      <c r="V126" s="44"/>
      <c r="W126" s="44"/>
      <c r="X126" s="44"/>
      <c r="Y126" s="44"/>
      <c r="Z126" s="44"/>
      <c r="AA126" s="42"/>
      <c r="AB126" s="42"/>
      <c r="AC126" s="44"/>
      <c r="AD126" s="42"/>
      <c r="AE126" s="44"/>
      <c r="AF126" s="44"/>
      <c r="AG126" s="44"/>
      <c r="AH126" s="42"/>
      <c r="AI126" s="44"/>
      <c r="AJ126" s="44"/>
      <c r="AK126" s="44"/>
      <c r="AL126" s="44"/>
      <c r="AM126" s="44"/>
      <c r="AN126" s="44"/>
      <c r="AO126" s="44"/>
      <c r="AP126" s="44"/>
      <c r="AQ126" s="44"/>
      <c r="AR126" s="44"/>
      <c r="AS126" s="44"/>
      <c r="AT126" s="44"/>
      <c r="AU126" s="44"/>
      <c r="AV126" s="44"/>
      <c r="AW126" s="44"/>
      <c r="AX126" s="44"/>
      <c r="AY126" s="44"/>
      <c r="AZ126" s="42"/>
      <c r="BA126" s="42"/>
      <c r="BB126" s="44"/>
      <c r="BC126" s="44"/>
      <c r="BD126" s="42"/>
      <c r="BE126" s="42"/>
      <c r="BF126" s="44"/>
      <c r="BG126" s="44"/>
      <c r="BH126" s="44"/>
      <c r="BI126" s="44"/>
      <c r="BJ126" s="44"/>
      <c r="BK126" s="44"/>
      <c r="BL126" s="42"/>
      <c r="BM126" s="42">
        <v>1.0</v>
      </c>
      <c r="BN126" s="44"/>
      <c r="BO126" s="44"/>
      <c r="BP126" s="44"/>
      <c r="BQ126" s="44"/>
      <c r="BR126" s="42"/>
      <c r="BS126" s="44"/>
      <c r="BT126" s="44"/>
      <c r="BU126" s="42">
        <v>1.0</v>
      </c>
      <c r="BV126" s="44"/>
      <c r="BW126" s="44"/>
      <c r="BX126" s="44"/>
      <c r="BY126" s="42"/>
      <c r="BZ126" s="44"/>
      <c r="CA126" s="44"/>
      <c r="CB126" s="44"/>
      <c r="CC126" s="44"/>
      <c r="CD126" s="44"/>
      <c r="CE126" s="44"/>
      <c r="CF126" s="44"/>
      <c r="CG126" s="44"/>
      <c r="CH126" s="44"/>
      <c r="CI126" s="44"/>
      <c r="CJ126" s="44"/>
      <c r="CK126" s="44"/>
      <c r="CL126" s="44"/>
      <c r="CM126" s="44"/>
      <c r="CN126" s="44"/>
      <c r="CO126" s="44"/>
      <c r="CP126" s="44"/>
      <c r="CQ126" s="44"/>
      <c r="CR126" s="42"/>
      <c r="CS126" s="44"/>
      <c r="CT126" s="44"/>
      <c r="CU126" s="42">
        <v>1.0</v>
      </c>
      <c r="CV126" s="44"/>
      <c r="CW126" s="44"/>
      <c r="CX126" s="44"/>
      <c r="CY126" s="44"/>
      <c r="CZ126" s="44"/>
      <c r="DA126" s="44"/>
      <c r="DB126" s="44"/>
      <c r="DC126" s="44"/>
      <c r="DD126" s="44"/>
      <c r="DE126" s="42"/>
      <c r="DF126" s="42"/>
      <c r="DG126" s="44"/>
      <c r="DH126" s="44"/>
      <c r="DI126" s="44"/>
      <c r="DJ126" s="44"/>
      <c r="DK126" s="44"/>
      <c r="DL126" s="42">
        <v>1.0</v>
      </c>
      <c r="DM126" s="44"/>
      <c r="DN126" s="42"/>
      <c r="DO126" s="44"/>
      <c r="DP126" s="44"/>
      <c r="DQ126" s="44"/>
      <c r="DR126" s="44"/>
      <c r="DS126" s="44"/>
      <c r="DT126" s="42"/>
      <c r="DU126" s="42">
        <v>1.0</v>
      </c>
      <c r="DV126" s="44"/>
      <c r="DW126" s="44"/>
      <c r="DX126" s="44"/>
      <c r="DY126" s="44"/>
      <c r="DZ126" s="44"/>
      <c r="EA126" s="44"/>
      <c r="EB126" s="44"/>
      <c r="EC126" s="44"/>
      <c r="ED126" s="44"/>
      <c r="EE126" s="44"/>
      <c r="EF126" s="44"/>
      <c r="EG126" s="44"/>
      <c r="EH126" s="44"/>
      <c r="EI126" s="42">
        <v>1.0</v>
      </c>
      <c r="EJ126" s="44"/>
      <c r="EK126" s="44"/>
      <c r="EL126" s="44"/>
      <c r="EM126" s="44"/>
      <c r="EN126" s="44"/>
      <c r="EO126" s="44"/>
      <c r="EP126" s="44"/>
      <c r="EQ126" s="44"/>
      <c r="ER126" s="44"/>
      <c r="ES126" s="44"/>
      <c r="ET126" s="44"/>
      <c r="EU126" s="44"/>
      <c r="EV126" s="44"/>
      <c r="EW126" s="44"/>
      <c r="EX126" s="44"/>
      <c r="EY126" s="44"/>
      <c r="EZ126" s="44"/>
      <c r="FA126" s="42">
        <v>1.0</v>
      </c>
      <c r="FB126" s="44"/>
      <c r="FC126" s="44"/>
      <c r="FD126" s="44"/>
      <c r="FE126" s="44"/>
      <c r="FF126" s="44"/>
      <c r="FG126" s="44"/>
      <c r="FH126" s="42"/>
      <c r="FI126" s="44"/>
      <c r="FJ126" s="44"/>
      <c r="FK126" s="44"/>
      <c r="FL126" s="44"/>
      <c r="FM126" s="42"/>
      <c r="FN126" s="44"/>
      <c r="FO126" s="44"/>
      <c r="FP126" s="44"/>
      <c r="FQ126" s="44"/>
      <c r="FR126" s="42">
        <v>1.0</v>
      </c>
      <c r="FS126" s="44"/>
      <c r="FT126" s="44"/>
      <c r="FU126" s="44"/>
      <c r="FV126" s="44"/>
      <c r="FW126" s="44"/>
      <c r="FX126" s="44"/>
      <c r="FY126" s="44"/>
      <c r="FZ126" s="44"/>
      <c r="GA126" s="44"/>
      <c r="GB126" s="44"/>
      <c r="GC126" s="44"/>
      <c r="GD126" s="44"/>
      <c r="GE126" s="44"/>
      <c r="GF126" s="44"/>
    </row>
    <row r="127">
      <c r="A127" s="41">
        <v>42853.0</v>
      </c>
      <c r="B127" s="42" t="s">
        <v>293</v>
      </c>
      <c r="C127" s="42">
        <v>19.738602</v>
      </c>
      <c r="D127" s="42">
        <v>-155.038879</v>
      </c>
      <c r="E127" s="42" t="s">
        <v>459</v>
      </c>
      <c r="F127" s="43">
        <v>0.3888888888888889</v>
      </c>
      <c r="G127" s="43">
        <v>0.4479166666666667</v>
      </c>
      <c r="H127" s="42">
        <v>4.0</v>
      </c>
      <c r="I127" s="42">
        <v>8.0</v>
      </c>
      <c r="J127" s="42" t="s">
        <v>460</v>
      </c>
      <c r="K127" s="42">
        <v>8.0</v>
      </c>
      <c r="L127" s="42">
        <v>29.0</v>
      </c>
      <c r="M127" s="42" t="s">
        <v>461</v>
      </c>
      <c r="N127" s="44"/>
      <c r="O127" s="42"/>
      <c r="P127" s="44"/>
      <c r="Q127" s="42"/>
      <c r="R127" s="44"/>
      <c r="S127" s="44"/>
      <c r="T127" s="44"/>
      <c r="U127" s="44"/>
      <c r="V127" s="44"/>
      <c r="W127" s="44"/>
      <c r="X127" s="44"/>
      <c r="Y127" s="44"/>
      <c r="Z127" s="44"/>
      <c r="AA127" s="42"/>
      <c r="AB127" s="42"/>
      <c r="AC127" s="44"/>
      <c r="AD127" s="42"/>
      <c r="AE127" s="44"/>
      <c r="AF127" s="44"/>
      <c r="AG127" s="44"/>
      <c r="AH127" s="42"/>
      <c r="AI127" s="44"/>
      <c r="AJ127" s="44"/>
      <c r="AK127" s="44"/>
      <c r="AL127" s="42">
        <v>1.0</v>
      </c>
      <c r="AM127" s="44"/>
      <c r="AN127" s="44"/>
      <c r="AO127" s="44"/>
      <c r="AP127" s="44"/>
      <c r="AQ127" s="44"/>
      <c r="AR127" s="44"/>
      <c r="AS127" s="44"/>
      <c r="AT127" s="44"/>
      <c r="AU127" s="44"/>
      <c r="AV127" s="44"/>
      <c r="AW127" s="44"/>
      <c r="AX127" s="44"/>
      <c r="AY127" s="44"/>
      <c r="AZ127" s="42"/>
      <c r="BA127" s="42"/>
      <c r="BB127" s="44"/>
      <c r="BC127" s="44"/>
      <c r="BD127" s="42"/>
      <c r="BE127" s="42"/>
      <c r="BF127" s="44"/>
      <c r="BG127" s="44"/>
      <c r="BH127" s="44"/>
      <c r="BI127" s="44"/>
      <c r="BJ127" s="42">
        <v>1.0</v>
      </c>
      <c r="BK127" s="44"/>
      <c r="BL127" s="42">
        <v>1.0</v>
      </c>
      <c r="BM127" s="44"/>
      <c r="BN127" s="44"/>
      <c r="BO127" s="44"/>
      <c r="BP127" s="44"/>
      <c r="BQ127" s="44"/>
      <c r="BR127" s="42"/>
      <c r="BS127" s="44"/>
      <c r="BT127" s="44"/>
      <c r="BU127" s="42"/>
      <c r="BV127" s="44"/>
      <c r="BW127" s="44"/>
      <c r="BX127" s="44"/>
      <c r="BY127" s="42"/>
      <c r="BZ127" s="44"/>
      <c r="CA127" s="44"/>
      <c r="CB127" s="42">
        <v>1.0</v>
      </c>
      <c r="CC127" s="42">
        <v>1.0</v>
      </c>
      <c r="CD127" s="44"/>
      <c r="CE127" s="44"/>
      <c r="CF127" s="44"/>
      <c r="CG127" s="44"/>
      <c r="CH127" s="44"/>
      <c r="CI127" s="44"/>
      <c r="CJ127" s="44"/>
      <c r="CK127" s="44"/>
      <c r="CL127" s="44"/>
      <c r="CM127" s="44"/>
      <c r="CN127" s="42">
        <v>1.0</v>
      </c>
      <c r="CO127" s="44"/>
      <c r="CP127" s="44"/>
      <c r="CQ127" s="44"/>
      <c r="CR127" s="42"/>
      <c r="CS127" s="44"/>
      <c r="CT127" s="44"/>
      <c r="CU127" s="44"/>
      <c r="CV127" s="44"/>
      <c r="CW127" s="44"/>
      <c r="CX127" s="44"/>
      <c r="CY127" s="44"/>
      <c r="CZ127" s="44"/>
      <c r="DA127" s="44"/>
      <c r="DB127" s="44"/>
      <c r="DC127" s="44"/>
      <c r="DD127" s="44"/>
      <c r="DE127" s="42"/>
      <c r="DF127" s="42"/>
      <c r="DG127" s="42">
        <v>1.0</v>
      </c>
      <c r="DH127" s="44"/>
      <c r="DI127" s="44"/>
      <c r="DJ127" s="44"/>
      <c r="DK127" s="44"/>
      <c r="DL127" s="42"/>
      <c r="DM127" s="44"/>
      <c r="DN127" s="42"/>
      <c r="DO127" s="44"/>
      <c r="DP127" s="44"/>
      <c r="DQ127" s="44"/>
      <c r="DR127" s="44"/>
      <c r="DS127" s="44"/>
      <c r="DT127" s="42"/>
      <c r="DU127" s="42"/>
      <c r="DV127" s="44"/>
      <c r="DW127" s="44"/>
      <c r="DX127" s="44"/>
      <c r="DY127" s="44"/>
      <c r="DZ127" s="44"/>
      <c r="EA127" s="44"/>
      <c r="EB127" s="44"/>
      <c r="EC127" s="44"/>
      <c r="ED127" s="44"/>
      <c r="EE127" s="44"/>
      <c r="EF127" s="44"/>
      <c r="EG127" s="44"/>
      <c r="EH127" s="44"/>
      <c r="EI127" s="42"/>
      <c r="EJ127" s="44"/>
      <c r="EK127" s="44"/>
      <c r="EL127" s="44"/>
      <c r="EM127" s="44"/>
      <c r="EN127" s="44"/>
      <c r="EO127" s="44"/>
      <c r="EP127" s="44"/>
      <c r="EQ127" s="44"/>
      <c r="ER127" s="44"/>
      <c r="ES127" s="44"/>
      <c r="ET127" s="44"/>
      <c r="EU127" s="44"/>
      <c r="EV127" s="44"/>
      <c r="EW127" s="44"/>
      <c r="EX127" s="44"/>
      <c r="EY127" s="44"/>
      <c r="EZ127" s="44"/>
      <c r="FA127" s="44"/>
      <c r="FB127" s="44"/>
      <c r="FC127" s="44"/>
      <c r="FD127" s="44"/>
      <c r="FE127" s="44"/>
      <c r="FF127" s="44"/>
      <c r="FG127" s="44"/>
      <c r="FH127" s="42"/>
      <c r="FI127" s="44"/>
      <c r="FJ127" s="44"/>
      <c r="FK127" s="44"/>
      <c r="FL127" s="42">
        <v>1.0</v>
      </c>
      <c r="FM127" s="42"/>
      <c r="FN127" s="44"/>
      <c r="FO127" s="44"/>
      <c r="FP127" s="44"/>
      <c r="FQ127" s="44"/>
      <c r="FR127" s="42">
        <v>1.0</v>
      </c>
      <c r="FS127" s="44"/>
      <c r="FT127" s="44"/>
      <c r="FU127" s="44"/>
      <c r="FV127" s="44"/>
      <c r="FW127" s="44"/>
      <c r="FX127" s="44"/>
      <c r="FY127" s="44"/>
      <c r="FZ127" s="44"/>
      <c r="GA127" s="44"/>
      <c r="GB127" s="44"/>
      <c r="GC127" s="44"/>
      <c r="GD127" s="44"/>
      <c r="GE127" s="44"/>
      <c r="GF127" s="44"/>
    </row>
    <row r="128">
      <c r="A128" s="23">
        <v>42860.0</v>
      </c>
      <c r="B128" s="4" t="s">
        <v>244</v>
      </c>
      <c r="C128" s="4">
        <v>21.310612</v>
      </c>
      <c r="D128" s="4">
        <v>-158.00441</v>
      </c>
      <c r="E128" s="4" t="s">
        <v>278</v>
      </c>
      <c r="F128" s="24">
        <v>0.3854166666666667</v>
      </c>
      <c r="G128" s="24">
        <v>0.4583333333333333</v>
      </c>
      <c r="H128" s="4">
        <v>6.0</v>
      </c>
      <c r="I128" s="4">
        <v>12.0</v>
      </c>
      <c r="J128" s="4" t="s">
        <v>198</v>
      </c>
      <c r="K128" s="4">
        <v>5.0</v>
      </c>
      <c r="L128" s="4">
        <v>25.0</v>
      </c>
      <c r="M128" s="4" t="s">
        <v>393</v>
      </c>
      <c r="Q128" s="4">
        <v>1.0</v>
      </c>
      <c r="AA128" s="4">
        <v>1.0</v>
      </c>
      <c r="AB128" s="4">
        <v>1.0</v>
      </c>
      <c r="AD128" s="4">
        <v>1.0</v>
      </c>
      <c r="AH128" s="4">
        <v>1.0</v>
      </c>
      <c r="AZ128" s="4"/>
      <c r="BA128" s="4">
        <v>1.0</v>
      </c>
      <c r="BD128" s="4">
        <v>1.0</v>
      </c>
      <c r="BE128" s="4">
        <v>1.0</v>
      </c>
      <c r="BL128" s="4">
        <v>1.0</v>
      </c>
      <c r="BR128" s="4">
        <v>1.0</v>
      </c>
      <c r="BU128" s="4">
        <v>1.0</v>
      </c>
      <c r="BY128" s="4">
        <v>1.0</v>
      </c>
      <c r="CR128" s="4">
        <v>1.0</v>
      </c>
      <c r="DE128" s="4"/>
      <c r="DF128" s="4">
        <v>1.0</v>
      </c>
      <c r="DL128" s="4">
        <v>1.0</v>
      </c>
      <c r="DN128" s="4">
        <v>1.0</v>
      </c>
      <c r="DT128" s="4"/>
      <c r="DU128" s="4">
        <v>1.0</v>
      </c>
      <c r="EI128" s="4">
        <v>1.0</v>
      </c>
      <c r="FH128" s="4">
        <v>1.0</v>
      </c>
      <c r="FM128" s="4">
        <v>1.0</v>
      </c>
      <c r="FR128" s="4">
        <v>1.0</v>
      </c>
    </row>
    <row r="129">
      <c r="A129" s="23">
        <v>42860.0</v>
      </c>
      <c r="B129" s="4" t="s">
        <v>394</v>
      </c>
      <c r="C129" s="4">
        <v>19.637501</v>
      </c>
      <c r="D129" s="4">
        <v>-155.993896</v>
      </c>
      <c r="E129" s="4" t="s">
        <v>367</v>
      </c>
      <c r="F129" s="24">
        <v>0.5104166666666666</v>
      </c>
      <c r="G129" s="24">
        <v>0.5104166666666666</v>
      </c>
      <c r="H129" s="4">
        <v>5.0</v>
      </c>
      <c r="I129" s="4">
        <v>25.0</v>
      </c>
      <c r="J129" s="4" t="s">
        <v>198</v>
      </c>
      <c r="K129" s="4">
        <v>10.0</v>
      </c>
      <c r="L129" s="4">
        <v>44.0</v>
      </c>
      <c r="M129" s="4" t="s">
        <v>395</v>
      </c>
      <c r="N129" s="4" t="s">
        <v>396</v>
      </c>
      <c r="R129" s="4">
        <v>1.0</v>
      </c>
      <c r="AL129" s="4">
        <v>1.0</v>
      </c>
      <c r="AW129" s="4">
        <v>1.0</v>
      </c>
      <c r="AZ129" s="4"/>
      <c r="BA129" s="4">
        <v>1.0</v>
      </c>
      <c r="BL129" s="4">
        <v>1.0</v>
      </c>
      <c r="BQ129" s="4">
        <v>1.0</v>
      </c>
      <c r="CB129" s="4">
        <v>1.0</v>
      </c>
      <c r="CC129" s="4">
        <v>1.0</v>
      </c>
      <c r="CR129" s="4">
        <v>1.0</v>
      </c>
      <c r="EI129" s="4">
        <v>1.0</v>
      </c>
      <c r="EW129" s="4">
        <v>1.0</v>
      </c>
      <c r="EY129" s="4">
        <v>1.0</v>
      </c>
      <c r="FA129" s="4">
        <v>1.0</v>
      </c>
      <c r="FR129" s="4">
        <v>1.0</v>
      </c>
      <c r="FU129" s="4"/>
      <c r="FV129" s="4">
        <v>1.0</v>
      </c>
      <c r="FZ129" s="4">
        <v>1.0</v>
      </c>
      <c r="GC129" s="4">
        <v>1.0</v>
      </c>
    </row>
    <row r="130">
      <c r="A130" s="23">
        <v>42865.0</v>
      </c>
      <c r="B130" s="4" t="s">
        <v>230</v>
      </c>
      <c r="C130" s="4">
        <v>20.7537</v>
      </c>
      <c r="D130" s="4">
        <v>-156.460907</v>
      </c>
      <c r="E130" s="4" t="s">
        <v>397</v>
      </c>
      <c r="F130" s="24">
        <v>0.3958333333333333</v>
      </c>
      <c r="G130" s="24">
        <v>0.4652777777777778</v>
      </c>
      <c r="H130" s="4">
        <v>4.0</v>
      </c>
      <c r="I130" s="4">
        <v>15.0</v>
      </c>
      <c r="J130" s="4" t="s">
        <v>398</v>
      </c>
      <c r="K130" s="4">
        <v>7.0</v>
      </c>
      <c r="L130" s="4">
        <v>24.0</v>
      </c>
      <c r="M130" s="4" t="s">
        <v>399</v>
      </c>
      <c r="Q130" s="4">
        <v>1.0</v>
      </c>
      <c r="BL130" s="4">
        <v>1.0</v>
      </c>
      <c r="CT130" s="4">
        <v>1.0</v>
      </c>
      <c r="DE130" s="4">
        <v>1.0</v>
      </c>
      <c r="DF130" s="4">
        <v>1.0</v>
      </c>
      <c r="DN130" s="4">
        <v>1.0</v>
      </c>
      <c r="ES130" s="4"/>
      <c r="ET130" s="4"/>
      <c r="EU130" s="4">
        <v>1.0</v>
      </c>
      <c r="FR130" s="4">
        <v>1.0</v>
      </c>
      <c r="FU130" s="4"/>
      <c r="FV130" s="4">
        <v>1.0</v>
      </c>
    </row>
    <row r="131">
      <c r="A131" s="31">
        <v>42865.0</v>
      </c>
      <c r="B131" s="32" t="s">
        <v>467</v>
      </c>
      <c r="C131" s="32"/>
      <c r="D131" s="32"/>
      <c r="E131" s="32" t="s">
        <v>468</v>
      </c>
      <c r="F131" s="33">
        <v>0.36319444444444443</v>
      </c>
      <c r="G131" s="33">
        <v>0.37083333333333335</v>
      </c>
      <c r="H131" s="32">
        <v>3.0</v>
      </c>
      <c r="I131" s="32">
        <v>29.0</v>
      </c>
      <c r="J131" s="32" t="s">
        <v>198</v>
      </c>
      <c r="K131" s="32">
        <v>10.0</v>
      </c>
      <c r="L131" s="32"/>
      <c r="M131" s="32"/>
      <c r="N131" s="34"/>
      <c r="O131" s="32"/>
      <c r="P131" s="34"/>
      <c r="Q131" s="34"/>
      <c r="R131" s="34"/>
      <c r="S131" s="34"/>
      <c r="T131" s="34"/>
      <c r="U131" s="34"/>
      <c r="V131" s="34"/>
      <c r="W131" s="34"/>
      <c r="X131" s="34"/>
      <c r="Y131" s="34"/>
      <c r="Z131" s="34"/>
      <c r="AA131" s="32"/>
      <c r="AB131" s="32"/>
      <c r="AC131" s="34"/>
      <c r="AD131" s="34"/>
      <c r="AE131" s="34"/>
      <c r="AF131" s="34"/>
      <c r="AG131" s="34"/>
      <c r="AH131" s="34"/>
      <c r="AI131" s="34"/>
      <c r="AJ131" s="34"/>
      <c r="AK131" s="34"/>
      <c r="AL131" s="34"/>
      <c r="AM131" s="34"/>
      <c r="AN131" s="34"/>
      <c r="AO131" s="34"/>
      <c r="AP131" s="34"/>
      <c r="AQ131" s="34"/>
      <c r="AR131" s="34"/>
      <c r="AS131" s="34"/>
      <c r="AT131" s="34"/>
      <c r="AU131" s="34"/>
      <c r="AV131" s="34"/>
      <c r="AW131" s="34"/>
      <c r="AX131" s="34"/>
      <c r="AY131" s="34"/>
      <c r="AZ131" s="34"/>
      <c r="BA131" s="34"/>
      <c r="BB131" s="34"/>
      <c r="BC131" s="34"/>
      <c r="BD131" s="34"/>
      <c r="BE131" s="34"/>
      <c r="BF131" s="34"/>
      <c r="BG131" s="34"/>
      <c r="BH131" s="34"/>
      <c r="BI131" s="34"/>
      <c r="BJ131" s="34"/>
      <c r="BK131" s="34"/>
      <c r="BL131" s="32"/>
      <c r="BM131" s="34"/>
      <c r="BN131" s="34"/>
      <c r="BO131" s="34"/>
      <c r="BP131" s="34"/>
      <c r="BQ131" s="34"/>
      <c r="BR131" s="34"/>
      <c r="BS131" s="34"/>
      <c r="BT131" s="34"/>
      <c r="BU131" s="32"/>
      <c r="BV131" s="32"/>
      <c r="BW131" s="34"/>
      <c r="BX131" s="34"/>
      <c r="BY131" s="34"/>
      <c r="BZ131" s="34"/>
      <c r="CA131" s="34"/>
      <c r="CB131" s="34"/>
      <c r="CC131" s="34"/>
      <c r="CD131" s="34"/>
      <c r="CE131" s="34"/>
      <c r="CF131" s="34"/>
      <c r="CG131" s="34"/>
      <c r="CH131" s="34"/>
      <c r="CI131" s="34"/>
      <c r="CJ131" s="32"/>
      <c r="CK131" s="34"/>
      <c r="CL131" s="34"/>
      <c r="CM131" s="34"/>
      <c r="CN131" s="34"/>
      <c r="CO131" s="34"/>
      <c r="CP131" s="34"/>
      <c r="CQ131" s="34"/>
      <c r="CR131" s="34"/>
      <c r="CS131" s="34"/>
      <c r="CT131" s="34"/>
      <c r="CU131" s="34"/>
      <c r="CV131" s="34"/>
      <c r="CW131" s="34"/>
      <c r="CX131" s="34"/>
      <c r="CY131" s="34"/>
      <c r="CZ131" s="34"/>
      <c r="DA131" s="34"/>
      <c r="DB131" s="34"/>
      <c r="DC131" s="34"/>
      <c r="DD131" s="32"/>
      <c r="DE131" s="34"/>
      <c r="DF131" s="34"/>
      <c r="DG131" s="34"/>
      <c r="DH131" s="34"/>
      <c r="DI131" s="32"/>
      <c r="DJ131" s="34"/>
      <c r="DK131" s="34"/>
      <c r="DL131" s="34"/>
      <c r="DM131" s="32"/>
      <c r="DN131" s="34"/>
      <c r="DO131" s="34"/>
      <c r="DP131" s="34"/>
      <c r="DQ131" s="34"/>
      <c r="DR131" s="32"/>
      <c r="DS131" s="34"/>
      <c r="DT131" s="34"/>
      <c r="DU131" s="34"/>
      <c r="DV131" s="34"/>
      <c r="DW131" s="34"/>
      <c r="DX131" s="34"/>
      <c r="DY131" s="34"/>
      <c r="DZ131" s="34"/>
      <c r="EA131" s="34"/>
      <c r="EB131" s="34"/>
      <c r="EC131" s="34"/>
      <c r="ED131" s="34"/>
      <c r="EE131" s="34"/>
      <c r="EF131" s="34"/>
      <c r="EG131" s="34"/>
      <c r="EH131" s="34"/>
      <c r="EI131" s="32"/>
      <c r="EJ131" s="34"/>
      <c r="EK131" s="34"/>
      <c r="EL131" s="34"/>
      <c r="EM131" s="34"/>
      <c r="EN131" s="34"/>
      <c r="EO131" s="34"/>
      <c r="EP131" s="34"/>
      <c r="EQ131" s="34"/>
      <c r="ER131" s="34"/>
      <c r="ES131" s="34"/>
      <c r="ET131" s="34"/>
      <c r="EU131" s="34"/>
      <c r="EV131" s="34"/>
      <c r="EW131" s="34"/>
      <c r="EX131" s="34"/>
      <c r="EY131" s="34"/>
      <c r="EZ131" s="34"/>
      <c r="FA131" s="32"/>
      <c r="FB131" s="32"/>
      <c r="FC131" s="34"/>
      <c r="FD131" s="34"/>
      <c r="FE131" s="34"/>
      <c r="FF131" s="34"/>
      <c r="FG131" s="34"/>
      <c r="FH131" s="34"/>
      <c r="FI131" s="34"/>
      <c r="FJ131" s="34"/>
      <c r="FK131" s="34"/>
      <c r="FL131" s="34"/>
      <c r="FM131" s="34"/>
      <c r="FN131" s="34"/>
      <c r="FO131" s="34"/>
      <c r="FP131" s="34"/>
      <c r="FQ131" s="34"/>
      <c r="FR131" s="32"/>
      <c r="FS131" s="34"/>
      <c r="FT131" s="32"/>
      <c r="FU131" s="34"/>
      <c r="FV131" s="34"/>
      <c r="FW131" s="34"/>
      <c r="FX131" s="34"/>
      <c r="FY131" s="34"/>
      <c r="FZ131" s="34"/>
      <c r="GA131" s="34"/>
      <c r="GB131" s="34"/>
      <c r="GC131" s="34"/>
      <c r="GD131" s="34"/>
      <c r="GE131" s="34"/>
      <c r="GF131" s="34"/>
    </row>
    <row r="132">
      <c r="A132" s="23">
        <v>42866.0</v>
      </c>
      <c r="B132" s="4" t="s">
        <v>400</v>
      </c>
      <c r="C132" s="4">
        <v>21.900562</v>
      </c>
      <c r="D132" s="4">
        <v>-159.609818</v>
      </c>
      <c r="E132" s="4" t="s">
        <v>401</v>
      </c>
      <c r="F132" s="24">
        <v>0.3680555555555556</v>
      </c>
      <c r="G132" s="24">
        <v>0.4131944444444444</v>
      </c>
      <c r="H132" s="4">
        <v>6.0</v>
      </c>
      <c r="I132" s="4">
        <v>15.0</v>
      </c>
      <c r="J132" s="4" t="s">
        <v>198</v>
      </c>
      <c r="K132" s="4">
        <v>5.0</v>
      </c>
      <c r="L132" s="4">
        <v>25.0</v>
      </c>
      <c r="M132" s="4" t="s">
        <v>402</v>
      </c>
      <c r="AA132" s="4">
        <v>1.0</v>
      </c>
      <c r="AB132" s="4">
        <v>1.0</v>
      </c>
      <c r="BL132" s="4">
        <v>1.0</v>
      </c>
      <c r="BU132" s="4">
        <v>1.0</v>
      </c>
      <c r="BV132" s="4">
        <v>1.0</v>
      </c>
      <c r="CJ132" s="4">
        <v>1.0</v>
      </c>
      <c r="DD132" s="4">
        <v>1.0</v>
      </c>
      <c r="DI132" s="4">
        <v>1.0</v>
      </c>
      <c r="DM132" s="4">
        <v>1.0</v>
      </c>
      <c r="DR132" s="4">
        <v>1.0</v>
      </c>
      <c r="EI132" s="4">
        <v>1.0</v>
      </c>
      <c r="FA132" s="4">
        <v>1.0</v>
      </c>
      <c r="FB132" s="4">
        <v>1.0</v>
      </c>
      <c r="FR132" s="4">
        <v>1.0</v>
      </c>
      <c r="FT132" s="4">
        <v>1.0</v>
      </c>
    </row>
    <row r="133">
      <c r="A133" s="23">
        <v>42866.0</v>
      </c>
      <c r="B133" s="4" t="s">
        <v>244</v>
      </c>
      <c r="C133" s="4">
        <v>21.310612</v>
      </c>
      <c r="D133" s="4">
        <v>-158.00441</v>
      </c>
      <c r="E133" s="4" t="s">
        <v>278</v>
      </c>
      <c r="F133" s="24">
        <v>0.3854166666666667</v>
      </c>
      <c r="G133" s="24">
        <v>0.4583333333333333</v>
      </c>
      <c r="H133" s="4">
        <v>6.0</v>
      </c>
      <c r="I133" s="4">
        <v>11.0</v>
      </c>
      <c r="J133" s="4" t="s">
        <v>198</v>
      </c>
      <c r="K133" s="4">
        <v>5.0</v>
      </c>
      <c r="L133" s="4">
        <v>24.0</v>
      </c>
      <c r="M133" s="4" t="s">
        <v>403</v>
      </c>
      <c r="Q133" s="4">
        <v>1.0</v>
      </c>
      <c r="AA133" s="4">
        <v>1.0</v>
      </c>
      <c r="AD133" s="4">
        <v>1.0</v>
      </c>
      <c r="AH133" s="4">
        <v>1.0</v>
      </c>
      <c r="AM133" s="4">
        <v>1.0</v>
      </c>
      <c r="AZ133" s="4"/>
      <c r="BA133" s="4">
        <v>1.0</v>
      </c>
      <c r="BD133" s="4">
        <v>1.0</v>
      </c>
      <c r="BL133" s="4">
        <v>1.0</v>
      </c>
      <c r="BN133" s="4"/>
      <c r="BO133" s="4">
        <v>1.0</v>
      </c>
      <c r="BP133" s="4">
        <v>1.0</v>
      </c>
      <c r="BU133" s="4">
        <v>1.0</v>
      </c>
      <c r="BY133" s="4">
        <v>1.0</v>
      </c>
      <c r="CJ133" s="4">
        <v>1.0</v>
      </c>
      <c r="CN133" s="4">
        <v>1.0</v>
      </c>
      <c r="DF133" s="4">
        <v>1.0</v>
      </c>
      <c r="DL133" s="4">
        <v>1.0</v>
      </c>
      <c r="DN133" s="4">
        <v>1.0</v>
      </c>
      <c r="DT133" s="4"/>
      <c r="DU133" s="4">
        <v>1.0</v>
      </c>
      <c r="EB133" s="4">
        <v>1.0</v>
      </c>
      <c r="EI133" s="4">
        <v>1.0</v>
      </c>
      <c r="EW133" s="4">
        <v>1.0</v>
      </c>
      <c r="FA133" s="4">
        <v>1.0</v>
      </c>
      <c r="FG133" s="4">
        <v>1.0</v>
      </c>
      <c r="FH133" s="4">
        <v>1.0</v>
      </c>
      <c r="FR133" s="4">
        <v>1.0</v>
      </c>
      <c r="FU133" s="4"/>
      <c r="FV133" s="4">
        <v>1.0</v>
      </c>
      <c r="GF133" s="4">
        <v>1.0</v>
      </c>
    </row>
    <row r="134">
      <c r="A134" s="41">
        <v>42866.0</v>
      </c>
      <c r="B134" s="42" t="s">
        <v>219</v>
      </c>
      <c r="C134" s="42">
        <v>21.295799</v>
      </c>
      <c r="D134" s="42">
        <v>-158.103699</v>
      </c>
      <c r="E134" s="42" t="s">
        <v>479</v>
      </c>
      <c r="F134" s="43">
        <v>0.4</v>
      </c>
      <c r="G134" s="43">
        <v>0.4583333333333333</v>
      </c>
      <c r="H134" s="42">
        <v>7.0</v>
      </c>
      <c r="I134" s="42">
        <v>10.0</v>
      </c>
      <c r="J134" s="42" t="s">
        <v>415</v>
      </c>
      <c r="K134" s="42">
        <v>1.0</v>
      </c>
      <c r="L134" s="42">
        <v>6.0</v>
      </c>
      <c r="M134" s="42" t="s">
        <v>480</v>
      </c>
      <c r="N134" s="44"/>
      <c r="O134" s="42"/>
      <c r="P134" s="44"/>
      <c r="Q134" s="42">
        <v>1.0</v>
      </c>
      <c r="R134" s="42"/>
      <c r="S134" s="44"/>
      <c r="T134" s="44"/>
      <c r="U134" s="44"/>
      <c r="V134" s="44"/>
      <c r="W134" s="44"/>
      <c r="X134" s="44"/>
      <c r="Y134" s="44"/>
      <c r="Z134" s="44"/>
      <c r="AA134" s="44"/>
      <c r="AB134" s="44"/>
      <c r="AC134" s="44"/>
      <c r="AD134" s="44"/>
      <c r="AE134" s="44"/>
      <c r="AF134" s="44"/>
      <c r="AG134" s="44"/>
      <c r="AH134" s="42"/>
      <c r="AI134" s="44"/>
      <c r="AJ134" s="44"/>
      <c r="AK134" s="44"/>
      <c r="AL134" s="42"/>
      <c r="AM134" s="44"/>
      <c r="AN134" s="44"/>
      <c r="AO134" s="44"/>
      <c r="AP134" s="44"/>
      <c r="AQ134" s="44"/>
      <c r="AR134" s="44"/>
      <c r="AS134" s="44"/>
      <c r="AT134" s="44"/>
      <c r="AU134" s="44"/>
      <c r="AV134" s="44"/>
      <c r="AW134" s="44"/>
      <c r="AX134" s="44"/>
      <c r="AY134" s="44"/>
      <c r="AZ134" s="44"/>
      <c r="BA134" s="44"/>
      <c r="BB134" s="44"/>
      <c r="BC134" s="44"/>
      <c r="BD134" s="42">
        <v>1.0</v>
      </c>
      <c r="BE134" s="44"/>
      <c r="BF134" s="44"/>
      <c r="BG134" s="44"/>
      <c r="BH134" s="44"/>
      <c r="BI134" s="44"/>
      <c r="BJ134" s="44"/>
      <c r="BK134" s="44"/>
      <c r="BL134" s="42"/>
      <c r="BM134" s="42"/>
      <c r="BN134" s="44"/>
      <c r="BO134" s="44"/>
      <c r="BP134" s="42"/>
      <c r="BQ134" s="44"/>
      <c r="BR134" s="44"/>
      <c r="BS134" s="44"/>
      <c r="BT134" s="44"/>
      <c r="BU134" s="42">
        <v>1.0</v>
      </c>
      <c r="BV134" s="44"/>
      <c r="BW134" s="44"/>
      <c r="BX134" s="44"/>
      <c r="BY134" s="42">
        <v>1.0</v>
      </c>
      <c r="BZ134" s="44"/>
      <c r="CA134" s="44"/>
      <c r="CB134" s="42"/>
      <c r="CC134" s="44"/>
      <c r="CD134" s="44"/>
      <c r="CE134" s="44"/>
      <c r="CF134" s="44"/>
      <c r="CG134" s="44"/>
      <c r="CH134" s="44"/>
      <c r="CI134" s="44"/>
      <c r="CJ134" s="44"/>
      <c r="CK134" s="44"/>
      <c r="CL134" s="44"/>
      <c r="CM134" s="44"/>
      <c r="CN134" s="44"/>
      <c r="CO134" s="44"/>
      <c r="CP134" s="44"/>
      <c r="CQ134" s="44"/>
      <c r="CR134" s="42">
        <v>1.0</v>
      </c>
      <c r="CS134" s="44"/>
      <c r="CT134" s="44"/>
      <c r="CU134" s="44"/>
      <c r="CV134" s="44"/>
      <c r="CW134" s="44"/>
      <c r="CX134" s="44"/>
      <c r="CY134" s="44"/>
      <c r="CZ134" s="44"/>
      <c r="DA134" s="44"/>
      <c r="DB134" s="44"/>
      <c r="DC134" s="44"/>
      <c r="DD134" s="44"/>
      <c r="DE134" s="44"/>
      <c r="DF134" s="44"/>
      <c r="DG134" s="44"/>
      <c r="DH134" s="44"/>
      <c r="DI134" s="44"/>
      <c r="DJ134" s="44"/>
      <c r="DK134" s="44"/>
      <c r="DL134" s="42">
        <v>1.0</v>
      </c>
      <c r="DM134" s="44"/>
      <c r="DN134" s="44"/>
      <c r="DO134" s="44"/>
      <c r="DP134" s="44"/>
      <c r="DQ134" s="44"/>
      <c r="DR134" s="42">
        <v>1.0</v>
      </c>
      <c r="DS134" s="44"/>
      <c r="DT134" s="44"/>
      <c r="DU134" s="44"/>
      <c r="DV134" s="44"/>
      <c r="DW134" s="44"/>
      <c r="DX134" s="44"/>
      <c r="DY134" s="44"/>
      <c r="DZ134" s="44"/>
      <c r="EA134" s="44"/>
      <c r="EB134" s="42"/>
      <c r="EC134" s="44"/>
      <c r="ED134" s="44"/>
      <c r="EE134" s="44"/>
      <c r="EF134" s="44"/>
      <c r="EG134" s="44"/>
      <c r="EH134" s="44"/>
      <c r="EI134" s="42">
        <v>1.0</v>
      </c>
      <c r="EJ134" s="44"/>
      <c r="EK134" s="44"/>
      <c r="EL134" s="44"/>
      <c r="EM134" s="44"/>
      <c r="EN134" s="44"/>
      <c r="EO134" s="44"/>
      <c r="EP134" s="44"/>
      <c r="EQ134" s="44"/>
      <c r="ER134" s="44"/>
      <c r="ES134" s="44"/>
      <c r="ET134" s="44"/>
      <c r="EU134" s="44"/>
      <c r="EV134" s="44"/>
      <c r="EW134" s="44"/>
      <c r="EX134" s="44"/>
      <c r="EY134" s="44"/>
      <c r="EZ134" s="44"/>
      <c r="FA134" s="42">
        <v>1.0</v>
      </c>
      <c r="FB134" s="44"/>
      <c r="FC134" s="44"/>
      <c r="FD134" s="44"/>
      <c r="FE134" s="42">
        <v>1.0</v>
      </c>
      <c r="FF134" s="44"/>
      <c r="FG134" s="44"/>
      <c r="FH134" s="44"/>
      <c r="FI134" s="42"/>
      <c r="FJ134" s="42"/>
      <c r="FK134" s="42"/>
      <c r="FL134" s="44"/>
      <c r="FM134" s="44"/>
      <c r="FN134" s="44"/>
      <c r="FO134" s="44"/>
      <c r="FP134" s="44"/>
      <c r="FQ134" s="42"/>
      <c r="FR134" s="42">
        <v>1.0</v>
      </c>
      <c r="FS134" s="44"/>
      <c r="FT134" s="44"/>
      <c r="FU134" s="44"/>
      <c r="FV134" s="44"/>
      <c r="FW134" s="44"/>
      <c r="FX134" s="44"/>
      <c r="FY134" s="44"/>
      <c r="FZ134" s="44"/>
      <c r="GA134" s="44"/>
      <c r="GB134" s="44"/>
      <c r="GC134" s="44"/>
      <c r="GD134" s="44"/>
      <c r="GE134" s="44"/>
      <c r="GF134" s="44"/>
    </row>
    <row r="135">
      <c r="A135" s="41">
        <v>42866.0</v>
      </c>
      <c r="B135" s="42" t="s">
        <v>377</v>
      </c>
      <c r="C135" s="42">
        <v>20.705</v>
      </c>
      <c r="D135" s="42">
        <v>-156.446945</v>
      </c>
      <c r="E135" s="42" t="s">
        <v>378</v>
      </c>
      <c r="F135" s="43">
        <v>0.3645833333333333</v>
      </c>
      <c r="G135" s="43">
        <v>0.4479166666666667</v>
      </c>
      <c r="H135" s="42">
        <v>11.0</v>
      </c>
      <c r="I135" s="42">
        <v>20.0</v>
      </c>
      <c r="J135" s="42" t="s">
        <v>227</v>
      </c>
      <c r="K135" s="42">
        <v>7.0</v>
      </c>
      <c r="L135" s="42">
        <v>7.0</v>
      </c>
      <c r="M135" s="42" t="s">
        <v>485</v>
      </c>
      <c r="N135" s="44"/>
      <c r="O135" s="42"/>
      <c r="P135" s="44"/>
      <c r="Q135" s="42">
        <v>1.0</v>
      </c>
      <c r="R135" s="42"/>
      <c r="S135" s="44"/>
      <c r="T135" s="44"/>
      <c r="U135" s="44"/>
      <c r="V135" s="44"/>
      <c r="W135" s="44"/>
      <c r="X135" s="44"/>
      <c r="Y135" s="44"/>
      <c r="Z135" s="44"/>
      <c r="AA135" s="44"/>
      <c r="AB135" s="44"/>
      <c r="AC135" s="44"/>
      <c r="AD135" s="44"/>
      <c r="AE135" s="44"/>
      <c r="AF135" s="44"/>
      <c r="AG135" s="44"/>
      <c r="AH135" s="42"/>
      <c r="AI135" s="44"/>
      <c r="AJ135" s="44"/>
      <c r="AK135" s="44"/>
      <c r="AL135" s="42"/>
      <c r="AM135" s="44"/>
      <c r="AN135" s="44"/>
      <c r="AO135" s="44"/>
      <c r="AP135" s="44"/>
      <c r="AQ135" s="44"/>
      <c r="AR135" s="44"/>
      <c r="AS135" s="44"/>
      <c r="AT135" s="44"/>
      <c r="AU135" s="44"/>
      <c r="AV135" s="44"/>
      <c r="AW135" s="44"/>
      <c r="AX135" s="44"/>
      <c r="AY135" s="44"/>
      <c r="AZ135" s="44"/>
      <c r="BA135" s="42">
        <v>1.0</v>
      </c>
      <c r="BB135" s="44"/>
      <c r="BC135" s="44"/>
      <c r="BD135" s="44"/>
      <c r="BE135" s="44"/>
      <c r="BF135" s="44"/>
      <c r="BG135" s="44"/>
      <c r="BH135" s="44"/>
      <c r="BI135" s="44"/>
      <c r="BJ135" s="44"/>
      <c r="BK135" s="44"/>
      <c r="BL135" s="42"/>
      <c r="BM135" s="42"/>
      <c r="BN135" s="44"/>
      <c r="BO135" s="44"/>
      <c r="BP135" s="42"/>
      <c r="BQ135" s="44"/>
      <c r="BR135" s="44"/>
      <c r="BS135" s="44"/>
      <c r="BT135" s="44"/>
      <c r="BU135" s="44"/>
      <c r="BV135" s="44"/>
      <c r="BW135" s="44"/>
      <c r="BX135" s="44"/>
      <c r="BY135" s="44"/>
      <c r="BZ135" s="44"/>
      <c r="CA135" s="44"/>
      <c r="CB135" s="42"/>
      <c r="CC135" s="44"/>
      <c r="CD135" s="44"/>
      <c r="CE135" s="44"/>
      <c r="CF135" s="44"/>
      <c r="CG135" s="44"/>
      <c r="CH135" s="44"/>
      <c r="CI135" s="44"/>
      <c r="CJ135" s="42">
        <v>1.0</v>
      </c>
      <c r="CK135" s="44"/>
      <c r="CL135" s="44"/>
      <c r="CM135" s="44"/>
      <c r="CN135" s="44"/>
      <c r="CO135" s="44"/>
      <c r="CP135" s="44"/>
      <c r="CQ135" s="44"/>
      <c r="CR135" s="44"/>
      <c r="CS135" s="44"/>
      <c r="CT135" s="44"/>
      <c r="CU135" s="44"/>
      <c r="CV135" s="44"/>
      <c r="CW135" s="44"/>
      <c r="CX135" s="44"/>
      <c r="CY135" s="44"/>
      <c r="CZ135" s="44"/>
      <c r="DA135" s="44"/>
      <c r="DB135" s="44"/>
      <c r="DC135" s="44"/>
      <c r="DD135" s="44"/>
      <c r="DE135" s="44"/>
      <c r="DF135" s="44"/>
      <c r="DG135" s="42">
        <v>1.0</v>
      </c>
      <c r="DH135" s="44"/>
      <c r="DI135" s="44"/>
      <c r="DJ135" s="44"/>
      <c r="DK135" s="44"/>
      <c r="DL135" s="44"/>
      <c r="DM135" s="44"/>
      <c r="DN135" s="44"/>
      <c r="DO135" s="44"/>
      <c r="DP135" s="44"/>
      <c r="DQ135" s="44"/>
      <c r="DR135" s="42"/>
      <c r="DS135" s="44"/>
      <c r="DT135" s="44"/>
      <c r="DU135" s="44"/>
      <c r="DV135" s="44"/>
      <c r="DW135" s="44"/>
      <c r="DX135" s="44"/>
      <c r="DY135" s="44"/>
      <c r="DZ135" s="44"/>
      <c r="EA135" s="44"/>
      <c r="EB135" s="42"/>
      <c r="EC135" s="44"/>
      <c r="ED135" s="44"/>
      <c r="EE135" s="44"/>
      <c r="EF135" s="44"/>
      <c r="EG135" s="44"/>
      <c r="EH135" s="44"/>
      <c r="EI135" s="42"/>
      <c r="EJ135" s="44"/>
      <c r="EK135" s="44"/>
      <c r="EL135" s="44"/>
      <c r="EM135" s="44"/>
      <c r="EN135" s="44"/>
      <c r="EO135" s="44"/>
      <c r="EP135" s="44"/>
      <c r="EQ135" s="44"/>
      <c r="ER135" s="44"/>
      <c r="ES135" s="44"/>
      <c r="ET135" s="44"/>
      <c r="EU135" s="44"/>
      <c r="EV135" s="44"/>
      <c r="EW135" s="42">
        <v>1.0</v>
      </c>
      <c r="EX135" s="44"/>
      <c r="EY135" s="44"/>
      <c r="EZ135" s="44"/>
      <c r="FA135" s="44"/>
      <c r="FB135" s="44"/>
      <c r="FC135" s="44"/>
      <c r="FD135" s="44"/>
      <c r="FE135" s="44"/>
      <c r="FF135" s="44"/>
      <c r="FG135" s="44"/>
      <c r="FH135" s="44"/>
      <c r="FI135" s="42"/>
      <c r="FJ135" s="42"/>
      <c r="FK135" s="42"/>
      <c r="FL135" s="44"/>
      <c r="FM135" s="44"/>
      <c r="FN135" s="44"/>
      <c r="FO135" s="44"/>
      <c r="FP135" s="44"/>
      <c r="FQ135" s="42"/>
      <c r="FR135" s="42"/>
      <c r="FS135" s="44"/>
      <c r="FT135" s="44"/>
      <c r="FU135" s="44"/>
      <c r="FV135" s="44"/>
      <c r="FW135" s="44"/>
      <c r="FX135" s="44"/>
      <c r="FY135" s="44"/>
      <c r="FZ135" s="44"/>
      <c r="GA135" s="44"/>
      <c r="GB135" s="44"/>
      <c r="GC135" s="42">
        <v>1.0</v>
      </c>
      <c r="GD135" s="44"/>
      <c r="GE135" s="44"/>
      <c r="GF135" s="44"/>
    </row>
    <row r="136">
      <c r="A136" s="23">
        <v>42867.0</v>
      </c>
      <c r="B136" s="4" t="s">
        <v>216</v>
      </c>
      <c r="C136" s="4">
        <v>21.3002</v>
      </c>
      <c r="D136" s="4">
        <v>-157.882599</v>
      </c>
      <c r="E136" s="4" t="s">
        <v>299</v>
      </c>
      <c r="F136" s="24">
        <v>0.4583333333333333</v>
      </c>
      <c r="G136" s="24">
        <v>0.5104166666666666</v>
      </c>
      <c r="H136" s="4">
        <v>4.0</v>
      </c>
      <c r="I136" s="4">
        <v>20.0</v>
      </c>
      <c r="J136" s="4" t="s">
        <v>217</v>
      </c>
      <c r="K136" s="4">
        <v>10.0</v>
      </c>
      <c r="L136" s="4">
        <v>32.0</v>
      </c>
      <c r="M136" s="4" t="s">
        <v>404</v>
      </c>
      <c r="R136" s="4">
        <v>1.0</v>
      </c>
      <c r="AH136" s="4">
        <v>1.0</v>
      </c>
      <c r="AL136" s="4">
        <v>1.0</v>
      </c>
      <c r="BL136" s="4">
        <v>1.0</v>
      </c>
      <c r="BM136" s="4">
        <v>1.0</v>
      </c>
      <c r="BP136" s="4">
        <v>1.0</v>
      </c>
      <c r="CB136" s="4">
        <v>1.0</v>
      </c>
      <c r="DR136" s="4">
        <v>1.0</v>
      </c>
      <c r="EB136" s="4">
        <v>1.0</v>
      </c>
      <c r="EI136" s="4">
        <v>1.0</v>
      </c>
      <c r="FI136" s="4"/>
      <c r="FJ136" s="4"/>
      <c r="FK136" s="4">
        <v>1.0</v>
      </c>
      <c r="FQ136" s="4">
        <v>1.0</v>
      </c>
      <c r="FR136" s="4">
        <v>1.0</v>
      </c>
    </row>
    <row r="137">
      <c r="A137" s="41">
        <v>42874.0</v>
      </c>
      <c r="B137" s="42" t="s">
        <v>400</v>
      </c>
      <c r="C137" s="42">
        <v>21.900562</v>
      </c>
      <c r="D137" s="42">
        <v>-159.609818</v>
      </c>
      <c r="E137" s="42" t="s">
        <v>401</v>
      </c>
      <c r="F137" s="43">
        <v>0.3625</v>
      </c>
      <c r="G137" s="43">
        <v>0.4111111111111111</v>
      </c>
      <c r="H137" s="42">
        <v>6.0</v>
      </c>
      <c r="I137" s="42">
        <v>15.0</v>
      </c>
      <c r="J137" s="42" t="s">
        <v>198</v>
      </c>
      <c r="K137" s="42">
        <v>5.0</v>
      </c>
      <c r="L137" s="42">
        <v>22.0</v>
      </c>
      <c r="M137" s="42" t="s">
        <v>490</v>
      </c>
      <c r="N137" s="44"/>
      <c r="O137" s="42"/>
      <c r="P137" s="44"/>
      <c r="Q137" s="44"/>
      <c r="R137" s="44"/>
      <c r="S137" s="44"/>
      <c r="T137" s="44"/>
      <c r="U137" s="44"/>
      <c r="V137" s="44"/>
      <c r="W137" s="44"/>
      <c r="X137" s="44"/>
      <c r="Y137" s="44"/>
      <c r="Z137" s="44"/>
      <c r="AA137" s="44"/>
      <c r="AB137" s="44"/>
      <c r="AC137" s="44"/>
      <c r="AD137" s="44"/>
      <c r="AE137" s="42"/>
      <c r="AF137" s="44"/>
      <c r="AG137" s="44"/>
      <c r="AH137" s="42"/>
      <c r="AI137" s="44"/>
      <c r="AJ137" s="44"/>
      <c r="AK137" s="44"/>
      <c r="AL137" s="42"/>
      <c r="AM137" s="44"/>
      <c r="AN137" s="44"/>
      <c r="AO137" s="44"/>
      <c r="AP137" s="44"/>
      <c r="AQ137" s="44"/>
      <c r="AR137" s="44"/>
      <c r="AS137" s="44"/>
      <c r="AT137" s="44"/>
      <c r="AU137" s="44"/>
      <c r="AV137" s="44"/>
      <c r="AW137" s="44"/>
      <c r="AX137" s="44"/>
      <c r="AY137" s="44"/>
      <c r="AZ137" s="44"/>
      <c r="BA137" s="44"/>
      <c r="BB137" s="44"/>
      <c r="BC137" s="44"/>
      <c r="BD137" s="44"/>
      <c r="BE137" s="44"/>
      <c r="BF137" s="44"/>
      <c r="BG137" s="44"/>
      <c r="BH137" s="44"/>
      <c r="BI137" s="44"/>
      <c r="BJ137" s="44"/>
      <c r="BK137" s="44"/>
      <c r="BL137" s="42"/>
      <c r="BM137" s="42"/>
      <c r="BN137" s="44"/>
      <c r="BO137" s="44"/>
      <c r="BP137" s="44"/>
      <c r="BQ137" s="44"/>
      <c r="BR137" s="44"/>
      <c r="BS137" s="44"/>
      <c r="BT137" s="44"/>
      <c r="BU137" s="42">
        <v>1.0</v>
      </c>
      <c r="BV137" s="44"/>
      <c r="BW137" s="44"/>
      <c r="BX137" s="44"/>
      <c r="BY137" s="44"/>
      <c r="BZ137" s="44"/>
      <c r="CA137" s="44"/>
      <c r="CB137" s="42"/>
      <c r="CC137" s="42">
        <v>1.0</v>
      </c>
      <c r="CD137" s="44"/>
      <c r="CE137" s="44"/>
      <c r="CF137" s="44"/>
      <c r="CG137" s="42">
        <v>1.0</v>
      </c>
      <c r="CH137" s="44"/>
      <c r="CI137" s="44"/>
      <c r="CJ137" s="44"/>
      <c r="CK137" s="44"/>
      <c r="CL137" s="44"/>
      <c r="CM137" s="44"/>
      <c r="CN137" s="44"/>
      <c r="CO137" s="44"/>
      <c r="CP137" s="44"/>
      <c r="CQ137" s="44"/>
      <c r="CR137" s="44"/>
      <c r="CS137" s="44"/>
      <c r="CT137" s="44"/>
      <c r="CU137" s="42">
        <v>1.0</v>
      </c>
      <c r="CV137" s="44"/>
      <c r="CW137" s="44"/>
      <c r="CX137" s="44"/>
      <c r="CY137" s="44"/>
      <c r="CZ137" s="44"/>
      <c r="DA137" s="44"/>
      <c r="DB137" s="44"/>
      <c r="DC137" s="44"/>
      <c r="DD137" s="44"/>
      <c r="DE137" s="44"/>
      <c r="DF137" s="44"/>
      <c r="DG137" s="44"/>
      <c r="DH137" s="44"/>
      <c r="DI137" s="44"/>
      <c r="DJ137" s="44"/>
      <c r="DK137" s="44"/>
      <c r="DL137" s="44"/>
      <c r="DM137" s="44"/>
      <c r="DN137" s="44"/>
      <c r="DO137" s="44"/>
      <c r="DP137" s="44"/>
      <c r="DQ137" s="44"/>
      <c r="DR137" s="44"/>
      <c r="DS137" s="44"/>
      <c r="DT137" s="44"/>
      <c r="DU137" s="44"/>
      <c r="DV137" s="44"/>
      <c r="DW137" s="44"/>
      <c r="DX137" s="44"/>
      <c r="DY137" s="44"/>
      <c r="DZ137" s="44"/>
      <c r="EA137" s="44"/>
      <c r="EB137" s="44"/>
      <c r="EC137" s="44"/>
      <c r="ED137" s="44"/>
      <c r="EE137" s="44"/>
      <c r="EF137" s="44"/>
      <c r="EG137" s="44"/>
      <c r="EH137" s="44"/>
      <c r="EI137" s="44"/>
      <c r="EJ137" s="42"/>
      <c r="EK137" s="44"/>
      <c r="EL137" s="44"/>
      <c r="EM137" s="44"/>
      <c r="EN137" s="44"/>
      <c r="EO137" s="42"/>
      <c r="EP137" s="44"/>
      <c r="EQ137" s="42"/>
      <c r="ER137" s="44"/>
      <c r="ES137" s="44"/>
      <c r="ET137" s="44"/>
      <c r="EU137" s="44"/>
      <c r="EV137" s="44"/>
      <c r="EW137" s="42">
        <v>1.0</v>
      </c>
      <c r="EX137" s="44"/>
      <c r="EY137" s="44"/>
      <c r="EZ137" s="44"/>
      <c r="FA137" s="44"/>
      <c r="FB137" s="44"/>
      <c r="FC137" s="44"/>
      <c r="FD137" s="44"/>
      <c r="FE137" s="42"/>
      <c r="FF137" s="44"/>
      <c r="FG137" s="44"/>
      <c r="FH137" s="42"/>
      <c r="FI137" s="44"/>
      <c r="FJ137" s="44"/>
      <c r="FK137" s="44"/>
      <c r="FL137" s="42"/>
      <c r="FM137" s="44"/>
      <c r="FN137" s="44"/>
      <c r="FO137" s="44"/>
      <c r="FP137" s="44"/>
      <c r="FQ137" s="44"/>
      <c r="FR137" s="42">
        <v>1.0</v>
      </c>
      <c r="FS137" s="44"/>
      <c r="FT137" s="44"/>
      <c r="FU137" s="44"/>
      <c r="FV137" s="44"/>
      <c r="FW137" s="44"/>
      <c r="FX137" s="44"/>
      <c r="FY137" s="44"/>
      <c r="FZ137" s="44"/>
      <c r="GA137" s="44"/>
      <c r="GB137" s="44"/>
      <c r="GC137" s="44"/>
      <c r="GD137" s="44"/>
      <c r="GE137" s="42">
        <v>1.0</v>
      </c>
      <c r="GF137" s="44"/>
    </row>
    <row r="138">
      <c r="A138" s="23">
        <v>42879.0</v>
      </c>
      <c r="B138" s="4" t="s">
        <v>247</v>
      </c>
      <c r="C138" s="4">
        <v>19.488199</v>
      </c>
      <c r="D138" s="4">
        <v>-154.819305</v>
      </c>
      <c r="E138" s="4" t="s">
        <v>289</v>
      </c>
      <c r="F138" s="24">
        <v>0.3854166666666667</v>
      </c>
      <c r="G138" s="24">
        <v>0.46875</v>
      </c>
      <c r="H138" s="4">
        <v>5.0</v>
      </c>
      <c r="I138" s="4">
        <v>20.0</v>
      </c>
      <c r="J138" s="4" t="s">
        <v>198</v>
      </c>
      <c r="K138" s="4">
        <v>5.0</v>
      </c>
      <c r="L138" s="4">
        <v>25.0</v>
      </c>
      <c r="AE138" s="4">
        <v>1.0</v>
      </c>
      <c r="AH138" s="4">
        <v>1.0</v>
      </c>
      <c r="AL138" s="4">
        <v>1.0</v>
      </c>
      <c r="BL138" s="4">
        <v>1.0</v>
      </c>
      <c r="BM138" s="4">
        <v>1.0</v>
      </c>
      <c r="CB138" s="4">
        <v>1.0</v>
      </c>
      <c r="EJ138" s="4">
        <v>1.0</v>
      </c>
      <c r="EO138" s="4">
        <v>1.0</v>
      </c>
      <c r="EQ138" s="4">
        <v>1.0</v>
      </c>
      <c r="FC138" s="4"/>
      <c r="FE138" s="4">
        <v>1.0</v>
      </c>
      <c r="FH138" s="4">
        <v>1.0</v>
      </c>
      <c r="FL138" s="4">
        <v>1.0</v>
      </c>
      <c r="FR138" s="4">
        <v>1.0</v>
      </c>
    </row>
    <row r="139">
      <c r="A139" s="23">
        <v>42908.0</v>
      </c>
      <c r="B139" s="4" t="s">
        <v>246</v>
      </c>
      <c r="C139" s="4">
        <v>21.2882</v>
      </c>
      <c r="D139" s="4">
        <v>-157.667999</v>
      </c>
      <c r="E139" s="4" t="s">
        <v>197</v>
      </c>
      <c r="F139" s="24">
        <v>0.3194444444444444</v>
      </c>
      <c r="G139" s="24">
        <v>0.3958333333333333</v>
      </c>
      <c r="H139" s="4">
        <v>3.0</v>
      </c>
      <c r="I139" s="4">
        <v>20.0</v>
      </c>
      <c r="J139" s="4" t="s">
        <v>217</v>
      </c>
      <c r="K139" s="4">
        <v>10.0</v>
      </c>
      <c r="L139" s="4">
        <v>26.0</v>
      </c>
      <c r="M139" s="4" t="s">
        <v>405</v>
      </c>
      <c r="T139" s="4">
        <v>1.0</v>
      </c>
      <c r="V139" s="4"/>
      <c r="W139" s="4">
        <v>1.0</v>
      </c>
      <c r="AA139" s="4">
        <v>1.0</v>
      </c>
      <c r="AG139" s="4">
        <v>1.0</v>
      </c>
      <c r="AL139" s="4">
        <v>1.0</v>
      </c>
      <c r="AV139" s="4">
        <v>1.0</v>
      </c>
      <c r="AZ139" s="4"/>
      <c r="BA139" s="4">
        <v>1.0</v>
      </c>
      <c r="BC139" s="4">
        <v>1.0</v>
      </c>
      <c r="BE139" s="4">
        <v>1.0</v>
      </c>
      <c r="BJ139" s="4">
        <v>1.0</v>
      </c>
      <c r="BL139" s="4">
        <v>1.0</v>
      </c>
      <c r="BM139" s="4">
        <v>1.0</v>
      </c>
      <c r="BP139" s="4">
        <v>1.0</v>
      </c>
      <c r="BY139" s="4">
        <v>1.0</v>
      </c>
      <c r="CB139" s="4">
        <v>1.0</v>
      </c>
      <c r="CF139" s="4"/>
      <c r="CG139" s="4">
        <v>1.0</v>
      </c>
      <c r="CJ139" s="4">
        <v>1.0</v>
      </c>
      <c r="CK139" s="4">
        <v>1.0</v>
      </c>
      <c r="CP139" s="4"/>
      <c r="CQ139" s="4">
        <v>1.0</v>
      </c>
      <c r="CT139" s="4">
        <v>1.0</v>
      </c>
      <c r="DD139" s="4">
        <v>1.0</v>
      </c>
      <c r="DF139" s="4">
        <v>1.0</v>
      </c>
      <c r="DL139" s="4">
        <v>1.0</v>
      </c>
      <c r="DM139" s="4">
        <v>1.0</v>
      </c>
      <c r="DN139" s="4">
        <v>1.0</v>
      </c>
      <c r="DT139" s="4"/>
      <c r="DU139" s="4">
        <v>1.0</v>
      </c>
      <c r="EI139" s="4">
        <v>1.0</v>
      </c>
      <c r="EJ139" s="4">
        <v>1.0</v>
      </c>
      <c r="EK139" s="4"/>
      <c r="EL139" s="4">
        <v>1.0</v>
      </c>
      <c r="ES139" s="4"/>
      <c r="ET139" s="4"/>
      <c r="EU139" s="4">
        <v>1.0</v>
      </c>
      <c r="FC139" s="4"/>
      <c r="FD139" s="4">
        <v>1.0</v>
      </c>
      <c r="FE139" s="4">
        <v>1.0</v>
      </c>
      <c r="FL139" s="4">
        <v>1.0</v>
      </c>
      <c r="FQ139" s="4">
        <v>1.0</v>
      </c>
      <c r="FR139" s="4">
        <v>1.0</v>
      </c>
      <c r="FW139" s="4"/>
      <c r="FX139" s="4">
        <v>1.0</v>
      </c>
      <c r="GD139" s="4">
        <v>1.0</v>
      </c>
    </row>
    <row r="140">
      <c r="A140" s="23">
        <v>42910.0</v>
      </c>
      <c r="B140" s="4" t="s">
        <v>219</v>
      </c>
      <c r="C140" s="4">
        <v>21.295799</v>
      </c>
      <c r="D140" s="4">
        <v>-158.103699</v>
      </c>
      <c r="E140" s="4" t="s">
        <v>197</v>
      </c>
      <c r="F140" s="24">
        <v>0.3472222222222222</v>
      </c>
      <c r="G140" s="24">
        <v>0.4583333333333333</v>
      </c>
      <c r="H140" s="4">
        <v>4.0</v>
      </c>
      <c r="I140" s="4">
        <v>24.0</v>
      </c>
      <c r="J140" s="4" t="s">
        <v>227</v>
      </c>
      <c r="K140" s="4">
        <v>8.0</v>
      </c>
      <c r="L140" s="4">
        <v>27.0</v>
      </c>
      <c r="M140" s="4" t="s">
        <v>406</v>
      </c>
      <c r="Q140" s="4">
        <v>1.0</v>
      </c>
      <c r="V140" s="4"/>
      <c r="W140" s="4">
        <v>1.0</v>
      </c>
      <c r="AA140" s="4">
        <v>1.0</v>
      </c>
      <c r="AD140" s="4">
        <v>1.0</v>
      </c>
      <c r="AH140" s="4">
        <v>1.0</v>
      </c>
      <c r="AL140" s="4">
        <v>1.0</v>
      </c>
      <c r="AV140" s="4">
        <v>1.0</v>
      </c>
      <c r="AZ140" s="4">
        <v>1.0</v>
      </c>
      <c r="BA140" s="4">
        <v>1.0</v>
      </c>
      <c r="BB140" s="4">
        <v>1.0</v>
      </c>
      <c r="BC140" s="4">
        <v>1.0</v>
      </c>
      <c r="BD140" s="4">
        <v>1.0</v>
      </c>
      <c r="BG140" s="4">
        <v>1.0</v>
      </c>
      <c r="BL140" s="4">
        <v>1.0</v>
      </c>
      <c r="BM140" s="4">
        <v>1.0</v>
      </c>
      <c r="BP140" s="4">
        <v>1.0</v>
      </c>
      <c r="BU140" s="4">
        <v>1.0</v>
      </c>
      <c r="BV140" s="4">
        <v>1.0</v>
      </c>
      <c r="BW140" s="4">
        <v>1.0</v>
      </c>
      <c r="BX140" s="4">
        <v>1.0</v>
      </c>
      <c r="BY140" s="4">
        <v>1.0</v>
      </c>
      <c r="CP140" s="4"/>
      <c r="CQ140" s="4">
        <v>1.0</v>
      </c>
      <c r="CR140" s="4">
        <v>1.0</v>
      </c>
      <c r="CZ140" s="4">
        <v>1.0</v>
      </c>
      <c r="DC140" s="4">
        <v>1.0</v>
      </c>
      <c r="DD140" s="4">
        <v>1.0</v>
      </c>
      <c r="DF140" s="4">
        <v>1.0</v>
      </c>
      <c r="DI140" s="4">
        <v>1.0</v>
      </c>
      <c r="DJ140" s="4">
        <v>1.0</v>
      </c>
      <c r="DK140" s="4">
        <v>1.0</v>
      </c>
      <c r="DL140" s="4">
        <v>1.0</v>
      </c>
      <c r="DN140" s="4">
        <v>1.0</v>
      </c>
      <c r="DP140" s="4">
        <v>1.0</v>
      </c>
      <c r="DR140" s="4">
        <v>1.0</v>
      </c>
      <c r="DT140" s="4"/>
      <c r="DU140" s="4">
        <v>1.0</v>
      </c>
      <c r="EB140" s="4">
        <v>1.0</v>
      </c>
      <c r="EI140" s="4">
        <v>1.0</v>
      </c>
      <c r="EJ140" s="4">
        <v>1.0</v>
      </c>
      <c r="EK140" s="4">
        <v>1.0</v>
      </c>
      <c r="ES140" s="4">
        <v>1.0</v>
      </c>
      <c r="EZ140" s="4">
        <v>1.0</v>
      </c>
      <c r="FA140" s="4">
        <v>1.0</v>
      </c>
      <c r="FC140" s="4"/>
      <c r="FD140" s="4">
        <v>1.0</v>
      </c>
      <c r="FE140" s="4">
        <v>1.0</v>
      </c>
      <c r="FH140" s="4">
        <v>1.0</v>
      </c>
      <c r="FL140" s="4">
        <v>1.0</v>
      </c>
      <c r="FQ140" s="4">
        <v>1.0</v>
      </c>
      <c r="FR140" s="4">
        <v>1.0</v>
      </c>
      <c r="FW140" s="4"/>
      <c r="FX140" s="4">
        <v>1.0</v>
      </c>
    </row>
    <row r="141">
      <c r="A141" s="23">
        <v>42911.0</v>
      </c>
      <c r="B141" s="4" t="s">
        <v>250</v>
      </c>
      <c r="C141" s="4">
        <v>21.4104</v>
      </c>
      <c r="D141" s="4">
        <v>-158.177704</v>
      </c>
      <c r="E141" s="4" t="s">
        <v>197</v>
      </c>
      <c r="F141" s="24">
        <v>0.375</v>
      </c>
      <c r="G141" s="24">
        <v>0.4583333333333333</v>
      </c>
      <c r="H141" s="4">
        <v>3.0</v>
      </c>
      <c r="I141" s="4">
        <v>33.0</v>
      </c>
      <c r="J141" s="4" t="s">
        <v>227</v>
      </c>
      <c r="K141" s="4">
        <v>12.0</v>
      </c>
      <c r="L141" s="4">
        <v>26.0</v>
      </c>
      <c r="M141" s="4" t="s">
        <v>407</v>
      </c>
      <c r="Q141" s="4">
        <v>1.0</v>
      </c>
      <c r="AA141" s="4">
        <v>1.0</v>
      </c>
      <c r="AC141" s="4">
        <v>1.0</v>
      </c>
      <c r="AL141" s="4">
        <v>1.0</v>
      </c>
      <c r="AV141" s="4">
        <v>1.0</v>
      </c>
      <c r="AX141" s="4">
        <v>1.0</v>
      </c>
      <c r="BA141" s="4">
        <v>1.0</v>
      </c>
      <c r="BJ141" s="4">
        <v>1.0</v>
      </c>
      <c r="BL141" s="4">
        <v>1.0</v>
      </c>
      <c r="BM141" s="4">
        <v>1.0</v>
      </c>
      <c r="BP141" s="4">
        <v>1.0</v>
      </c>
      <c r="BY141" s="4">
        <v>1.0</v>
      </c>
      <c r="CB141" s="4">
        <v>1.0</v>
      </c>
      <c r="CC141" s="4">
        <v>1.0</v>
      </c>
      <c r="CI141" s="4">
        <v>1.0</v>
      </c>
      <c r="CJ141" s="4">
        <v>1.0</v>
      </c>
      <c r="CK141" s="4">
        <v>1.0</v>
      </c>
      <c r="CM141" s="4">
        <v>1.0</v>
      </c>
      <c r="CN141" s="4">
        <v>1.0</v>
      </c>
      <c r="CP141" s="4">
        <v>1.0</v>
      </c>
      <c r="CZ141" s="4">
        <v>1.0</v>
      </c>
      <c r="DD141" s="4">
        <v>1.0</v>
      </c>
      <c r="DE141" s="4">
        <v>1.0</v>
      </c>
      <c r="DF141" s="4">
        <v>1.0</v>
      </c>
      <c r="DL141" s="4">
        <v>1.0</v>
      </c>
      <c r="EJ141" s="4">
        <v>1.0</v>
      </c>
      <c r="EK141" s="4">
        <v>1.0</v>
      </c>
      <c r="ET141" s="4"/>
      <c r="EU141" s="4">
        <v>1.0</v>
      </c>
      <c r="EW141" s="4">
        <v>1.0</v>
      </c>
      <c r="FI141" s="4"/>
      <c r="FJ141" s="4"/>
      <c r="FK141" s="4">
        <v>1.0</v>
      </c>
      <c r="FR141" s="4">
        <v>1.0</v>
      </c>
      <c r="FS141" s="4">
        <v>1.0</v>
      </c>
    </row>
    <row r="142">
      <c r="A142" s="23">
        <v>43134.0</v>
      </c>
      <c r="B142" s="4" t="s">
        <v>201</v>
      </c>
      <c r="C142" s="4">
        <v>21.25544</v>
      </c>
      <c r="D142" s="4">
        <v>-157.810303</v>
      </c>
      <c r="E142" s="4" t="s">
        <v>197</v>
      </c>
      <c r="F142" s="24">
        <v>0.4895833333333333</v>
      </c>
      <c r="G142" s="24">
        <v>0.5625</v>
      </c>
      <c r="H142" s="4">
        <v>3.0</v>
      </c>
      <c r="I142" s="4">
        <v>13.0</v>
      </c>
      <c r="J142" s="4" t="s">
        <v>198</v>
      </c>
      <c r="K142" s="4">
        <v>13.0</v>
      </c>
      <c r="L142" s="4">
        <v>35.0</v>
      </c>
      <c r="M142" s="4" t="s">
        <v>408</v>
      </c>
      <c r="O142" s="4">
        <v>1.0</v>
      </c>
      <c r="Q142" s="4">
        <v>1.0</v>
      </c>
      <c r="AD142" s="4">
        <v>1.0</v>
      </c>
      <c r="AE142" s="4">
        <v>1.0</v>
      </c>
      <c r="AH142" s="4">
        <v>1.0</v>
      </c>
      <c r="BD142" s="4">
        <v>1.0</v>
      </c>
      <c r="BL142" s="4">
        <v>1.0</v>
      </c>
      <c r="BP142" s="4">
        <v>1.0</v>
      </c>
      <c r="BU142" s="4">
        <v>1.0</v>
      </c>
      <c r="BX142" s="4">
        <v>1.0</v>
      </c>
      <c r="BY142" s="4">
        <v>1.0</v>
      </c>
      <c r="CO142" s="4"/>
      <c r="CP142" s="4"/>
      <c r="CQ142" s="4"/>
      <c r="CR142" s="4">
        <v>1.0</v>
      </c>
      <c r="DE142" s="4"/>
      <c r="DF142" s="4">
        <v>1.0</v>
      </c>
      <c r="DL142" s="4">
        <v>1.0</v>
      </c>
      <c r="DQ142" s="4"/>
      <c r="DR142" s="4">
        <v>1.0</v>
      </c>
      <c r="DS142" s="4"/>
      <c r="DT142" s="4"/>
      <c r="DU142" s="4">
        <v>1.0</v>
      </c>
      <c r="DZ142" s="4">
        <v>1.0</v>
      </c>
      <c r="EB142" s="4">
        <v>1.0</v>
      </c>
      <c r="ED142" s="4"/>
      <c r="EE142" s="4"/>
      <c r="EF142" s="4"/>
      <c r="EG142" s="4"/>
      <c r="EH142" s="4"/>
      <c r="EI142" s="4">
        <v>1.0</v>
      </c>
      <c r="EK142" s="4"/>
      <c r="EL142" s="4"/>
      <c r="EM142" s="4">
        <v>1.0</v>
      </c>
      <c r="FA142" s="4">
        <v>1.0</v>
      </c>
      <c r="FB142" s="4">
        <v>1.0</v>
      </c>
      <c r="FH142" s="4">
        <v>1.0</v>
      </c>
      <c r="FQ142" s="4">
        <v>1.0</v>
      </c>
      <c r="FR142" s="4">
        <v>1.0</v>
      </c>
      <c r="GF142" s="4">
        <v>1.0</v>
      </c>
    </row>
    <row r="143">
      <c r="A143" s="31">
        <v>43147.0</v>
      </c>
      <c r="B143" s="32" t="s">
        <v>201</v>
      </c>
      <c r="C143" s="32">
        <v>21.25544</v>
      </c>
      <c r="D143" s="32">
        <v>-157.810303</v>
      </c>
      <c r="E143" s="32" t="s">
        <v>389</v>
      </c>
      <c r="F143" s="33">
        <v>0.4583333333333333</v>
      </c>
      <c r="G143" s="33">
        <v>0.5208333333333334</v>
      </c>
      <c r="H143" s="32">
        <v>10.0</v>
      </c>
      <c r="I143" s="32">
        <v>15.0</v>
      </c>
      <c r="J143" s="32" t="s">
        <v>198</v>
      </c>
      <c r="K143" s="32">
        <v>5.0</v>
      </c>
      <c r="L143" s="32"/>
      <c r="M143" s="32"/>
      <c r="N143" s="34"/>
      <c r="O143" s="32"/>
      <c r="P143" s="34"/>
      <c r="Q143" s="32"/>
      <c r="R143" s="34"/>
      <c r="S143" s="34"/>
      <c r="T143" s="34"/>
      <c r="U143" s="34"/>
      <c r="V143" s="34"/>
      <c r="W143" s="34"/>
      <c r="X143" s="32"/>
      <c r="Y143" s="32"/>
      <c r="Z143" s="32"/>
      <c r="AA143" s="32"/>
      <c r="AB143" s="34"/>
      <c r="AC143" s="34"/>
      <c r="AD143" s="32"/>
      <c r="AE143" s="34"/>
      <c r="AF143" s="34"/>
      <c r="AG143" s="34"/>
      <c r="AH143" s="32"/>
      <c r="AI143" s="32"/>
      <c r="AJ143" s="32"/>
      <c r="AK143" s="32"/>
      <c r="AL143" s="32"/>
      <c r="AM143" s="34"/>
      <c r="AN143" s="34"/>
      <c r="AO143" s="34"/>
      <c r="AP143" s="32"/>
      <c r="AQ143" s="32"/>
      <c r="AR143" s="32"/>
      <c r="AS143" s="34"/>
      <c r="AT143" s="34"/>
      <c r="AU143" s="34"/>
      <c r="AV143" s="34"/>
      <c r="AW143" s="34"/>
      <c r="AX143" s="34"/>
      <c r="AY143" s="34"/>
      <c r="AZ143" s="32"/>
      <c r="BA143" s="32"/>
      <c r="BB143" s="32"/>
      <c r="BC143" s="34"/>
      <c r="BD143" s="32"/>
      <c r="BE143" s="34"/>
      <c r="BF143" s="34"/>
      <c r="BG143" s="34"/>
      <c r="BH143" s="34"/>
      <c r="BI143" s="34"/>
      <c r="BJ143" s="34"/>
      <c r="BK143" s="34"/>
      <c r="BL143" s="32"/>
      <c r="BM143" s="34"/>
      <c r="BN143" s="34"/>
      <c r="BO143" s="34"/>
      <c r="BP143" s="32"/>
      <c r="BQ143" s="34"/>
      <c r="BR143" s="34"/>
      <c r="BS143" s="34"/>
      <c r="BT143" s="32"/>
      <c r="BU143" s="32"/>
      <c r="BV143" s="32"/>
      <c r="BW143" s="32"/>
      <c r="BX143" s="32"/>
      <c r="BY143" s="32"/>
      <c r="BZ143" s="34"/>
      <c r="CA143" s="34"/>
      <c r="CB143" s="34"/>
      <c r="CC143" s="34"/>
      <c r="CD143" s="34"/>
      <c r="CE143" s="34"/>
      <c r="CF143" s="34"/>
      <c r="CG143" s="34"/>
      <c r="CH143" s="34"/>
      <c r="CI143" s="34"/>
      <c r="CJ143" s="34"/>
      <c r="CK143" s="34"/>
      <c r="CL143" s="34"/>
      <c r="CM143" s="34"/>
      <c r="CN143" s="34"/>
      <c r="CO143" s="32"/>
      <c r="CP143" s="32"/>
      <c r="CQ143" s="32"/>
      <c r="CR143" s="32"/>
      <c r="CS143" s="32"/>
      <c r="CT143" s="34"/>
      <c r="CU143" s="32"/>
      <c r="CV143" s="34"/>
      <c r="CW143" s="34"/>
      <c r="CX143" s="34"/>
      <c r="CY143" s="34"/>
      <c r="CZ143" s="34"/>
      <c r="DA143" s="34"/>
      <c r="DB143" s="34"/>
      <c r="DC143" s="32"/>
      <c r="DD143" s="34"/>
      <c r="DE143" s="32"/>
      <c r="DF143" s="32"/>
      <c r="DG143" s="34"/>
      <c r="DH143" s="34"/>
      <c r="DI143" s="34"/>
      <c r="DJ143" s="32"/>
      <c r="DK143" s="32"/>
      <c r="DL143" s="32"/>
      <c r="DM143" s="34"/>
      <c r="DN143" s="32"/>
      <c r="DO143" s="34"/>
      <c r="DP143" s="34"/>
      <c r="DQ143" s="34"/>
      <c r="DR143" s="34"/>
      <c r="DS143" s="32"/>
      <c r="DT143" s="32"/>
      <c r="DU143" s="32"/>
      <c r="DV143" s="34"/>
      <c r="DW143" s="34"/>
      <c r="DX143" s="34"/>
      <c r="DY143" s="34"/>
      <c r="DZ143" s="34"/>
      <c r="EA143" s="34"/>
      <c r="EB143" s="32"/>
      <c r="EC143" s="34"/>
      <c r="ED143" s="32"/>
      <c r="EE143" s="32"/>
      <c r="EF143" s="32"/>
      <c r="EG143" s="32"/>
      <c r="EH143" s="32"/>
      <c r="EI143" s="32"/>
      <c r="EJ143" s="34"/>
      <c r="EK143" s="34"/>
      <c r="EL143" s="34"/>
      <c r="EM143" s="34"/>
      <c r="EN143" s="32"/>
      <c r="EO143" s="34"/>
      <c r="EP143" s="34"/>
      <c r="EQ143" s="34"/>
      <c r="ER143" s="34"/>
      <c r="ES143" s="34"/>
      <c r="ET143" s="34"/>
      <c r="EU143" s="34"/>
      <c r="EV143" s="34"/>
      <c r="EW143" s="34"/>
      <c r="EX143" s="34"/>
      <c r="EY143" s="34"/>
      <c r="EZ143" s="34"/>
      <c r="FA143" s="34"/>
      <c r="FB143" s="34"/>
      <c r="FC143" s="34"/>
      <c r="FD143" s="34"/>
      <c r="FE143" s="34"/>
      <c r="FF143" s="34"/>
      <c r="FG143" s="34"/>
      <c r="FH143" s="34"/>
      <c r="FI143" s="34"/>
      <c r="FJ143" s="34"/>
      <c r="FK143" s="34"/>
      <c r="FL143" s="34"/>
      <c r="FM143" s="34"/>
      <c r="FN143" s="34"/>
      <c r="FO143" s="34"/>
      <c r="FP143" s="34"/>
      <c r="FQ143" s="34"/>
      <c r="FR143" s="32"/>
      <c r="FS143" s="34"/>
      <c r="FT143" s="34"/>
      <c r="FU143" s="32"/>
      <c r="FV143" s="32"/>
      <c r="FW143" s="34"/>
      <c r="FX143" s="34"/>
      <c r="FY143" s="34"/>
      <c r="FZ143" s="34"/>
      <c r="GA143" s="34"/>
      <c r="GB143" s="34"/>
      <c r="GC143" s="34"/>
      <c r="GD143" s="34"/>
      <c r="GE143" s="34"/>
      <c r="GF143" s="34"/>
    </row>
    <row r="144">
      <c r="A144" s="23">
        <v>43148.0</v>
      </c>
      <c r="B144" s="4" t="s">
        <v>244</v>
      </c>
      <c r="C144" s="4">
        <v>21.310612</v>
      </c>
      <c r="D144" s="4">
        <v>-158.00441</v>
      </c>
      <c r="E144" s="4" t="s">
        <v>197</v>
      </c>
      <c r="F144" s="24">
        <v>0.4986111111111111</v>
      </c>
      <c r="G144" s="24">
        <v>0.56875</v>
      </c>
      <c r="H144" s="4">
        <v>3.0</v>
      </c>
      <c r="I144" s="4">
        <v>11.0</v>
      </c>
      <c r="J144" s="4" t="s">
        <v>198</v>
      </c>
      <c r="K144" s="4">
        <v>11.0</v>
      </c>
      <c r="L144" s="4">
        <v>29.0</v>
      </c>
      <c r="M144" s="4" t="s">
        <v>409</v>
      </c>
      <c r="Q144" s="4">
        <v>1.0</v>
      </c>
      <c r="X144" s="4"/>
      <c r="Y144" s="4"/>
      <c r="Z144" s="4"/>
      <c r="AA144" s="4">
        <v>1.0</v>
      </c>
      <c r="AD144" s="4">
        <v>1.0</v>
      </c>
      <c r="AH144" s="4">
        <v>1.0</v>
      </c>
      <c r="AI144" s="4"/>
      <c r="AJ144" s="4"/>
      <c r="AK144" s="4"/>
      <c r="AL144" s="4">
        <v>1.0</v>
      </c>
      <c r="AP144" s="4"/>
      <c r="AQ144" s="4">
        <v>1.0</v>
      </c>
      <c r="AR144" s="4">
        <v>1.0</v>
      </c>
      <c r="AZ144" s="4"/>
      <c r="BA144" s="4">
        <v>1.0</v>
      </c>
      <c r="BB144" s="4">
        <v>1.0</v>
      </c>
      <c r="BD144" s="4">
        <v>1.0</v>
      </c>
      <c r="BL144" s="4">
        <v>1.0</v>
      </c>
      <c r="BP144" s="4">
        <v>1.0</v>
      </c>
      <c r="BT144" s="4">
        <v>1.0</v>
      </c>
      <c r="BU144" s="4">
        <v>1.0</v>
      </c>
      <c r="BV144" s="4">
        <v>1.0</v>
      </c>
      <c r="BW144" s="4">
        <v>1.0</v>
      </c>
      <c r="BX144" s="4">
        <v>1.0</v>
      </c>
      <c r="BY144" s="4">
        <v>1.0</v>
      </c>
      <c r="CO144" s="4"/>
      <c r="CP144" s="4"/>
      <c r="CQ144" s="4">
        <v>1.0</v>
      </c>
      <c r="CR144" s="4">
        <v>1.0</v>
      </c>
      <c r="CS144" s="4">
        <v>1.0</v>
      </c>
      <c r="CU144" s="4">
        <v>1.0</v>
      </c>
      <c r="DC144" s="4">
        <v>1.0</v>
      </c>
      <c r="DE144" s="4"/>
      <c r="DF144" s="4">
        <v>1.0</v>
      </c>
      <c r="DJ144" s="4"/>
      <c r="DK144" s="4">
        <v>1.0</v>
      </c>
      <c r="DL144" s="4">
        <v>1.0</v>
      </c>
      <c r="DN144" s="4">
        <v>1.0</v>
      </c>
      <c r="DT144" s="4"/>
      <c r="DU144" s="4">
        <v>1.0</v>
      </c>
      <c r="EB144" s="4">
        <v>1.0</v>
      </c>
      <c r="ED144" s="4"/>
      <c r="EE144" s="4"/>
      <c r="EF144" s="4"/>
      <c r="EG144" s="4"/>
      <c r="EH144" s="4"/>
      <c r="EI144" s="4">
        <v>1.0</v>
      </c>
      <c r="EN144" s="4">
        <v>1.0</v>
      </c>
      <c r="FR144" s="4">
        <v>1.0</v>
      </c>
      <c r="FU144" s="4"/>
      <c r="FV144" s="4">
        <v>1.0</v>
      </c>
    </row>
    <row r="145">
      <c r="A145" s="37">
        <v>43160.0</v>
      </c>
      <c r="B145" s="38" t="s">
        <v>219</v>
      </c>
      <c r="C145" s="38">
        <v>21.295799</v>
      </c>
      <c r="D145" s="38">
        <v>-158.103699</v>
      </c>
      <c r="E145" s="38" t="s">
        <v>333</v>
      </c>
      <c r="F145" s="39">
        <v>0.375</v>
      </c>
      <c r="G145" s="39">
        <v>0.4513888888888889</v>
      </c>
      <c r="H145" s="38">
        <v>10.0</v>
      </c>
      <c r="I145" s="38">
        <v>10.0</v>
      </c>
      <c r="J145" s="38" t="s">
        <v>318</v>
      </c>
      <c r="K145" s="38">
        <v>5.0</v>
      </c>
      <c r="L145" s="38">
        <v>46.0</v>
      </c>
      <c r="M145" s="38" t="s">
        <v>410</v>
      </c>
      <c r="N145" s="38"/>
      <c r="O145" s="38"/>
      <c r="P145" s="40"/>
      <c r="Q145" s="38">
        <v>1.0</v>
      </c>
      <c r="R145" s="40"/>
      <c r="S145" s="40"/>
      <c r="T145" s="38"/>
      <c r="U145" s="38"/>
      <c r="V145" s="38"/>
      <c r="W145" s="38">
        <v>1.0</v>
      </c>
      <c r="X145" s="38"/>
      <c r="Y145" s="38">
        <v>1.0</v>
      </c>
      <c r="Z145" s="38"/>
      <c r="AA145" s="38">
        <v>1.0</v>
      </c>
      <c r="AB145" s="38">
        <v>1.0</v>
      </c>
      <c r="AC145" s="40"/>
      <c r="AD145" s="38">
        <v>1.0</v>
      </c>
      <c r="AE145" s="40"/>
      <c r="AF145" s="40"/>
      <c r="AG145" s="40"/>
      <c r="AH145" s="38">
        <v>1.0</v>
      </c>
      <c r="AI145" s="40"/>
      <c r="AJ145" s="40"/>
      <c r="AK145" s="40"/>
      <c r="AL145" s="40"/>
      <c r="AM145" s="38">
        <v>1.0</v>
      </c>
      <c r="AN145" s="40"/>
      <c r="AO145" s="40"/>
      <c r="AP145" s="40"/>
      <c r="AQ145" s="40"/>
      <c r="AR145" s="40"/>
      <c r="AS145" s="40"/>
      <c r="AT145" s="40"/>
      <c r="AU145" s="40"/>
      <c r="AV145" s="40"/>
      <c r="AW145" s="40"/>
      <c r="AX145" s="40"/>
      <c r="AY145" s="40"/>
      <c r="AZ145" s="40"/>
      <c r="BA145" s="40"/>
      <c r="BB145" s="38">
        <v>1.0</v>
      </c>
      <c r="BC145" s="38">
        <v>1.0</v>
      </c>
      <c r="BD145" s="38">
        <v>1.0</v>
      </c>
      <c r="BE145" s="40"/>
      <c r="BF145" s="40"/>
      <c r="BG145" s="40"/>
      <c r="BH145" s="40"/>
      <c r="BI145" s="40"/>
      <c r="BJ145" s="40"/>
      <c r="BK145" s="40"/>
      <c r="BL145" s="38">
        <v>1.0</v>
      </c>
      <c r="BM145" s="38">
        <v>1.0</v>
      </c>
      <c r="BN145" s="40"/>
      <c r="BO145" s="40"/>
      <c r="BP145" s="38">
        <v>1.0</v>
      </c>
      <c r="BQ145" s="40"/>
      <c r="BR145" s="40"/>
      <c r="BS145" s="40"/>
      <c r="BT145" s="40"/>
      <c r="BU145" s="38">
        <v>1.0</v>
      </c>
      <c r="BV145" s="40"/>
      <c r="BW145" s="40"/>
      <c r="BX145" s="40"/>
      <c r="BY145" s="38">
        <v>1.0</v>
      </c>
      <c r="BZ145" s="40"/>
      <c r="CA145" s="40"/>
      <c r="CB145" s="40"/>
      <c r="CC145" s="40"/>
      <c r="CD145" s="40"/>
      <c r="CE145" s="40"/>
      <c r="CF145" s="40"/>
      <c r="CG145" s="40"/>
      <c r="CH145" s="40"/>
      <c r="CI145" s="40"/>
      <c r="CJ145" s="40"/>
      <c r="CK145" s="40"/>
      <c r="CL145" s="40"/>
      <c r="CM145" s="40"/>
      <c r="CN145" s="40"/>
      <c r="CO145" s="40"/>
      <c r="CP145" s="40"/>
      <c r="CQ145" s="40"/>
      <c r="CR145" s="38">
        <v>1.0</v>
      </c>
      <c r="CS145" s="40"/>
      <c r="CT145" s="38">
        <v>1.0</v>
      </c>
      <c r="CU145" s="40"/>
      <c r="CV145" s="40"/>
      <c r="CW145" s="40"/>
      <c r="CX145" s="40"/>
      <c r="CY145" s="40"/>
      <c r="CZ145" s="40"/>
      <c r="DA145" s="40"/>
      <c r="DB145" s="40"/>
      <c r="DC145" s="38">
        <v>1.0</v>
      </c>
      <c r="DD145" s="40"/>
      <c r="DE145" s="38"/>
      <c r="DF145" s="38">
        <v>1.0</v>
      </c>
      <c r="DG145" s="40"/>
      <c r="DH145" s="40"/>
      <c r="DI145" s="40"/>
      <c r="DJ145" s="40"/>
      <c r="DK145" s="40"/>
      <c r="DL145" s="38">
        <v>1.0</v>
      </c>
      <c r="DM145" s="38">
        <v>1.0</v>
      </c>
      <c r="DN145" s="38">
        <v>1.0</v>
      </c>
      <c r="DO145" s="38">
        <v>1.0</v>
      </c>
      <c r="DP145" s="40"/>
      <c r="DQ145" s="38"/>
      <c r="DR145" s="38">
        <v>1.0</v>
      </c>
      <c r="DS145" s="38"/>
      <c r="DT145" s="38"/>
      <c r="DU145" s="38">
        <v>1.0</v>
      </c>
      <c r="DV145" s="40"/>
      <c r="DW145" s="40"/>
      <c r="DX145" s="40"/>
      <c r="DY145" s="40"/>
      <c r="DZ145" s="40"/>
      <c r="EA145" s="40"/>
      <c r="EB145" s="38">
        <v>1.0</v>
      </c>
      <c r="EC145" s="40"/>
      <c r="ED145" s="38"/>
      <c r="EE145" s="38"/>
      <c r="EF145" s="38"/>
      <c r="EG145" s="38"/>
      <c r="EH145" s="38"/>
      <c r="EI145" s="38">
        <v>1.0</v>
      </c>
      <c r="EJ145" s="40"/>
      <c r="EK145" s="40"/>
      <c r="EL145" s="40"/>
      <c r="EM145" s="40"/>
      <c r="EN145" s="40"/>
      <c r="EO145" s="40"/>
      <c r="EP145" s="40"/>
      <c r="EQ145" s="40"/>
      <c r="ER145" s="40"/>
      <c r="ES145" s="40"/>
      <c r="ET145" s="40"/>
      <c r="EU145" s="40"/>
      <c r="EV145" s="40"/>
      <c r="EW145" s="40"/>
      <c r="EX145" s="40"/>
      <c r="EY145" s="40"/>
      <c r="EZ145" s="40"/>
      <c r="FA145" s="38">
        <v>1.0</v>
      </c>
      <c r="FB145" s="40"/>
      <c r="FC145" s="40"/>
      <c r="FD145" s="40"/>
      <c r="FE145" s="38">
        <v>1.0</v>
      </c>
      <c r="FF145" s="40"/>
      <c r="FG145" s="40"/>
      <c r="FH145" s="38">
        <v>1.0</v>
      </c>
      <c r="FI145" s="40"/>
      <c r="FJ145" s="40"/>
      <c r="FK145" s="40"/>
      <c r="FL145" s="40"/>
      <c r="FM145" s="40"/>
      <c r="FN145" s="40"/>
      <c r="FO145" s="40"/>
      <c r="FP145" s="40"/>
      <c r="FQ145" s="40"/>
      <c r="FR145" s="38">
        <v>1.0</v>
      </c>
      <c r="FS145" s="40"/>
      <c r="FT145" s="40"/>
      <c r="FU145" s="40"/>
      <c r="FV145" s="40"/>
      <c r="FW145" s="40"/>
      <c r="FX145" s="40"/>
      <c r="FY145" s="40"/>
      <c r="FZ145" s="40"/>
      <c r="GA145" s="40"/>
      <c r="GB145" s="40"/>
      <c r="GC145" s="40"/>
      <c r="GD145" s="40"/>
      <c r="GE145" s="40"/>
      <c r="GF145" s="38">
        <v>1.0</v>
      </c>
    </row>
    <row r="146">
      <c r="A146" s="23">
        <v>43160.0</v>
      </c>
      <c r="B146" s="4" t="s">
        <v>233</v>
      </c>
      <c r="C146" s="36">
        <v>21.066799</v>
      </c>
      <c r="D146" s="36">
        <v>-156.804993</v>
      </c>
      <c r="E146" s="4" t="s">
        <v>286</v>
      </c>
      <c r="F146" s="24">
        <v>0.3958333333333333</v>
      </c>
      <c r="G146" s="24">
        <v>0.4388888888888889</v>
      </c>
      <c r="H146" s="4">
        <v>4.0</v>
      </c>
      <c r="I146" s="4">
        <v>9.0</v>
      </c>
      <c r="J146" s="4" t="s">
        <v>198</v>
      </c>
      <c r="K146" s="4">
        <v>9.0</v>
      </c>
      <c r="L146" s="4">
        <v>28.0</v>
      </c>
      <c r="M146" s="4" t="s">
        <v>412</v>
      </c>
      <c r="X146" s="4"/>
      <c r="Y146" s="4">
        <v>1.0</v>
      </c>
      <c r="AP146" s="4"/>
      <c r="AZ146" s="4"/>
      <c r="BA146" s="4">
        <v>1.0</v>
      </c>
      <c r="BH146" s="4"/>
      <c r="BI146" s="4"/>
      <c r="BJ146" s="4"/>
      <c r="BL146" s="4">
        <v>1.0</v>
      </c>
      <c r="BU146" s="4"/>
      <c r="BY146" s="4">
        <v>1.0</v>
      </c>
      <c r="CB146" s="4"/>
      <c r="CC146" s="4"/>
      <c r="CD146" s="4"/>
      <c r="CE146" s="4"/>
      <c r="CH146" s="4"/>
      <c r="CN146" s="4">
        <v>1.0</v>
      </c>
      <c r="DL146" s="4">
        <v>1.0</v>
      </c>
      <c r="DW146" s="4"/>
      <c r="ED146" s="4"/>
      <c r="EE146" s="4"/>
      <c r="EH146" s="4"/>
      <c r="EI146" s="4">
        <v>1.0</v>
      </c>
      <c r="EO146" s="4"/>
      <c r="ER146" s="4"/>
      <c r="FA146" s="4">
        <v>1.0</v>
      </c>
      <c r="FC146" s="4"/>
      <c r="FE146" s="4">
        <v>1.0</v>
      </c>
      <c r="FF146" s="4"/>
      <c r="FG146" s="4">
        <v>1.0</v>
      </c>
      <c r="FL146" s="4"/>
      <c r="FR146" s="4">
        <v>1.0</v>
      </c>
    </row>
    <row r="147">
      <c r="A147" s="23">
        <v>43163.0</v>
      </c>
      <c r="B147" s="4" t="s">
        <v>293</v>
      </c>
      <c r="C147" s="4">
        <v>19.738602</v>
      </c>
      <c r="D147" s="4">
        <v>-155.038879</v>
      </c>
      <c r="E147" s="4" t="s">
        <v>197</v>
      </c>
      <c r="F147" s="24">
        <v>0.4270833333333333</v>
      </c>
      <c r="G147" s="24">
        <v>0.53125</v>
      </c>
      <c r="H147" s="4">
        <v>3.0</v>
      </c>
      <c r="I147" s="4">
        <v>21.0</v>
      </c>
      <c r="J147" s="4" t="s">
        <v>415</v>
      </c>
      <c r="K147" s="4">
        <v>14.0</v>
      </c>
      <c r="L147" s="4">
        <v>25.0</v>
      </c>
      <c r="M147" s="4" t="s">
        <v>416</v>
      </c>
      <c r="AP147" s="4">
        <v>1.0</v>
      </c>
      <c r="BH147" s="4"/>
      <c r="BI147" s="4"/>
      <c r="BJ147" s="4">
        <v>1.0</v>
      </c>
      <c r="BL147" s="4">
        <v>1.0</v>
      </c>
      <c r="BU147" s="4">
        <v>1.0</v>
      </c>
      <c r="CB147" s="4">
        <v>1.0</v>
      </c>
      <c r="CC147" s="4">
        <v>1.0</v>
      </c>
      <c r="CD147" s="4">
        <v>1.0</v>
      </c>
      <c r="CE147" s="4">
        <v>1.0</v>
      </c>
      <c r="CH147" s="4">
        <v>1.0</v>
      </c>
      <c r="CN147" s="4">
        <v>1.0</v>
      </c>
      <c r="DW147" s="4">
        <v>1.0</v>
      </c>
      <c r="ED147" s="4"/>
      <c r="EE147" s="4">
        <v>1.0</v>
      </c>
      <c r="EO147" s="4">
        <v>1.0</v>
      </c>
      <c r="ER147" s="4">
        <v>1.0</v>
      </c>
      <c r="FF147" s="4">
        <v>1.0</v>
      </c>
      <c r="FL147" s="4">
        <v>1.0</v>
      </c>
      <c r="FR147" s="4">
        <v>1.0</v>
      </c>
    </row>
    <row r="148">
      <c r="A148" s="41">
        <v>43175.0</v>
      </c>
      <c r="B148" s="42" t="s">
        <v>230</v>
      </c>
      <c r="C148" s="42">
        <v>20.7537</v>
      </c>
      <c r="D148" s="42">
        <v>-156.460907</v>
      </c>
      <c r="E148" s="42" t="s">
        <v>513</v>
      </c>
      <c r="F148" s="43">
        <v>0.4166666666666667</v>
      </c>
      <c r="G148" s="43">
        <v>0.5</v>
      </c>
      <c r="H148" s="42">
        <v>5.0</v>
      </c>
      <c r="I148" s="42">
        <v>20.0</v>
      </c>
      <c r="J148" s="42" t="s">
        <v>198</v>
      </c>
      <c r="K148" s="42">
        <v>8.0</v>
      </c>
      <c r="L148" s="42">
        <v>5.0</v>
      </c>
      <c r="M148" s="42" t="s">
        <v>514</v>
      </c>
      <c r="N148" s="42"/>
      <c r="O148" s="42"/>
      <c r="P148" s="44"/>
      <c r="Q148" s="42">
        <v>1.0</v>
      </c>
      <c r="R148" s="44"/>
      <c r="S148" s="44"/>
      <c r="T148" s="42"/>
      <c r="U148" s="42"/>
      <c r="V148" s="42"/>
      <c r="W148" s="42"/>
      <c r="X148" s="44"/>
      <c r="Y148" s="44"/>
      <c r="Z148" s="42"/>
      <c r="AA148" s="42"/>
      <c r="AB148" s="44"/>
      <c r="AC148" s="44"/>
      <c r="AD148" s="42"/>
      <c r="AE148" s="44"/>
      <c r="AF148" s="44"/>
      <c r="AG148" s="44"/>
      <c r="AH148" s="42"/>
      <c r="AI148" s="44"/>
      <c r="AJ148" s="44"/>
      <c r="AK148" s="44"/>
      <c r="AL148" s="44"/>
      <c r="AM148" s="44"/>
      <c r="AN148" s="44"/>
      <c r="AO148" s="44"/>
      <c r="AP148" s="44"/>
      <c r="AQ148" s="44"/>
      <c r="AR148" s="44"/>
      <c r="AS148" s="44"/>
      <c r="AT148" s="44"/>
      <c r="AU148" s="44"/>
      <c r="AV148" s="44"/>
      <c r="AW148" s="44"/>
      <c r="AX148" s="44"/>
      <c r="AY148" s="44"/>
      <c r="AZ148" s="44"/>
      <c r="BA148" s="44"/>
      <c r="BB148" s="42"/>
      <c r="BC148" s="44"/>
      <c r="BD148" s="42"/>
      <c r="BE148" s="44"/>
      <c r="BF148" s="44"/>
      <c r="BG148" s="44"/>
      <c r="BH148" s="44"/>
      <c r="BI148" s="44"/>
      <c r="BJ148" s="42">
        <v>1.0</v>
      </c>
      <c r="BK148" s="44"/>
      <c r="BL148" s="42"/>
      <c r="BM148" s="44"/>
      <c r="BN148" s="44"/>
      <c r="BO148" s="44"/>
      <c r="BP148" s="44"/>
      <c r="BQ148" s="44"/>
      <c r="BR148" s="44"/>
      <c r="BS148" s="44"/>
      <c r="BT148" s="44"/>
      <c r="BU148" s="42"/>
      <c r="BV148" s="44"/>
      <c r="BW148" s="44"/>
      <c r="BX148" s="44"/>
      <c r="BY148" s="42"/>
      <c r="BZ148" s="44"/>
      <c r="CA148" s="44"/>
      <c r="CB148" s="42">
        <v>1.0</v>
      </c>
      <c r="CC148" s="42">
        <v>1.0</v>
      </c>
      <c r="CD148" s="44"/>
      <c r="CE148" s="44"/>
      <c r="CF148" s="44"/>
      <c r="CG148" s="44"/>
      <c r="CH148" s="44"/>
      <c r="CI148" s="42"/>
      <c r="CJ148" s="42"/>
      <c r="CK148" s="44"/>
      <c r="CL148" s="44"/>
      <c r="CM148" s="44"/>
      <c r="CN148" s="44"/>
      <c r="CO148" s="44"/>
      <c r="CP148" s="44"/>
      <c r="CQ148" s="44"/>
      <c r="CR148" s="42"/>
      <c r="CS148" s="44"/>
      <c r="CT148" s="44"/>
      <c r="CU148" s="44"/>
      <c r="CV148" s="44"/>
      <c r="CW148" s="44"/>
      <c r="CX148" s="44"/>
      <c r="CY148" s="44"/>
      <c r="CZ148" s="44"/>
      <c r="DA148" s="44"/>
      <c r="DB148" s="44"/>
      <c r="DC148" s="44"/>
      <c r="DD148" s="44"/>
      <c r="DE148" s="44"/>
      <c r="DF148" s="44"/>
      <c r="DG148" s="44"/>
      <c r="DH148" s="44"/>
      <c r="DI148" s="44"/>
      <c r="DJ148" s="44"/>
      <c r="DK148" s="44"/>
      <c r="DL148" s="42"/>
      <c r="DM148" s="44"/>
      <c r="DN148" s="42"/>
      <c r="DO148" s="44"/>
      <c r="DP148" s="44"/>
      <c r="DQ148" s="44"/>
      <c r="DR148" s="44"/>
      <c r="DS148" s="42"/>
      <c r="DT148" s="42"/>
      <c r="DU148" s="42"/>
      <c r="DV148" s="44"/>
      <c r="DW148" s="44"/>
      <c r="DX148" s="44"/>
      <c r="DY148" s="42"/>
      <c r="DZ148" s="44"/>
      <c r="EA148" s="44"/>
      <c r="EB148" s="42"/>
      <c r="EC148" s="44"/>
      <c r="ED148" s="44"/>
      <c r="EE148" s="44"/>
      <c r="EF148" s="42"/>
      <c r="EG148" s="42"/>
      <c r="EH148" s="42"/>
      <c r="EI148" s="42"/>
      <c r="EJ148" s="44"/>
      <c r="EK148" s="44"/>
      <c r="EL148" s="44"/>
      <c r="EM148" s="44"/>
      <c r="EN148" s="44"/>
      <c r="EO148" s="44"/>
      <c r="EP148" s="44"/>
      <c r="EQ148" s="44"/>
      <c r="ER148" s="44"/>
      <c r="ES148" s="44"/>
      <c r="ET148" s="44"/>
      <c r="EU148" s="44"/>
      <c r="EV148" s="44"/>
      <c r="EW148" s="42">
        <v>1.0</v>
      </c>
      <c r="EX148" s="44"/>
      <c r="EY148" s="44"/>
      <c r="EZ148" s="44"/>
      <c r="FA148" s="42"/>
      <c r="FB148" s="44"/>
      <c r="FC148" s="44"/>
      <c r="FD148" s="44"/>
      <c r="FE148" s="44"/>
      <c r="FF148" s="44"/>
      <c r="FG148" s="44"/>
      <c r="FH148" s="42"/>
      <c r="FI148" s="44"/>
      <c r="FJ148" s="44"/>
      <c r="FK148" s="44"/>
      <c r="FL148" s="44"/>
      <c r="FM148" s="44"/>
      <c r="FN148" s="44"/>
      <c r="FO148" s="44"/>
      <c r="FP148" s="44"/>
      <c r="FQ148" s="44"/>
      <c r="FR148" s="42">
        <v>1.0</v>
      </c>
      <c r="FS148" s="44"/>
      <c r="FT148" s="44"/>
      <c r="FU148" s="42"/>
      <c r="FV148" s="42"/>
      <c r="FW148" s="44"/>
      <c r="FX148" s="44"/>
      <c r="FY148" s="44"/>
      <c r="FZ148" s="44"/>
      <c r="GA148" s="44"/>
      <c r="GB148" s="44"/>
      <c r="GC148" s="44"/>
      <c r="GD148" s="44"/>
      <c r="GE148" s="44"/>
      <c r="GF148" s="44"/>
    </row>
    <row r="149">
      <c r="A149" s="23">
        <v>43207.0</v>
      </c>
      <c r="B149" s="4" t="s">
        <v>244</v>
      </c>
      <c r="C149" s="4">
        <v>21.310612</v>
      </c>
      <c r="D149" s="4">
        <v>-158.00441</v>
      </c>
      <c r="E149" s="4" t="s">
        <v>326</v>
      </c>
      <c r="F149" s="24">
        <v>0.3854166666666667</v>
      </c>
      <c r="G149" s="24">
        <v>0.4444444444444444</v>
      </c>
      <c r="H149" s="4">
        <v>9.0</v>
      </c>
      <c r="I149" s="4">
        <v>8.0</v>
      </c>
      <c r="J149" s="4" t="s">
        <v>198</v>
      </c>
      <c r="K149" s="4">
        <v>5.0</v>
      </c>
      <c r="L149" s="4">
        <v>30.0</v>
      </c>
      <c r="M149" s="4" t="s">
        <v>417</v>
      </c>
      <c r="N149" s="4" t="s">
        <v>396</v>
      </c>
      <c r="T149" s="4"/>
      <c r="U149" s="4"/>
      <c r="V149" s="4"/>
      <c r="W149" s="4">
        <v>1.0</v>
      </c>
      <c r="Z149" s="4"/>
      <c r="AA149" s="4">
        <v>1.0</v>
      </c>
      <c r="AD149" s="4">
        <v>1.0</v>
      </c>
      <c r="AH149" s="4">
        <v>1.0</v>
      </c>
      <c r="BB149" s="4">
        <v>1.0</v>
      </c>
      <c r="BD149" s="4">
        <v>1.0</v>
      </c>
      <c r="BL149" s="4">
        <v>1.0</v>
      </c>
      <c r="BU149" s="4">
        <v>1.0</v>
      </c>
      <c r="BY149" s="4">
        <v>1.0</v>
      </c>
      <c r="CI149" s="4"/>
      <c r="CJ149" s="4">
        <v>1.0</v>
      </c>
      <c r="CR149" s="4">
        <v>1.0</v>
      </c>
      <c r="DL149" s="4">
        <v>1.0</v>
      </c>
      <c r="DN149" s="4">
        <v>1.0</v>
      </c>
      <c r="DT149" s="4"/>
      <c r="DU149" s="4">
        <v>1.0</v>
      </c>
      <c r="DY149" s="4">
        <v>1.0</v>
      </c>
      <c r="EB149" s="4">
        <v>1.0</v>
      </c>
      <c r="EF149" s="4"/>
      <c r="EG149" s="4"/>
      <c r="EH149" s="4"/>
      <c r="EI149" s="4">
        <v>1.0</v>
      </c>
      <c r="FA149" s="4">
        <v>1.0</v>
      </c>
      <c r="FH149" s="4">
        <v>1.0</v>
      </c>
      <c r="FR149" s="4">
        <v>1.0</v>
      </c>
      <c r="FU149" s="4"/>
      <c r="FV149" s="4">
        <v>1.0</v>
      </c>
    </row>
    <row r="150">
      <c r="A150" s="41">
        <v>43208.0</v>
      </c>
      <c r="B150" s="42" t="s">
        <v>515</v>
      </c>
      <c r="C150" s="42">
        <v>19.13592</v>
      </c>
      <c r="D150" s="42">
        <v>-155.504684</v>
      </c>
      <c r="E150" s="42" t="s">
        <v>383</v>
      </c>
      <c r="F150" s="43">
        <v>0.4111111111111111</v>
      </c>
      <c r="G150" s="43">
        <v>0.4513888888888889</v>
      </c>
      <c r="H150" s="42">
        <v>5.0</v>
      </c>
      <c r="I150" s="42">
        <v>20.0</v>
      </c>
      <c r="J150" s="42" t="s">
        <v>198</v>
      </c>
      <c r="K150" s="42">
        <v>5.0</v>
      </c>
      <c r="L150" s="42">
        <v>25.0</v>
      </c>
      <c r="M150" s="42"/>
      <c r="N150" s="44"/>
      <c r="O150" s="42"/>
      <c r="P150" s="44"/>
      <c r="Q150" s="44"/>
      <c r="R150" s="44"/>
      <c r="S150" s="42">
        <v>1.0</v>
      </c>
      <c r="T150" s="44"/>
      <c r="U150" s="44"/>
      <c r="V150" s="44"/>
      <c r="W150" s="44"/>
      <c r="X150" s="44"/>
      <c r="Y150" s="44"/>
      <c r="Z150" s="44"/>
      <c r="AA150" s="42">
        <v>1.0</v>
      </c>
      <c r="AB150" s="44"/>
      <c r="AC150" s="44"/>
      <c r="AD150" s="44"/>
      <c r="AE150" s="42">
        <v>1.0</v>
      </c>
      <c r="AF150" s="44"/>
      <c r="AG150" s="44"/>
      <c r="AH150" s="44"/>
      <c r="AI150" s="44"/>
      <c r="AJ150" s="44"/>
      <c r="AK150" s="44"/>
      <c r="AL150" s="44"/>
      <c r="AM150" s="44"/>
      <c r="AN150" s="44"/>
      <c r="AO150" s="44"/>
      <c r="AP150" s="44"/>
      <c r="AQ150" s="44"/>
      <c r="AR150" s="44"/>
      <c r="AS150" s="44"/>
      <c r="AT150" s="44"/>
      <c r="AU150" s="44"/>
      <c r="AV150" s="44"/>
      <c r="AW150" s="44"/>
      <c r="AX150" s="44"/>
      <c r="AY150" s="44"/>
      <c r="AZ150" s="44"/>
      <c r="BA150" s="42">
        <v>1.0</v>
      </c>
      <c r="BB150" s="44"/>
      <c r="BC150" s="44"/>
      <c r="BD150" s="44"/>
      <c r="BE150" s="44"/>
      <c r="BF150" s="44"/>
      <c r="BG150" s="44"/>
      <c r="BH150" s="42"/>
      <c r="BI150" s="42"/>
      <c r="BJ150" s="42"/>
      <c r="BK150" s="44"/>
      <c r="BL150" s="42">
        <v>1.0</v>
      </c>
      <c r="BM150" s="44"/>
      <c r="BN150" s="44"/>
      <c r="BO150" s="44"/>
      <c r="BP150" s="44"/>
      <c r="BQ150" s="44"/>
      <c r="BR150" s="44"/>
      <c r="BS150" s="44"/>
      <c r="BT150" s="44"/>
      <c r="BU150" s="44"/>
      <c r="BV150" s="44"/>
      <c r="BW150" s="44"/>
      <c r="BX150" s="44"/>
      <c r="BY150" s="44"/>
      <c r="BZ150" s="44"/>
      <c r="CA150" s="44"/>
      <c r="CB150" s="42">
        <v>1.0</v>
      </c>
      <c r="CC150" s="42"/>
      <c r="CD150" s="42">
        <v>1.0</v>
      </c>
      <c r="CE150" s="44"/>
      <c r="CF150" s="44"/>
      <c r="CG150" s="44"/>
      <c r="CH150" s="44"/>
      <c r="CI150" s="44"/>
      <c r="CJ150" s="44"/>
      <c r="CK150" s="44"/>
      <c r="CL150" s="44"/>
      <c r="CM150" s="44"/>
      <c r="CN150" s="44"/>
      <c r="CO150" s="44"/>
      <c r="CP150" s="44"/>
      <c r="CQ150" s="44"/>
      <c r="CR150" s="44"/>
      <c r="CS150" s="44"/>
      <c r="CT150" s="44"/>
      <c r="CU150" s="42"/>
      <c r="CV150" s="44"/>
      <c r="CW150" s="44"/>
      <c r="CX150" s="44"/>
      <c r="CY150" s="44"/>
      <c r="CZ150" s="44"/>
      <c r="DA150" s="44"/>
      <c r="DB150" s="44"/>
      <c r="DC150" s="44"/>
      <c r="DD150" s="44"/>
      <c r="DE150" s="44"/>
      <c r="DF150" s="44"/>
      <c r="DG150" s="42">
        <v>1.0</v>
      </c>
      <c r="DH150" s="44"/>
      <c r="DI150" s="44"/>
      <c r="DJ150" s="44"/>
      <c r="DK150" s="44"/>
      <c r="DL150" s="44"/>
      <c r="DM150" s="44"/>
      <c r="DN150" s="44"/>
      <c r="DO150" s="42">
        <v>1.0</v>
      </c>
      <c r="DP150" s="44"/>
      <c r="DQ150" s="44"/>
      <c r="DR150" s="44"/>
      <c r="DS150" s="44"/>
      <c r="DT150" s="44"/>
      <c r="DU150" s="44"/>
      <c r="DV150" s="44"/>
      <c r="DW150" s="44"/>
      <c r="DX150" s="44"/>
      <c r="DY150" s="44"/>
      <c r="DZ150" s="44"/>
      <c r="EA150" s="44"/>
      <c r="EB150" s="44"/>
      <c r="EC150" s="44"/>
      <c r="ED150" s="44"/>
      <c r="EE150" s="42">
        <v>1.0</v>
      </c>
      <c r="EF150" s="44"/>
      <c r="EG150" s="44"/>
      <c r="EH150" s="44"/>
      <c r="EI150" s="44"/>
      <c r="EJ150" s="44"/>
      <c r="EK150" s="44"/>
      <c r="EL150" s="44"/>
      <c r="EM150" s="44"/>
      <c r="EN150" s="44"/>
      <c r="EO150" s="44"/>
      <c r="EP150" s="44"/>
      <c r="EQ150" s="44"/>
      <c r="ER150" s="44"/>
      <c r="ES150" s="44"/>
      <c r="ET150" s="44"/>
      <c r="EU150" s="44"/>
      <c r="EV150" s="44"/>
      <c r="EW150" s="42">
        <v>1.0</v>
      </c>
      <c r="EX150" s="44"/>
      <c r="EY150" s="44"/>
      <c r="EZ150" s="44"/>
      <c r="FA150" s="44"/>
      <c r="FB150" s="44"/>
      <c r="FC150" s="44"/>
      <c r="FD150" s="44"/>
      <c r="FE150" s="44"/>
      <c r="FF150" s="44"/>
      <c r="FG150" s="44"/>
      <c r="FH150" s="44"/>
      <c r="FI150" s="44"/>
      <c r="FJ150" s="44"/>
      <c r="FK150" s="44"/>
      <c r="FL150" s="42"/>
      <c r="FM150" s="42"/>
      <c r="FN150" s="42"/>
      <c r="FO150" s="42"/>
      <c r="FP150" s="44"/>
      <c r="FQ150" s="44"/>
      <c r="FR150" s="42">
        <v>1.0</v>
      </c>
      <c r="FS150" s="44"/>
      <c r="FT150" s="44"/>
      <c r="FU150" s="44"/>
      <c r="FV150" s="44"/>
      <c r="FW150" s="44"/>
      <c r="FX150" s="44"/>
      <c r="FY150" s="44"/>
      <c r="FZ150" s="44"/>
      <c r="GA150" s="44"/>
      <c r="GB150" s="44"/>
      <c r="GC150" s="44"/>
      <c r="GD150" s="44"/>
      <c r="GE150" s="44"/>
      <c r="GF150" s="44"/>
    </row>
    <row r="151">
      <c r="A151" s="31">
        <v>43209.0</v>
      </c>
      <c r="B151" s="32" t="s">
        <v>250</v>
      </c>
      <c r="C151" s="32"/>
      <c r="D151" s="32"/>
      <c r="E151" s="32"/>
      <c r="F151" s="33"/>
      <c r="G151" s="33"/>
      <c r="H151" s="32"/>
      <c r="I151" s="32"/>
      <c r="J151" s="32"/>
      <c r="K151" s="32"/>
      <c r="L151" s="32"/>
      <c r="M151" s="32"/>
      <c r="N151" s="34"/>
      <c r="O151" s="32"/>
      <c r="P151" s="34"/>
      <c r="Q151" s="34"/>
      <c r="R151" s="34"/>
      <c r="S151" s="34"/>
      <c r="T151" s="34"/>
      <c r="U151" s="34"/>
      <c r="V151" s="34"/>
      <c r="W151" s="34"/>
      <c r="X151" s="34"/>
      <c r="Y151" s="34"/>
      <c r="Z151" s="34"/>
      <c r="AA151" s="34"/>
      <c r="AB151" s="34"/>
      <c r="AC151" s="34"/>
      <c r="AD151" s="34"/>
      <c r="AE151" s="34"/>
      <c r="AF151" s="34"/>
      <c r="AG151" s="34"/>
      <c r="AH151" s="34"/>
      <c r="AI151" s="34"/>
      <c r="AJ151" s="34"/>
      <c r="AK151" s="34"/>
      <c r="AL151" s="34"/>
      <c r="AM151" s="34"/>
      <c r="AN151" s="34"/>
      <c r="AO151" s="34"/>
      <c r="AP151" s="34"/>
      <c r="AQ151" s="34"/>
      <c r="AR151" s="34"/>
      <c r="AS151" s="34"/>
      <c r="AT151" s="34"/>
      <c r="AU151" s="34"/>
      <c r="AV151" s="34"/>
      <c r="AW151" s="34"/>
      <c r="AX151" s="34"/>
      <c r="AY151" s="34"/>
      <c r="AZ151" s="34"/>
      <c r="BA151" s="34"/>
      <c r="BB151" s="34"/>
      <c r="BC151" s="34"/>
      <c r="BD151" s="34"/>
      <c r="BE151" s="34"/>
      <c r="BF151" s="34"/>
      <c r="BG151" s="34"/>
      <c r="BH151" s="32"/>
      <c r="BI151" s="32"/>
      <c r="BJ151" s="32"/>
      <c r="BK151" s="34"/>
      <c r="BL151" s="32"/>
      <c r="BM151" s="34"/>
      <c r="BN151" s="34"/>
      <c r="BO151" s="34"/>
      <c r="BP151" s="34"/>
      <c r="BQ151" s="34"/>
      <c r="BR151" s="34"/>
      <c r="BS151" s="34"/>
      <c r="BT151" s="34"/>
      <c r="BU151" s="34"/>
      <c r="BV151" s="34"/>
      <c r="BW151" s="34"/>
      <c r="BX151" s="34"/>
      <c r="BY151" s="34"/>
      <c r="BZ151" s="34"/>
      <c r="CA151" s="34"/>
      <c r="CB151" s="32"/>
      <c r="CC151" s="32"/>
      <c r="CD151" s="34"/>
      <c r="CE151" s="34"/>
      <c r="CF151" s="34"/>
      <c r="CG151" s="34"/>
      <c r="CH151" s="34"/>
      <c r="CI151" s="34"/>
      <c r="CJ151" s="34"/>
      <c r="CK151" s="34"/>
      <c r="CL151" s="34"/>
      <c r="CM151" s="34"/>
      <c r="CN151" s="34"/>
      <c r="CO151" s="34"/>
      <c r="CP151" s="34"/>
      <c r="CQ151" s="34"/>
      <c r="CR151" s="34"/>
      <c r="CS151" s="34"/>
      <c r="CT151" s="34"/>
      <c r="CU151" s="32"/>
      <c r="CV151" s="34"/>
      <c r="CW151" s="34"/>
      <c r="CX151" s="34"/>
      <c r="CY151" s="34"/>
      <c r="CZ151" s="34"/>
      <c r="DA151" s="34"/>
      <c r="DB151" s="34"/>
      <c r="DC151" s="34"/>
      <c r="DD151" s="34"/>
      <c r="DE151" s="34"/>
      <c r="DF151" s="34"/>
      <c r="DG151" s="34"/>
      <c r="DH151" s="34"/>
      <c r="DI151" s="34"/>
      <c r="DJ151" s="34"/>
      <c r="DK151" s="34"/>
      <c r="DL151" s="34"/>
      <c r="DM151" s="34"/>
      <c r="DN151" s="34"/>
      <c r="DO151" s="34"/>
      <c r="DP151" s="34"/>
      <c r="DQ151" s="34"/>
      <c r="DR151" s="34"/>
      <c r="DS151" s="34"/>
      <c r="DT151" s="34"/>
      <c r="DU151" s="34"/>
      <c r="DV151" s="34"/>
      <c r="DW151" s="34"/>
      <c r="DX151" s="34"/>
      <c r="DY151" s="34"/>
      <c r="DZ151" s="34"/>
      <c r="EA151" s="34"/>
      <c r="EB151" s="34"/>
      <c r="EC151" s="34"/>
      <c r="ED151" s="34"/>
      <c r="EE151" s="34"/>
      <c r="EF151" s="34"/>
      <c r="EG151" s="34"/>
      <c r="EH151" s="34"/>
      <c r="EI151" s="34"/>
      <c r="EJ151" s="34"/>
      <c r="EK151" s="34"/>
      <c r="EL151" s="34"/>
      <c r="EM151" s="34"/>
      <c r="EN151" s="34"/>
      <c r="EO151" s="34"/>
      <c r="EP151" s="34"/>
      <c r="EQ151" s="34"/>
      <c r="ER151" s="34"/>
      <c r="ES151" s="34"/>
      <c r="ET151" s="34"/>
      <c r="EU151" s="34"/>
      <c r="EV151" s="34"/>
      <c r="EW151" s="34"/>
      <c r="EX151" s="34"/>
      <c r="EY151" s="34"/>
      <c r="EZ151" s="34"/>
      <c r="FA151" s="34"/>
      <c r="FB151" s="34"/>
      <c r="FC151" s="34"/>
      <c r="FD151" s="34"/>
      <c r="FE151" s="34"/>
      <c r="FF151" s="34"/>
      <c r="FG151" s="34"/>
      <c r="FH151" s="34"/>
      <c r="FI151" s="34"/>
      <c r="FJ151" s="34"/>
      <c r="FK151" s="34"/>
      <c r="FL151" s="32"/>
      <c r="FM151" s="32"/>
      <c r="FN151" s="32"/>
      <c r="FO151" s="32"/>
      <c r="FP151" s="34"/>
      <c r="FQ151" s="34"/>
      <c r="FR151" s="32"/>
      <c r="FS151" s="34"/>
      <c r="FT151" s="34"/>
      <c r="FU151" s="34"/>
      <c r="FV151" s="34"/>
      <c r="FW151" s="34"/>
      <c r="FX151" s="34"/>
      <c r="FY151" s="34"/>
      <c r="FZ151" s="34"/>
      <c r="GA151" s="34"/>
      <c r="GB151" s="34"/>
      <c r="GC151" s="34"/>
      <c r="GD151" s="34"/>
      <c r="GE151" s="34"/>
      <c r="GF151" s="34"/>
    </row>
    <row r="152">
      <c r="A152" s="41">
        <v>43211.0</v>
      </c>
      <c r="B152" s="42" t="s">
        <v>293</v>
      </c>
      <c r="C152" s="42">
        <v>19.738602</v>
      </c>
      <c r="D152" s="42">
        <v>-155.038879</v>
      </c>
      <c r="E152" s="42" t="s">
        <v>520</v>
      </c>
      <c r="F152" s="43">
        <v>0.4791666666666667</v>
      </c>
      <c r="G152" s="43">
        <v>0.041666666666666664</v>
      </c>
      <c r="H152" s="42">
        <v>1.0</v>
      </c>
      <c r="I152" s="42">
        <v>18.0</v>
      </c>
      <c r="J152" s="42" t="s">
        <v>277</v>
      </c>
      <c r="K152" s="42">
        <v>10.0</v>
      </c>
      <c r="L152" s="42">
        <v>5.0</v>
      </c>
      <c r="M152" s="42"/>
      <c r="N152" s="44"/>
      <c r="O152" s="42"/>
      <c r="P152" s="44"/>
      <c r="Q152" s="44"/>
      <c r="R152" s="44"/>
      <c r="S152" s="44"/>
      <c r="T152" s="44"/>
      <c r="U152" s="44"/>
      <c r="V152" s="44"/>
      <c r="W152" s="44"/>
      <c r="X152" s="44"/>
      <c r="Y152" s="44"/>
      <c r="Z152" s="44"/>
      <c r="AA152" s="44"/>
      <c r="AB152" s="44"/>
      <c r="AC152" s="44"/>
      <c r="AD152" s="44"/>
      <c r="AE152" s="44"/>
      <c r="AF152" s="44"/>
      <c r="AG152" s="44"/>
      <c r="AH152" s="44"/>
      <c r="AI152" s="44"/>
      <c r="AJ152" s="44"/>
      <c r="AK152" s="44"/>
      <c r="AL152" s="44"/>
      <c r="AM152" s="44"/>
      <c r="AN152" s="44"/>
      <c r="AO152" s="44"/>
      <c r="AP152" s="44"/>
      <c r="AQ152" s="44"/>
      <c r="AR152" s="44"/>
      <c r="AS152" s="44"/>
      <c r="AT152" s="44"/>
      <c r="AU152" s="44"/>
      <c r="AV152" s="44"/>
      <c r="AW152" s="44"/>
      <c r="AX152" s="44"/>
      <c r="AY152" s="44"/>
      <c r="AZ152" s="44"/>
      <c r="BA152" s="44"/>
      <c r="BB152" s="44"/>
      <c r="BC152" s="44"/>
      <c r="BD152" s="44"/>
      <c r="BE152" s="44"/>
      <c r="BF152" s="44"/>
      <c r="BG152" s="44"/>
      <c r="BH152" s="42"/>
      <c r="BI152" s="42"/>
      <c r="BJ152" s="42"/>
      <c r="BK152" s="44"/>
      <c r="BL152" s="42">
        <v>1.0</v>
      </c>
      <c r="BM152" s="44"/>
      <c r="BN152" s="44"/>
      <c r="BO152" s="44"/>
      <c r="BP152" s="44"/>
      <c r="BQ152" s="44"/>
      <c r="BR152" s="44"/>
      <c r="BS152" s="44"/>
      <c r="BT152" s="44"/>
      <c r="BU152" s="44"/>
      <c r="BV152" s="44"/>
      <c r="BW152" s="44"/>
      <c r="BX152" s="44"/>
      <c r="BY152" s="44"/>
      <c r="BZ152" s="44"/>
      <c r="CA152" s="44"/>
      <c r="CB152" s="42">
        <v>1.0</v>
      </c>
      <c r="CC152" s="42"/>
      <c r="CD152" s="44"/>
      <c r="CE152" s="44"/>
      <c r="CF152" s="44"/>
      <c r="CG152" s="44"/>
      <c r="CH152" s="44"/>
      <c r="CI152" s="44"/>
      <c r="CJ152" s="44"/>
      <c r="CK152" s="44"/>
      <c r="CL152" s="44"/>
      <c r="CM152" s="44"/>
      <c r="CN152" s="42">
        <v>1.0</v>
      </c>
      <c r="CO152" s="44"/>
      <c r="CP152" s="44"/>
      <c r="CQ152" s="44"/>
      <c r="CR152" s="44"/>
      <c r="CS152" s="44"/>
      <c r="CT152" s="44"/>
      <c r="CU152" s="42"/>
      <c r="CV152" s="44"/>
      <c r="CW152" s="44"/>
      <c r="CX152" s="44"/>
      <c r="CY152" s="44"/>
      <c r="CZ152" s="44"/>
      <c r="DA152" s="44"/>
      <c r="DB152" s="44"/>
      <c r="DC152" s="44"/>
      <c r="DD152" s="44"/>
      <c r="DE152" s="44"/>
      <c r="DF152" s="44"/>
      <c r="DG152" s="44"/>
      <c r="DH152" s="44"/>
      <c r="DI152" s="44"/>
      <c r="DJ152" s="44"/>
      <c r="DK152" s="44"/>
      <c r="DL152" s="44"/>
      <c r="DM152" s="44"/>
      <c r="DN152" s="44"/>
      <c r="DO152" s="44"/>
      <c r="DP152" s="44"/>
      <c r="DQ152" s="44"/>
      <c r="DR152" s="44"/>
      <c r="DS152" s="44"/>
      <c r="DT152" s="44"/>
      <c r="DU152" s="44"/>
      <c r="DV152" s="44"/>
      <c r="DW152" s="44"/>
      <c r="DX152" s="44"/>
      <c r="DY152" s="44"/>
      <c r="DZ152" s="44"/>
      <c r="EA152" s="44"/>
      <c r="EB152" s="44"/>
      <c r="EC152" s="44"/>
      <c r="ED152" s="44"/>
      <c r="EE152" s="44"/>
      <c r="EF152" s="44"/>
      <c r="EG152" s="44"/>
      <c r="EH152" s="44"/>
      <c r="EI152" s="44"/>
      <c r="EJ152" s="44"/>
      <c r="EK152" s="44"/>
      <c r="EL152" s="44"/>
      <c r="EM152" s="44"/>
      <c r="EN152" s="44"/>
      <c r="EO152" s="44"/>
      <c r="EP152" s="44"/>
      <c r="EQ152" s="44"/>
      <c r="ER152" s="44"/>
      <c r="ES152" s="44"/>
      <c r="ET152" s="44"/>
      <c r="EU152" s="44"/>
      <c r="EV152" s="44"/>
      <c r="EW152" s="44"/>
      <c r="EX152" s="44"/>
      <c r="EY152" s="44"/>
      <c r="EZ152" s="44"/>
      <c r="FA152" s="44"/>
      <c r="FB152" s="44"/>
      <c r="FC152" s="44"/>
      <c r="FD152" s="44"/>
      <c r="FE152" s="44"/>
      <c r="FF152" s="44"/>
      <c r="FG152" s="44"/>
      <c r="FH152" s="44"/>
      <c r="FI152" s="44"/>
      <c r="FJ152" s="44"/>
      <c r="FK152" s="44"/>
      <c r="FL152" s="42"/>
      <c r="FM152" s="42"/>
      <c r="FN152" s="42"/>
      <c r="FO152" s="42"/>
      <c r="FP152" s="44"/>
      <c r="FQ152" s="44"/>
      <c r="FR152" s="42">
        <v>1.0</v>
      </c>
      <c r="FS152" s="44"/>
      <c r="FT152" s="44"/>
      <c r="FU152" s="44"/>
      <c r="FV152" s="44"/>
      <c r="FW152" s="44"/>
      <c r="FX152" s="44"/>
      <c r="FY152" s="44"/>
      <c r="FZ152" s="44"/>
      <c r="GA152" s="44"/>
      <c r="GB152" s="44"/>
      <c r="GC152" s="44"/>
      <c r="GD152" s="44"/>
      <c r="GE152" s="44"/>
      <c r="GF152" s="42">
        <v>1.0</v>
      </c>
    </row>
    <row r="153">
      <c r="A153" s="23">
        <v>43212.0</v>
      </c>
      <c r="B153" s="4" t="s">
        <v>293</v>
      </c>
      <c r="C153" s="4">
        <v>19.738602</v>
      </c>
      <c r="D153" s="4">
        <v>-155.038879</v>
      </c>
      <c r="E153" s="4" t="s">
        <v>418</v>
      </c>
      <c r="F153" s="24">
        <v>0.5541666666666667</v>
      </c>
      <c r="G153" s="24">
        <v>0.6458333333333334</v>
      </c>
      <c r="H153" s="4">
        <v>3.0</v>
      </c>
      <c r="I153" s="4">
        <v>18.0</v>
      </c>
      <c r="J153" s="4" t="s">
        <v>415</v>
      </c>
      <c r="K153" s="4">
        <v>10.0</v>
      </c>
      <c r="L153" s="4">
        <v>23.0</v>
      </c>
      <c r="M153" s="4" t="s">
        <v>419</v>
      </c>
      <c r="BH153" s="4"/>
      <c r="BI153" s="4"/>
      <c r="BJ153" s="4">
        <v>1.0</v>
      </c>
      <c r="BL153" s="4">
        <v>1.0</v>
      </c>
      <c r="CB153" s="4">
        <v>1.0</v>
      </c>
      <c r="CC153" s="4">
        <v>1.0</v>
      </c>
      <c r="CU153" s="4">
        <v>1.0</v>
      </c>
      <c r="FL153" s="4">
        <v>1.0</v>
      </c>
      <c r="FM153" s="4"/>
      <c r="FN153" s="4"/>
      <c r="FO153" s="4">
        <v>1.0</v>
      </c>
      <c r="FR153" s="4">
        <v>1.0</v>
      </c>
    </row>
    <row r="154">
      <c r="A154" s="41">
        <v>43213.0</v>
      </c>
      <c r="B154" s="42" t="s">
        <v>219</v>
      </c>
      <c r="C154" s="42">
        <v>21.295799</v>
      </c>
      <c r="D154" s="42">
        <v>-158.103699</v>
      </c>
      <c r="E154" s="42" t="s">
        <v>274</v>
      </c>
      <c r="F154" s="43">
        <v>0.3333333333333333</v>
      </c>
      <c r="G154" s="43">
        <v>0.4583333333333333</v>
      </c>
      <c r="H154" s="42">
        <v>4.0</v>
      </c>
      <c r="I154" s="42">
        <v>10.0</v>
      </c>
      <c r="J154" s="42" t="s">
        <v>198</v>
      </c>
      <c r="K154" s="42">
        <v>10.0</v>
      </c>
      <c r="L154" s="42">
        <v>1.0</v>
      </c>
      <c r="M154" s="42" t="s">
        <v>522</v>
      </c>
      <c r="N154" s="44"/>
      <c r="O154" s="42"/>
      <c r="P154" s="44"/>
      <c r="Q154" s="42"/>
      <c r="R154" s="44"/>
      <c r="S154" s="44"/>
      <c r="T154" s="44"/>
      <c r="U154" s="44"/>
      <c r="V154" s="44"/>
      <c r="W154" s="44"/>
      <c r="X154" s="44"/>
      <c r="Y154" s="44"/>
      <c r="Z154" s="42"/>
      <c r="AA154" s="42"/>
      <c r="AB154" s="42"/>
      <c r="AC154" s="44"/>
      <c r="AD154" s="42"/>
      <c r="AE154" s="44"/>
      <c r="AF154" s="44"/>
      <c r="AG154" s="44"/>
      <c r="AH154" s="42"/>
      <c r="AI154" s="44"/>
      <c r="AJ154" s="44"/>
      <c r="AK154" s="44"/>
      <c r="AL154" s="44"/>
      <c r="AM154" s="44"/>
      <c r="AN154" s="44"/>
      <c r="AO154" s="44"/>
      <c r="AP154" s="44"/>
      <c r="AQ154" s="44"/>
      <c r="AR154" s="44"/>
      <c r="AS154" s="44"/>
      <c r="AT154" s="44"/>
      <c r="AU154" s="44"/>
      <c r="AV154" s="44"/>
      <c r="AW154" s="44"/>
      <c r="AX154" s="44"/>
      <c r="AY154" s="44"/>
      <c r="AZ154" s="44"/>
      <c r="BA154" s="44"/>
      <c r="BB154" s="44"/>
      <c r="BC154" s="44"/>
      <c r="BD154" s="42"/>
      <c r="BE154" s="44"/>
      <c r="BF154" s="44"/>
      <c r="BG154" s="44"/>
      <c r="BH154" s="44"/>
      <c r="BI154" s="44"/>
      <c r="BJ154" s="44"/>
      <c r="BK154" s="44"/>
      <c r="BL154" s="44"/>
      <c r="BM154" s="44"/>
      <c r="BN154" s="44"/>
      <c r="BO154" s="44"/>
      <c r="BP154" s="44"/>
      <c r="BQ154" s="44"/>
      <c r="BR154" s="44"/>
      <c r="BS154" s="44"/>
      <c r="BT154" s="44"/>
      <c r="BU154" s="42"/>
      <c r="BV154" s="44"/>
      <c r="BW154" s="44"/>
      <c r="BX154" s="44"/>
      <c r="BY154" s="42"/>
      <c r="BZ154" s="44"/>
      <c r="CA154" s="44"/>
      <c r="CB154" s="44"/>
      <c r="CC154" s="44"/>
      <c r="CD154" s="44"/>
      <c r="CE154" s="44"/>
      <c r="CF154" s="44"/>
      <c r="CG154" s="44"/>
      <c r="CH154" s="44"/>
      <c r="CI154" s="44"/>
      <c r="CJ154" s="44"/>
      <c r="CK154" s="44"/>
      <c r="CL154" s="44"/>
      <c r="CM154" s="44"/>
      <c r="CN154" s="42"/>
      <c r="CO154" s="44"/>
      <c r="CP154" s="44"/>
      <c r="CQ154" s="44"/>
      <c r="CR154" s="42"/>
      <c r="CS154" s="44"/>
      <c r="CT154" s="44"/>
      <c r="CU154" s="44"/>
      <c r="CV154" s="44"/>
      <c r="CW154" s="44"/>
      <c r="CX154" s="44"/>
      <c r="CY154" s="44"/>
      <c r="CZ154" s="44"/>
      <c r="DA154" s="44"/>
      <c r="DB154" s="44"/>
      <c r="DC154" s="44"/>
      <c r="DD154" s="44"/>
      <c r="DE154" s="42"/>
      <c r="DF154" s="42"/>
      <c r="DG154" s="44"/>
      <c r="DH154" s="44"/>
      <c r="DI154" s="44"/>
      <c r="DJ154" s="44"/>
      <c r="DK154" s="44"/>
      <c r="DL154" s="42"/>
      <c r="DM154" s="44"/>
      <c r="DN154" s="42"/>
      <c r="DO154" s="44"/>
      <c r="DP154" s="44"/>
      <c r="DQ154" s="44"/>
      <c r="DR154" s="44"/>
      <c r="DS154" s="42"/>
      <c r="DT154" s="42"/>
      <c r="DU154" s="42"/>
      <c r="DV154" s="44"/>
      <c r="DW154" s="44"/>
      <c r="DX154" s="44"/>
      <c r="DY154" s="44"/>
      <c r="DZ154" s="44"/>
      <c r="EA154" s="44"/>
      <c r="EB154" s="42"/>
      <c r="EC154" s="44"/>
      <c r="ED154" s="44"/>
      <c r="EE154" s="44"/>
      <c r="EF154" s="42"/>
      <c r="EG154" s="42"/>
      <c r="EH154" s="42"/>
      <c r="EI154" s="42"/>
      <c r="EJ154" s="44"/>
      <c r="EK154" s="44"/>
      <c r="EL154" s="44"/>
      <c r="EM154" s="44"/>
      <c r="EN154" s="44"/>
      <c r="EO154" s="44"/>
      <c r="EP154" s="44"/>
      <c r="EQ154" s="44"/>
      <c r="ER154" s="44"/>
      <c r="ES154" s="42"/>
      <c r="ET154" s="42"/>
      <c r="EU154" s="42"/>
      <c r="EV154" s="42"/>
      <c r="EW154" s="44"/>
      <c r="EX154" s="44"/>
      <c r="EY154" s="44"/>
      <c r="EZ154" s="44"/>
      <c r="FA154" s="42"/>
      <c r="FB154" s="44"/>
      <c r="FC154" s="44"/>
      <c r="FD154" s="44"/>
      <c r="FE154" s="42"/>
      <c r="FF154" s="44"/>
      <c r="FG154" s="44"/>
      <c r="FH154" s="44"/>
      <c r="FI154" s="44"/>
      <c r="FJ154" s="44"/>
      <c r="FK154" s="44"/>
      <c r="FL154" s="44"/>
      <c r="FM154" s="44"/>
      <c r="FN154" s="44"/>
      <c r="FO154" s="44"/>
      <c r="FP154" s="44"/>
      <c r="FQ154" s="42"/>
      <c r="FR154" s="42">
        <v>1.0</v>
      </c>
      <c r="FS154" s="44"/>
      <c r="FT154" s="44"/>
      <c r="FU154" s="44"/>
      <c r="FV154" s="44"/>
      <c r="FW154" s="44"/>
      <c r="FX154" s="44"/>
      <c r="FY154" s="44"/>
      <c r="FZ154" s="44"/>
      <c r="GA154" s="44"/>
      <c r="GB154" s="44"/>
      <c r="GC154" s="44"/>
      <c r="GD154" s="44"/>
      <c r="GE154" s="44"/>
      <c r="GF154" s="42"/>
    </row>
    <row r="155">
      <c r="A155" s="23">
        <v>43214.0</v>
      </c>
      <c r="B155" s="4" t="s">
        <v>244</v>
      </c>
      <c r="C155" s="4">
        <v>21.310612</v>
      </c>
      <c r="D155" s="4">
        <v>-158.00441</v>
      </c>
      <c r="E155" s="4" t="s">
        <v>326</v>
      </c>
      <c r="F155" s="24">
        <v>0.375</v>
      </c>
      <c r="G155" s="24">
        <v>0.4444444444444444</v>
      </c>
      <c r="H155" s="4">
        <v>6.0</v>
      </c>
      <c r="I155" s="4">
        <v>8.0</v>
      </c>
      <c r="J155" s="4" t="s">
        <v>217</v>
      </c>
      <c r="K155" s="4">
        <v>4.0</v>
      </c>
      <c r="L155" s="4">
        <v>20.0</v>
      </c>
      <c r="M155" s="4" t="s">
        <v>421</v>
      </c>
      <c r="Q155" s="4">
        <v>1.0</v>
      </c>
      <c r="Z155" s="4"/>
      <c r="AA155" s="4">
        <v>1.0</v>
      </c>
      <c r="AB155" s="4">
        <v>1.0</v>
      </c>
      <c r="AD155" s="4">
        <v>1.0</v>
      </c>
      <c r="AH155" s="4">
        <v>1.0</v>
      </c>
      <c r="BD155" s="4">
        <v>1.0</v>
      </c>
      <c r="BU155" s="4">
        <v>1.0</v>
      </c>
      <c r="BY155" s="4">
        <v>1.0</v>
      </c>
      <c r="CN155" s="4">
        <v>1.0</v>
      </c>
      <c r="CR155" s="4">
        <v>1.0</v>
      </c>
      <c r="DE155" s="4"/>
      <c r="DF155" s="4">
        <v>1.0</v>
      </c>
      <c r="DL155" s="4">
        <v>1.0</v>
      </c>
      <c r="DN155" s="4">
        <v>1.0</v>
      </c>
      <c r="DT155" s="4"/>
      <c r="DU155" s="4">
        <v>1.0</v>
      </c>
      <c r="EB155" s="4">
        <v>1.0</v>
      </c>
      <c r="EF155" s="4"/>
      <c r="EG155" s="4">
        <v>1.0</v>
      </c>
      <c r="EH155" s="4"/>
      <c r="EI155" s="4">
        <v>1.0</v>
      </c>
      <c r="ES155" s="4"/>
      <c r="ET155" s="4"/>
      <c r="EU155" s="4">
        <v>1.0</v>
      </c>
      <c r="EV155" s="4">
        <v>1.0</v>
      </c>
      <c r="FA155" s="4">
        <v>1.0</v>
      </c>
      <c r="FC155" s="4"/>
      <c r="FE155" s="4">
        <v>1.0</v>
      </c>
      <c r="FQ155" s="4">
        <v>1.0</v>
      </c>
      <c r="FR155" s="4">
        <v>1.0</v>
      </c>
      <c r="GF155" s="4">
        <v>1.0</v>
      </c>
    </row>
    <row r="156">
      <c r="A156" s="37">
        <v>43214.0</v>
      </c>
      <c r="B156" s="38" t="s">
        <v>201</v>
      </c>
      <c r="C156" s="38">
        <v>21.25544</v>
      </c>
      <c r="D156" s="38">
        <v>-157.810303</v>
      </c>
      <c r="E156" s="38" t="s">
        <v>422</v>
      </c>
      <c r="F156" s="39">
        <v>0.3854166666666667</v>
      </c>
      <c r="G156" s="39">
        <v>0.4097222222222222</v>
      </c>
      <c r="H156" s="38">
        <v>7.0</v>
      </c>
      <c r="I156" s="38">
        <v>12.0</v>
      </c>
      <c r="J156" s="38" t="s">
        <v>198</v>
      </c>
      <c r="K156" s="38">
        <v>5.0</v>
      </c>
      <c r="L156" s="38">
        <v>25.0</v>
      </c>
      <c r="M156" s="38" t="s">
        <v>523</v>
      </c>
      <c r="N156" s="38"/>
      <c r="O156" s="38">
        <v>1.0</v>
      </c>
      <c r="P156" s="40"/>
      <c r="Q156" s="40"/>
      <c r="R156" s="40"/>
      <c r="S156" s="40"/>
      <c r="T156" s="40"/>
      <c r="U156" s="40"/>
      <c r="V156" s="40"/>
      <c r="W156" s="40"/>
      <c r="X156" s="40"/>
      <c r="Y156" s="40"/>
      <c r="Z156" s="40"/>
      <c r="AA156" s="40"/>
      <c r="AB156" s="40"/>
      <c r="AC156" s="40"/>
      <c r="AD156" s="38">
        <v>1.0</v>
      </c>
      <c r="AE156" s="40"/>
      <c r="AF156" s="40"/>
      <c r="AG156" s="40"/>
      <c r="AH156" s="38">
        <v>1.0</v>
      </c>
      <c r="AI156" s="40"/>
      <c r="AJ156" s="40"/>
      <c r="AK156" s="40"/>
      <c r="AL156" s="40"/>
      <c r="AM156" s="40"/>
      <c r="AN156" s="40"/>
      <c r="AO156" s="40"/>
      <c r="AP156" s="40"/>
      <c r="AQ156" s="40"/>
      <c r="AR156" s="40"/>
      <c r="AS156" s="40"/>
      <c r="AT156" s="40"/>
      <c r="AU156" s="38">
        <v>1.0</v>
      </c>
      <c r="AV156" s="40"/>
      <c r="AW156" s="40"/>
      <c r="AX156" s="40"/>
      <c r="AY156" s="40"/>
      <c r="AZ156" s="38"/>
      <c r="BA156" s="38">
        <v>1.0</v>
      </c>
      <c r="BB156" s="40"/>
      <c r="BC156" s="40"/>
      <c r="BD156" s="38">
        <v>1.0</v>
      </c>
      <c r="BE156" s="38">
        <v>1.0</v>
      </c>
      <c r="BF156" s="40"/>
      <c r="BG156" s="40"/>
      <c r="BH156" s="40"/>
      <c r="BI156" s="40"/>
      <c r="BJ156" s="40"/>
      <c r="BK156" s="40"/>
      <c r="BL156" s="38">
        <v>1.0</v>
      </c>
      <c r="BM156" s="40"/>
      <c r="BN156" s="40"/>
      <c r="BO156" s="40"/>
      <c r="BP156" s="38">
        <v>1.0</v>
      </c>
      <c r="BQ156" s="40"/>
      <c r="BR156" s="40"/>
      <c r="BS156" s="40"/>
      <c r="BT156" s="40"/>
      <c r="BU156" s="38">
        <v>1.0</v>
      </c>
      <c r="BV156" s="40"/>
      <c r="BW156" s="40"/>
      <c r="BX156" s="40"/>
      <c r="BY156" s="38">
        <v>1.0</v>
      </c>
      <c r="BZ156" s="40"/>
      <c r="CA156" s="40"/>
      <c r="CB156" s="40"/>
      <c r="CC156" s="40"/>
      <c r="CD156" s="38">
        <v>1.0</v>
      </c>
      <c r="CE156" s="40"/>
      <c r="CF156" s="40"/>
      <c r="CG156" s="40"/>
      <c r="CH156" s="40"/>
      <c r="CI156" s="40"/>
      <c r="CJ156" s="40"/>
      <c r="CK156" s="40"/>
      <c r="CL156" s="40"/>
      <c r="CM156" s="40"/>
      <c r="CN156" s="40"/>
      <c r="CO156" s="40"/>
      <c r="CP156" s="40"/>
      <c r="CQ156" s="40"/>
      <c r="CR156" s="40"/>
      <c r="CS156" s="40"/>
      <c r="CT156" s="40"/>
      <c r="CU156" s="40"/>
      <c r="CV156" s="40"/>
      <c r="CW156" s="40"/>
      <c r="CX156" s="40"/>
      <c r="CY156" s="40"/>
      <c r="CZ156" s="40"/>
      <c r="DA156" s="40"/>
      <c r="DB156" s="40"/>
      <c r="DC156" s="40"/>
      <c r="DD156" s="40"/>
      <c r="DE156" s="40"/>
      <c r="DF156" s="40"/>
      <c r="DG156" s="40"/>
      <c r="DH156" s="40"/>
      <c r="DI156" s="40"/>
      <c r="DJ156" s="40"/>
      <c r="DK156" s="40"/>
      <c r="DL156" s="38">
        <v>1.0</v>
      </c>
      <c r="DM156" s="40"/>
      <c r="DN156" s="40"/>
      <c r="DO156" s="40"/>
      <c r="DP156" s="40"/>
      <c r="DQ156" s="38"/>
      <c r="DR156" s="38">
        <v>1.0</v>
      </c>
      <c r="DS156" s="40"/>
      <c r="DT156" s="40"/>
      <c r="DU156" s="40"/>
      <c r="DV156" s="40"/>
      <c r="DW156" s="40"/>
      <c r="DX156" s="40"/>
      <c r="DY156" s="40"/>
      <c r="DZ156" s="40"/>
      <c r="EA156" s="40"/>
      <c r="EB156" s="40"/>
      <c r="EC156" s="40"/>
      <c r="ED156" s="40"/>
      <c r="EE156" s="40"/>
      <c r="EF156" s="40"/>
      <c r="EG156" s="40"/>
      <c r="EH156" s="40"/>
      <c r="EI156" s="38">
        <v>1.0</v>
      </c>
      <c r="EJ156" s="40"/>
      <c r="EK156" s="40"/>
      <c r="EL156" s="40"/>
      <c r="EM156" s="40"/>
      <c r="EN156" s="40"/>
      <c r="EO156" s="40"/>
      <c r="EP156" s="40"/>
      <c r="EQ156" s="40"/>
      <c r="ER156" s="40"/>
      <c r="ES156" s="40"/>
      <c r="ET156" s="40"/>
      <c r="EU156" s="40"/>
      <c r="EV156" s="40"/>
      <c r="EW156" s="40"/>
      <c r="EX156" s="40"/>
      <c r="EY156" s="40"/>
      <c r="EZ156" s="40"/>
      <c r="FA156" s="38">
        <v>1.0</v>
      </c>
      <c r="FB156" s="40"/>
      <c r="FC156" s="40"/>
      <c r="FD156" s="40"/>
      <c r="FE156" s="38">
        <v>1.0</v>
      </c>
      <c r="FF156" s="40"/>
      <c r="FG156" s="40"/>
      <c r="FH156" s="40"/>
      <c r="FI156" s="40"/>
      <c r="FJ156" s="40"/>
      <c r="FK156" s="40"/>
      <c r="FL156" s="40"/>
      <c r="FM156" s="40"/>
      <c r="FN156" s="40"/>
      <c r="FO156" s="40"/>
      <c r="FP156" s="40"/>
      <c r="FQ156" s="38">
        <v>1.0</v>
      </c>
      <c r="FR156" s="38">
        <v>1.0</v>
      </c>
      <c r="FS156" s="40"/>
      <c r="FT156" s="40"/>
      <c r="FU156" s="38"/>
      <c r="FV156" s="38">
        <v>1.0</v>
      </c>
      <c r="FW156" s="40"/>
      <c r="FX156" s="40"/>
      <c r="FY156" s="40"/>
      <c r="FZ156" s="40"/>
      <c r="GA156" s="38"/>
      <c r="GB156" s="38">
        <v>1.0</v>
      </c>
      <c r="GC156" s="40"/>
      <c r="GD156" s="40"/>
      <c r="GE156" s="40"/>
      <c r="GF156" s="38">
        <v>1.0</v>
      </c>
    </row>
    <row r="157">
      <c r="A157" s="23">
        <v>43215.0</v>
      </c>
      <c r="B157" s="4" t="s">
        <v>340</v>
      </c>
      <c r="C157" s="4">
        <v>19.643276</v>
      </c>
      <c r="D157" s="4">
        <v>-156.010193</v>
      </c>
      <c r="E157" s="4" t="s">
        <v>381</v>
      </c>
      <c r="F157" s="24">
        <v>0.3159722222222222</v>
      </c>
      <c r="G157" s="24">
        <v>0.34375</v>
      </c>
      <c r="H157" s="4">
        <v>5.0</v>
      </c>
      <c r="I157" s="4">
        <v>21.0</v>
      </c>
      <c r="J157" s="4" t="s">
        <v>198</v>
      </c>
      <c r="K157" s="4">
        <v>11.0</v>
      </c>
      <c r="L157" s="4">
        <v>50.0</v>
      </c>
      <c r="M157" s="4" t="s">
        <v>425</v>
      </c>
      <c r="R157" s="4">
        <v>1.0</v>
      </c>
      <c r="AI157" s="4"/>
      <c r="AJ157" s="4"/>
      <c r="AK157" s="4"/>
      <c r="AL157" s="4">
        <v>1.0</v>
      </c>
      <c r="BL157" s="4">
        <v>1.0</v>
      </c>
      <c r="CB157" s="4">
        <v>1.0</v>
      </c>
      <c r="CC157" s="4">
        <v>1.0</v>
      </c>
      <c r="EA157" s="4">
        <v>1.0</v>
      </c>
      <c r="FC157" s="4"/>
      <c r="FE157" s="4">
        <v>1.0</v>
      </c>
      <c r="FL157" s="4">
        <v>1.0</v>
      </c>
      <c r="FQ157" s="4">
        <v>1.0</v>
      </c>
      <c r="FR157" s="4">
        <v>1.0</v>
      </c>
      <c r="FS157" s="4">
        <v>1.0</v>
      </c>
    </row>
    <row r="158">
      <c r="A158" s="23">
        <v>43216.0</v>
      </c>
      <c r="B158" s="4" t="s">
        <v>329</v>
      </c>
      <c r="C158" s="4">
        <v>21.1408</v>
      </c>
      <c r="D158" s="4">
        <v>-157.290115</v>
      </c>
      <c r="E158" s="4" t="s">
        <v>330</v>
      </c>
      <c r="F158" s="24">
        <v>0.3958333333333333</v>
      </c>
      <c r="G158" s="24">
        <v>0.4236111111111111</v>
      </c>
      <c r="H158" s="4">
        <v>5.0</v>
      </c>
      <c r="I158" s="4">
        <v>9.5</v>
      </c>
      <c r="J158" s="4" t="s">
        <v>318</v>
      </c>
      <c r="K158" s="4">
        <v>5.0</v>
      </c>
      <c r="L158" s="4">
        <v>23.0</v>
      </c>
      <c r="M158" s="4" t="s">
        <v>426</v>
      </c>
      <c r="R158" s="4">
        <v>1.0</v>
      </c>
      <c r="BD158" s="4">
        <v>1.0</v>
      </c>
      <c r="BY158" s="4">
        <v>1.0</v>
      </c>
      <c r="CR158" s="4">
        <v>1.0</v>
      </c>
      <c r="DL158" s="4">
        <v>1.0</v>
      </c>
      <c r="DN158" s="4">
        <v>1.0</v>
      </c>
      <c r="EH158" s="4"/>
      <c r="EI158" s="4">
        <v>1.0</v>
      </c>
      <c r="FD158" s="4">
        <v>1.0</v>
      </c>
      <c r="FP158" s="4">
        <v>1.0</v>
      </c>
      <c r="FR158" s="4">
        <v>1.0</v>
      </c>
    </row>
    <row r="159">
      <c r="A159" s="41">
        <v>43217.0</v>
      </c>
      <c r="B159" s="42" t="s">
        <v>377</v>
      </c>
      <c r="C159" s="42">
        <v>20.705</v>
      </c>
      <c r="D159" s="42">
        <v>-156.446945</v>
      </c>
      <c r="E159" s="42" t="s">
        <v>378</v>
      </c>
      <c r="F159" s="43">
        <v>0.4284722222222222</v>
      </c>
      <c r="G159" s="43">
        <v>0.4736111111111111</v>
      </c>
      <c r="H159" s="42">
        <v>7.0</v>
      </c>
      <c r="I159" s="42">
        <v>16.0</v>
      </c>
      <c r="J159" s="42" t="s">
        <v>198</v>
      </c>
      <c r="K159" s="42">
        <v>7.0</v>
      </c>
      <c r="L159" s="42">
        <v>17.0</v>
      </c>
      <c r="M159" s="42" t="s">
        <v>524</v>
      </c>
      <c r="N159" s="44"/>
      <c r="O159" s="42"/>
      <c r="P159" s="44"/>
      <c r="Q159" s="44"/>
      <c r="R159" s="42"/>
      <c r="S159" s="44"/>
      <c r="T159" s="44"/>
      <c r="U159" s="44"/>
      <c r="V159" s="44"/>
      <c r="W159" s="44"/>
      <c r="X159" s="44"/>
      <c r="Y159" s="44"/>
      <c r="Z159" s="44"/>
      <c r="AA159" s="44"/>
      <c r="AB159" s="44"/>
      <c r="AC159" s="44"/>
      <c r="AD159" s="44"/>
      <c r="AE159" s="44"/>
      <c r="AF159" s="44"/>
      <c r="AG159" s="44"/>
      <c r="AH159" s="44"/>
      <c r="AI159" s="44"/>
      <c r="AJ159" s="44"/>
      <c r="AK159" s="44"/>
      <c r="AL159" s="44"/>
      <c r="AM159" s="44"/>
      <c r="AN159" s="44"/>
      <c r="AO159" s="44"/>
      <c r="AP159" s="44"/>
      <c r="AQ159" s="44"/>
      <c r="AR159" s="44"/>
      <c r="AS159" s="44"/>
      <c r="AT159" s="44"/>
      <c r="AU159" s="44"/>
      <c r="AV159" s="44"/>
      <c r="AW159" s="44"/>
      <c r="AX159" s="44"/>
      <c r="AY159" s="42">
        <v>1.0</v>
      </c>
      <c r="AZ159" s="42"/>
      <c r="BA159" s="42"/>
      <c r="BB159" s="44"/>
      <c r="BC159" s="44"/>
      <c r="BD159" s="44"/>
      <c r="BE159" s="44"/>
      <c r="BF159" s="44"/>
      <c r="BG159" s="44"/>
      <c r="BH159" s="44"/>
      <c r="BI159" s="44"/>
      <c r="BJ159" s="44"/>
      <c r="BK159" s="44"/>
      <c r="BL159" s="44"/>
      <c r="BM159" s="42"/>
      <c r="BN159" s="44"/>
      <c r="BO159" s="44"/>
      <c r="BP159" s="42"/>
      <c r="BQ159" s="44"/>
      <c r="BR159" s="44"/>
      <c r="BS159" s="44"/>
      <c r="BT159" s="44"/>
      <c r="BU159" s="44"/>
      <c r="BV159" s="44"/>
      <c r="BW159" s="44"/>
      <c r="BX159" s="44"/>
      <c r="BY159" s="42"/>
      <c r="BZ159" s="44"/>
      <c r="CA159" s="44"/>
      <c r="CB159" s="44"/>
      <c r="CC159" s="44"/>
      <c r="CD159" s="42">
        <v>1.0</v>
      </c>
      <c r="CE159" s="44"/>
      <c r="CF159" s="44"/>
      <c r="CG159" s="44"/>
      <c r="CH159" s="44"/>
      <c r="CI159" s="42">
        <v>1.0</v>
      </c>
      <c r="CJ159" s="44"/>
      <c r="CK159" s="44"/>
      <c r="CL159" s="44"/>
      <c r="CM159" s="44"/>
      <c r="CN159" s="44"/>
      <c r="CO159" s="44"/>
      <c r="CP159" s="44"/>
      <c r="CQ159" s="44"/>
      <c r="CR159" s="44"/>
      <c r="CS159" s="44"/>
      <c r="CT159" s="44"/>
      <c r="CU159" s="44"/>
      <c r="CV159" s="44"/>
      <c r="CW159" s="44"/>
      <c r="CX159" s="44"/>
      <c r="CY159" s="44"/>
      <c r="CZ159" s="44"/>
      <c r="DA159" s="44"/>
      <c r="DB159" s="44"/>
      <c r="DC159" s="44"/>
      <c r="DD159" s="44"/>
      <c r="DE159" s="42"/>
      <c r="DF159" s="42"/>
      <c r="DG159" s="44"/>
      <c r="DH159" s="44"/>
      <c r="DI159" s="44"/>
      <c r="DJ159" s="44"/>
      <c r="DK159" s="44"/>
      <c r="DL159" s="42"/>
      <c r="DM159" s="44"/>
      <c r="DN159" s="44"/>
      <c r="DO159" s="42"/>
      <c r="DP159" s="44"/>
      <c r="DQ159" s="44"/>
      <c r="DR159" s="44"/>
      <c r="DS159" s="42"/>
      <c r="DT159" s="42"/>
      <c r="DU159" s="42"/>
      <c r="DV159" s="44"/>
      <c r="DW159" s="44"/>
      <c r="DX159" s="44"/>
      <c r="DY159" s="44"/>
      <c r="DZ159" s="44"/>
      <c r="EA159" s="44"/>
      <c r="EB159" s="44"/>
      <c r="EC159" s="44"/>
      <c r="ED159" s="42"/>
      <c r="EE159" s="42"/>
      <c r="EF159" s="44"/>
      <c r="EG159" s="44"/>
      <c r="EH159" s="44"/>
      <c r="EI159" s="42"/>
      <c r="EJ159" s="44"/>
      <c r="EK159" s="44"/>
      <c r="EL159" s="44"/>
      <c r="EM159" s="44"/>
      <c r="EN159" s="44"/>
      <c r="EO159" s="44"/>
      <c r="EP159" s="44"/>
      <c r="EQ159" s="44"/>
      <c r="ER159" s="44"/>
      <c r="ES159" s="44"/>
      <c r="ET159" s="44"/>
      <c r="EU159" s="42">
        <v>1.0</v>
      </c>
      <c r="EV159" s="42">
        <v>1.0</v>
      </c>
      <c r="EW159" s="42">
        <v>1.0</v>
      </c>
      <c r="EX159" s="42"/>
      <c r="EY159" s="42"/>
      <c r="EZ159" s="44"/>
      <c r="FA159" s="42"/>
      <c r="FB159" s="44"/>
      <c r="FC159" s="44"/>
      <c r="FD159" s="44"/>
      <c r="FE159" s="44"/>
      <c r="FF159" s="44"/>
      <c r="FG159" s="44"/>
      <c r="FH159" s="44"/>
      <c r="FI159" s="44"/>
      <c r="FJ159" s="44"/>
      <c r="FK159" s="44"/>
      <c r="FL159" s="44"/>
      <c r="FM159" s="44"/>
      <c r="FN159" s="44"/>
      <c r="FO159" s="44"/>
      <c r="FP159" s="44"/>
      <c r="FQ159" s="42"/>
      <c r="FR159" s="42">
        <v>1.0</v>
      </c>
      <c r="FS159" s="44"/>
      <c r="FT159" s="44"/>
      <c r="FU159" s="44"/>
      <c r="FV159" s="44"/>
      <c r="FW159" s="44"/>
      <c r="FX159" s="44"/>
      <c r="FY159" s="44"/>
      <c r="FZ159" s="44"/>
      <c r="GA159" s="44"/>
      <c r="GB159" s="44"/>
      <c r="GC159" s="44"/>
      <c r="GD159" s="44"/>
      <c r="GE159" s="44"/>
      <c r="GF159" s="44"/>
    </row>
    <row r="160">
      <c r="A160" s="41">
        <v>43219.0</v>
      </c>
      <c r="B160" s="42" t="s">
        <v>374</v>
      </c>
      <c r="C160" s="42">
        <v>20.738001</v>
      </c>
      <c r="D160" s="42">
        <v>-156.895004</v>
      </c>
      <c r="E160" s="42" t="s">
        <v>375</v>
      </c>
      <c r="F160" s="43">
        <v>0.35625</v>
      </c>
      <c r="G160" s="43">
        <v>0.4479166666666667</v>
      </c>
      <c r="H160" s="42">
        <v>5.0</v>
      </c>
      <c r="I160" s="42">
        <v>20.0</v>
      </c>
      <c r="J160" s="42" t="s">
        <v>460</v>
      </c>
      <c r="K160" s="42">
        <v>5.0</v>
      </c>
      <c r="L160" s="42">
        <v>19.0</v>
      </c>
      <c r="M160" s="42" t="s">
        <v>525</v>
      </c>
      <c r="N160" s="44"/>
      <c r="O160" s="42"/>
      <c r="P160" s="44"/>
      <c r="Q160" s="44"/>
      <c r="R160" s="42"/>
      <c r="S160" s="44"/>
      <c r="T160" s="44"/>
      <c r="U160" s="44"/>
      <c r="V160" s="44"/>
      <c r="W160" s="44"/>
      <c r="X160" s="44"/>
      <c r="Y160" s="44"/>
      <c r="Z160" s="44"/>
      <c r="AA160" s="44"/>
      <c r="AB160" s="44"/>
      <c r="AC160" s="44"/>
      <c r="AD160" s="42">
        <v>1.0</v>
      </c>
      <c r="AE160" s="44"/>
      <c r="AF160" s="44"/>
      <c r="AG160" s="44"/>
      <c r="AH160" s="44"/>
      <c r="AI160" s="44"/>
      <c r="AJ160" s="44"/>
      <c r="AK160" s="44"/>
      <c r="AL160" s="44"/>
      <c r="AM160" s="42">
        <v>1.0</v>
      </c>
      <c r="AN160" s="44"/>
      <c r="AO160" s="44"/>
      <c r="AP160" s="44"/>
      <c r="AQ160" s="44"/>
      <c r="AR160" s="44"/>
      <c r="AS160" s="44"/>
      <c r="AT160" s="44"/>
      <c r="AU160" s="44"/>
      <c r="AV160" s="44"/>
      <c r="AW160" s="44"/>
      <c r="AX160" s="44"/>
      <c r="AY160" s="44"/>
      <c r="AZ160" s="42"/>
      <c r="BA160" s="42">
        <v>1.0</v>
      </c>
      <c r="BB160" s="44"/>
      <c r="BC160" s="44"/>
      <c r="BD160" s="44"/>
      <c r="BE160" s="44"/>
      <c r="BF160" s="44"/>
      <c r="BG160" s="44"/>
      <c r="BH160" s="44"/>
      <c r="BI160" s="44"/>
      <c r="BJ160" s="44"/>
      <c r="BK160" s="44"/>
      <c r="BL160" s="42">
        <v>1.0</v>
      </c>
      <c r="BM160" s="42"/>
      <c r="BN160" s="44"/>
      <c r="BO160" s="44"/>
      <c r="BP160" s="42"/>
      <c r="BQ160" s="44"/>
      <c r="BR160" s="44"/>
      <c r="BS160" s="44"/>
      <c r="BT160" s="44"/>
      <c r="BU160" s="44"/>
      <c r="BV160" s="44"/>
      <c r="BW160" s="44"/>
      <c r="BX160" s="44"/>
      <c r="BY160" s="42"/>
      <c r="BZ160" s="44"/>
      <c r="CA160" s="44"/>
      <c r="CB160" s="44"/>
      <c r="CC160" s="44"/>
      <c r="CD160" s="44"/>
      <c r="CE160" s="44"/>
      <c r="CF160" s="44"/>
      <c r="CG160" s="44"/>
      <c r="CH160" s="44"/>
      <c r="CI160" s="44"/>
      <c r="CJ160" s="44"/>
      <c r="CK160" s="44"/>
      <c r="CL160" s="44"/>
      <c r="CM160" s="44"/>
      <c r="CN160" s="44"/>
      <c r="CO160" s="44"/>
      <c r="CP160" s="44"/>
      <c r="CQ160" s="44"/>
      <c r="CR160" s="44"/>
      <c r="CS160" s="44"/>
      <c r="CT160" s="44"/>
      <c r="CU160" s="44"/>
      <c r="CV160" s="44"/>
      <c r="CW160" s="44"/>
      <c r="CX160" s="44"/>
      <c r="CY160" s="44"/>
      <c r="CZ160" s="44"/>
      <c r="DA160" s="44"/>
      <c r="DB160" s="44"/>
      <c r="DC160" s="44"/>
      <c r="DD160" s="44"/>
      <c r="DE160" s="42"/>
      <c r="DF160" s="42"/>
      <c r="DG160" s="44"/>
      <c r="DH160" s="44"/>
      <c r="DI160" s="44"/>
      <c r="DJ160" s="44"/>
      <c r="DK160" s="44"/>
      <c r="DL160" s="42"/>
      <c r="DM160" s="44"/>
      <c r="DN160" s="44"/>
      <c r="DO160" s="42">
        <v>1.0</v>
      </c>
      <c r="DP160" s="44"/>
      <c r="DQ160" s="44"/>
      <c r="DR160" s="44"/>
      <c r="DS160" s="42"/>
      <c r="DT160" s="42"/>
      <c r="DU160" s="42"/>
      <c r="DV160" s="44"/>
      <c r="DW160" s="44"/>
      <c r="DX160" s="44"/>
      <c r="DY160" s="44"/>
      <c r="DZ160" s="44"/>
      <c r="EA160" s="44"/>
      <c r="EB160" s="44"/>
      <c r="EC160" s="44"/>
      <c r="ED160" s="42"/>
      <c r="EE160" s="42"/>
      <c r="EF160" s="44"/>
      <c r="EG160" s="44"/>
      <c r="EH160" s="44"/>
      <c r="EI160" s="42">
        <v>1.0</v>
      </c>
      <c r="EJ160" s="44"/>
      <c r="EK160" s="44"/>
      <c r="EL160" s="44"/>
      <c r="EM160" s="44"/>
      <c r="EN160" s="44"/>
      <c r="EO160" s="44"/>
      <c r="EP160" s="44"/>
      <c r="EQ160" s="44"/>
      <c r="ER160" s="44"/>
      <c r="ES160" s="44"/>
      <c r="ET160" s="44"/>
      <c r="EU160" s="44"/>
      <c r="EV160" s="44"/>
      <c r="EW160" s="44"/>
      <c r="EX160" s="42"/>
      <c r="EY160" s="42"/>
      <c r="EZ160" s="44"/>
      <c r="FA160" s="42"/>
      <c r="FB160" s="44"/>
      <c r="FC160" s="44"/>
      <c r="FD160" s="44"/>
      <c r="FE160" s="44"/>
      <c r="FF160" s="44"/>
      <c r="FG160" s="44"/>
      <c r="FH160" s="44"/>
      <c r="FI160" s="44"/>
      <c r="FJ160" s="44"/>
      <c r="FK160" s="44"/>
      <c r="FL160" s="44"/>
      <c r="FM160" s="44"/>
      <c r="FN160" s="44"/>
      <c r="FO160" s="44"/>
      <c r="FP160" s="44"/>
      <c r="FQ160" s="42"/>
      <c r="FR160" s="42">
        <v>1.0</v>
      </c>
      <c r="FS160" s="44"/>
      <c r="FT160" s="44"/>
      <c r="FU160" s="44"/>
      <c r="FV160" s="44"/>
      <c r="FW160" s="44"/>
      <c r="FX160" s="44"/>
      <c r="FY160" s="44"/>
      <c r="FZ160" s="44"/>
      <c r="GA160" s="44"/>
      <c r="GB160" s="44"/>
      <c r="GC160" s="44"/>
      <c r="GD160" s="44"/>
      <c r="GE160" s="44"/>
      <c r="GF160" s="44"/>
    </row>
    <row r="161">
      <c r="A161" s="41">
        <v>43221.0</v>
      </c>
      <c r="B161" s="42" t="s">
        <v>456</v>
      </c>
      <c r="C161" s="42">
        <v>21.316488</v>
      </c>
      <c r="D161" s="42">
        <v>-157.664261</v>
      </c>
      <c r="E161" s="42" t="s">
        <v>385</v>
      </c>
      <c r="F161" s="43">
        <v>0.3854166666666667</v>
      </c>
      <c r="G161" s="43">
        <v>0.4409722222222222</v>
      </c>
      <c r="H161" s="42">
        <v>6.0</v>
      </c>
      <c r="I161" s="42">
        <v>57.0</v>
      </c>
      <c r="J161" s="42" t="s">
        <v>227</v>
      </c>
      <c r="K161" s="42">
        <v>5.0</v>
      </c>
      <c r="L161" s="42">
        <v>18.0</v>
      </c>
      <c r="M161" s="42" t="s">
        <v>526</v>
      </c>
      <c r="N161" s="44"/>
      <c r="O161" s="42"/>
      <c r="P161" s="44"/>
      <c r="Q161" s="44"/>
      <c r="R161" s="42"/>
      <c r="S161" s="44"/>
      <c r="T161" s="44"/>
      <c r="U161" s="44"/>
      <c r="V161" s="44"/>
      <c r="W161" s="44"/>
      <c r="X161" s="44"/>
      <c r="Y161" s="44"/>
      <c r="Z161" s="44"/>
      <c r="AA161" s="42">
        <v>1.0</v>
      </c>
      <c r="AB161" s="44"/>
      <c r="AC161" s="44"/>
      <c r="AD161" s="44"/>
      <c r="AE161" s="44"/>
      <c r="AF161" s="44"/>
      <c r="AG161" s="44"/>
      <c r="AH161" s="44"/>
      <c r="AI161" s="44"/>
      <c r="AJ161" s="44"/>
      <c r="AK161" s="44"/>
      <c r="AL161" s="44"/>
      <c r="AM161" s="44"/>
      <c r="AN161" s="44"/>
      <c r="AO161" s="44"/>
      <c r="AP161" s="44"/>
      <c r="AQ161" s="44"/>
      <c r="AR161" s="44"/>
      <c r="AS161" s="44"/>
      <c r="AT161" s="44"/>
      <c r="AU161" s="44"/>
      <c r="AV161" s="44"/>
      <c r="AW161" s="44"/>
      <c r="AX161" s="44"/>
      <c r="AY161" s="44"/>
      <c r="AZ161" s="42"/>
      <c r="BA161" s="42"/>
      <c r="BB161" s="44"/>
      <c r="BC161" s="44"/>
      <c r="BD161" s="44"/>
      <c r="BE161" s="44"/>
      <c r="BF161" s="44"/>
      <c r="BG161" s="44"/>
      <c r="BH161" s="44"/>
      <c r="BI161" s="44"/>
      <c r="BJ161" s="44"/>
      <c r="BK161" s="44"/>
      <c r="BL161" s="42">
        <v>1.0</v>
      </c>
      <c r="BM161" s="42"/>
      <c r="BN161" s="44"/>
      <c r="BO161" s="44"/>
      <c r="BP161" s="42"/>
      <c r="BQ161" s="44"/>
      <c r="BR161" s="44"/>
      <c r="BS161" s="44"/>
      <c r="BT161" s="44"/>
      <c r="BU161" s="44"/>
      <c r="BV161" s="44"/>
      <c r="BW161" s="44"/>
      <c r="BX161" s="44"/>
      <c r="BY161" s="42"/>
      <c r="BZ161" s="44"/>
      <c r="CA161" s="44"/>
      <c r="CB161" s="42">
        <v>1.0</v>
      </c>
      <c r="CC161" s="44"/>
      <c r="CD161" s="44"/>
      <c r="CE161" s="44"/>
      <c r="CF161" s="44"/>
      <c r="CG161" s="42">
        <v>1.0</v>
      </c>
      <c r="CH161" s="44"/>
      <c r="CI161" s="44"/>
      <c r="CJ161" s="44"/>
      <c r="CK161" s="44"/>
      <c r="CL161" s="44"/>
      <c r="CM161" s="44"/>
      <c r="CN161" s="44"/>
      <c r="CO161" s="44"/>
      <c r="CP161" s="44"/>
      <c r="CQ161" s="44"/>
      <c r="CR161" s="44"/>
      <c r="CS161" s="44"/>
      <c r="CT161" s="44"/>
      <c r="CU161" s="44"/>
      <c r="CV161" s="44"/>
      <c r="CW161" s="44"/>
      <c r="CX161" s="44"/>
      <c r="CY161" s="44"/>
      <c r="CZ161" s="44"/>
      <c r="DA161" s="44"/>
      <c r="DB161" s="44"/>
      <c r="DC161" s="44"/>
      <c r="DD161" s="44"/>
      <c r="DE161" s="42"/>
      <c r="DF161" s="42"/>
      <c r="DG161" s="44"/>
      <c r="DH161" s="44"/>
      <c r="DI161" s="44"/>
      <c r="DJ161" s="44"/>
      <c r="DK161" s="44"/>
      <c r="DL161" s="42"/>
      <c r="DM161" s="44"/>
      <c r="DN161" s="44"/>
      <c r="DO161" s="42"/>
      <c r="DP161" s="44"/>
      <c r="DQ161" s="44"/>
      <c r="DR161" s="44"/>
      <c r="DS161" s="42"/>
      <c r="DT161" s="42"/>
      <c r="DU161" s="42"/>
      <c r="DV161" s="44"/>
      <c r="DW161" s="44"/>
      <c r="DX161" s="44"/>
      <c r="DY161" s="44"/>
      <c r="DZ161" s="44"/>
      <c r="EA161" s="44"/>
      <c r="EB161" s="44"/>
      <c r="EC161" s="44"/>
      <c r="ED161" s="42"/>
      <c r="EE161" s="42"/>
      <c r="EF161" s="44"/>
      <c r="EG161" s="44"/>
      <c r="EH161" s="44"/>
      <c r="EI161" s="42"/>
      <c r="EJ161" s="44"/>
      <c r="EK161" s="44"/>
      <c r="EL161" s="44"/>
      <c r="EM161" s="44"/>
      <c r="EN161" s="44"/>
      <c r="EO161" s="44"/>
      <c r="EP161" s="44"/>
      <c r="EQ161" s="44"/>
      <c r="ER161" s="44"/>
      <c r="ES161" s="44"/>
      <c r="ET161" s="44"/>
      <c r="EU161" s="44"/>
      <c r="EV161" s="44"/>
      <c r="EW161" s="44"/>
      <c r="EX161" s="42"/>
      <c r="EY161" s="42"/>
      <c r="EZ161" s="44"/>
      <c r="FA161" s="42"/>
      <c r="FB161" s="44"/>
      <c r="FC161" s="44"/>
      <c r="FD161" s="44"/>
      <c r="FE161" s="42">
        <v>1.0</v>
      </c>
      <c r="FF161" s="44"/>
      <c r="FG161" s="44"/>
      <c r="FH161" s="44"/>
      <c r="FI161" s="44"/>
      <c r="FJ161" s="44"/>
      <c r="FK161" s="44"/>
      <c r="FL161" s="44"/>
      <c r="FM161" s="44"/>
      <c r="FN161" s="44"/>
      <c r="FO161" s="44"/>
      <c r="FP161" s="44"/>
      <c r="FQ161" s="42"/>
      <c r="FR161" s="42">
        <v>1.0</v>
      </c>
      <c r="FS161" s="44"/>
      <c r="FT161" s="44"/>
      <c r="FU161" s="44"/>
      <c r="FV161" s="44"/>
      <c r="FW161" s="44"/>
      <c r="FX161" s="44"/>
      <c r="FY161" s="44"/>
      <c r="FZ161" s="44"/>
      <c r="GA161" s="44"/>
      <c r="GB161" s="44"/>
      <c r="GC161" s="44"/>
      <c r="GD161" s="44"/>
      <c r="GE161" s="44"/>
      <c r="GF161" s="44"/>
    </row>
    <row r="162">
      <c r="A162" s="31">
        <v>43222.0</v>
      </c>
      <c r="B162" s="32" t="s">
        <v>246</v>
      </c>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c r="AA162" s="34"/>
      <c r="AB162" s="34"/>
      <c r="AC162" s="34"/>
      <c r="AD162" s="34"/>
      <c r="AE162" s="34"/>
      <c r="AF162" s="34"/>
      <c r="AG162" s="34"/>
      <c r="AH162" s="34"/>
      <c r="AI162" s="34"/>
      <c r="AJ162" s="34"/>
      <c r="AK162" s="34"/>
      <c r="AL162" s="34"/>
      <c r="AM162" s="34"/>
      <c r="AN162" s="34"/>
      <c r="AO162" s="34"/>
      <c r="AP162" s="34"/>
      <c r="AQ162" s="34"/>
      <c r="AR162" s="34"/>
      <c r="AS162" s="34"/>
      <c r="AT162" s="34"/>
      <c r="AU162" s="34"/>
      <c r="AV162" s="34"/>
      <c r="AW162" s="34"/>
      <c r="AX162" s="34"/>
      <c r="AY162" s="34"/>
      <c r="AZ162" s="34"/>
      <c r="BA162" s="34"/>
      <c r="BB162" s="34"/>
      <c r="BC162" s="34"/>
      <c r="BD162" s="34"/>
      <c r="BE162" s="34"/>
      <c r="BF162" s="34"/>
      <c r="BG162" s="34"/>
      <c r="BH162" s="34"/>
      <c r="BI162" s="34"/>
      <c r="BJ162" s="34"/>
      <c r="BK162" s="34"/>
      <c r="BL162" s="34"/>
      <c r="BM162" s="34"/>
      <c r="BN162" s="34"/>
      <c r="BO162" s="34"/>
      <c r="BP162" s="34"/>
      <c r="BQ162" s="34"/>
      <c r="BR162" s="34"/>
      <c r="BS162" s="34"/>
      <c r="BT162" s="34"/>
      <c r="BU162" s="34"/>
      <c r="BV162" s="34"/>
      <c r="BW162" s="34"/>
      <c r="BX162" s="34"/>
      <c r="BY162" s="34"/>
      <c r="BZ162" s="34"/>
      <c r="CA162" s="34"/>
      <c r="CB162" s="34"/>
      <c r="CC162" s="34"/>
      <c r="CD162" s="34"/>
      <c r="CE162" s="34"/>
      <c r="CF162" s="34"/>
      <c r="CG162" s="34"/>
      <c r="CH162" s="34"/>
      <c r="CI162" s="34"/>
      <c r="CJ162" s="34"/>
      <c r="CK162" s="34"/>
      <c r="CL162" s="34"/>
      <c r="CM162" s="34"/>
      <c r="CN162" s="34"/>
      <c r="CO162" s="34"/>
      <c r="CP162" s="34"/>
      <c r="CQ162" s="34"/>
      <c r="CR162" s="34"/>
      <c r="CS162" s="34"/>
      <c r="CT162" s="34"/>
      <c r="CU162" s="34"/>
      <c r="CV162" s="34"/>
      <c r="CW162" s="34"/>
      <c r="CX162" s="34"/>
      <c r="CY162" s="34"/>
      <c r="CZ162" s="34"/>
      <c r="DA162" s="34"/>
      <c r="DB162" s="34"/>
      <c r="DC162" s="34"/>
      <c r="DD162" s="34"/>
      <c r="DE162" s="34"/>
      <c r="DF162" s="34"/>
      <c r="DG162" s="34"/>
      <c r="DH162" s="34"/>
      <c r="DI162" s="34"/>
      <c r="DJ162" s="34"/>
      <c r="DK162" s="34"/>
      <c r="DL162" s="34"/>
      <c r="DM162" s="34"/>
      <c r="DN162" s="34"/>
      <c r="DO162" s="34"/>
      <c r="DP162" s="34"/>
      <c r="DQ162" s="34"/>
      <c r="DR162" s="34"/>
      <c r="DS162" s="34"/>
      <c r="DT162" s="34"/>
      <c r="DU162" s="34"/>
      <c r="DV162" s="34"/>
      <c r="DW162" s="34"/>
      <c r="DX162" s="34"/>
      <c r="DY162" s="34"/>
      <c r="DZ162" s="34"/>
      <c r="EA162" s="34"/>
      <c r="EB162" s="34"/>
      <c r="EC162" s="34"/>
      <c r="ED162" s="34"/>
      <c r="EE162" s="34"/>
      <c r="EF162" s="34"/>
      <c r="EG162" s="34"/>
      <c r="EH162" s="34"/>
      <c r="EI162" s="34"/>
      <c r="EJ162" s="34"/>
      <c r="EK162" s="34"/>
      <c r="EL162" s="34"/>
      <c r="EM162" s="34"/>
      <c r="EN162" s="34"/>
      <c r="EO162" s="34"/>
      <c r="EP162" s="34"/>
      <c r="EQ162" s="34"/>
      <c r="ER162" s="34"/>
      <c r="ES162" s="34"/>
      <c r="ET162" s="34"/>
      <c r="EU162" s="34"/>
      <c r="EV162" s="34"/>
      <c r="EW162" s="34"/>
      <c r="EX162" s="34"/>
      <c r="EY162" s="34"/>
      <c r="EZ162" s="34"/>
      <c r="FA162" s="34"/>
      <c r="FB162" s="34"/>
      <c r="FC162" s="34"/>
      <c r="FD162" s="34"/>
      <c r="FE162" s="34"/>
      <c r="FF162" s="34"/>
      <c r="FG162" s="34"/>
      <c r="FH162" s="34"/>
      <c r="FI162" s="34"/>
      <c r="FJ162" s="34"/>
      <c r="FK162" s="34"/>
      <c r="FL162" s="34"/>
      <c r="FM162" s="34"/>
      <c r="FN162" s="34"/>
      <c r="FO162" s="34"/>
      <c r="FP162" s="34"/>
      <c r="FQ162" s="34"/>
      <c r="FR162" s="34"/>
      <c r="FS162" s="34"/>
      <c r="FT162" s="34"/>
      <c r="FU162" s="34"/>
      <c r="FV162" s="34"/>
      <c r="FW162" s="34"/>
      <c r="FX162" s="34"/>
      <c r="FY162" s="34"/>
      <c r="FZ162" s="34"/>
      <c r="GA162" s="34"/>
      <c r="GB162" s="34"/>
      <c r="GC162" s="34"/>
      <c r="GD162" s="34"/>
      <c r="GE162" s="34"/>
      <c r="GF162" s="34"/>
    </row>
    <row r="163">
      <c r="A163" s="41">
        <v>43222.0</v>
      </c>
      <c r="B163" s="42" t="s">
        <v>216</v>
      </c>
      <c r="C163" s="42">
        <v>21.3002</v>
      </c>
      <c r="D163" s="42">
        <v>-157.882599</v>
      </c>
      <c r="E163" s="42" t="s">
        <v>385</v>
      </c>
      <c r="F163" s="43">
        <v>0.3854166666666667</v>
      </c>
      <c r="G163" s="43">
        <v>0.4375</v>
      </c>
      <c r="H163" s="42">
        <v>6.0</v>
      </c>
      <c r="I163" s="42">
        <v>19.0</v>
      </c>
      <c r="J163" s="42" t="s">
        <v>198</v>
      </c>
      <c r="K163" s="42">
        <v>5.0</v>
      </c>
      <c r="L163" s="42">
        <v>27.0</v>
      </c>
      <c r="M163" s="42" t="s">
        <v>527</v>
      </c>
      <c r="N163" s="44"/>
      <c r="O163" s="42"/>
      <c r="P163" s="44"/>
      <c r="Q163" s="44"/>
      <c r="R163" s="42"/>
      <c r="S163" s="44"/>
      <c r="T163" s="44"/>
      <c r="U163" s="44"/>
      <c r="V163" s="44"/>
      <c r="W163" s="44"/>
      <c r="X163" s="44"/>
      <c r="Y163" s="44"/>
      <c r="Z163" s="44"/>
      <c r="AA163" s="44"/>
      <c r="AB163" s="44"/>
      <c r="AC163" s="44"/>
      <c r="AD163" s="42">
        <v>1.0</v>
      </c>
      <c r="AE163" s="44"/>
      <c r="AF163" s="44"/>
      <c r="AG163" s="44"/>
      <c r="AH163" s="44"/>
      <c r="AI163" s="44"/>
      <c r="AJ163" s="44"/>
      <c r="AK163" s="44"/>
      <c r="AL163" s="44"/>
      <c r="AM163" s="44"/>
      <c r="AN163" s="44"/>
      <c r="AO163" s="44"/>
      <c r="AP163" s="44"/>
      <c r="AQ163" s="44"/>
      <c r="AR163" s="44"/>
      <c r="AS163" s="44"/>
      <c r="AT163" s="44"/>
      <c r="AU163" s="44"/>
      <c r="AV163" s="44"/>
      <c r="AW163" s="44"/>
      <c r="AX163" s="44"/>
      <c r="AY163" s="44"/>
      <c r="AZ163" s="42"/>
      <c r="BA163" s="42"/>
      <c r="BB163" s="44"/>
      <c r="BC163" s="44"/>
      <c r="BD163" s="44"/>
      <c r="BE163" s="44"/>
      <c r="BF163" s="44"/>
      <c r="BG163" s="44"/>
      <c r="BH163" s="44"/>
      <c r="BI163" s="44"/>
      <c r="BJ163" s="44"/>
      <c r="BK163" s="44"/>
      <c r="BL163" s="42">
        <v>1.0</v>
      </c>
      <c r="BM163" s="42"/>
      <c r="BN163" s="44"/>
      <c r="BO163" s="44"/>
      <c r="BP163" s="42"/>
      <c r="BQ163" s="44"/>
      <c r="BR163" s="44"/>
      <c r="BS163" s="44"/>
      <c r="BT163" s="44"/>
      <c r="BU163" s="44"/>
      <c r="BV163" s="42">
        <v>1.0</v>
      </c>
      <c r="BW163" s="44"/>
      <c r="BX163" s="44"/>
      <c r="BY163" s="42"/>
      <c r="BZ163" s="44"/>
      <c r="CA163" s="44"/>
      <c r="CB163" s="42">
        <v>1.0</v>
      </c>
      <c r="CC163" s="44"/>
      <c r="CD163" s="44"/>
      <c r="CE163" s="44"/>
      <c r="CF163" s="44"/>
      <c r="CG163" s="44"/>
      <c r="CH163" s="44"/>
      <c r="CI163" s="44"/>
      <c r="CJ163" s="44"/>
      <c r="CK163" s="44"/>
      <c r="CL163" s="44"/>
      <c r="CM163" s="44"/>
      <c r="CN163" s="44"/>
      <c r="CO163" s="44"/>
      <c r="CP163" s="44"/>
      <c r="CQ163" s="44"/>
      <c r="CR163" s="44"/>
      <c r="CS163" s="44"/>
      <c r="CT163" s="44"/>
      <c r="CU163" s="44"/>
      <c r="CV163" s="44"/>
      <c r="CW163" s="44"/>
      <c r="CX163" s="44"/>
      <c r="CY163" s="44"/>
      <c r="CZ163" s="44"/>
      <c r="DA163" s="44"/>
      <c r="DB163" s="44"/>
      <c r="DC163" s="44"/>
      <c r="DD163" s="44"/>
      <c r="DE163" s="42"/>
      <c r="DF163" s="42"/>
      <c r="DG163" s="44"/>
      <c r="DH163" s="44"/>
      <c r="DI163" s="44"/>
      <c r="DJ163" s="44"/>
      <c r="DK163" s="44"/>
      <c r="DL163" s="42"/>
      <c r="DM163" s="44"/>
      <c r="DN163" s="44"/>
      <c r="DO163" s="42"/>
      <c r="DP163" s="44"/>
      <c r="DQ163" s="44"/>
      <c r="DR163" s="44"/>
      <c r="DS163" s="42"/>
      <c r="DT163" s="42"/>
      <c r="DU163" s="42"/>
      <c r="DV163" s="44"/>
      <c r="DW163" s="44"/>
      <c r="DX163" s="44"/>
      <c r="DY163" s="44"/>
      <c r="DZ163" s="44"/>
      <c r="EA163" s="44"/>
      <c r="EB163" s="44"/>
      <c r="EC163" s="44"/>
      <c r="ED163" s="42"/>
      <c r="EE163" s="42"/>
      <c r="EF163" s="44"/>
      <c r="EG163" s="44"/>
      <c r="EH163" s="44"/>
      <c r="EI163" s="42">
        <v>1.0</v>
      </c>
      <c r="EJ163" s="44"/>
      <c r="EK163" s="44"/>
      <c r="EL163" s="44"/>
      <c r="EM163" s="44"/>
      <c r="EN163" s="44"/>
      <c r="EO163" s="44"/>
      <c r="EP163" s="44"/>
      <c r="EQ163" s="44"/>
      <c r="ER163" s="44"/>
      <c r="ES163" s="44"/>
      <c r="ET163" s="44"/>
      <c r="EU163" s="44"/>
      <c r="EV163" s="44"/>
      <c r="EW163" s="44"/>
      <c r="EX163" s="42"/>
      <c r="EY163" s="42"/>
      <c r="EZ163" s="44"/>
      <c r="FA163" s="42"/>
      <c r="FB163" s="44"/>
      <c r="FC163" s="44"/>
      <c r="FD163" s="44"/>
      <c r="FE163" s="42">
        <v>1.0</v>
      </c>
      <c r="FF163" s="44"/>
      <c r="FG163" s="44"/>
      <c r="FH163" s="44"/>
      <c r="FI163" s="44"/>
      <c r="FJ163" s="44"/>
      <c r="FK163" s="44"/>
      <c r="FL163" s="44"/>
      <c r="FM163" s="44"/>
      <c r="FN163" s="44"/>
      <c r="FO163" s="44"/>
      <c r="FP163" s="44"/>
      <c r="FQ163" s="42"/>
      <c r="FR163" s="42">
        <v>1.0</v>
      </c>
      <c r="FS163" s="44"/>
      <c r="FT163" s="44"/>
      <c r="FU163" s="44"/>
      <c r="FV163" s="44"/>
      <c r="FW163" s="44"/>
      <c r="FX163" s="44"/>
      <c r="FY163" s="44"/>
      <c r="FZ163" s="44"/>
      <c r="GA163" s="44"/>
      <c r="GB163" s="44"/>
      <c r="GC163" s="44"/>
      <c r="GD163" s="44"/>
      <c r="GE163" s="44"/>
      <c r="GF163" s="44"/>
    </row>
    <row r="164">
      <c r="A164" s="23">
        <v>43230.0</v>
      </c>
      <c r="B164" s="4" t="s">
        <v>201</v>
      </c>
      <c r="C164" s="4">
        <v>21.25544</v>
      </c>
      <c r="D164" s="4">
        <v>-157.810303</v>
      </c>
      <c r="E164" s="4" t="s">
        <v>299</v>
      </c>
      <c r="F164" s="24">
        <v>0.3611111111111111</v>
      </c>
      <c r="G164" s="24">
        <v>0.4027777777777778</v>
      </c>
      <c r="H164" s="4">
        <v>5.0</v>
      </c>
      <c r="I164" s="4">
        <v>16.0</v>
      </c>
      <c r="J164" s="4" t="s">
        <v>217</v>
      </c>
      <c r="K164" s="4">
        <v>8.0</v>
      </c>
      <c r="L164" s="4">
        <v>25.0</v>
      </c>
      <c r="M164" s="4" t="s">
        <v>427</v>
      </c>
      <c r="R164" s="4">
        <v>1.0</v>
      </c>
      <c r="AZ164" s="4"/>
      <c r="BA164" s="4">
        <v>1.0</v>
      </c>
      <c r="BM164" s="4">
        <v>1.0</v>
      </c>
      <c r="BP164" s="4">
        <v>1.0</v>
      </c>
      <c r="BY164" s="4">
        <v>1.0</v>
      </c>
      <c r="DE164" s="4"/>
      <c r="DF164" s="4">
        <v>1.0</v>
      </c>
      <c r="DL164" s="4">
        <v>1.0</v>
      </c>
      <c r="DO164" s="4">
        <v>1.0</v>
      </c>
      <c r="DT164" s="4"/>
      <c r="DU164" s="4">
        <v>1.0</v>
      </c>
      <c r="ED164" s="4"/>
      <c r="EE164" s="4">
        <v>1.0</v>
      </c>
      <c r="EH164" s="4"/>
      <c r="EI164" s="4">
        <v>1.0</v>
      </c>
      <c r="EX164" s="4"/>
      <c r="EY164" s="4">
        <v>1.0</v>
      </c>
      <c r="FA164" s="4">
        <v>1.0</v>
      </c>
      <c r="FQ164" s="4">
        <v>1.0</v>
      </c>
      <c r="FR164" s="4">
        <v>1.0</v>
      </c>
    </row>
    <row r="165">
      <c r="A165" s="23">
        <v>43231.0</v>
      </c>
      <c r="B165" s="4" t="s">
        <v>201</v>
      </c>
      <c r="C165" s="4">
        <v>21.25544</v>
      </c>
      <c r="D165" s="4">
        <v>-157.810303</v>
      </c>
      <c r="E165" s="4" t="s">
        <v>299</v>
      </c>
      <c r="F165" s="24">
        <v>0.375</v>
      </c>
      <c r="G165" s="24">
        <v>0.4097222222222222</v>
      </c>
      <c r="H165" s="4">
        <v>5.0</v>
      </c>
      <c r="I165" s="4">
        <v>16.0</v>
      </c>
      <c r="J165" s="4" t="s">
        <v>198</v>
      </c>
      <c r="K165" s="4">
        <v>7.0</v>
      </c>
      <c r="L165" s="4">
        <v>26.0</v>
      </c>
      <c r="M165" s="4" t="s">
        <v>430</v>
      </c>
      <c r="Q165" s="4">
        <v>1.0</v>
      </c>
      <c r="Z165" s="4"/>
      <c r="AA165" s="4">
        <v>1.0</v>
      </c>
      <c r="AH165" s="4">
        <v>1.0</v>
      </c>
      <c r="AI165" s="4"/>
      <c r="AJ165" s="4">
        <v>1.0</v>
      </c>
      <c r="AT165" s="4">
        <v>1.0</v>
      </c>
      <c r="BH165" s="4"/>
      <c r="BI165" s="4"/>
      <c r="BJ165" s="4">
        <v>1.0</v>
      </c>
      <c r="BL165" s="4">
        <v>1.0</v>
      </c>
      <c r="BP165" s="4">
        <v>1.0</v>
      </c>
      <c r="BU165" s="4">
        <v>1.0</v>
      </c>
      <c r="BY165" s="4">
        <v>1.0</v>
      </c>
      <c r="DD165" s="4">
        <v>1.0</v>
      </c>
      <c r="DJ165" s="4">
        <v>1.0</v>
      </c>
      <c r="DL165" s="4">
        <v>1.0</v>
      </c>
      <c r="DN165" s="4">
        <v>1.0</v>
      </c>
      <c r="DQ165" s="4"/>
      <c r="DR165" s="4">
        <v>1.0</v>
      </c>
      <c r="EB165" s="4">
        <v>1.0</v>
      </c>
      <c r="ED165" s="4"/>
      <c r="EE165" s="4">
        <v>1.0</v>
      </c>
      <c r="EH165" s="4"/>
      <c r="EI165" s="4">
        <v>1.0</v>
      </c>
      <c r="EX165" s="4"/>
      <c r="EY165" s="4">
        <v>1.0</v>
      </c>
      <c r="FA165" s="4">
        <v>1.0</v>
      </c>
      <c r="FQ165" s="4">
        <v>1.0</v>
      </c>
      <c r="FR165" s="4">
        <v>1.0</v>
      </c>
      <c r="FU165" s="4"/>
      <c r="FV165" s="4">
        <v>1.0</v>
      </c>
      <c r="GA165" s="4">
        <v>1.0</v>
      </c>
    </row>
    <row r="166">
      <c r="A166" s="41">
        <v>43232.0</v>
      </c>
      <c r="B166" s="42" t="s">
        <v>374</v>
      </c>
      <c r="C166" s="42">
        <v>20.738001</v>
      </c>
      <c r="D166" s="42">
        <v>-156.895004</v>
      </c>
      <c r="E166" s="42" t="s">
        <v>391</v>
      </c>
      <c r="F166" s="43">
        <v>0.3715277777777778</v>
      </c>
      <c r="G166" s="43">
        <v>0.42083333333333334</v>
      </c>
      <c r="H166" s="42">
        <v>3.0</v>
      </c>
      <c r="I166" s="42">
        <v>25.0</v>
      </c>
      <c r="J166" s="42" t="s">
        <v>198</v>
      </c>
      <c r="K166" s="42">
        <v>13.0</v>
      </c>
      <c r="L166" s="42">
        <v>18.0</v>
      </c>
      <c r="M166" s="42" t="s">
        <v>528</v>
      </c>
      <c r="N166" s="42"/>
      <c r="O166" s="42"/>
      <c r="P166" s="44"/>
      <c r="Q166" s="44"/>
      <c r="R166" s="44"/>
      <c r="S166" s="44"/>
      <c r="T166" s="44"/>
      <c r="U166" s="44"/>
      <c r="V166" s="44"/>
      <c r="W166" s="44"/>
      <c r="X166" s="44"/>
      <c r="Y166" s="44"/>
      <c r="Z166" s="44"/>
      <c r="AA166" s="44"/>
      <c r="AB166" s="44"/>
      <c r="AC166" s="42">
        <v>1.0</v>
      </c>
      <c r="AD166" s="44"/>
      <c r="AE166" s="44"/>
      <c r="AF166" s="44"/>
      <c r="AG166" s="44"/>
      <c r="AH166" s="44"/>
      <c r="AI166" s="44"/>
      <c r="AJ166" s="44"/>
      <c r="AK166" s="44"/>
      <c r="AL166" s="44"/>
      <c r="AM166" s="44"/>
      <c r="AN166" s="44"/>
      <c r="AO166" s="44"/>
      <c r="AP166" s="44"/>
      <c r="AQ166" s="44"/>
      <c r="AR166" s="44"/>
      <c r="AS166" s="44"/>
      <c r="AT166" s="44"/>
      <c r="AU166" s="44"/>
      <c r="AV166" s="44"/>
      <c r="AW166" s="44"/>
      <c r="AX166" s="44"/>
      <c r="AY166" s="44"/>
      <c r="AZ166" s="44"/>
      <c r="BA166" s="44"/>
      <c r="BB166" s="44"/>
      <c r="BC166" s="44"/>
      <c r="BD166" s="42"/>
      <c r="BE166" s="44"/>
      <c r="BF166" s="44"/>
      <c r="BG166" s="42"/>
      <c r="BH166" s="42"/>
      <c r="BI166" s="42"/>
      <c r="BJ166" s="44"/>
      <c r="BK166" s="42"/>
      <c r="BL166" s="42">
        <v>1.0</v>
      </c>
      <c r="BM166" s="44"/>
      <c r="BN166" s="44"/>
      <c r="BO166" s="44"/>
      <c r="BP166" s="42"/>
      <c r="BQ166" s="44"/>
      <c r="BR166" s="44"/>
      <c r="BS166" s="44"/>
      <c r="BT166" s="44"/>
      <c r="BU166" s="42"/>
      <c r="BV166" s="44"/>
      <c r="BW166" s="44"/>
      <c r="BX166" s="42">
        <v>1.0</v>
      </c>
      <c r="BY166" s="44"/>
      <c r="BZ166" s="44"/>
      <c r="CA166" s="44"/>
      <c r="CB166" s="42">
        <v>1.0</v>
      </c>
      <c r="CC166" s="44"/>
      <c r="CD166" s="42"/>
      <c r="CE166" s="44"/>
      <c r="CF166" s="44"/>
      <c r="CG166" s="42">
        <v>1.0</v>
      </c>
      <c r="CH166" s="44"/>
      <c r="CI166" s="44"/>
      <c r="CJ166" s="44"/>
      <c r="CK166" s="44"/>
      <c r="CL166" s="44"/>
      <c r="CM166" s="44"/>
      <c r="CN166" s="44"/>
      <c r="CO166" s="44"/>
      <c r="CP166" s="44"/>
      <c r="CQ166" s="44"/>
      <c r="CR166" s="44"/>
      <c r="CS166" s="44"/>
      <c r="CT166" s="44"/>
      <c r="CU166" s="44"/>
      <c r="CV166" s="44"/>
      <c r="CW166" s="44"/>
      <c r="CX166" s="44"/>
      <c r="CY166" s="44"/>
      <c r="CZ166" s="44"/>
      <c r="DA166" s="44"/>
      <c r="DB166" s="44"/>
      <c r="DC166" s="44"/>
      <c r="DD166" s="44"/>
      <c r="DE166" s="44"/>
      <c r="DF166" s="42">
        <v>1.0</v>
      </c>
      <c r="DG166" s="44"/>
      <c r="DH166" s="44"/>
      <c r="DI166" s="44"/>
      <c r="DJ166" s="44"/>
      <c r="DK166" s="44"/>
      <c r="DL166" s="44"/>
      <c r="DM166" s="44"/>
      <c r="DN166" s="44"/>
      <c r="DO166" s="44"/>
      <c r="DP166" s="44"/>
      <c r="DQ166" s="44"/>
      <c r="DR166" s="44"/>
      <c r="DS166" s="44"/>
      <c r="DT166" s="44"/>
      <c r="DU166" s="44"/>
      <c r="DV166" s="44"/>
      <c r="DW166" s="44"/>
      <c r="DX166" s="44"/>
      <c r="DY166" s="44"/>
      <c r="DZ166" s="44"/>
      <c r="EA166" s="44"/>
      <c r="EB166" s="42"/>
      <c r="EC166" s="44"/>
      <c r="ED166" s="44"/>
      <c r="EE166" s="44"/>
      <c r="EF166" s="44"/>
      <c r="EG166" s="44"/>
      <c r="EH166" s="44"/>
      <c r="EI166" s="42">
        <v>1.0</v>
      </c>
      <c r="EJ166" s="44"/>
      <c r="EK166" s="44"/>
      <c r="EL166" s="44"/>
      <c r="EM166" s="44"/>
      <c r="EN166" s="44"/>
      <c r="EO166" s="44"/>
      <c r="EP166" s="44"/>
      <c r="EQ166" s="44"/>
      <c r="ER166" s="44"/>
      <c r="ES166" s="44"/>
      <c r="ET166" s="44"/>
      <c r="EU166" s="44"/>
      <c r="EV166" s="44"/>
      <c r="EW166" s="42"/>
      <c r="EX166" s="44"/>
      <c r="EY166" s="42">
        <v>1.0</v>
      </c>
      <c r="EZ166" s="44"/>
      <c r="FA166" s="42">
        <v>1.0</v>
      </c>
      <c r="FB166" s="44"/>
      <c r="FC166" s="44"/>
      <c r="FD166" s="44"/>
      <c r="FE166" s="44"/>
      <c r="FF166" s="44"/>
      <c r="FG166" s="44"/>
      <c r="FH166" s="44"/>
      <c r="FI166" s="44"/>
      <c r="FJ166" s="44"/>
      <c r="FK166" s="44"/>
      <c r="FL166" s="44"/>
      <c r="FM166" s="44"/>
      <c r="FN166" s="44"/>
      <c r="FO166" s="44"/>
      <c r="FP166" s="44"/>
      <c r="FQ166" s="42">
        <v>1.0</v>
      </c>
      <c r="FR166" s="42"/>
      <c r="FS166" s="44"/>
      <c r="FT166" s="44"/>
      <c r="FU166" s="44"/>
      <c r="FV166" s="44"/>
      <c r="FW166" s="44"/>
      <c r="FX166" s="44"/>
      <c r="FY166" s="44"/>
      <c r="FZ166" s="44"/>
      <c r="GA166" s="44"/>
      <c r="GB166" s="44"/>
      <c r="GC166" s="44"/>
      <c r="GD166" s="44"/>
      <c r="GE166" s="44"/>
      <c r="GF166" s="44"/>
    </row>
    <row r="167">
      <c r="A167" s="37">
        <v>43234.0</v>
      </c>
      <c r="B167" s="38" t="s">
        <v>216</v>
      </c>
      <c r="C167" s="38">
        <v>21.3002</v>
      </c>
      <c r="D167" s="38">
        <v>-157.882599</v>
      </c>
      <c r="E167" s="38" t="s">
        <v>272</v>
      </c>
      <c r="F167" s="39">
        <v>0.38263888888888886</v>
      </c>
      <c r="G167" s="39">
        <v>0.41944444444444445</v>
      </c>
      <c r="H167" s="38">
        <v>6.0</v>
      </c>
      <c r="I167" s="38">
        <v>26.0</v>
      </c>
      <c r="J167" s="38" t="s">
        <v>198</v>
      </c>
      <c r="K167" s="38">
        <v>5.0</v>
      </c>
      <c r="L167" s="38">
        <v>27.0</v>
      </c>
      <c r="M167" s="38" t="s">
        <v>431</v>
      </c>
      <c r="N167" s="38"/>
      <c r="O167" s="38"/>
      <c r="P167" s="40"/>
      <c r="Q167" s="40"/>
      <c r="R167" s="40"/>
      <c r="S167" s="40"/>
      <c r="T167" s="40"/>
      <c r="U167" s="40"/>
      <c r="V167" s="40"/>
      <c r="W167" s="40"/>
      <c r="X167" s="40"/>
      <c r="Y167" s="40"/>
      <c r="Z167" s="40"/>
      <c r="AA167" s="40"/>
      <c r="AB167" s="40"/>
      <c r="AC167" s="40"/>
      <c r="AD167" s="40"/>
      <c r="AE167" s="40"/>
      <c r="AF167" s="40"/>
      <c r="AG167" s="40"/>
      <c r="AH167" s="38">
        <v>1.0</v>
      </c>
      <c r="AI167" s="40"/>
      <c r="AJ167" s="40"/>
      <c r="AK167" s="40"/>
      <c r="AL167" s="40"/>
      <c r="AM167" s="40"/>
      <c r="AN167" s="40"/>
      <c r="AO167" s="40"/>
      <c r="AP167" s="40"/>
      <c r="AQ167" s="40"/>
      <c r="AR167" s="40"/>
      <c r="AS167" s="40"/>
      <c r="AT167" s="40"/>
      <c r="AU167" s="40"/>
      <c r="AV167" s="40"/>
      <c r="AW167" s="40"/>
      <c r="AX167" s="40"/>
      <c r="AY167" s="40"/>
      <c r="AZ167" s="40"/>
      <c r="BA167" s="40"/>
      <c r="BB167" s="40"/>
      <c r="BC167" s="40"/>
      <c r="BD167" s="38">
        <v>1.0</v>
      </c>
      <c r="BE167" s="40"/>
      <c r="BF167" s="40"/>
      <c r="BG167" s="38">
        <v>1.0</v>
      </c>
      <c r="BH167" s="38"/>
      <c r="BI167" s="38">
        <v>1.0</v>
      </c>
      <c r="BJ167" s="40"/>
      <c r="BK167" s="38">
        <v>1.0</v>
      </c>
      <c r="BL167" s="38">
        <v>1.0</v>
      </c>
      <c r="BM167" s="40"/>
      <c r="BN167" s="40"/>
      <c r="BO167" s="40"/>
      <c r="BP167" s="38">
        <v>1.0</v>
      </c>
      <c r="BQ167" s="40"/>
      <c r="BR167" s="40"/>
      <c r="BS167" s="40"/>
      <c r="BT167" s="40"/>
      <c r="BU167" s="38">
        <v>1.0</v>
      </c>
      <c r="BV167" s="40"/>
      <c r="BW167" s="40"/>
      <c r="BX167" s="40"/>
      <c r="BY167" s="40"/>
      <c r="BZ167" s="40"/>
      <c r="CA167" s="40"/>
      <c r="CB167" s="40"/>
      <c r="CC167" s="40"/>
      <c r="CD167" s="38">
        <v>1.0</v>
      </c>
      <c r="CE167" s="40"/>
      <c r="CF167" s="40"/>
      <c r="CG167" s="40"/>
      <c r="CH167" s="40"/>
      <c r="CI167" s="40"/>
      <c r="CJ167" s="40"/>
      <c r="CK167" s="40"/>
      <c r="CL167" s="40"/>
      <c r="CM167" s="40"/>
      <c r="CN167" s="40"/>
      <c r="CO167" s="40"/>
      <c r="CP167" s="40"/>
      <c r="CQ167" s="40"/>
      <c r="CR167" s="40"/>
      <c r="CS167" s="40"/>
      <c r="CT167" s="40"/>
      <c r="CU167" s="40"/>
      <c r="CV167" s="40"/>
      <c r="CW167" s="40"/>
      <c r="CX167" s="40"/>
      <c r="CY167" s="40"/>
      <c r="CZ167" s="40"/>
      <c r="DA167" s="40"/>
      <c r="DB167" s="40"/>
      <c r="DC167" s="40"/>
      <c r="DD167" s="40"/>
      <c r="DE167" s="40"/>
      <c r="DF167" s="40"/>
      <c r="DG167" s="40"/>
      <c r="DH167" s="40"/>
      <c r="DI167" s="40"/>
      <c r="DJ167" s="40"/>
      <c r="DK167" s="40"/>
      <c r="DL167" s="40"/>
      <c r="DM167" s="40"/>
      <c r="DN167" s="40"/>
      <c r="DO167" s="40"/>
      <c r="DP167" s="40"/>
      <c r="DQ167" s="40"/>
      <c r="DR167" s="40"/>
      <c r="DS167" s="40"/>
      <c r="DT167" s="40"/>
      <c r="DU167" s="40"/>
      <c r="DV167" s="40"/>
      <c r="DW167" s="40"/>
      <c r="DX167" s="40"/>
      <c r="DY167" s="40"/>
      <c r="DZ167" s="40"/>
      <c r="EA167" s="40"/>
      <c r="EB167" s="38">
        <v>1.0</v>
      </c>
      <c r="EC167" s="40"/>
      <c r="ED167" s="40"/>
      <c r="EE167" s="40"/>
      <c r="EF167" s="40"/>
      <c r="EG167" s="40"/>
      <c r="EH167" s="40"/>
      <c r="EI167" s="38">
        <v>1.0</v>
      </c>
      <c r="EJ167" s="40"/>
      <c r="EK167" s="40"/>
      <c r="EL167" s="40"/>
      <c r="EM167" s="40"/>
      <c r="EN167" s="40"/>
      <c r="EO167" s="40"/>
      <c r="EP167" s="40"/>
      <c r="EQ167" s="40"/>
      <c r="ER167" s="40"/>
      <c r="ES167" s="40"/>
      <c r="ET167" s="40"/>
      <c r="EU167" s="40"/>
      <c r="EV167" s="40"/>
      <c r="EW167" s="38">
        <v>1.0</v>
      </c>
      <c r="EX167" s="40"/>
      <c r="EY167" s="40"/>
      <c r="EZ167" s="40"/>
      <c r="FA167" s="40"/>
      <c r="FB167" s="40"/>
      <c r="FC167" s="40"/>
      <c r="FD167" s="40"/>
      <c r="FE167" s="40"/>
      <c r="FF167" s="40"/>
      <c r="FG167" s="40"/>
      <c r="FH167" s="40"/>
      <c r="FI167" s="40"/>
      <c r="FJ167" s="40"/>
      <c r="FK167" s="38">
        <v>1.0</v>
      </c>
      <c r="FL167" s="40"/>
      <c r="FM167" s="40"/>
      <c r="FN167" s="40"/>
      <c r="FO167" s="40"/>
      <c r="FP167" s="40"/>
      <c r="FQ167" s="40"/>
      <c r="FR167" s="38">
        <v>1.0</v>
      </c>
      <c r="FS167" s="40"/>
      <c r="FT167" s="40"/>
      <c r="FU167" s="40"/>
      <c r="FV167" s="40"/>
      <c r="FW167" s="40"/>
      <c r="FX167" s="40"/>
      <c r="FY167" s="40"/>
      <c r="FZ167" s="40"/>
      <c r="GA167" s="40"/>
      <c r="GB167" s="40"/>
      <c r="GC167" s="40"/>
      <c r="GD167" s="40"/>
      <c r="GE167" s="40"/>
      <c r="GF167" s="40"/>
    </row>
    <row r="168">
      <c r="A168" s="41">
        <v>43235.0</v>
      </c>
      <c r="B168" s="42" t="s">
        <v>216</v>
      </c>
      <c r="C168" s="42">
        <v>21.3002</v>
      </c>
      <c r="D168" s="42">
        <v>-157.882599</v>
      </c>
      <c r="E168" s="42" t="s">
        <v>272</v>
      </c>
      <c r="F168" s="43">
        <v>0.38263888888888886</v>
      </c>
      <c r="G168" s="43">
        <v>0.4083333333333333</v>
      </c>
      <c r="H168" s="42">
        <v>6.0</v>
      </c>
      <c r="I168" s="42">
        <v>30.0</v>
      </c>
      <c r="J168" s="42" t="s">
        <v>198</v>
      </c>
      <c r="K168" s="42">
        <v>5.0</v>
      </c>
      <c r="L168" s="42">
        <v>26.0</v>
      </c>
      <c r="M168" s="42" t="s">
        <v>529</v>
      </c>
      <c r="N168" s="44"/>
      <c r="O168" s="42"/>
      <c r="P168" s="44"/>
      <c r="Q168" s="44"/>
      <c r="R168" s="44"/>
      <c r="S168" s="44"/>
      <c r="T168" s="42"/>
      <c r="U168" s="42"/>
      <c r="V168" s="42"/>
      <c r="W168" s="42"/>
      <c r="X168" s="44"/>
      <c r="Y168" s="44"/>
      <c r="Z168" s="42"/>
      <c r="AA168" s="42"/>
      <c r="AB168" s="42"/>
      <c r="AC168" s="42"/>
      <c r="AD168" s="44"/>
      <c r="AE168" s="44"/>
      <c r="AF168" s="44"/>
      <c r="AG168" s="44"/>
      <c r="AH168" s="42">
        <v>1.0</v>
      </c>
      <c r="AI168" s="44"/>
      <c r="AJ168" s="44"/>
      <c r="AK168" s="42"/>
      <c r="AL168" s="42"/>
      <c r="AM168" s="42"/>
      <c r="AN168" s="44"/>
      <c r="AO168" s="44"/>
      <c r="AP168" s="44"/>
      <c r="AQ168" s="44"/>
      <c r="AR168" s="44"/>
      <c r="AS168" s="42"/>
      <c r="AT168" s="44"/>
      <c r="AU168" s="44"/>
      <c r="AV168" s="44"/>
      <c r="AW168" s="44"/>
      <c r="AX168" s="44"/>
      <c r="AY168" s="44"/>
      <c r="AZ168" s="42"/>
      <c r="BA168" s="42"/>
      <c r="BB168" s="44"/>
      <c r="BC168" s="44"/>
      <c r="BD168" s="42"/>
      <c r="BE168" s="44"/>
      <c r="BF168" s="44"/>
      <c r="BG168" s="44"/>
      <c r="BH168" s="44"/>
      <c r="BI168" s="44"/>
      <c r="BJ168" s="42"/>
      <c r="BK168" s="44"/>
      <c r="BL168" s="44"/>
      <c r="BM168" s="42"/>
      <c r="BN168" s="44"/>
      <c r="BO168" s="44"/>
      <c r="BP168" s="42">
        <v>1.0</v>
      </c>
      <c r="BQ168" s="44"/>
      <c r="BR168" s="44"/>
      <c r="BS168" s="42"/>
      <c r="BT168" s="44"/>
      <c r="BU168" s="42"/>
      <c r="BV168" s="42"/>
      <c r="BW168" s="44"/>
      <c r="BX168" s="44"/>
      <c r="BY168" s="42"/>
      <c r="BZ168" s="44"/>
      <c r="CA168" s="44"/>
      <c r="CB168" s="44"/>
      <c r="CC168" s="42"/>
      <c r="CD168" s="42">
        <v>1.0</v>
      </c>
      <c r="CE168" s="42"/>
      <c r="CF168" s="44"/>
      <c r="CG168" s="44"/>
      <c r="CH168" s="44"/>
      <c r="CI168" s="42"/>
      <c r="CJ168" s="42"/>
      <c r="CK168" s="44"/>
      <c r="CL168" s="44"/>
      <c r="CM168" s="44"/>
      <c r="CN168" s="44"/>
      <c r="CO168" s="44"/>
      <c r="CP168" s="44"/>
      <c r="CQ168" s="44"/>
      <c r="CR168" s="42"/>
      <c r="CS168" s="44"/>
      <c r="CT168" s="42">
        <v>1.0</v>
      </c>
      <c r="CU168" s="44"/>
      <c r="CV168" s="44"/>
      <c r="CW168" s="44"/>
      <c r="CX168" s="44"/>
      <c r="CY168" s="44"/>
      <c r="CZ168" s="44"/>
      <c r="DA168" s="44"/>
      <c r="DB168" s="44"/>
      <c r="DC168" s="42"/>
      <c r="DD168" s="44"/>
      <c r="DE168" s="42"/>
      <c r="DF168" s="42"/>
      <c r="DG168" s="44"/>
      <c r="DH168" s="44"/>
      <c r="DI168" s="44"/>
      <c r="DJ168" s="44"/>
      <c r="DK168" s="44"/>
      <c r="DL168" s="42"/>
      <c r="DM168" s="42">
        <v>1.0</v>
      </c>
      <c r="DN168" s="44"/>
      <c r="DO168" s="44"/>
      <c r="DP168" s="44"/>
      <c r="DQ168" s="42"/>
      <c r="DR168" s="42"/>
      <c r="DS168" s="42"/>
      <c r="DT168" s="42"/>
      <c r="DU168" s="42"/>
      <c r="DV168" s="44"/>
      <c r="DW168" s="44"/>
      <c r="DX168" s="44"/>
      <c r="DY168" s="44"/>
      <c r="DZ168" s="42"/>
      <c r="EA168" s="44"/>
      <c r="EB168" s="42">
        <v>1.0</v>
      </c>
      <c r="EC168" s="44"/>
      <c r="ED168" s="44"/>
      <c r="EE168" s="44"/>
      <c r="EF168" s="44"/>
      <c r="EG168" s="44"/>
      <c r="EH168" s="42">
        <v>1.0</v>
      </c>
      <c r="EI168" s="42">
        <v>1.0</v>
      </c>
      <c r="EJ168" s="44"/>
      <c r="EK168" s="44"/>
      <c r="EL168" s="44"/>
      <c r="EM168" s="44"/>
      <c r="EN168" s="44"/>
      <c r="EO168" s="44"/>
      <c r="EP168" s="44"/>
      <c r="EQ168" s="44"/>
      <c r="ER168" s="44"/>
      <c r="ES168" s="42"/>
      <c r="ET168" s="42"/>
      <c r="EU168" s="42"/>
      <c r="EV168" s="44"/>
      <c r="EW168" s="44"/>
      <c r="EX168" s="44"/>
      <c r="EY168" s="44"/>
      <c r="EZ168" s="44"/>
      <c r="FA168" s="42"/>
      <c r="FB168" s="44"/>
      <c r="FC168" s="44"/>
      <c r="FD168" s="44"/>
      <c r="FE168" s="42"/>
      <c r="FF168" s="44"/>
      <c r="FG168" s="44"/>
      <c r="FH168" s="44"/>
      <c r="FI168" s="44"/>
      <c r="FJ168" s="44"/>
      <c r="FK168" s="44"/>
      <c r="FL168" s="44"/>
      <c r="FM168" s="44"/>
      <c r="FN168" s="44"/>
      <c r="FO168" s="44"/>
      <c r="FP168" s="44"/>
      <c r="FQ168" s="42"/>
      <c r="FR168" s="42">
        <v>1.0</v>
      </c>
      <c r="FS168" s="44"/>
      <c r="FT168" s="44"/>
      <c r="FU168" s="44"/>
      <c r="FV168" s="44"/>
      <c r="FW168" s="44"/>
      <c r="FX168" s="44"/>
      <c r="FY168" s="44"/>
      <c r="FZ168" s="42"/>
      <c r="GA168" s="44"/>
      <c r="GB168" s="44"/>
      <c r="GC168" s="44"/>
      <c r="GD168" s="42"/>
      <c r="GE168" s="42"/>
      <c r="GF168" s="42"/>
    </row>
    <row r="169">
      <c r="A169" s="31">
        <v>43235.0</v>
      </c>
      <c r="B169" s="32" t="s">
        <v>467</v>
      </c>
      <c r="C169" s="32"/>
      <c r="D169" s="32"/>
      <c r="E169" s="32"/>
      <c r="F169" s="33"/>
      <c r="G169" s="33"/>
      <c r="H169" s="32"/>
      <c r="I169" s="32"/>
      <c r="J169" s="32"/>
      <c r="K169" s="32"/>
      <c r="L169" s="32"/>
      <c r="M169" s="32"/>
      <c r="N169" s="34"/>
      <c r="O169" s="32"/>
      <c r="P169" s="34"/>
      <c r="Q169" s="34"/>
      <c r="R169" s="34"/>
      <c r="S169" s="34"/>
      <c r="T169" s="32"/>
      <c r="U169" s="32"/>
      <c r="V169" s="32"/>
      <c r="W169" s="32"/>
      <c r="X169" s="34"/>
      <c r="Y169" s="34"/>
      <c r="Z169" s="32"/>
      <c r="AA169" s="32"/>
      <c r="AB169" s="32"/>
      <c r="AC169" s="32"/>
      <c r="AD169" s="34"/>
      <c r="AE169" s="34"/>
      <c r="AF169" s="34"/>
      <c r="AG169" s="34"/>
      <c r="AH169" s="32"/>
      <c r="AI169" s="34"/>
      <c r="AJ169" s="34"/>
      <c r="AK169" s="32"/>
      <c r="AL169" s="32"/>
      <c r="AM169" s="32"/>
      <c r="AN169" s="34"/>
      <c r="AO169" s="34"/>
      <c r="AP169" s="34"/>
      <c r="AQ169" s="34"/>
      <c r="AR169" s="34"/>
      <c r="AS169" s="32"/>
      <c r="AT169" s="34"/>
      <c r="AU169" s="34"/>
      <c r="AV169" s="34"/>
      <c r="AW169" s="34"/>
      <c r="AX169" s="34"/>
      <c r="AY169" s="34"/>
      <c r="AZ169" s="32"/>
      <c r="BA169" s="32"/>
      <c r="BB169" s="34"/>
      <c r="BC169" s="34"/>
      <c r="BD169" s="32"/>
      <c r="BE169" s="34"/>
      <c r="BF169" s="34"/>
      <c r="BG169" s="34"/>
      <c r="BH169" s="34"/>
      <c r="BI169" s="34"/>
      <c r="BJ169" s="32"/>
      <c r="BK169" s="34"/>
      <c r="BL169" s="34"/>
      <c r="BM169" s="32"/>
      <c r="BN169" s="34"/>
      <c r="BO169" s="34"/>
      <c r="BP169" s="34"/>
      <c r="BQ169" s="34"/>
      <c r="BR169" s="34"/>
      <c r="BS169" s="32"/>
      <c r="BT169" s="34"/>
      <c r="BU169" s="32"/>
      <c r="BV169" s="32"/>
      <c r="BW169" s="34"/>
      <c r="BX169" s="34"/>
      <c r="BY169" s="32"/>
      <c r="BZ169" s="34"/>
      <c r="CA169" s="34"/>
      <c r="CB169" s="34"/>
      <c r="CC169" s="32"/>
      <c r="CD169" s="34"/>
      <c r="CE169" s="32"/>
      <c r="CF169" s="34"/>
      <c r="CG169" s="34"/>
      <c r="CH169" s="34"/>
      <c r="CI169" s="32"/>
      <c r="CJ169" s="32"/>
      <c r="CK169" s="34"/>
      <c r="CL169" s="34"/>
      <c r="CM169" s="34"/>
      <c r="CN169" s="34"/>
      <c r="CO169" s="34"/>
      <c r="CP169" s="34"/>
      <c r="CQ169" s="34"/>
      <c r="CR169" s="32"/>
      <c r="CS169" s="34"/>
      <c r="CT169" s="34"/>
      <c r="CU169" s="34"/>
      <c r="CV169" s="34"/>
      <c r="CW169" s="34"/>
      <c r="CX169" s="34"/>
      <c r="CY169" s="34"/>
      <c r="CZ169" s="34"/>
      <c r="DA169" s="34"/>
      <c r="DB169" s="34"/>
      <c r="DC169" s="32"/>
      <c r="DD169" s="34"/>
      <c r="DE169" s="32"/>
      <c r="DF169" s="32"/>
      <c r="DG169" s="34"/>
      <c r="DH169" s="34"/>
      <c r="DI169" s="34"/>
      <c r="DJ169" s="34"/>
      <c r="DK169" s="34"/>
      <c r="DL169" s="32"/>
      <c r="DM169" s="34"/>
      <c r="DN169" s="34"/>
      <c r="DO169" s="34"/>
      <c r="DP169" s="34"/>
      <c r="DQ169" s="32"/>
      <c r="DR169" s="32"/>
      <c r="DS169" s="32"/>
      <c r="DT169" s="32"/>
      <c r="DU169" s="32"/>
      <c r="DV169" s="34"/>
      <c r="DW169" s="34"/>
      <c r="DX169" s="34"/>
      <c r="DY169" s="34"/>
      <c r="DZ169" s="32"/>
      <c r="EA169" s="34"/>
      <c r="EB169" s="34"/>
      <c r="EC169" s="34"/>
      <c r="ED169" s="34"/>
      <c r="EE169" s="34"/>
      <c r="EF169" s="34"/>
      <c r="EG169" s="34"/>
      <c r="EH169" s="34"/>
      <c r="EI169" s="32"/>
      <c r="EJ169" s="34"/>
      <c r="EK169" s="34"/>
      <c r="EL169" s="34"/>
      <c r="EM169" s="34"/>
      <c r="EN169" s="34"/>
      <c r="EO169" s="34"/>
      <c r="EP169" s="34"/>
      <c r="EQ169" s="34"/>
      <c r="ER169" s="34"/>
      <c r="ES169" s="32"/>
      <c r="ET169" s="32"/>
      <c r="EU169" s="32"/>
      <c r="EV169" s="34"/>
      <c r="EW169" s="34"/>
      <c r="EX169" s="34"/>
      <c r="EY169" s="34"/>
      <c r="EZ169" s="34"/>
      <c r="FA169" s="32"/>
      <c r="FB169" s="34"/>
      <c r="FC169" s="34"/>
      <c r="FD169" s="34"/>
      <c r="FE169" s="32"/>
      <c r="FF169" s="34"/>
      <c r="FG169" s="34"/>
      <c r="FH169" s="34"/>
      <c r="FI169" s="34"/>
      <c r="FJ169" s="34"/>
      <c r="FK169" s="34"/>
      <c r="FL169" s="34"/>
      <c r="FM169" s="34"/>
      <c r="FN169" s="34"/>
      <c r="FO169" s="34"/>
      <c r="FP169" s="34"/>
      <c r="FQ169" s="32"/>
      <c r="FR169" s="32"/>
      <c r="FS169" s="34"/>
      <c r="FT169" s="34"/>
      <c r="FU169" s="34"/>
      <c r="FV169" s="34"/>
      <c r="FW169" s="34"/>
      <c r="FX169" s="34"/>
      <c r="FY169" s="34"/>
      <c r="FZ169" s="32"/>
      <c r="GA169" s="34"/>
      <c r="GB169" s="34"/>
      <c r="GC169" s="34"/>
      <c r="GD169" s="32"/>
      <c r="GE169" s="32"/>
      <c r="GF169" s="32"/>
    </row>
    <row r="170">
      <c r="A170" s="41">
        <v>43236.0</v>
      </c>
      <c r="B170" s="42" t="s">
        <v>259</v>
      </c>
      <c r="C170" s="42">
        <v>19.737894</v>
      </c>
      <c r="D170" s="42">
        <v>-155.034058</v>
      </c>
      <c r="E170" s="42" t="s">
        <v>358</v>
      </c>
      <c r="F170" s="43">
        <v>0.375</v>
      </c>
      <c r="G170" s="43">
        <v>0.4166666666666667</v>
      </c>
      <c r="H170" s="42">
        <v>7.0</v>
      </c>
      <c r="I170" s="42">
        <v>20.0</v>
      </c>
      <c r="J170" s="42" t="s">
        <v>198</v>
      </c>
      <c r="K170" s="42">
        <v>4.0</v>
      </c>
      <c r="L170" s="42">
        <v>16.0</v>
      </c>
      <c r="M170" s="42" t="s">
        <v>530</v>
      </c>
      <c r="N170" s="44"/>
      <c r="O170" s="42"/>
      <c r="P170" s="44"/>
      <c r="Q170" s="44"/>
      <c r="R170" s="44"/>
      <c r="S170" s="44"/>
      <c r="T170" s="42"/>
      <c r="U170" s="42"/>
      <c r="V170" s="42"/>
      <c r="W170" s="42"/>
      <c r="X170" s="44"/>
      <c r="Y170" s="44"/>
      <c r="Z170" s="42"/>
      <c r="AA170" s="42"/>
      <c r="AB170" s="42"/>
      <c r="AC170" s="42"/>
      <c r="AD170" s="44"/>
      <c r="AE170" s="44"/>
      <c r="AF170" s="44"/>
      <c r="AG170" s="44"/>
      <c r="AH170" s="42"/>
      <c r="AI170" s="44"/>
      <c r="AJ170" s="44"/>
      <c r="AK170" s="42"/>
      <c r="AL170" s="42"/>
      <c r="AM170" s="42"/>
      <c r="AN170" s="44"/>
      <c r="AO170" s="44"/>
      <c r="AP170" s="44"/>
      <c r="AQ170" s="44"/>
      <c r="AR170" s="44"/>
      <c r="AS170" s="42"/>
      <c r="AT170" s="44"/>
      <c r="AU170" s="44"/>
      <c r="AV170" s="44"/>
      <c r="AW170" s="44"/>
      <c r="AX170" s="44"/>
      <c r="AY170" s="44"/>
      <c r="AZ170" s="42"/>
      <c r="BA170" s="42"/>
      <c r="BB170" s="44"/>
      <c r="BC170" s="44"/>
      <c r="BD170" s="42"/>
      <c r="BE170" s="44"/>
      <c r="BF170" s="44"/>
      <c r="BG170" s="42">
        <v>1.0</v>
      </c>
      <c r="BH170" s="44"/>
      <c r="BI170" s="44"/>
      <c r="BJ170" s="42">
        <v>1.0</v>
      </c>
      <c r="BK170" s="44"/>
      <c r="BL170" s="42">
        <v>1.0</v>
      </c>
      <c r="BM170" s="42"/>
      <c r="BN170" s="44"/>
      <c r="BO170" s="44"/>
      <c r="BP170" s="44"/>
      <c r="BQ170" s="44"/>
      <c r="BR170" s="44"/>
      <c r="BS170" s="42"/>
      <c r="BT170" s="44"/>
      <c r="BU170" s="42"/>
      <c r="BV170" s="42"/>
      <c r="BW170" s="44"/>
      <c r="BX170" s="44"/>
      <c r="BY170" s="42"/>
      <c r="BZ170" s="44"/>
      <c r="CA170" s="44"/>
      <c r="CB170" s="42">
        <v>1.0</v>
      </c>
      <c r="CC170" s="42"/>
      <c r="CD170" s="44"/>
      <c r="CE170" s="42"/>
      <c r="CF170" s="44"/>
      <c r="CG170" s="44"/>
      <c r="CH170" s="44"/>
      <c r="CI170" s="42"/>
      <c r="CJ170" s="42"/>
      <c r="CK170" s="44"/>
      <c r="CL170" s="44"/>
      <c r="CM170" s="44"/>
      <c r="CN170" s="44"/>
      <c r="CO170" s="44"/>
      <c r="CP170" s="44"/>
      <c r="CQ170" s="44"/>
      <c r="CR170" s="42"/>
      <c r="CS170" s="44"/>
      <c r="CT170" s="42">
        <v>1.0</v>
      </c>
      <c r="CU170" s="42">
        <v>1.0</v>
      </c>
      <c r="CV170" s="44"/>
      <c r="CW170" s="44"/>
      <c r="CX170" s="44"/>
      <c r="CY170" s="44"/>
      <c r="CZ170" s="44"/>
      <c r="DA170" s="44"/>
      <c r="DB170" s="44"/>
      <c r="DC170" s="42"/>
      <c r="DD170" s="44"/>
      <c r="DE170" s="42"/>
      <c r="DF170" s="42"/>
      <c r="DG170" s="42">
        <v>1.0</v>
      </c>
      <c r="DH170" s="44"/>
      <c r="DI170" s="42">
        <v>1.0</v>
      </c>
      <c r="DJ170" s="44"/>
      <c r="DK170" s="44"/>
      <c r="DL170" s="42"/>
      <c r="DM170" s="44"/>
      <c r="DN170" s="44"/>
      <c r="DO170" s="42">
        <v>1.0</v>
      </c>
      <c r="DP170" s="44"/>
      <c r="DQ170" s="42"/>
      <c r="DR170" s="42"/>
      <c r="DS170" s="42"/>
      <c r="DT170" s="42"/>
      <c r="DU170" s="42"/>
      <c r="DV170" s="44"/>
      <c r="DW170" s="44"/>
      <c r="DX170" s="44"/>
      <c r="DY170" s="44"/>
      <c r="DZ170" s="42"/>
      <c r="EA170" s="44"/>
      <c r="EB170" s="42">
        <v>1.0</v>
      </c>
      <c r="EC170" s="42">
        <v>1.0</v>
      </c>
      <c r="ED170" s="44"/>
      <c r="EE170" s="44"/>
      <c r="EF170" s="44"/>
      <c r="EG170" s="44"/>
      <c r="EH170" s="44"/>
      <c r="EI170" s="42"/>
      <c r="EJ170" s="44"/>
      <c r="EK170" s="44"/>
      <c r="EL170" s="44"/>
      <c r="EM170" s="44"/>
      <c r="EN170" s="44"/>
      <c r="EO170" s="44"/>
      <c r="EP170" s="44"/>
      <c r="EQ170" s="44"/>
      <c r="ER170" s="44"/>
      <c r="ES170" s="42"/>
      <c r="ET170" s="42"/>
      <c r="EU170" s="42"/>
      <c r="EV170" s="44"/>
      <c r="EW170" s="44"/>
      <c r="EX170" s="44"/>
      <c r="EY170" s="44"/>
      <c r="EZ170" s="44"/>
      <c r="FA170" s="42"/>
      <c r="FB170" s="42">
        <v>1.0</v>
      </c>
      <c r="FC170" s="44"/>
      <c r="FD170" s="44"/>
      <c r="FE170" s="42"/>
      <c r="FF170" s="44"/>
      <c r="FG170" s="44"/>
      <c r="FH170" s="44"/>
      <c r="FI170" s="44"/>
      <c r="FJ170" s="44"/>
      <c r="FK170" s="44"/>
      <c r="FL170" s="42">
        <v>1.0</v>
      </c>
      <c r="FM170" s="44"/>
      <c r="FN170" s="44"/>
      <c r="FO170" s="44"/>
      <c r="FP170" s="44"/>
      <c r="FQ170" s="42"/>
      <c r="FR170" s="42">
        <v>1.0</v>
      </c>
      <c r="FS170" s="44"/>
      <c r="FT170" s="44"/>
      <c r="FU170" s="44"/>
      <c r="FV170" s="42">
        <v>1.0</v>
      </c>
      <c r="FW170" s="44"/>
      <c r="FX170" s="44"/>
      <c r="FY170" s="44"/>
      <c r="FZ170" s="42"/>
      <c r="GA170" s="44"/>
      <c r="GB170" s="44"/>
      <c r="GC170" s="44"/>
      <c r="GD170" s="42"/>
      <c r="GE170" s="42"/>
      <c r="GF170" s="42">
        <v>1.0</v>
      </c>
    </row>
    <row r="171">
      <c r="A171" s="23">
        <v>43236.0</v>
      </c>
      <c r="B171" s="4" t="s">
        <v>266</v>
      </c>
      <c r="C171" s="4">
        <v>22.060684</v>
      </c>
      <c r="D171" s="4">
        <v>-159.318512</v>
      </c>
      <c r="E171" s="4" t="s">
        <v>347</v>
      </c>
      <c r="F171" s="24">
        <v>0.40625</v>
      </c>
      <c r="G171" s="24">
        <v>0.45555555555555555</v>
      </c>
      <c r="H171" s="4">
        <v>10.0</v>
      </c>
      <c r="I171" s="4">
        <v>7.0</v>
      </c>
      <c r="J171" s="4" t="s">
        <v>198</v>
      </c>
      <c r="K171" s="4">
        <v>10.0</v>
      </c>
      <c r="L171" s="4">
        <v>69.0</v>
      </c>
      <c r="M171" s="4" t="s">
        <v>433</v>
      </c>
      <c r="T171" s="4"/>
      <c r="U171" s="4"/>
      <c r="V171" s="4"/>
      <c r="W171" s="4">
        <v>1.0</v>
      </c>
      <c r="Z171" s="4"/>
      <c r="AA171" s="4">
        <v>1.0</v>
      </c>
      <c r="AB171" s="4">
        <v>1.0</v>
      </c>
      <c r="AC171" s="4">
        <v>1.0</v>
      </c>
      <c r="AH171" s="4">
        <v>1.0</v>
      </c>
      <c r="AK171" s="4"/>
      <c r="AL171" s="4">
        <v>1.0</v>
      </c>
      <c r="AM171" s="4">
        <v>1.0</v>
      </c>
      <c r="AS171" s="4">
        <v>1.0</v>
      </c>
      <c r="AZ171" s="4"/>
      <c r="BA171" s="4">
        <v>1.0</v>
      </c>
      <c r="BD171" s="4">
        <v>1.0</v>
      </c>
      <c r="BJ171" s="4">
        <v>1.0</v>
      </c>
      <c r="BM171" s="4">
        <v>1.0</v>
      </c>
      <c r="BS171" s="4">
        <v>1.0</v>
      </c>
      <c r="BU171" s="4">
        <v>1.0</v>
      </c>
      <c r="BV171" s="4">
        <v>1.0</v>
      </c>
      <c r="BY171" s="4">
        <v>1.0</v>
      </c>
      <c r="CC171" s="4">
        <v>1.0</v>
      </c>
      <c r="CE171" s="4">
        <v>1.0</v>
      </c>
      <c r="CI171" s="4"/>
      <c r="CJ171" s="4">
        <v>1.0</v>
      </c>
      <c r="CR171" s="4">
        <v>1.0</v>
      </c>
      <c r="DC171" s="4">
        <v>1.0</v>
      </c>
      <c r="DE171" s="4"/>
      <c r="DF171" s="4">
        <v>1.0</v>
      </c>
      <c r="DL171" s="4">
        <v>1.0</v>
      </c>
      <c r="DQ171" s="4"/>
      <c r="DR171" s="4">
        <v>1.0</v>
      </c>
      <c r="DT171" s="4"/>
      <c r="DU171" s="4">
        <v>1.0</v>
      </c>
      <c r="DZ171" s="4">
        <v>1.0</v>
      </c>
      <c r="EH171" s="4"/>
      <c r="EI171" s="4">
        <v>1.0</v>
      </c>
      <c r="ES171" s="4"/>
      <c r="ET171" s="4"/>
      <c r="EU171" s="4">
        <v>1.0</v>
      </c>
      <c r="FA171" s="4">
        <v>1.0</v>
      </c>
      <c r="FC171" s="4"/>
      <c r="FE171" s="4">
        <v>1.0</v>
      </c>
      <c r="FQ171" s="4">
        <v>1.0</v>
      </c>
      <c r="FR171" s="4">
        <v>1.0</v>
      </c>
      <c r="FZ171" s="4">
        <v>1.0</v>
      </c>
      <c r="GD171" s="4"/>
      <c r="GE171" s="4">
        <v>1.0</v>
      </c>
      <c r="GF171" s="4">
        <v>1.0</v>
      </c>
    </row>
    <row r="172">
      <c r="A172" s="41">
        <v>43237.0</v>
      </c>
      <c r="B172" s="42" t="s">
        <v>216</v>
      </c>
      <c r="C172" s="42">
        <v>21.3002</v>
      </c>
      <c r="D172" s="42">
        <v>-157.882599</v>
      </c>
      <c r="E172" s="42" t="s">
        <v>413</v>
      </c>
      <c r="F172" s="43">
        <v>0.375</v>
      </c>
      <c r="G172" s="43">
        <v>0.4583333333333333</v>
      </c>
      <c r="H172" s="42">
        <v>7.0</v>
      </c>
      <c r="I172" s="42">
        <v>15.0</v>
      </c>
      <c r="J172" s="42" t="s">
        <v>198</v>
      </c>
      <c r="K172" s="42">
        <v>5.0</v>
      </c>
      <c r="L172" s="42">
        <v>26.0</v>
      </c>
      <c r="M172" s="42" t="s">
        <v>531</v>
      </c>
      <c r="N172" s="44"/>
      <c r="O172" s="42"/>
      <c r="P172" s="44"/>
      <c r="Q172" s="42"/>
      <c r="R172" s="44"/>
      <c r="S172" s="44"/>
      <c r="T172" s="44"/>
      <c r="U172" s="44"/>
      <c r="V172" s="44"/>
      <c r="W172" s="44"/>
      <c r="X172" s="44"/>
      <c r="Y172" s="42">
        <v>1.0</v>
      </c>
      <c r="Z172" s="44"/>
      <c r="AA172" s="42">
        <v>1.0</v>
      </c>
      <c r="AB172" s="42">
        <v>1.0</v>
      </c>
      <c r="AC172" s="44"/>
      <c r="AD172" s="44"/>
      <c r="AE172" s="44"/>
      <c r="AF172" s="44"/>
      <c r="AG172" s="44"/>
      <c r="AH172" s="42"/>
      <c r="AI172" s="44"/>
      <c r="AJ172" s="44"/>
      <c r="AK172" s="42"/>
      <c r="AL172" s="42">
        <v>1.0</v>
      </c>
      <c r="AM172" s="44"/>
      <c r="AN172" s="42"/>
      <c r="AO172" s="42"/>
      <c r="AP172" s="44"/>
      <c r="AQ172" s="44"/>
      <c r="AR172" s="44"/>
      <c r="AS172" s="44"/>
      <c r="AT172" s="44"/>
      <c r="AU172" s="44"/>
      <c r="AV172" s="44"/>
      <c r="AW172" s="44"/>
      <c r="AX172" s="44"/>
      <c r="AY172" s="42"/>
      <c r="AZ172" s="44"/>
      <c r="BA172" s="44"/>
      <c r="BB172" s="42">
        <v>1.0</v>
      </c>
      <c r="BC172" s="44"/>
      <c r="BD172" s="42">
        <v>1.0</v>
      </c>
      <c r="BE172" s="44"/>
      <c r="BF172" s="44"/>
      <c r="BG172" s="44"/>
      <c r="BH172" s="44"/>
      <c r="BI172" s="44"/>
      <c r="BJ172" s="44"/>
      <c r="BK172" s="42"/>
      <c r="BL172" s="42">
        <v>1.0</v>
      </c>
      <c r="BM172" s="44"/>
      <c r="BN172" s="44"/>
      <c r="BO172" s="44"/>
      <c r="BP172" s="42"/>
      <c r="BQ172" s="44"/>
      <c r="BR172" s="44"/>
      <c r="BS172" s="42">
        <v>1.0</v>
      </c>
      <c r="BT172" s="44"/>
      <c r="BU172" s="44"/>
      <c r="BV172" s="42"/>
      <c r="BW172" s="42"/>
      <c r="BX172" s="44"/>
      <c r="BY172" s="42">
        <v>1.0</v>
      </c>
      <c r="BZ172" s="44"/>
      <c r="CA172" s="44"/>
      <c r="CB172" s="44"/>
      <c r="CC172" s="44"/>
      <c r="CD172" s="44"/>
      <c r="CE172" s="42">
        <v>1.0</v>
      </c>
      <c r="CF172" s="44"/>
      <c r="CG172" s="44"/>
      <c r="CH172" s="42"/>
      <c r="CI172" s="42"/>
      <c r="CJ172" s="42"/>
      <c r="CK172" s="44"/>
      <c r="CL172" s="44"/>
      <c r="CM172" s="44"/>
      <c r="CN172" s="44"/>
      <c r="CO172" s="44"/>
      <c r="CP172" s="44"/>
      <c r="CQ172" s="44"/>
      <c r="CR172" s="42"/>
      <c r="CS172" s="44"/>
      <c r="CT172" s="44"/>
      <c r="CU172" s="44"/>
      <c r="CV172" s="44"/>
      <c r="CW172" s="44"/>
      <c r="CX172" s="44"/>
      <c r="CY172" s="44"/>
      <c r="CZ172" s="44"/>
      <c r="DA172" s="44"/>
      <c r="DB172" s="44"/>
      <c r="DC172" s="42"/>
      <c r="DD172" s="44"/>
      <c r="DE172" s="42"/>
      <c r="DF172" s="42">
        <v>1.0</v>
      </c>
      <c r="DG172" s="44"/>
      <c r="DH172" s="44"/>
      <c r="DI172" s="44"/>
      <c r="DJ172" s="44"/>
      <c r="DK172" s="44"/>
      <c r="DL172" s="44"/>
      <c r="DM172" s="44"/>
      <c r="DN172" s="44"/>
      <c r="DO172" s="44"/>
      <c r="DP172" s="44"/>
      <c r="DQ172" s="42"/>
      <c r="DR172" s="42"/>
      <c r="DS172" s="42"/>
      <c r="DT172" s="42"/>
      <c r="DU172" s="42"/>
      <c r="DV172" s="44"/>
      <c r="DW172" s="44"/>
      <c r="DX172" s="44"/>
      <c r="DY172" s="42"/>
      <c r="DZ172" s="44"/>
      <c r="EA172" s="44"/>
      <c r="EB172" s="42">
        <v>1.0</v>
      </c>
      <c r="EC172" s="44"/>
      <c r="ED172" s="44"/>
      <c r="EE172" s="44"/>
      <c r="EF172" s="44"/>
      <c r="EG172" s="44"/>
      <c r="EH172" s="44"/>
      <c r="EI172" s="42"/>
      <c r="EJ172" s="44"/>
      <c r="EK172" s="44"/>
      <c r="EL172" s="44"/>
      <c r="EM172" s="44"/>
      <c r="EN172" s="44"/>
      <c r="EO172" s="44"/>
      <c r="EP172" s="44"/>
      <c r="EQ172" s="44"/>
      <c r="ER172" s="44"/>
      <c r="ES172" s="44"/>
      <c r="ET172" s="44"/>
      <c r="EU172" s="44"/>
      <c r="EV172" s="44"/>
      <c r="EW172" s="42"/>
      <c r="EX172" s="44"/>
      <c r="EY172" s="44"/>
      <c r="EZ172" s="44"/>
      <c r="FA172" s="42"/>
      <c r="FB172" s="44"/>
      <c r="FC172" s="44"/>
      <c r="FD172" s="44"/>
      <c r="FE172" s="44"/>
      <c r="FF172" s="44"/>
      <c r="FG172" s="44"/>
      <c r="FH172" s="44"/>
      <c r="FI172" s="44"/>
      <c r="FJ172" s="44"/>
      <c r="FK172" s="44"/>
      <c r="FL172" s="42"/>
      <c r="FM172" s="44"/>
      <c r="FN172" s="44"/>
      <c r="FO172" s="44"/>
      <c r="FP172" s="44"/>
      <c r="FQ172" s="44"/>
      <c r="FR172" s="42">
        <v>1.0</v>
      </c>
      <c r="FS172" s="44"/>
      <c r="FT172" s="44"/>
      <c r="FU172" s="44"/>
      <c r="FV172" s="44"/>
      <c r="FW172" s="44"/>
      <c r="FX172" s="44"/>
      <c r="FY172" s="44"/>
      <c r="FZ172" s="44"/>
      <c r="GA172" s="44"/>
      <c r="GB172" s="44"/>
      <c r="GC172" s="44"/>
      <c r="GD172" s="44"/>
      <c r="GE172" s="44"/>
      <c r="GF172" s="44"/>
    </row>
    <row r="173">
      <c r="A173" s="23">
        <v>43238.0</v>
      </c>
      <c r="B173" s="4" t="s">
        <v>201</v>
      </c>
      <c r="C173" s="4">
        <v>21.25544</v>
      </c>
      <c r="D173" s="4">
        <v>-157.810303</v>
      </c>
      <c r="E173" s="4" t="s">
        <v>325</v>
      </c>
      <c r="F173" s="24">
        <v>0.4270833333333333</v>
      </c>
      <c r="G173" s="24">
        <v>0.4673611111111111</v>
      </c>
      <c r="H173" s="4">
        <v>5.0</v>
      </c>
      <c r="I173" s="4">
        <v>10.0</v>
      </c>
      <c r="J173" s="4" t="s">
        <v>318</v>
      </c>
      <c r="K173" s="4">
        <v>5.0</v>
      </c>
      <c r="L173" s="4">
        <v>25.0</v>
      </c>
      <c r="Q173" s="4">
        <v>1.0</v>
      </c>
      <c r="AH173" s="4">
        <v>1.0</v>
      </c>
      <c r="AK173" s="4">
        <v>1.0</v>
      </c>
      <c r="AN173" s="4"/>
      <c r="AO173" s="4">
        <v>1.0</v>
      </c>
      <c r="AY173" s="4">
        <v>1.0</v>
      </c>
      <c r="BB173" s="4">
        <v>1.0</v>
      </c>
      <c r="BK173" s="4">
        <v>1.0</v>
      </c>
      <c r="BL173" s="4">
        <v>1.0</v>
      </c>
      <c r="BP173" s="4">
        <v>1.0</v>
      </c>
      <c r="BV173" s="4">
        <v>1.0</v>
      </c>
      <c r="BW173" s="4">
        <v>1.0</v>
      </c>
      <c r="CH173" s="4">
        <v>1.0</v>
      </c>
      <c r="CI173" s="4"/>
      <c r="CJ173" s="4">
        <v>1.0</v>
      </c>
      <c r="CR173" s="4">
        <v>1.0</v>
      </c>
      <c r="DC173" s="4">
        <v>1.0</v>
      </c>
      <c r="DE173" s="4"/>
      <c r="DF173" s="4">
        <v>1.0</v>
      </c>
      <c r="DQ173" s="4"/>
      <c r="DR173" s="4">
        <v>1.0</v>
      </c>
      <c r="DT173" s="4"/>
      <c r="DU173" s="4">
        <v>1.0</v>
      </c>
      <c r="DY173" s="4">
        <v>1.0</v>
      </c>
      <c r="EB173" s="4">
        <v>1.0</v>
      </c>
      <c r="EH173" s="4"/>
      <c r="EI173" s="4">
        <v>1.0</v>
      </c>
      <c r="EW173" s="4">
        <v>1.0</v>
      </c>
      <c r="FA173" s="4">
        <v>1.0</v>
      </c>
      <c r="FL173" s="4">
        <v>1.0</v>
      </c>
      <c r="FR173" s="4">
        <v>1.0</v>
      </c>
    </row>
    <row r="174">
      <c r="A174" s="37">
        <v>43238.0</v>
      </c>
      <c r="B174" s="38" t="s">
        <v>259</v>
      </c>
      <c r="C174" s="38">
        <v>19.737894</v>
      </c>
      <c r="D174" s="38">
        <v>-155.034058</v>
      </c>
      <c r="E174" s="38" t="s">
        <v>358</v>
      </c>
      <c r="F174" s="39">
        <v>0.3888888888888889</v>
      </c>
      <c r="G174" s="39">
        <v>0.4166666666666667</v>
      </c>
      <c r="H174" s="38">
        <v>7.0</v>
      </c>
      <c r="I174" s="38">
        <v>20.0</v>
      </c>
      <c r="J174" s="38" t="s">
        <v>198</v>
      </c>
      <c r="K174" s="38">
        <v>12.0</v>
      </c>
      <c r="L174" s="38">
        <v>52.0</v>
      </c>
      <c r="M174" s="38" t="s">
        <v>434</v>
      </c>
      <c r="N174" s="38"/>
      <c r="O174" s="38"/>
      <c r="P174" s="40"/>
      <c r="Q174" s="40"/>
      <c r="R174" s="38">
        <v>1.0</v>
      </c>
      <c r="S174" s="40"/>
      <c r="T174" s="40"/>
      <c r="U174" s="40"/>
      <c r="V174" s="40"/>
      <c r="W174" s="40"/>
      <c r="X174" s="40"/>
      <c r="Y174" s="40"/>
      <c r="Z174" s="40"/>
      <c r="AA174" s="40"/>
      <c r="AB174" s="40"/>
      <c r="AC174" s="40"/>
      <c r="AD174" s="40"/>
      <c r="AE174" s="38">
        <v>1.0</v>
      </c>
      <c r="AF174" s="38">
        <v>1.0</v>
      </c>
      <c r="AG174" s="40"/>
      <c r="AH174" s="40"/>
      <c r="AI174" s="40"/>
      <c r="AJ174" s="40"/>
      <c r="AK174" s="38">
        <v>1.0</v>
      </c>
      <c r="AL174" s="40"/>
      <c r="AM174" s="40"/>
      <c r="AN174" s="38"/>
      <c r="AO174" s="38">
        <v>1.0</v>
      </c>
      <c r="AP174" s="40"/>
      <c r="AQ174" s="40"/>
      <c r="AR174" s="40"/>
      <c r="AS174" s="40"/>
      <c r="AT174" s="40"/>
      <c r="AU174" s="40"/>
      <c r="AV174" s="40"/>
      <c r="AW174" s="40"/>
      <c r="AX174" s="40"/>
      <c r="AY174" s="40"/>
      <c r="AZ174" s="38"/>
      <c r="BA174" s="38">
        <v>1.0</v>
      </c>
      <c r="BB174" s="40"/>
      <c r="BC174" s="40"/>
      <c r="BD174" s="40"/>
      <c r="BE174" s="40"/>
      <c r="BF174" s="40"/>
      <c r="BG174" s="40"/>
      <c r="BH174" s="40"/>
      <c r="BI174" s="40"/>
      <c r="BJ174" s="38">
        <v>1.0</v>
      </c>
      <c r="BK174" s="38">
        <v>1.0</v>
      </c>
      <c r="BL174" s="38">
        <v>1.0</v>
      </c>
      <c r="BM174" s="40"/>
      <c r="BN174" s="40"/>
      <c r="BO174" s="40"/>
      <c r="BP174" s="40"/>
      <c r="BQ174" s="40"/>
      <c r="BR174" s="40"/>
      <c r="BS174" s="40"/>
      <c r="BT174" s="40"/>
      <c r="BU174" s="40"/>
      <c r="BV174" s="40"/>
      <c r="BW174" s="40"/>
      <c r="BX174" s="40"/>
      <c r="BY174" s="40"/>
      <c r="BZ174" s="40"/>
      <c r="CA174" s="40"/>
      <c r="CB174" s="38">
        <v>1.0</v>
      </c>
      <c r="CC174" s="38">
        <v>1.0</v>
      </c>
      <c r="CD174" s="40"/>
      <c r="CE174" s="40"/>
      <c r="CF174" s="40"/>
      <c r="CG174" s="40"/>
      <c r="CH174" s="40"/>
      <c r="CI174" s="40"/>
      <c r="CJ174" s="40"/>
      <c r="CK174" s="40"/>
      <c r="CL174" s="40"/>
      <c r="CM174" s="40"/>
      <c r="CN174" s="40"/>
      <c r="CO174" s="40"/>
      <c r="CP174" s="40"/>
      <c r="CQ174" s="40"/>
      <c r="CR174" s="40"/>
      <c r="CS174" s="40"/>
      <c r="CT174" s="38">
        <v>1.0</v>
      </c>
      <c r="CU174" s="40"/>
      <c r="CV174" s="40"/>
      <c r="CW174" s="40"/>
      <c r="CX174" s="40"/>
      <c r="CY174" s="40"/>
      <c r="CZ174" s="40"/>
      <c r="DA174" s="40"/>
      <c r="DB174" s="40"/>
      <c r="DC174" s="40"/>
      <c r="DD174" s="40"/>
      <c r="DE174" s="40"/>
      <c r="DF174" s="40"/>
      <c r="DG174" s="38">
        <v>1.0</v>
      </c>
      <c r="DH174" s="40"/>
      <c r="DI174" s="40"/>
      <c r="DJ174" s="40"/>
      <c r="DK174" s="40"/>
      <c r="DL174" s="40"/>
      <c r="DM174" s="40"/>
      <c r="DN174" s="40"/>
      <c r="DO174" s="40"/>
      <c r="DP174" s="40"/>
      <c r="DQ174" s="40"/>
      <c r="DR174" s="40"/>
      <c r="DS174" s="40"/>
      <c r="DT174" s="40"/>
      <c r="DU174" s="40"/>
      <c r="DV174" s="40"/>
      <c r="DW174" s="40"/>
      <c r="DX174" s="40"/>
      <c r="DY174" s="40"/>
      <c r="DZ174" s="40"/>
      <c r="EA174" s="40"/>
      <c r="EB174" s="40"/>
      <c r="EC174" s="38">
        <v>1.0</v>
      </c>
      <c r="ED174" s="40"/>
      <c r="EE174" s="40"/>
      <c r="EF174" s="38"/>
      <c r="EG174" s="38"/>
      <c r="EH174" s="38">
        <v>1.0</v>
      </c>
      <c r="EI174" s="40"/>
      <c r="EJ174" s="40"/>
      <c r="EK174" s="40"/>
      <c r="EL174" s="40"/>
      <c r="EM174" s="40"/>
      <c r="EN174" s="40"/>
      <c r="EO174" s="40"/>
      <c r="EP174" s="40"/>
      <c r="EQ174" s="40"/>
      <c r="ER174" s="40"/>
      <c r="ES174" s="40"/>
      <c r="ET174" s="40"/>
      <c r="EU174" s="40"/>
      <c r="EV174" s="40"/>
      <c r="EW174" s="38">
        <v>1.0</v>
      </c>
      <c r="EX174" s="40"/>
      <c r="EY174" s="40"/>
      <c r="EZ174" s="40"/>
      <c r="FA174" s="40"/>
      <c r="FB174" s="38">
        <v>1.0</v>
      </c>
      <c r="FC174" s="40"/>
      <c r="FD174" s="40"/>
      <c r="FE174" s="38">
        <v>1.0</v>
      </c>
      <c r="FF174" s="40"/>
      <c r="FG174" s="40"/>
      <c r="FH174" s="40"/>
      <c r="FI174" s="40"/>
      <c r="FJ174" s="40"/>
      <c r="FK174" s="40"/>
      <c r="FL174" s="38">
        <v>1.0</v>
      </c>
      <c r="FM174" s="40"/>
      <c r="FN174" s="40"/>
      <c r="FO174" s="40"/>
      <c r="FP174" s="38">
        <v>1.0</v>
      </c>
      <c r="FQ174" s="40"/>
      <c r="FR174" s="38">
        <v>1.0</v>
      </c>
      <c r="FS174" s="38">
        <v>1.0</v>
      </c>
      <c r="FT174" s="40"/>
      <c r="FU174" s="38"/>
      <c r="FV174" s="38">
        <v>1.0</v>
      </c>
      <c r="FW174" s="40"/>
      <c r="FX174" s="40"/>
      <c r="FY174" s="40"/>
      <c r="FZ174" s="38">
        <v>1.0</v>
      </c>
      <c r="GA174" s="40"/>
      <c r="GB174" s="40"/>
      <c r="GC174" s="40"/>
      <c r="GD174" s="38"/>
      <c r="GE174" s="38">
        <v>1.0</v>
      </c>
      <c r="GF174" s="38">
        <v>1.0</v>
      </c>
    </row>
    <row r="175">
      <c r="A175" s="31">
        <v>43238.0</v>
      </c>
      <c r="B175" s="32" t="s">
        <v>246</v>
      </c>
      <c r="C175" s="32"/>
      <c r="D175" s="32"/>
      <c r="E175" s="32"/>
      <c r="F175" s="33"/>
      <c r="G175" s="33"/>
      <c r="H175" s="32"/>
      <c r="I175" s="32"/>
      <c r="J175" s="32"/>
      <c r="K175" s="32"/>
      <c r="L175" s="32"/>
      <c r="M175" s="32"/>
      <c r="N175" s="32"/>
      <c r="O175" s="32"/>
      <c r="P175" s="34"/>
      <c r="Q175" s="32"/>
      <c r="R175" s="32"/>
      <c r="S175" s="34"/>
      <c r="T175" s="34"/>
      <c r="U175" s="34"/>
      <c r="V175" s="34"/>
      <c r="W175" s="34"/>
      <c r="X175" s="34"/>
      <c r="Y175" s="34"/>
      <c r="Z175" s="34"/>
      <c r="AA175" s="34"/>
      <c r="AB175" s="32"/>
      <c r="AC175" s="34"/>
      <c r="AD175" s="34"/>
      <c r="AE175" s="34"/>
      <c r="AF175" s="34"/>
      <c r="AG175" s="34"/>
      <c r="AH175" s="34"/>
      <c r="AI175" s="34"/>
      <c r="AJ175" s="34"/>
      <c r="AK175" s="34"/>
      <c r="AL175" s="34"/>
      <c r="AM175" s="34"/>
      <c r="AN175" s="34"/>
      <c r="AO175" s="34"/>
      <c r="AP175" s="34"/>
      <c r="AQ175" s="34"/>
      <c r="AR175" s="34"/>
      <c r="AS175" s="34"/>
      <c r="AT175" s="34"/>
      <c r="AU175" s="34"/>
      <c r="AV175" s="34"/>
      <c r="AW175" s="34"/>
      <c r="AX175" s="34"/>
      <c r="AY175" s="34"/>
      <c r="AZ175" s="34"/>
      <c r="BA175" s="34"/>
      <c r="BB175" s="34"/>
      <c r="BC175" s="34"/>
      <c r="BD175" s="34"/>
      <c r="BE175" s="34"/>
      <c r="BF175" s="34"/>
      <c r="BG175" s="32"/>
      <c r="BH175" s="34"/>
      <c r="BI175" s="34"/>
      <c r="BJ175" s="32"/>
      <c r="BK175" s="32"/>
      <c r="BL175" s="32"/>
      <c r="BM175" s="32"/>
      <c r="BN175" s="34"/>
      <c r="BO175" s="34"/>
      <c r="BP175" s="34"/>
      <c r="BQ175" s="34"/>
      <c r="BR175" s="34"/>
      <c r="BS175" s="34"/>
      <c r="BT175" s="34"/>
      <c r="BU175" s="34"/>
      <c r="BV175" s="34"/>
      <c r="BW175" s="34"/>
      <c r="BX175" s="34"/>
      <c r="BY175" s="34"/>
      <c r="BZ175" s="32"/>
      <c r="CA175" s="34"/>
      <c r="CB175" s="32"/>
      <c r="CC175" s="34"/>
      <c r="CD175" s="34"/>
      <c r="CE175" s="34"/>
      <c r="CF175" s="34"/>
      <c r="CG175" s="34"/>
      <c r="CH175" s="34"/>
      <c r="CI175" s="34"/>
      <c r="CJ175" s="34"/>
      <c r="CK175" s="34"/>
      <c r="CL175" s="34"/>
      <c r="CM175" s="34"/>
      <c r="CN175" s="34"/>
      <c r="CO175" s="34"/>
      <c r="CP175" s="34"/>
      <c r="CQ175" s="34"/>
      <c r="CR175" s="34"/>
      <c r="CS175" s="34"/>
      <c r="CT175" s="34"/>
      <c r="CU175" s="34"/>
      <c r="CV175" s="34"/>
      <c r="CW175" s="34"/>
      <c r="CX175" s="34"/>
      <c r="CY175" s="34"/>
      <c r="CZ175" s="34"/>
      <c r="DA175" s="34"/>
      <c r="DB175" s="34"/>
      <c r="DC175" s="34"/>
      <c r="DD175" s="34"/>
      <c r="DE175" s="32"/>
      <c r="DF175" s="32"/>
      <c r="DG175" s="34"/>
      <c r="DH175" s="34"/>
      <c r="DI175" s="34"/>
      <c r="DJ175" s="34"/>
      <c r="DK175" s="34"/>
      <c r="DL175" s="32"/>
      <c r="DM175" s="34"/>
      <c r="DN175" s="32"/>
      <c r="DO175" s="34"/>
      <c r="DP175" s="34"/>
      <c r="DQ175" s="34"/>
      <c r="DR175" s="34"/>
      <c r="DS175" s="34"/>
      <c r="DT175" s="34"/>
      <c r="DU175" s="34"/>
      <c r="DV175" s="34"/>
      <c r="DW175" s="34"/>
      <c r="DX175" s="34"/>
      <c r="DY175" s="32"/>
      <c r="DZ175" s="34"/>
      <c r="EA175" s="34"/>
      <c r="EB175" s="34"/>
      <c r="EC175" s="34"/>
      <c r="ED175" s="34"/>
      <c r="EE175" s="34"/>
      <c r="EF175" s="34"/>
      <c r="EG175" s="34"/>
      <c r="EH175" s="34"/>
      <c r="EI175" s="32"/>
      <c r="EJ175" s="34"/>
      <c r="EK175" s="34"/>
      <c r="EL175" s="34"/>
      <c r="EM175" s="34"/>
      <c r="EN175" s="34"/>
      <c r="EO175" s="34"/>
      <c r="EP175" s="34"/>
      <c r="EQ175" s="34"/>
      <c r="ER175" s="34"/>
      <c r="ES175" s="34"/>
      <c r="ET175" s="34"/>
      <c r="EU175" s="34"/>
      <c r="EV175" s="34"/>
      <c r="EW175" s="34"/>
      <c r="EX175" s="32"/>
      <c r="EY175" s="32"/>
      <c r="EZ175" s="34"/>
      <c r="FA175" s="32"/>
      <c r="FB175" s="34"/>
      <c r="FC175" s="34"/>
      <c r="FD175" s="34"/>
      <c r="FE175" s="34"/>
      <c r="FF175" s="34"/>
      <c r="FG175" s="34"/>
      <c r="FH175" s="34"/>
      <c r="FI175" s="34"/>
      <c r="FJ175" s="34"/>
      <c r="FK175" s="34"/>
      <c r="FL175" s="32"/>
      <c r="FM175" s="32"/>
      <c r="FN175" s="32"/>
      <c r="FO175" s="32"/>
      <c r="FP175" s="34"/>
      <c r="FQ175" s="32"/>
      <c r="FR175" s="32"/>
      <c r="FS175" s="34"/>
      <c r="FT175" s="34"/>
      <c r="FU175" s="32"/>
      <c r="FV175" s="32"/>
      <c r="FW175" s="34"/>
      <c r="FX175" s="34"/>
      <c r="FY175" s="34"/>
      <c r="FZ175" s="34"/>
      <c r="GA175" s="34"/>
      <c r="GB175" s="34"/>
      <c r="GC175" s="34"/>
      <c r="GD175" s="34"/>
      <c r="GE175" s="34"/>
      <c r="GF175" s="32"/>
    </row>
    <row r="176">
      <c r="A176" s="41">
        <v>43239.0</v>
      </c>
      <c r="B176" s="42" t="s">
        <v>369</v>
      </c>
      <c r="C176" s="42">
        <v>21.888725</v>
      </c>
      <c r="D176" s="42">
        <v>-159.416412</v>
      </c>
      <c r="E176" s="42" t="s">
        <v>321</v>
      </c>
      <c r="F176" s="43">
        <v>0.45694444444444443</v>
      </c>
      <c r="G176" s="43">
        <v>0.4756944444444444</v>
      </c>
      <c r="H176" s="42">
        <v>3.0</v>
      </c>
      <c r="I176" s="42">
        <v>4.5</v>
      </c>
      <c r="J176" s="42" t="s">
        <v>314</v>
      </c>
      <c r="K176" s="42">
        <v>10.0</v>
      </c>
      <c r="L176" s="42">
        <v>9.0</v>
      </c>
      <c r="M176" s="42" t="s">
        <v>532</v>
      </c>
      <c r="N176" s="42"/>
      <c r="O176" s="42"/>
      <c r="P176" s="44"/>
      <c r="Q176" s="42"/>
      <c r="R176" s="42"/>
      <c r="S176" s="44"/>
      <c r="T176" s="44"/>
      <c r="U176" s="44"/>
      <c r="V176" s="44"/>
      <c r="W176" s="44"/>
      <c r="X176" s="44"/>
      <c r="Y176" s="44"/>
      <c r="Z176" s="44"/>
      <c r="AA176" s="42">
        <v>1.0</v>
      </c>
      <c r="AB176" s="42"/>
      <c r="AC176" s="44"/>
      <c r="AD176" s="44"/>
      <c r="AE176" s="44"/>
      <c r="AF176" s="44"/>
      <c r="AG176" s="44"/>
      <c r="AH176" s="44"/>
      <c r="AI176" s="44"/>
      <c r="AJ176" s="44"/>
      <c r="AK176" s="44"/>
      <c r="AL176" s="44"/>
      <c r="AM176" s="44"/>
      <c r="AN176" s="44"/>
      <c r="AO176" s="44"/>
      <c r="AP176" s="44"/>
      <c r="AQ176" s="44"/>
      <c r="AR176" s="44"/>
      <c r="AS176" s="44"/>
      <c r="AT176" s="44"/>
      <c r="AU176" s="44"/>
      <c r="AV176" s="44"/>
      <c r="AW176" s="42">
        <v>1.0</v>
      </c>
      <c r="AX176" s="44"/>
      <c r="AY176" s="44"/>
      <c r="AZ176" s="44"/>
      <c r="BA176" s="44"/>
      <c r="BB176" s="44"/>
      <c r="BC176" s="44"/>
      <c r="BD176" s="44"/>
      <c r="BE176" s="44"/>
      <c r="BF176" s="44"/>
      <c r="BG176" s="42"/>
      <c r="BH176" s="44"/>
      <c r="BI176" s="44"/>
      <c r="BJ176" s="42"/>
      <c r="BK176" s="42"/>
      <c r="BL176" s="42"/>
      <c r="BM176" s="42"/>
      <c r="BN176" s="44"/>
      <c r="BO176" s="44"/>
      <c r="BP176" s="44"/>
      <c r="BQ176" s="44"/>
      <c r="BR176" s="44"/>
      <c r="BS176" s="44"/>
      <c r="BT176" s="44"/>
      <c r="BU176" s="44"/>
      <c r="BV176" s="44"/>
      <c r="BW176" s="44"/>
      <c r="BX176" s="44"/>
      <c r="BY176" s="44"/>
      <c r="BZ176" s="42"/>
      <c r="CA176" s="44"/>
      <c r="CB176" s="42"/>
      <c r="CC176" s="44"/>
      <c r="CD176" s="44"/>
      <c r="CE176" s="44"/>
      <c r="CF176" s="44"/>
      <c r="CG176" s="44"/>
      <c r="CH176" s="44"/>
      <c r="CI176" s="44"/>
      <c r="CJ176" s="44"/>
      <c r="CK176" s="44"/>
      <c r="CL176" s="44"/>
      <c r="CM176" s="44"/>
      <c r="CN176" s="44"/>
      <c r="CO176" s="44"/>
      <c r="CP176" s="44"/>
      <c r="CQ176" s="44"/>
      <c r="CR176" s="44"/>
      <c r="CS176" s="44"/>
      <c r="CT176" s="44"/>
      <c r="CU176" s="44"/>
      <c r="CV176" s="44"/>
      <c r="CW176" s="44"/>
      <c r="CX176" s="44"/>
      <c r="CY176" s="44"/>
      <c r="CZ176" s="44"/>
      <c r="DA176" s="44"/>
      <c r="DB176" s="44"/>
      <c r="DC176" s="44"/>
      <c r="DD176" s="44"/>
      <c r="DE176" s="42"/>
      <c r="DF176" s="42"/>
      <c r="DG176" s="44"/>
      <c r="DH176" s="44"/>
      <c r="DI176" s="44"/>
      <c r="DJ176" s="44"/>
      <c r="DK176" s="44"/>
      <c r="DL176" s="42"/>
      <c r="DM176" s="44"/>
      <c r="DN176" s="42"/>
      <c r="DO176" s="44"/>
      <c r="DP176" s="44"/>
      <c r="DQ176" s="44"/>
      <c r="DR176" s="42">
        <v>1.0</v>
      </c>
      <c r="DS176" s="44"/>
      <c r="DT176" s="44"/>
      <c r="DU176" s="44"/>
      <c r="DV176" s="44"/>
      <c r="DW176" s="44"/>
      <c r="DX176" s="44"/>
      <c r="DY176" s="42"/>
      <c r="DZ176" s="44"/>
      <c r="EA176" s="44"/>
      <c r="EB176" s="44"/>
      <c r="EC176" s="44"/>
      <c r="ED176" s="44"/>
      <c r="EE176" s="44"/>
      <c r="EF176" s="44"/>
      <c r="EG176" s="44"/>
      <c r="EH176" s="44"/>
      <c r="EI176" s="42"/>
      <c r="EJ176" s="44"/>
      <c r="EK176" s="44"/>
      <c r="EL176" s="44"/>
      <c r="EM176" s="44"/>
      <c r="EN176" s="44"/>
      <c r="EO176" s="44"/>
      <c r="EP176" s="44"/>
      <c r="EQ176" s="44"/>
      <c r="ER176" s="44"/>
      <c r="ES176" s="44"/>
      <c r="ET176" s="44"/>
      <c r="EU176" s="44"/>
      <c r="EV176" s="44"/>
      <c r="EW176" s="44"/>
      <c r="EX176" s="42"/>
      <c r="EY176" s="42"/>
      <c r="EZ176" s="44"/>
      <c r="FA176" s="42">
        <v>1.0</v>
      </c>
      <c r="FB176" s="44"/>
      <c r="FC176" s="44"/>
      <c r="FD176" s="44"/>
      <c r="FE176" s="44"/>
      <c r="FF176" s="44"/>
      <c r="FG176" s="44"/>
      <c r="FH176" s="44"/>
      <c r="FI176" s="44"/>
      <c r="FJ176" s="44"/>
      <c r="FK176" s="44"/>
      <c r="FL176" s="42"/>
      <c r="FM176" s="42"/>
      <c r="FN176" s="42"/>
      <c r="FO176" s="42"/>
      <c r="FP176" s="44"/>
      <c r="FQ176" s="42"/>
      <c r="FR176" s="42">
        <v>1.0</v>
      </c>
      <c r="FS176" s="44"/>
      <c r="FT176" s="42">
        <v>1.0</v>
      </c>
      <c r="FU176" s="42"/>
      <c r="FV176" s="42">
        <v>1.0</v>
      </c>
      <c r="FW176" s="44"/>
      <c r="FX176" s="44"/>
      <c r="FY176" s="44"/>
      <c r="FZ176" s="44"/>
      <c r="GA176" s="44"/>
      <c r="GB176" s="44"/>
      <c r="GC176" s="44"/>
      <c r="GD176" s="44"/>
      <c r="GE176" s="44"/>
      <c r="GF176" s="42"/>
    </row>
    <row r="177">
      <c r="A177" s="41">
        <v>43241.0</v>
      </c>
      <c r="B177" s="42" t="s">
        <v>230</v>
      </c>
      <c r="C177" s="42">
        <v>20.7537</v>
      </c>
      <c r="D177" s="42">
        <v>-156.460907</v>
      </c>
      <c r="E177" s="42" t="s">
        <v>397</v>
      </c>
      <c r="F177" s="43">
        <v>0.46875</v>
      </c>
      <c r="G177" s="43">
        <v>0.5416666666666666</v>
      </c>
      <c r="H177" s="42">
        <v>5.0</v>
      </c>
      <c r="I177" s="42">
        <v>12.0</v>
      </c>
      <c r="J177" s="42" t="s">
        <v>198</v>
      </c>
      <c r="K177" s="42">
        <v>7.0</v>
      </c>
      <c r="L177" s="42">
        <v>19.0</v>
      </c>
      <c r="M177" s="42" t="s">
        <v>533</v>
      </c>
      <c r="N177" s="42"/>
      <c r="O177" s="42"/>
      <c r="P177" s="44"/>
      <c r="Q177" s="42">
        <v>1.0</v>
      </c>
      <c r="R177" s="42"/>
      <c r="S177" s="44"/>
      <c r="T177" s="44"/>
      <c r="U177" s="44"/>
      <c r="V177" s="44"/>
      <c r="W177" s="44"/>
      <c r="X177" s="44"/>
      <c r="Y177" s="44"/>
      <c r="Z177" s="44"/>
      <c r="AA177" s="42">
        <v>1.0</v>
      </c>
      <c r="AB177" s="42"/>
      <c r="AC177" s="44"/>
      <c r="AD177" s="44"/>
      <c r="AE177" s="44"/>
      <c r="AF177" s="44"/>
      <c r="AG177" s="44"/>
      <c r="AH177" s="44"/>
      <c r="AI177" s="44"/>
      <c r="AJ177" s="44"/>
      <c r="AK177" s="44"/>
      <c r="AL177" s="42">
        <v>1.0</v>
      </c>
      <c r="AM177" s="44"/>
      <c r="AN177" s="44"/>
      <c r="AO177" s="44"/>
      <c r="AP177" s="44"/>
      <c r="AQ177" s="44"/>
      <c r="AR177" s="44"/>
      <c r="AS177" s="44"/>
      <c r="AT177" s="44"/>
      <c r="AU177" s="44"/>
      <c r="AV177" s="44"/>
      <c r="AW177" s="44"/>
      <c r="AX177" s="44"/>
      <c r="AY177" s="44"/>
      <c r="AZ177" s="44"/>
      <c r="BA177" s="44"/>
      <c r="BB177" s="44"/>
      <c r="BC177" s="44"/>
      <c r="BD177" s="44"/>
      <c r="BE177" s="44"/>
      <c r="BF177" s="44"/>
      <c r="BG177" s="42"/>
      <c r="BH177" s="44"/>
      <c r="BI177" s="44"/>
      <c r="BJ177" s="42"/>
      <c r="BK177" s="42"/>
      <c r="BL177" s="42">
        <v>1.0</v>
      </c>
      <c r="BM177" s="42"/>
      <c r="BN177" s="44"/>
      <c r="BO177" s="44"/>
      <c r="BP177" s="44"/>
      <c r="BQ177" s="44"/>
      <c r="BR177" s="44"/>
      <c r="BS177" s="44"/>
      <c r="BT177" s="44"/>
      <c r="BU177" s="44"/>
      <c r="BV177" s="44"/>
      <c r="BW177" s="44"/>
      <c r="BX177" s="44"/>
      <c r="BY177" s="44"/>
      <c r="BZ177" s="42"/>
      <c r="CA177" s="44"/>
      <c r="CB177" s="42"/>
      <c r="CC177" s="44"/>
      <c r="CD177" s="44"/>
      <c r="CE177" s="44"/>
      <c r="CF177" s="44"/>
      <c r="CG177" s="44"/>
      <c r="CH177" s="44"/>
      <c r="CI177" s="44"/>
      <c r="CJ177" s="42">
        <v>1.0</v>
      </c>
      <c r="CK177" s="44"/>
      <c r="CL177" s="44"/>
      <c r="CM177" s="42">
        <v>1.0</v>
      </c>
      <c r="CN177" s="44"/>
      <c r="CO177" s="44"/>
      <c r="CP177" s="44"/>
      <c r="CQ177" s="44"/>
      <c r="CR177" s="44"/>
      <c r="CS177" s="44"/>
      <c r="CT177" s="44"/>
      <c r="CU177" s="44"/>
      <c r="CV177" s="44"/>
      <c r="CW177" s="44"/>
      <c r="CX177" s="44"/>
      <c r="CY177" s="44"/>
      <c r="CZ177" s="44"/>
      <c r="DA177" s="44"/>
      <c r="DB177" s="44"/>
      <c r="DC177" s="44"/>
      <c r="DD177" s="44"/>
      <c r="DE177" s="42"/>
      <c r="DF177" s="42">
        <v>1.0</v>
      </c>
      <c r="DG177" s="44"/>
      <c r="DH177" s="44"/>
      <c r="DI177" s="44"/>
      <c r="DJ177" s="44"/>
      <c r="DK177" s="44"/>
      <c r="DL177" s="42"/>
      <c r="DM177" s="44"/>
      <c r="DN177" s="42"/>
      <c r="DO177" s="44"/>
      <c r="DP177" s="44"/>
      <c r="DQ177" s="44"/>
      <c r="DR177" s="42">
        <v>1.0</v>
      </c>
      <c r="DS177" s="44"/>
      <c r="DT177" s="44"/>
      <c r="DU177" s="44"/>
      <c r="DV177" s="44"/>
      <c r="DW177" s="44"/>
      <c r="DX177" s="44"/>
      <c r="DY177" s="42"/>
      <c r="DZ177" s="44"/>
      <c r="EA177" s="44"/>
      <c r="EB177" s="44"/>
      <c r="EC177" s="44"/>
      <c r="ED177" s="44"/>
      <c r="EE177" s="44"/>
      <c r="EF177" s="44"/>
      <c r="EG177" s="44"/>
      <c r="EH177" s="44"/>
      <c r="EI177" s="42"/>
      <c r="EJ177" s="44"/>
      <c r="EK177" s="44"/>
      <c r="EL177" s="44"/>
      <c r="EM177" s="44"/>
      <c r="EN177" s="44"/>
      <c r="EO177" s="44"/>
      <c r="EP177" s="44"/>
      <c r="EQ177" s="44"/>
      <c r="ER177" s="44"/>
      <c r="ES177" s="44"/>
      <c r="ET177" s="44"/>
      <c r="EU177" s="44"/>
      <c r="EV177" s="44"/>
      <c r="EW177" s="44"/>
      <c r="EX177" s="42"/>
      <c r="EY177" s="42"/>
      <c r="EZ177" s="44"/>
      <c r="FA177" s="42"/>
      <c r="FB177" s="44"/>
      <c r="FC177" s="44"/>
      <c r="FD177" s="44"/>
      <c r="FE177" s="44"/>
      <c r="FF177" s="44"/>
      <c r="FG177" s="44"/>
      <c r="FH177" s="44"/>
      <c r="FI177" s="44"/>
      <c r="FJ177" s="44"/>
      <c r="FK177" s="44"/>
      <c r="FL177" s="42"/>
      <c r="FM177" s="42"/>
      <c r="FN177" s="42"/>
      <c r="FO177" s="42"/>
      <c r="FP177" s="44"/>
      <c r="FQ177" s="42"/>
      <c r="FR177" s="42">
        <v>1.0</v>
      </c>
      <c r="FS177" s="44"/>
      <c r="FT177" s="44"/>
      <c r="FU177" s="42"/>
      <c r="FV177" s="42"/>
      <c r="FW177" s="44"/>
      <c r="FX177" s="44"/>
      <c r="FY177" s="44"/>
      <c r="FZ177" s="44"/>
      <c r="GA177" s="44"/>
      <c r="GB177" s="44"/>
      <c r="GC177" s="44"/>
      <c r="GD177" s="44"/>
      <c r="GE177" s="44"/>
      <c r="GF177" s="42"/>
    </row>
    <row r="178">
      <c r="A178" s="31">
        <v>43248.0</v>
      </c>
      <c r="B178" s="32" t="s">
        <v>246</v>
      </c>
      <c r="C178" s="32"/>
      <c r="D178" s="32"/>
      <c r="E178" s="32"/>
      <c r="F178" s="33"/>
      <c r="G178" s="33"/>
      <c r="H178" s="32"/>
      <c r="I178" s="32"/>
      <c r="J178" s="32"/>
      <c r="K178" s="32"/>
      <c r="L178" s="32"/>
      <c r="M178" s="32"/>
      <c r="N178" s="32"/>
      <c r="O178" s="32"/>
      <c r="P178" s="34"/>
      <c r="Q178" s="32"/>
      <c r="R178" s="32"/>
      <c r="S178" s="34"/>
      <c r="T178" s="34"/>
      <c r="U178" s="34"/>
      <c r="V178" s="34"/>
      <c r="W178" s="34"/>
      <c r="X178" s="34"/>
      <c r="Y178" s="34"/>
      <c r="Z178" s="34"/>
      <c r="AA178" s="34"/>
      <c r="AB178" s="32"/>
      <c r="AC178" s="34"/>
      <c r="AD178" s="34"/>
      <c r="AE178" s="34"/>
      <c r="AF178" s="34"/>
      <c r="AG178" s="34"/>
      <c r="AH178" s="34"/>
      <c r="AI178" s="34"/>
      <c r="AJ178" s="34"/>
      <c r="AK178" s="34"/>
      <c r="AL178" s="34"/>
      <c r="AM178" s="34"/>
      <c r="AN178" s="34"/>
      <c r="AO178" s="34"/>
      <c r="AP178" s="34"/>
      <c r="AQ178" s="34"/>
      <c r="AR178" s="34"/>
      <c r="AS178" s="34"/>
      <c r="AT178" s="34"/>
      <c r="AU178" s="34"/>
      <c r="AV178" s="34"/>
      <c r="AW178" s="34"/>
      <c r="AX178" s="34"/>
      <c r="AY178" s="34"/>
      <c r="AZ178" s="34"/>
      <c r="BA178" s="34"/>
      <c r="BB178" s="34"/>
      <c r="BC178" s="34"/>
      <c r="BD178" s="34"/>
      <c r="BE178" s="34"/>
      <c r="BF178" s="34"/>
      <c r="BG178" s="32"/>
      <c r="BH178" s="34"/>
      <c r="BI178" s="34"/>
      <c r="BJ178" s="32"/>
      <c r="BK178" s="32"/>
      <c r="BL178" s="32"/>
      <c r="BM178" s="32"/>
      <c r="BN178" s="34"/>
      <c r="BO178" s="34"/>
      <c r="BP178" s="34"/>
      <c r="BQ178" s="34"/>
      <c r="BR178" s="34"/>
      <c r="BS178" s="34"/>
      <c r="BT178" s="34"/>
      <c r="BU178" s="34"/>
      <c r="BV178" s="34"/>
      <c r="BW178" s="34"/>
      <c r="BX178" s="34"/>
      <c r="BY178" s="34"/>
      <c r="BZ178" s="32"/>
      <c r="CA178" s="34"/>
      <c r="CB178" s="32"/>
      <c r="CC178" s="34"/>
      <c r="CD178" s="34"/>
      <c r="CE178" s="34"/>
      <c r="CF178" s="34"/>
      <c r="CG178" s="34"/>
      <c r="CH178" s="34"/>
      <c r="CI178" s="34"/>
      <c r="CJ178" s="34"/>
      <c r="CK178" s="34"/>
      <c r="CL178" s="34"/>
      <c r="CM178" s="34"/>
      <c r="CN178" s="34"/>
      <c r="CO178" s="34"/>
      <c r="CP178" s="34"/>
      <c r="CQ178" s="34"/>
      <c r="CR178" s="34"/>
      <c r="CS178" s="34"/>
      <c r="CT178" s="34"/>
      <c r="CU178" s="34"/>
      <c r="CV178" s="34"/>
      <c r="CW178" s="34"/>
      <c r="CX178" s="34"/>
      <c r="CY178" s="34"/>
      <c r="CZ178" s="34"/>
      <c r="DA178" s="34"/>
      <c r="DB178" s="34"/>
      <c r="DC178" s="34"/>
      <c r="DD178" s="34"/>
      <c r="DE178" s="32"/>
      <c r="DF178" s="32"/>
      <c r="DG178" s="34"/>
      <c r="DH178" s="34"/>
      <c r="DI178" s="34"/>
      <c r="DJ178" s="34"/>
      <c r="DK178" s="34"/>
      <c r="DL178" s="32"/>
      <c r="DM178" s="34"/>
      <c r="DN178" s="32"/>
      <c r="DO178" s="34"/>
      <c r="DP178" s="34"/>
      <c r="DQ178" s="34"/>
      <c r="DR178" s="34"/>
      <c r="DS178" s="34"/>
      <c r="DT178" s="34"/>
      <c r="DU178" s="34"/>
      <c r="DV178" s="34"/>
      <c r="DW178" s="34"/>
      <c r="DX178" s="34"/>
      <c r="DY178" s="32"/>
      <c r="DZ178" s="34"/>
      <c r="EA178" s="34"/>
      <c r="EB178" s="34"/>
      <c r="EC178" s="34"/>
      <c r="ED178" s="34"/>
      <c r="EE178" s="34"/>
      <c r="EF178" s="34"/>
      <c r="EG178" s="34"/>
      <c r="EH178" s="34"/>
      <c r="EI178" s="32"/>
      <c r="EJ178" s="34"/>
      <c r="EK178" s="34"/>
      <c r="EL178" s="34"/>
      <c r="EM178" s="34"/>
      <c r="EN178" s="34"/>
      <c r="EO178" s="34"/>
      <c r="EP178" s="34"/>
      <c r="EQ178" s="34"/>
      <c r="ER178" s="34"/>
      <c r="ES178" s="34"/>
      <c r="ET178" s="34"/>
      <c r="EU178" s="34"/>
      <c r="EV178" s="34"/>
      <c r="EW178" s="34"/>
      <c r="EX178" s="32"/>
      <c r="EY178" s="32"/>
      <c r="EZ178" s="34"/>
      <c r="FA178" s="32"/>
      <c r="FB178" s="34"/>
      <c r="FC178" s="34"/>
      <c r="FD178" s="34"/>
      <c r="FE178" s="34"/>
      <c r="FF178" s="34"/>
      <c r="FG178" s="34"/>
      <c r="FH178" s="34"/>
      <c r="FI178" s="34"/>
      <c r="FJ178" s="34"/>
      <c r="FK178" s="34"/>
      <c r="FL178" s="32"/>
      <c r="FM178" s="32"/>
      <c r="FN178" s="32"/>
      <c r="FO178" s="32"/>
      <c r="FP178" s="34"/>
      <c r="FQ178" s="32"/>
      <c r="FR178" s="32"/>
      <c r="FS178" s="34"/>
      <c r="FT178" s="34"/>
      <c r="FU178" s="32"/>
      <c r="FV178" s="32"/>
      <c r="FW178" s="34"/>
      <c r="FX178" s="34"/>
      <c r="FY178" s="34"/>
      <c r="FZ178" s="34"/>
      <c r="GA178" s="34"/>
      <c r="GB178" s="34"/>
      <c r="GC178" s="34"/>
      <c r="GD178" s="34"/>
      <c r="GE178" s="34"/>
      <c r="GF178" s="32"/>
    </row>
    <row r="179">
      <c r="A179" s="31">
        <v>43250.0</v>
      </c>
      <c r="B179" s="32" t="s">
        <v>400</v>
      </c>
      <c r="C179" s="32"/>
      <c r="D179" s="32"/>
      <c r="E179" s="32"/>
      <c r="F179" s="33"/>
      <c r="G179" s="33"/>
      <c r="H179" s="32"/>
      <c r="I179" s="32"/>
      <c r="J179" s="32"/>
      <c r="K179" s="32"/>
      <c r="L179" s="32"/>
      <c r="M179" s="32"/>
      <c r="N179" s="32"/>
      <c r="O179" s="32"/>
      <c r="P179" s="34"/>
      <c r="Q179" s="32"/>
      <c r="R179" s="32"/>
      <c r="S179" s="34"/>
      <c r="T179" s="34"/>
      <c r="U179" s="34"/>
      <c r="V179" s="34"/>
      <c r="W179" s="34"/>
      <c r="X179" s="34"/>
      <c r="Y179" s="34"/>
      <c r="Z179" s="34"/>
      <c r="AA179" s="34"/>
      <c r="AB179" s="32"/>
      <c r="AC179" s="34"/>
      <c r="AD179" s="34"/>
      <c r="AE179" s="34"/>
      <c r="AF179" s="34"/>
      <c r="AG179" s="34"/>
      <c r="AH179" s="34"/>
      <c r="AI179" s="34"/>
      <c r="AJ179" s="34"/>
      <c r="AK179" s="34"/>
      <c r="AL179" s="34"/>
      <c r="AM179" s="34"/>
      <c r="AN179" s="34"/>
      <c r="AO179" s="34"/>
      <c r="AP179" s="34"/>
      <c r="AQ179" s="34"/>
      <c r="AR179" s="34"/>
      <c r="AS179" s="34"/>
      <c r="AT179" s="34"/>
      <c r="AU179" s="34"/>
      <c r="AV179" s="34"/>
      <c r="AW179" s="34"/>
      <c r="AX179" s="34"/>
      <c r="AY179" s="34"/>
      <c r="AZ179" s="34"/>
      <c r="BA179" s="34"/>
      <c r="BB179" s="34"/>
      <c r="BC179" s="34"/>
      <c r="BD179" s="34"/>
      <c r="BE179" s="34"/>
      <c r="BF179" s="34"/>
      <c r="BG179" s="32"/>
      <c r="BH179" s="34"/>
      <c r="BI179" s="34"/>
      <c r="BJ179" s="32"/>
      <c r="BK179" s="32"/>
      <c r="BL179" s="32"/>
      <c r="BM179" s="32"/>
      <c r="BN179" s="34"/>
      <c r="BO179" s="34"/>
      <c r="BP179" s="34"/>
      <c r="BQ179" s="34"/>
      <c r="BR179" s="34"/>
      <c r="BS179" s="34"/>
      <c r="BT179" s="34"/>
      <c r="BU179" s="34"/>
      <c r="BV179" s="34"/>
      <c r="BW179" s="34"/>
      <c r="BX179" s="34"/>
      <c r="BY179" s="34"/>
      <c r="BZ179" s="32"/>
      <c r="CA179" s="34"/>
      <c r="CB179" s="32"/>
      <c r="CC179" s="34"/>
      <c r="CD179" s="34"/>
      <c r="CE179" s="34"/>
      <c r="CF179" s="34"/>
      <c r="CG179" s="34"/>
      <c r="CH179" s="34"/>
      <c r="CI179" s="34"/>
      <c r="CJ179" s="34"/>
      <c r="CK179" s="34"/>
      <c r="CL179" s="34"/>
      <c r="CM179" s="34"/>
      <c r="CN179" s="34"/>
      <c r="CO179" s="34"/>
      <c r="CP179" s="34"/>
      <c r="CQ179" s="34"/>
      <c r="CR179" s="34"/>
      <c r="CS179" s="34"/>
      <c r="CT179" s="34"/>
      <c r="CU179" s="34"/>
      <c r="CV179" s="34"/>
      <c r="CW179" s="34"/>
      <c r="CX179" s="34"/>
      <c r="CY179" s="34"/>
      <c r="CZ179" s="34"/>
      <c r="DA179" s="34"/>
      <c r="DB179" s="34"/>
      <c r="DC179" s="34"/>
      <c r="DD179" s="34"/>
      <c r="DE179" s="32"/>
      <c r="DF179" s="32"/>
      <c r="DG179" s="34"/>
      <c r="DH179" s="34"/>
      <c r="DI179" s="34"/>
      <c r="DJ179" s="34"/>
      <c r="DK179" s="34"/>
      <c r="DL179" s="32"/>
      <c r="DM179" s="34"/>
      <c r="DN179" s="32"/>
      <c r="DO179" s="34"/>
      <c r="DP179" s="34"/>
      <c r="DQ179" s="34"/>
      <c r="DR179" s="34"/>
      <c r="DS179" s="34"/>
      <c r="DT179" s="34"/>
      <c r="DU179" s="34"/>
      <c r="DV179" s="34"/>
      <c r="DW179" s="34"/>
      <c r="DX179" s="34"/>
      <c r="DY179" s="32"/>
      <c r="DZ179" s="34"/>
      <c r="EA179" s="34"/>
      <c r="EB179" s="34"/>
      <c r="EC179" s="34"/>
      <c r="ED179" s="34"/>
      <c r="EE179" s="34"/>
      <c r="EF179" s="34"/>
      <c r="EG179" s="34"/>
      <c r="EH179" s="34"/>
      <c r="EI179" s="32"/>
      <c r="EJ179" s="34"/>
      <c r="EK179" s="34"/>
      <c r="EL179" s="34"/>
      <c r="EM179" s="34"/>
      <c r="EN179" s="34"/>
      <c r="EO179" s="34"/>
      <c r="EP179" s="34"/>
      <c r="EQ179" s="34"/>
      <c r="ER179" s="34"/>
      <c r="ES179" s="34"/>
      <c r="ET179" s="34"/>
      <c r="EU179" s="34"/>
      <c r="EV179" s="34"/>
      <c r="EW179" s="34"/>
      <c r="EX179" s="32"/>
      <c r="EY179" s="32"/>
      <c r="EZ179" s="34"/>
      <c r="FA179" s="32"/>
      <c r="FB179" s="34"/>
      <c r="FC179" s="34"/>
      <c r="FD179" s="34"/>
      <c r="FE179" s="34"/>
      <c r="FF179" s="34"/>
      <c r="FG179" s="34"/>
      <c r="FH179" s="34"/>
      <c r="FI179" s="34"/>
      <c r="FJ179" s="34"/>
      <c r="FK179" s="34"/>
      <c r="FL179" s="32"/>
      <c r="FM179" s="32"/>
      <c r="FN179" s="32"/>
      <c r="FO179" s="32"/>
      <c r="FP179" s="34"/>
      <c r="FQ179" s="32"/>
      <c r="FR179" s="32"/>
      <c r="FS179" s="34"/>
      <c r="FT179" s="34"/>
      <c r="FU179" s="32"/>
      <c r="FV179" s="32"/>
      <c r="FW179" s="34"/>
      <c r="FX179" s="34"/>
      <c r="FY179" s="34"/>
      <c r="FZ179" s="34"/>
      <c r="GA179" s="34"/>
      <c r="GB179" s="34"/>
      <c r="GC179" s="34"/>
      <c r="GD179" s="34"/>
      <c r="GE179" s="34"/>
      <c r="GF179" s="32"/>
    </row>
    <row r="180">
      <c r="A180" s="31">
        <v>43251.0</v>
      </c>
      <c r="B180" s="32" t="s">
        <v>337</v>
      </c>
      <c r="C180" s="32"/>
      <c r="D180" s="32"/>
      <c r="E180" s="32"/>
      <c r="F180" s="33"/>
      <c r="G180" s="33"/>
      <c r="H180" s="32"/>
      <c r="I180" s="32"/>
      <c r="J180" s="32"/>
      <c r="K180" s="32"/>
      <c r="L180" s="32"/>
      <c r="M180" s="32"/>
      <c r="N180" s="32"/>
      <c r="O180" s="32"/>
      <c r="P180" s="34"/>
      <c r="Q180" s="32"/>
      <c r="R180" s="32"/>
      <c r="S180" s="34"/>
      <c r="T180" s="34"/>
      <c r="U180" s="34"/>
      <c r="V180" s="34"/>
      <c r="W180" s="34"/>
      <c r="X180" s="34"/>
      <c r="Y180" s="34"/>
      <c r="Z180" s="34"/>
      <c r="AA180" s="34"/>
      <c r="AB180" s="32"/>
      <c r="AC180" s="34"/>
      <c r="AD180" s="34"/>
      <c r="AE180" s="34"/>
      <c r="AF180" s="34"/>
      <c r="AG180" s="34"/>
      <c r="AH180" s="34"/>
      <c r="AI180" s="34"/>
      <c r="AJ180" s="34"/>
      <c r="AK180" s="34"/>
      <c r="AL180" s="34"/>
      <c r="AM180" s="34"/>
      <c r="AN180" s="34"/>
      <c r="AO180" s="34"/>
      <c r="AP180" s="34"/>
      <c r="AQ180" s="34"/>
      <c r="AR180" s="34"/>
      <c r="AS180" s="34"/>
      <c r="AT180" s="34"/>
      <c r="AU180" s="34"/>
      <c r="AV180" s="34"/>
      <c r="AW180" s="34"/>
      <c r="AX180" s="34"/>
      <c r="AY180" s="34"/>
      <c r="AZ180" s="34"/>
      <c r="BA180" s="34"/>
      <c r="BB180" s="34"/>
      <c r="BC180" s="34"/>
      <c r="BD180" s="34"/>
      <c r="BE180" s="34"/>
      <c r="BF180" s="34"/>
      <c r="BG180" s="32"/>
      <c r="BH180" s="34"/>
      <c r="BI180" s="34"/>
      <c r="BJ180" s="32"/>
      <c r="BK180" s="32"/>
      <c r="BL180" s="32"/>
      <c r="BM180" s="32"/>
      <c r="BN180" s="34"/>
      <c r="BO180" s="34"/>
      <c r="BP180" s="34"/>
      <c r="BQ180" s="34"/>
      <c r="BR180" s="34"/>
      <c r="BS180" s="34"/>
      <c r="BT180" s="34"/>
      <c r="BU180" s="34"/>
      <c r="BV180" s="34"/>
      <c r="BW180" s="34"/>
      <c r="BX180" s="34"/>
      <c r="BY180" s="34"/>
      <c r="BZ180" s="32"/>
      <c r="CA180" s="34"/>
      <c r="CB180" s="32"/>
      <c r="CC180" s="34"/>
      <c r="CD180" s="34"/>
      <c r="CE180" s="34"/>
      <c r="CF180" s="34"/>
      <c r="CG180" s="34"/>
      <c r="CH180" s="34"/>
      <c r="CI180" s="34"/>
      <c r="CJ180" s="34"/>
      <c r="CK180" s="34"/>
      <c r="CL180" s="34"/>
      <c r="CM180" s="34"/>
      <c r="CN180" s="34"/>
      <c r="CO180" s="34"/>
      <c r="CP180" s="34"/>
      <c r="CQ180" s="34"/>
      <c r="CR180" s="34"/>
      <c r="CS180" s="34"/>
      <c r="CT180" s="34"/>
      <c r="CU180" s="34"/>
      <c r="CV180" s="34"/>
      <c r="CW180" s="34"/>
      <c r="CX180" s="34"/>
      <c r="CY180" s="34"/>
      <c r="CZ180" s="34"/>
      <c r="DA180" s="34"/>
      <c r="DB180" s="34"/>
      <c r="DC180" s="34"/>
      <c r="DD180" s="34"/>
      <c r="DE180" s="32"/>
      <c r="DF180" s="32"/>
      <c r="DG180" s="34"/>
      <c r="DH180" s="34"/>
      <c r="DI180" s="34"/>
      <c r="DJ180" s="34"/>
      <c r="DK180" s="34"/>
      <c r="DL180" s="32"/>
      <c r="DM180" s="34"/>
      <c r="DN180" s="32"/>
      <c r="DO180" s="34"/>
      <c r="DP180" s="34"/>
      <c r="DQ180" s="34"/>
      <c r="DR180" s="34"/>
      <c r="DS180" s="34"/>
      <c r="DT180" s="34"/>
      <c r="DU180" s="34"/>
      <c r="DV180" s="34"/>
      <c r="DW180" s="34"/>
      <c r="DX180" s="34"/>
      <c r="DY180" s="32"/>
      <c r="DZ180" s="34"/>
      <c r="EA180" s="34"/>
      <c r="EB180" s="34"/>
      <c r="EC180" s="34"/>
      <c r="ED180" s="34"/>
      <c r="EE180" s="34"/>
      <c r="EF180" s="34"/>
      <c r="EG180" s="34"/>
      <c r="EH180" s="34"/>
      <c r="EI180" s="32"/>
      <c r="EJ180" s="34"/>
      <c r="EK180" s="34"/>
      <c r="EL180" s="34"/>
      <c r="EM180" s="34"/>
      <c r="EN180" s="34"/>
      <c r="EO180" s="34"/>
      <c r="EP180" s="34"/>
      <c r="EQ180" s="34"/>
      <c r="ER180" s="34"/>
      <c r="ES180" s="34"/>
      <c r="ET180" s="34"/>
      <c r="EU180" s="34"/>
      <c r="EV180" s="34"/>
      <c r="EW180" s="34"/>
      <c r="EX180" s="32"/>
      <c r="EY180" s="32"/>
      <c r="EZ180" s="34"/>
      <c r="FA180" s="32"/>
      <c r="FB180" s="34"/>
      <c r="FC180" s="34"/>
      <c r="FD180" s="34"/>
      <c r="FE180" s="34"/>
      <c r="FF180" s="34"/>
      <c r="FG180" s="34"/>
      <c r="FH180" s="34"/>
      <c r="FI180" s="34"/>
      <c r="FJ180" s="34"/>
      <c r="FK180" s="34"/>
      <c r="FL180" s="32"/>
      <c r="FM180" s="32"/>
      <c r="FN180" s="32"/>
      <c r="FO180" s="32"/>
      <c r="FP180" s="34"/>
      <c r="FQ180" s="32"/>
      <c r="FR180" s="32"/>
      <c r="FS180" s="34"/>
      <c r="FT180" s="34"/>
      <c r="FU180" s="32"/>
      <c r="FV180" s="32"/>
      <c r="FW180" s="34"/>
      <c r="FX180" s="34"/>
      <c r="FY180" s="34"/>
      <c r="FZ180" s="34"/>
      <c r="GA180" s="34"/>
      <c r="GB180" s="34"/>
      <c r="GC180" s="34"/>
      <c r="GD180" s="34"/>
      <c r="GE180" s="34"/>
      <c r="GF180" s="32"/>
    </row>
    <row r="181">
      <c r="A181" s="37">
        <v>43311.0</v>
      </c>
      <c r="B181" s="38" t="s">
        <v>246</v>
      </c>
      <c r="C181" s="38">
        <v>21.2882</v>
      </c>
      <c r="D181" s="38">
        <v>-157.667999</v>
      </c>
      <c r="E181" s="38" t="s">
        <v>353</v>
      </c>
      <c r="F181" s="39">
        <v>0.3902777777777778</v>
      </c>
      <c r="G181" s="39">
        <v>0.4479166666666667</v>
      </c>
      <c r="H181" s="38">
        <v>6.0</v>
      </c>
      <c r="I181" s="38">
        <v>17.0</v>
      </c>
      <c r="J181" s="38" t="s">
        <v>198</v>
      </c>
      <c r="K181" s="38">
        <v>6.0</v>
      </c>
      <c r="L181" s="38">
        <v>26.0</v>
      </c>
      <c r="M181" s="38" t="s">
        <v>436</v>
      </c>
      <c r="N181" s="38"/>
      <c r="O181" s="38"/>
      <c r="P181" s="40"/>
      <c r="Q181" s="38">
        <v>1.0</v>
      </c>
      <c r="R181" s="38">
        <v>1.0</v>
      </c>
      <c r="S181" s="40"/>
      <c r="T181" s="40"/>
      <c r="U181" s="40"/>
      <c r="V181" s="40"/>
      <c r="W181" s="40"/>
      <c r="X181" s="40"/>
      <c r="Y181" s="40"/>
      <c r="Z181" s="40"/>
      <c r="AA181" s="40"/>
      <c r="AB181" s="38">
        <v>1.0</v>
      </c>
      <c r="AC181" s="40"/>
      <c r="AD181" s="40"/>
      <c r="AE181" s="40"/>
      <c r="AF181" s="40"/>
      <c r="AG181" s="40"/>
      <c r="AH181" s="40"/>
      <c r="AI181" s="40"/>
      <c r="AJ181" s="40"/>
      <c r="AK181" s="40"/>
      <c r="AL181" s="40"/>
      <c r="AM181" s="40"/>
      <c r="AN181" s="40"/>
      <c r="AO181" s="40"/>
      <c r="AP181" s="40"/>
      <c r="AQ181" s="40"/>
      <c r="AR181" s="40"/>
      <c r="AS181" s="40"/>
      <c r="AT181" s="40"/>
      <c r="AU181" s="40"/>
      <c r="AV181" s="40"/>
      <c r="AW181" s="40"/>
      <c r="AX181" s="40"/>
      <c r="AY181" s="40"/>
      <c r="AZ181" s="40"/>
      <c r="BA181" s="40"/>
      <c r="BB181" s="40"/>
      <c r="BC181" s="40"/>
      <c r="BD181" s="40"/>
      <c r="BE181" s="40"/>
      <c r="BF181" s="40"/>
      <c r="BG181" s="38">
        <v>1.0</v>
      </c>
      <c r="BH181" s="40"/>
      <c r="BI181" s="40"/>
      <c r="BJ181" s="38">
        <v>1.0</v>
      </c>
      <c r="BK181" s="38">
        <v>1.0</v>
      </c>
      <c r="BL181" s="38">
        <v>1.0</v>
      </c>
      <c r="BM181" s="38">
        <v>1.0</v>
      </c>
      <c r="BN181" s="40"/>
      <c r="BO181" s="40"/>
      <c r="BP181" s="40"/>
      <c r="BQ181" s="40"/>
      <c r="BR181" s="40"/>
      <c r="BS181" s="40"/>
      <c r="BT181" s="40"/>
      <c r="BU181" s="40"/>
      <c r="BV181" s="40"/>
      <c r="BW181" s="40"/>
      <c r="BX181" s="40"/>
      <c r="BY181" s="40"/>
      <c r="BZ181" s="38">
        <v>1.0</v>
      </c>
      <c r="CA181" s="40"/>
      <c r="CB181" s="38">
        <v>1.0</v>
      </c>
      <c r="CC181" s="40"/>
      <c r="CD181" s="40"/>
      <c r="CE181" s="40"/>
      <c r="CF181" s="40"/>
      <c r="CG181" s="40"/>
      <c r="CH181" s="40"/>
      <c r="CI181" s="40"/>
      <c r="CJ181" s="40"/>
      <c r="CK181" s="40"/>
      <c r="CL181" s="40"/>
      <c r="CM181" s="40"/>
      <c r="CN181" s="40"/>
      <c r="CO181" s="40"/>
      <c r="CP181" s="40"/>
      <c r="CQ181" s="40"/>
      <c r="CR181" s="40"/>
      <c r="CS181" s="40"/>
      <c r="CT181" s="40"/>
      <c r="CU181" s="40"/>
      <c r="CV181" s="40"/>
      <c r="CW181" s="40"/>
      <c r="CX181" s="40"/>
      <c r="CY181" s="40"/>
      <c r="CZ181" s="40"/>
      <c r="DA181" s="40"/>
      <c r="DB181" s="40"/>
      <c r="DC181" s="40"/>
      <c r="DD181" s="40"/>
      <c r="DE181" s="38"/>
      <c r="DF181" s="38">
        <v>1.0</v>
      </c>
      <c r="DG181" s="40"/>
      <c r="DH181" s="40"/>
      <c r="DI181" s="40"/>
      <c r="DJ181" s="40"/>
      <c r="DK181" s="40"/>
      <c r="DL181" s="38">
        <v>1.0</v>
      </c>
      <c r="DM181" s="40"/>
      <c r="DN181" s="38">
        <v>1.0</v>
      </c>
      <c r="DO181" s="40"/>
      <c r="DP181" s="40"/>
      <c r="DQ181" s="40"/>
      <c r="DR181" s="40"/>
      <c r="DS181" s="40"/>
      <c r="DT181" s="40"/>
      <c r="DU181" s="40"/>
      <c r="DV181" s="40"/>
      <c r="DW181" s="40"/>
      <c r="DX181" s="40"/>
      <c r="DY181" s="38">
        <v>1.0</v>
      </c>
      <c r="DZ181" s="40"/>
      <c r="EA181" s="40"/>
      <c r="EB181" s="40"/>
      <c r="EC181" s="40"/>
      <c r="ED181" s="40"/>
      <c r="EE181" s="40"/>
      <c r="EF181" s="40"/>
      <c r="EG181" s="40"/>
      <c r="EH181" s="40"/>
      <c r="EI181" s="38">
        <v>1.0</v>
      </c>
      <c r="EJ181" s="40"/>
      <c r="EK181" s="40"/>
      <c r="EL181" s="40"/>
      <c r="EM181" s="40"/>
      <c r="EN181" s="40"/>
      <c r="EO181" s="40"/>
      <c r="EP181" s="40"/>
      <c r="EQ181" s="40"/>
      <c r="ER181" s="40"/>
      <c r="ES181" s="40"/>
      <c r="ET181" s="40"/>
      <c r="EU181" s="40"/>
      <c r="EV181" s="40"/>
      <c r="EW181" s="40"/>
      <c r="EX181" s="38"/>
      <c r="EY181" s="38">
        <v>1.0</v>
      </c>
      <c r="EZ181" s="40"/>
      <c r="FA181" s="38">
        <v>1.0</v>
      </c>
      <c r="FB181" s="40"/>
      <c r="FC181" s="40"/>
      <c r="FD181" s="40"/>
      <c r="FE181" s="40"/>
      <c r="FF181" s="40"/>
      <c r="FG181" s="40"/>
      <c r="FH181" s="40"/>
      <c r="FI181" s="40"/>
      <c r="FJ181" s="40"/>
      <c r="FK181" s="40"/>
      <c r="FL181" s="38">
        <v>1.0</v>
      </c>
      <c r="FM181" s="38"/>
      <c r="FN181" s="38"/>
      <c r="FO181" s="38">
        <v>1.0</v>
      </c>
      <c r="FP181" s="40"/>
      <c r="FQ181" s="38">
        <v>1.0</v>
      </c>
      <c r="FR181" s="38">
        <v>1.0</v>
      </c>
      <c r="FS181" s="40"/>
      <c r="FT181" s="40"/>
      <c r="FU181" s="38"/>
      <c r="FV181" s="38">
        <v>1.0</v>
      </c>
      <c r="FW181" s="40"/>
      <c r="FX181" s="40"/>
      <c r="FY181" s="40"/>
      <c r="FZ181" s="40"/>
      <c r="GA181" s="40"/>
      <c r="GB181" s="40"/>
      <c r="GC181" s="40"/>
      <c r="GD181" s="40"/>
      <c r="GE181" s="40"/>
      <c r="GF181" s="38">
        <v>1.0</v>
      </c>
    </row>
    <row r="182">
      <c r="A182" s="41">
        <v>43416.0</v>
      </c>
      <c r="B182" s="42" t="s">
        <v>216</v>
      </c>
      <c r="C182" s="42">
        <v>21.3002</v>
      </c>
      <c r="D182" s="42">
        <v>-157.882599</v>
      </c>
      <c r="E182" s="42" t="s">
        <v>534</v>
      </c>
      <c r="F182" s="43">
        <v>0.6423611111111112</v>
      </c>
      <c r="G182" s="43">
        <v>0.6701388888888888</v>
      </c>
      <c r="H182" s="42">
        <v>5.0</v>
      </c>
      <c r="I182" s="42">
        <v>20.0</v>
      </c>
      <c r="J182" s="42" t="s">
        <v>198</v>
      </c>
      <c r="K182" s="42">
        <v>5.0</v>
      </c>
      <c r="L182" s="42">
        <v>5.0</v>
      </c>
      <c r="M182" s="42" t="s">
        <v>535</v>
      </c>
      <c r="N182" s="44"/>
      <c r="O182" s="42"/>
      <c r="P182" s="44"/>
      <c r="Q182" s="42"/>
      <c r="R182" s="44"/>
      <c r="S182" s="42"/>
      <c r="T182" s="44"/>
      <c r="U182" s="44"/>
      <c r="V182" s="44"/>
      <c r="W182" s="44"/>
      <c r="X182" s="44"/>
      <c r="Y182" s="44"/>
      <c r="Z182" s="44"/>
      <c r="AA182" s="44"/>
      <c r="AB182" s="44"/>
      <c r="AC182" s="44"/>
      <c r="AD182" s="44"/>
      <c r="AE182" s="42"/>
      <c r="AF182" s="44"/>
      <c r="AG182" s="42"/>
      <c r="AH182" s="42"/>
      <c r="AI182" s="44"/>
      <c r="AJ182" s="44"/>
      <c r="AK182" s="44"/>
      <c r="AL182" s="44"/>
      <c r="AM182" s="44"/>
      <c r="AN182" s="44"/>
      <c r="AO182" s="44"/>
      <c r="AP182" s="44"/>
      <c r="AQ182" s="44"/>
      <c r="AR182" s="44"/>
      <c r="AS182" s="44"/>
      <c r="AT182" s="44"/>
      <c r="AU182" s="44"/>
      <c r="AV182" s="44"/>
      <c r="AW182" s="44"/>
      <c r="AX182" s="44"/>
      <c r="AY182" s="44"/>
      <c r="AZ182" s="44"/>
      <c r="BA182" s="44"/>
      <c r="BB182" s="44"/>
      <c r="BC182" s="44"/>
      <c r="BD182" s="44"/>
      <c r="BE182" s="42"/>
      <c r="BF182" s="42"/>
      <c r="BG182" s="42"/>
      <c r="BH182" s="42"/>
      <c r="BI182" s="42"/>
      <c r="BJ182" s="42"/>
      <c r="BK182" s="42"/>
      <c r="BL182" s="42">
        <v>1.0</v>
      </c>
      <c r="BM182" s="44"/>
      <c r="BN182" s="44"/>
      <c r="BO182" s="44"/>
      <c r="BP182" s="42"/>
      <c r="BQ182" s="42"/>
      <c r="BR182" s="42"/>
      <c r="BS182" s="42"/>
      <c r="BT182" s="42"/>
      <c r="BU182" s="42"/>
      <c r="BV182" s="42"/>
      <c r="BW182" s="44"/>
      <c r="BX182" s="42"/>
      <c r="BY182" s="42"/>
      <c r="BZ182" s="42"/>
      <c r="CA182" s="42"/>
      <c r="CB182" s="44"/>
      <c r="CC182" s="44"/>
      <c r="CD182" s="44"/>
      <c r="CE182" s="44"/>
      <c r="CF182" s="44"/>
      <c r="CG182" s="44"/>
      <c r="CH182" s="42"/>
      <c r="CI182" s="42"/>
      <c r="CJ182" s="42"/>
      <c r="CK182" s="42"/>
      <c r="CL182" s="42"/>
      <c r="CM182" s="42"/>
      <c r="CN182" s="42"/>
      <c r="CO182" s="42"/>
      <c r="CP182" s="42"/>
      <c r="CQ182" s="42"/>
      <c r="CR182" s="42"/>
      <c r="CS182" s="44"/>
      <c r="CT182" s="44"/>
      <c r="CU182" s="44"/>
      <c r="CV182" s="44"/>
      <c r="CW182" s="44"/>
      <c r="CX182" s="44"/>
      <c r="CY182" s="44"/>
      <c r="CZ182" s="44"/>
      <c r="DA182" s="42"/>
      <c r="DB182" s="42"/>
      <c r="DC182" s="42"/>
      <c r="DD182" s="42"/>
      <c r="DE182" s="42"/>
      <c r="DF182" s="42"/>
      <c r="DG182" s="44"/>
      <c r="DH182" s="42"/>
      <c r="DI182" s="42"/>
      <c r="DJ182" s="42"/>
      <c r="DK182" s="42"/>
      <c r="DL182" s="42"/>
      <c r="DM182" s="42"/>
      <c r="DN182" s="42"/>
      <c r="DO182" s="42"/>
      <c r="DP182" s="42"/>
      <c r="DQ182" s="42"/>
      <c r="DR182" s="42"/>
      <c r="DS182" s="42"/>
      <c r="DT182" s="42"/>
      <c r="DU182" s="42"/>
      <c r="DV182" s="42"/>
      <c r="DW182" s="42"/>
      <c r="DX182" s="42"/>
      <c r="DY182" s="42"/>
      <c r="DZ182" s="42"/>
      <c r="EA182" s="42"/>
      <c r="EB182" s="42">
        <v>1.0</v>
      </c>
      <c r="EC182" s="42"/>
      <c r="ED182" s="42"/>
      <c r="EE182" s="42"/>
      <c r="EF182" s="42"/>
      <c r="EG182" s="42"/>
      <c r="EH182" s="42"/>
      <c r="EI182" s="42"/>
      <c r="EJ182" s="42"/>
      <c r="EK182" s="42"/>
      <c r="EL182" s="42"/>
      <c r="EM182" s="42"/>
      <c r="EN182" s="42"/>
      <c r="EO182" s="42"/>
      <c r="EP182" s="42"/>
      <c r="EQ182" s="42"/>
      <c r="ER182" s="42"/>
      <c r="ES182" s="42"/>
      <c r="ET182" s="42"/>
      <c r="EU182" s="42"/>
      <c r="EV182" s="42"/>
      <c r="EW182" s="42"/>
      <c r="EX182" s="42"/>
      <c r="EY182" s="42"/>
      <c r="EZ182" s="42"/>
      <c r="FA182" s="42"/>
      <c r="FB182" s="42"/>
      <c r="FC182" s="44"/>
      <c r="FD182" s="44"/>
      <c r="FE182" s="44"/>
      <c r="FF182" s="42"/>
      <c r="FG182" s="42"/>
      <c r="FH182" s="42"/>
      <c r="FI182" s="42"/>
      <c r="FJ182" s="42"/>
      <c r="FK182" s="42"/>
      <c r="FL182" s="42"/>
      <c r="FM182" s="42"/>
      <c r="FN182" s="42"/>
      <c r="FO182" s="42"/>
      <c r="FP182" s="42"/>
      <c r="FQ182" s="42"/>
      <c r="FR182" s="42">
        <v>1.0</v>
      </c>
      <c r="FS182" s="44"/>
      <c r="FT182" s="44"/>
      <c r="FU182" s="44"/>
      <c r="FV182" s="44"/>
      <c r="FW182" s="44"/>
      <c r="FX182" s="44"/>
      <c r="FY182" s="44"/>
      <c r="FZ182" s="44"/>
      <c r="GA182" s="44"/>
      <c r="GB182" s="44"/>
      <c r="GC182" s="42"/>
      <c r="GD182" s="42"/>
      <c r="GE182" s="42"/>
      <c r="GF182" s="44"/>
    </row>
    <row r="183">
      <c r="A183" s="23">
        <v>43485.0</v>
      </c>
      <c r="B183" s="4" t="s">
        <v>201</v>
      </c>
      <c r="C183" s="4">
        <v>21.25544</v>
      </c>
      <c r="D183" s="4">
        <v>-157.8103</v>
      </c>
      <c r="E183" s="4" t="s">
        <v>418</v>
      </c>
      <c r="F183" s="24">
        <v>0.40625</v>
      </c>
      <c r="G183" s="24">
        <v>0.4479166666666667</v>
      </c>
      <c r="H183" s="4">
        <v>6.0</v>
      </c>
      <c r="I183" s="4">
        <v>10.0</v>
      </c>
      <c r="J183" s="4" t="s">
        <v>318</v>
      </c>
      <c r="K183" s="4">
        <v>10.0</v>
      </c>
      <c r="L183" s="4">
        <v>52.0</v>
      </c>
      <c r="M183" s="4" t="s">
        <v>438</v>
      </c>
      <c r="Q183" s="4">
        <v>1.0</v>
      </c>
      <c r="S183" s="4">
        <v>1.0</v>
      </c>
      <c r="AE183" s="4">
        <v>1.0</v>
      </c>
      <c r="AG183" s="4"/>
      <c r="AH183" s="4">
        <v>1.0</v>
      </c>
      <c r="BE183" s="4"/>
      <c r="BF183" s="4"/>
      <c r="BG183" s="4"/>
      <c r="BH183" s="4"/>
      <c r="BI183" s="4"/>
      <c r="BJ183" s="4"/>
      <c r="BK183" s="4"/>
      <c r="BL183" s="4">
        <v>1.0</v>
      </c>
      <c r="BP183" s="4">
        <v>1.0</v>
      </c>
      <c r="BQ183" s="4"/>
      <c r="BR183" s="4"/>
      <c r="BS183" s="4"/>
      <c r="BT183" s="4"/>
      <c r="BU183" s="4">
        <v>1.0</v>
      </c>
      <c r="BV183" s="4"/>
      <c r="BX183" s="4"/>
      <c r="BY183" s="4">
        <v>1.0</v>
      </c>
      <c r="BZ183" s="4"/>
      <c r="CA183" s="4">
        <v>1.0</v>
      </c>
      <c r="CH183" s="4"/>
      <c r="CI183" s="4"/>
      <c r="CJ183" s="4"/>
      <c r="CK183" s="4"/>
      <c r="CL183" s="4"/>
      <c r="CM183" s="4"/>
      <c r="CN183" s="4"/>
      <c r="CO183" s="4"/>
      <c r="CP183" s="4"/>
      <c r="CQ183" s="4"/>
      <c r="CR183" s="4">
        <v>1.0</v>
      </c>
      <c r="DA183" s="4"/>
      <c r="DB183" s="4">
        <v>1.0</v>
      </c>
      <c r="DC183" s="4"/>
      <c r="DD183" s="4"/>
      <c r="DE183" s="4"/>
      <c r="DF183" s="4">
        <v>1.0</v>
      </c>
      <c r="DH183" s="4"/>
      <c r="DI183" s="4"/>
      <c r="DJ183" s="4"/>
      <c r="DK183" s="4"/>
      <c r="DL183" s="4">
        <v>1.0</v>
      </c>
      <c r="DM183" s="4">
        <v>1.0</v>
      </c>
      <c r="DN183" s="4"/>
      <c r="DO183" s="4">
        <v>1.0</v>
      </c>
      <c r="DP183" s="4"/>
      <c r="DQ183" s="4"/>
      <c r="DR183" s="4">
        <v>1.0</v>
      </c>
      <c r="DS183" s="4"/>
      <c r="DT183" s="4"/>
      <c r="DU183" s="4">
        <v>1.0</v>
      </c>
      <c r="DV183" s="4"/>
      <c r="DW183" s="4"/>
      <c r="DX183" s="4"/>
      <c r="DY183" s="4"/>
      <c r="DZ183" s="4">
        <v>1.0</v>
      </c>
      <c r="EA183" s="4"/>
      <c r="EB183" s="4"/>
      <c r="EC183" s="4"/>
      <c r="ED183" s="4"/>
      <c r="EE183" s="4"/>
      <c r="EF183" s="4"/>
      <c r="EG183" s="4"/>
      <c r="EH183" s="4"/>
      <c r="EI183" s="4">
        <v>1.0</v>
      </c>
      <c r="EJ183" s="4"/>
      <c r="EK183" s="4"/>
      <c r="EL183" s="4"/>
      <c r="EM183" s="4"/>
      <c r="EN183" s="4"/>
      <c r="EO183" s="4"/>
      <c r="EP183" s="4"/>
      <c r="EQ183" s="4"/>
      <c r="ER183" s="4"/>
      <c r="ES183" s="4"/>
      <c r="ET183" s="4"/>
      <c r="EU183" s="4"/>
      <c r="EV183" s="4"/>
      <c r="EW183" s="4"/>
      <c r="EX183" s="4"/>
      <c r="EY183" s="4"/>
      <c r="EZ183" s="4"/>
      <c r="FA183" s="4">
        <v>1.0</v>
      </c>
      <c r="FB183" s="4">
        <v>1.0</v>
      </c>
      <c r="FF183" s="4"/>
      <c r="FG183" s="4">
        <v>1.0</v>
      </c>
      <c r="FH183" s="4">
        <v>1.0</v>
      </c>
      <c r="FI183" s="4"/>
      <c r="FJ183" s="4"/>
      <c r="FK183" s="4"/>
      <c r="FL183" s="4">
        <v>1.0</v>
      </c>
      <c r="FM183" s="4"/>
      <c r="FN183" s="4"/>
      <c r="FO183" s="4"/>
      <c r="FP183" s="4"/>
      <c r="FQ183" s="4">
        <v>1.0</v>
      </c>
      <c r="FR183" s="4">
        <v>1.0</v>
      </c>
      <c r="GC183" s="4"/>
      <c r="GD183" s="4"/>
      <c r="GE183" s="4">
        <v>1.0</v>
      </c>
    </row>
    <row r="184">
      <c r="A184" s="41">
        <v>43505.0</v>
      </c>
      <c r="B184" s="42" t="s">
        <v>266</v>
      </c>
      <c r="C184" s="42">
        <v>22.060684</v>
      </c>
      <c r="D184" s="42">
        <v>-159.318512</v>
      </c>
      <c r="E184" s="42" t="s">
        <v>536</v>
      </c>
      <c r="F184" s="43">
        <v>1.1574074074074073E-5</v>
      </c>
      <c r="G184" s="43">
        <v>2.3148148148148147E-5</v>
      </c>
      <c r="H184" s="42">
        <v>3.0</v>
      </c>
      <c r="I184" s="42">
        <v>14.0</v>
      </c>
      <c r="J184" s="42" t="s">
        <v>198</v>
      </c>
      <c r="K184" s="42">
        <v>2.0</v>
      </c>
      <c r="L184" s="42">
        <v>2.0</v>
      </c>
      <c r="M184" s="42" t="s">
        <v>537</v>
      </c>
      <c r="N184" s="44"/>
      <c r="O184" s="42"/>
      <c r="P184" s="44"/>
      <c r="Q184" s="42">
        <v>1.0</v>
      </c>
      <c r="R184" s="44"/>
      <c r="S184" s="44"/>
      <c r="T184" s="44"/>
      <c r="U184" s="44"/>
      <c r="V184" s="44"/>
      <c r="W184" s="44"/>
      <c r="X184" s="44"/>
      <c r="Y184" s="44"/>
      <c r="Z184" s="44"/>
      <c r="AA184" s="44"/>
      <c r="AB184" s="44"/>
      <c r="AC184" s="44"/>
      <c r="AD184" s="44"/>
      <c r="AE184" s="44"/>
      <c r="AF184" s="44"/>
      <c r="AG184" s="42"/>
      <c r="AH184" s="42"/>
      <c r="AI184" s="44"/>
      <c r="AJ184" s="44"/>
      <c r="AK184" s="44"/>
      <c r="AL184" s="44"/>
      <c r="AM184" s="44"/>
      <c r="AN184" s="44"/>
      <c r="AO184" s="44"/>
      <c r="AP184" s="44"/>
      <c r="AQ184" s="44"/>
      <c r="AR184" s="44"/>
      <c r="AS184" s="42"/>
      <c r="AT184" s="42"/>
      <c r="AU184" s="42"/>
      <c r="AV184" s="42"/>
      <c r="AW184" s="42"/>
      <c r="AX184" s="42"/>
      <c r="AY184" s="42"/>
      <c r="AZ184" s="42"/>
      <c r="BA184" s="42"/>
      <c r="BB184" s="42"/>
      <c r="BC184" s="42"/>
      <c r="BD184" s="42"/>
      <c r="BE184" s="42"/>
      <c r="BF184" s="42"/>
      <c r="BG184" s="42"/>
      <c r="BH184" s="42"/>
      <c r="BI184" s="42"/>
      <c r="BJ184" s="42"/>
      <c r="BK184" s="42"/>
      <c r="BL184" s="42">
        <v>1.0</v>
      </c>
      <c r="BM184" s="44"/>
      <c r="BN184" s="44"/>
      <c r="BO184" s="44"/>
      <c r="BP184" s="44"/>
      <c r="BQ184" s="42"/>
      <c r="BR184" s="42"/>
      <c r="BS184" s="42"/>
      <c r="BT184" s="42"/>
      <c r="BU184" s="42"/>
      <c r="BV184" s="42">
        <v>1.0</v>
      </c>
      <c r="BW184" s="44"/>
      <c r="BX184" s="42"/>
      <c r="BY184" s="42"/>
      <c r="BZ184" s="44"/>
      <c r="CA184" s="44"/>
      <c r="CB184" s="44"/>
      <c r="CC184" s="44"/>
      <c r="CD184" s="44"/>
      <c r="CE184" s="44"/>
      <c r="CF184" s="44"/>
      <c r="CG184" s="44"/>
      <c r="CH184" s="44"/>
      <c r="CI184" s="44"/>
      <c r="CJ184" s="44"/>
      <c r="CK184" s="44"/>
      <c r="CL184" s="44"/>
      <c r="CM184" s="44"/>
      <c r="CN184" s="44"/>
      <c r="CO184" s="44"/>
      <c r="CP184" s="44"/>
      <c r="CQ184" s="44"/>
      <c r="CR184" s="44"/>
      <c r="CS184" s="44"/>
      <c r="CT184" s="44"/>
      <c r="CU184" s="42"/>
      <c r="CV184" s="42"/>
      <c r="CW184" s="42"/>
      <c r="CX184" s="42"/>
      <c r="CY184" s="42"/>
      <c r="CZ184" s="42"/>
      <c r="DA184" s="44"/>
      <c r="DB184" s="44"/>
      <c r="DC184" s="44"/>
      <c r="DD184" s="44"/>
      <c r="DE184" s="44"/>
      <c r="DF184" s="44"/>
      <c r="DG184" s="44"/>
      <c r="DH184" s="44"/>
      <c r="DI184" s="44"/>
      <c r="DJ184" s="44"/>
      <c r="DK184" s="42">
        <v>1.0</v>
      </c>
      <c r="DL184" s="44"/>
      <c r="DM184" s="44"/>
      <c r="DN184" s="44"/>
      <c r="DO184" s="44"/>
      <c r="DP184" s="42"/>
      <c r="DQ184" s="42"/>
      <c r="DR184" s="42"/>
      <c r="DS184" s="44"/>
      <c r="DT184" s="44"/>
      <c r="DU184" s="44"/>
      <c r="DV184" s="44"/>
      <c r="DW184" s="44"/>
      <c r="DX184" s="44"/>
      <c r="DY184" s="44"/>
      <c r="DZ184" s="44"/>
      <c r="EA184" s="44"/>
      <c r="EB184" s="44"/>
      <c r="EC184" s="44"/>
      <c r="ED184" s="44"/>
      <c r="EE184" s="44"/>
      <c r="EF184" s="44"/>
      <c r="EG184" s="44"/>
      <c r="EH184" s="44"/>
      <c r="EI184" s="44"/>
      <c r="EJ184" s="42"/>
      <c r="EK184" s="42"/>
      <c r="EL184" s="42"/>
      <c r="EM184" s="42"/>
      <c r="EN184" s="42"/>
      <c r="EO184" s="42"/>
      <c r="EP184" s="42"/>
      <c r="EQ184" s="42"/>
      <c r="ER184" s="42"/>
      <c r="ES184" s="42"/>
      <c r="ET184" s="42"/>
      <c r="EU184" s="42"/>
      <c r="EV184" s="42"/>
      <c r="EW184" s="42"/>
      <c r="EX184" s="42"/>
      <c r="EY184" s="42"/>
      <c r="EZ184" s="42"/>
      <c r="FA184" s="42"/>
      <c r="FB184" s="44"/>
      <c r="FC184" s="42"/>
      <c r="FD184" s="42"/>
      <c r="FE184" s="44"/>
      <c r="FF184" s="44"/>
      <c r="FG184" s="44"/>
      <c r="FH184" s="42">
        <v>1.0</v>
      </c>
      <c r="FI184" s="44"/>
      <c r="FJ184" s="44"/>
      <c r="FK184" s="44"/>
      <c r="FL184" s="44"/>
      <c r="FM184" s="44"/>
      <c r="FN184" s="44"/>
      <c r="FO184" s="44"/>
      <c r="FP184" s="44"/>
      <c r="FQ184" s="42">
        <v>1.0</v>
      </c>
      <c r="FR184" s="42">
        <v>1.0</v>
      </c>
      <c r="FS184" s="44"/>
      <c r="FT184" s="44"/>
      <c r="FU184" s="44"/>
      <c r="FV184" s="44"/>
      <c r="FW184" s="44"/>
      <c r="FX184" s="44"/>
      <c r="FY184" s="42"/>
      <c r="FZ184" s="44"/>
      <c r="GA184" s="44"/>
      <c r="GB184" s="44"/>
      <c r="GC184" s="44"/>
      <c r="GD184" s="44"/>
      <c r="GE184" s="44"/>
      <c r="GF184" s="42"/>
    </row>
    <row r="185">
      <c r="A185" s="41">
        <v>43515.0</v>
      </c>
      <c r="B185" s="42" t="s">
        <v>244</v>
      </c>
      <c r="C185" s="42">
        <v>21.310612</v>
      </c>
      <c r="D185" s="42">
        <v>-158.00441</v>
      </c>
      <c r="E185" s="42" t="s">
        <v>278</v>
      </c>
      <c r="F185" s="43">
        <v>0.3854166666666667</v>
      </c>
      <c r="G185" s="43">
        <v>0.4270833333333333</v>
      </c>
      <c r="H185" s="42">
        <v>6.0</v>
      </c>
      <c r="I185" s="42">
        <v>5.0</v>
      </c>
      <c r="J185" s="42" t="s">
        <v>198</v>
      </c>
      <c r="K185" s="42">
        <v>5.0</v>
      </c>
      <c r="L185" s="42">
        <v>24.0</v>
      </c>
      <c r="M185" s="42" t="s">
        <v>538</v>
      </c>
      <c r="N185" s="44"/>
      <c r="O185" s="42"/>
      <c r="P185" s="44"/>
      <c r="Q185" s="44"/>
      <c r="R185" s="44"/>
      <c r="S185" s="44"/>
      <c r="T185" s="44"/>
      <c r="U185" s="44"/>
      <c r="V185" s="44"/>
      <c r="W185" s="44"/>
      <c r="X185" s="44"/>
      <c r="Y185" s="44"/>
      <c r="Z185" s="44"/>
      <c r="AA185" s="44"/>
      <c r="AB185" s="44"/>
      <c r="AC185" s="44"/>
      <c r="AD185" s="42">
        <v>1.0</v>
      </c>
      <c r="AE185" s="44"/>
      <c r="AF185" s="44"/>
      <c r="AG185" s="42"/>
      <c r="AH185" s="42"/>
      <c r="AI185" s="44"/>
      <c r="AJ185" s="44"/>
      <c r="AK185" s="44"/>
      <c r="AL185" s="42">
        <v>1.0</v>
      </c>
      <c r="AM185" s="44"/>
      <c r="AN185" s="44"/>
      <c r="AO185" s="44"/>
      <c r="AP185" s="44"/>
      <c r="AQ185" s="44"/>
      <c r="AR185" s="44"/>
      <c r="AS185" s="42"/>
      <c r="AT185" s="42"/>
      <c r="AU185" s="42"/>
      <c r="AV185" s="42"/>
      <c r="AW185" s="42"/>
      <c r="AX185" s="42"/>
      <c r="AY185" s="42"/>
      <c r="AZ185" s="42"/>
      <c r="BA185" s="42">
        <v>1.0</v>
      </c>
      <c r="BB185" s="42"/>
      <c r="BC185" s="42"/>
      <c r="BD185" s="42">
        <v>1.0</v>
      </c>
      <c r="BE185" s="42"/>
      <c r="BF185" s="42"/>
      <c r="BG185" s="42"/>
      <c r="BH185" s="42"/>
      <c r="BI185" s="42"/>
      <c r="BJ185" s="42"/>
      <c r="BK185" s="42">
        <v>1.0</v>
      </c>
      <c r="BL185" s="42">
        <v>1.0</v>
      </c>
      <c r="BM185" s="44"/>
      <c r="BN185" s="44"/>
      <c r="BO185" s="44"/>
      <c r="BP185" s="44"/>
      <c r="BQ185" s="42"/>
      <c r="BR185" s="42"/>
      <c r="BS185" s="42"/>
      <c r="BT185" s="42"/>
      <c r="BU185" s="42"/>
      <c r="BV185" s="42"/>
      <c r="BW185" s="44"/>
      <c r="BX185" s="42"/>
      <c r="BY185" s="42"/>
      <c r="BZ185" s="44"/>
      <c r="CA185" s="44"/>
      <c r="CB185" s="44"/>
      <c r="CC185" s="44"/>
      <c r="CD185" s="44"/>
      <c r="CE185" s="44"/>
      <c r="CF185" s="44"/>
      <c r="CG185" s="44"/>
      <c r="CH185" s="44"/>
      <c r="CI185" s="44"/>
      <c r="CJ185" s="44"/>
      <c r="CK185" s="44"/>
      <c r="CL185" s="44"/>
      <c r="CM185" s="44"/>
      <c r="CN185" s="44"/>
      <c r="CO185" s="44"/>
      <c r="CP185" s="44"/>
      <c r="CQ185" s="44"/>
      <c r="CR185" s="44"/>
      <c r="CS185" s="44"/>
      <c r="CT185" s="44"/>
      <c r="CU185" s="42"/>
      <c r="CV185" s="42"/>
      <c r="CW185" s="42"/>
      <c r="CX185" s="42"/>
      <c r="CY185" s="42"/>
      <c r="CZ185" s="42"/>
      <c r="DA185" s="44"/>
      <c r="DB185" s="44"/>
      <c r="DC185" s="44"/>
      <c r="DD185" s="44"/>
      <c r="DE185" s="44"/>
      <c r="DF185" s="42">
        <v>1.0</v>
      </c>
      <c r="DG185" s="44"/>
      <c r="DH185" s="44"/>
      <c r="DI185" s="44"/>
      <c r="DJ185" s="44"/>
      <c r="DK185" s="44"/>
      <c r="DL185" s="44"/>
      <c r="DM185" s="44"/>
      <c r="DN185" s="42">
        <v>1.0</v>
      </c>
      <c r="DO185" s="44"/>
      <c r="DP185" s="42"/>
      <c r="DQ185" s="42"/>
      <c r="DR185" s="42"/>
      <c r="DS185" s="44"/>
      <c r="DT185" s="44"/>
      <c r="DU185" s="44"/>
      <c r="DV185" s="44"/>
      <c r="DW185" s="44"/>
      <c r="DX185" s="44"/>
      <c r="DY185" s="44"/>
      <c r="DZ185" s="44"/>
      <c r="EA185" s="44"/>
      <c r="EB185" s="44"/>
      <c r="EC185" s="44"/>
      <c r="ED185" s="44"/>
      <c r="EE185" s="44"/>
      <c r="EF185" s="44"/>
      <c r="EG185" s="44"/>
      <c r="EH185" s="44"/>
      <c r="EI185" s="42">
        <v>1.0</v>
      </c>
      <c r="EJ185" s="42"/>
      <c r="EK185" s="42"/>
      <c r="EL185" s="42"/>
      <c r="EM185" s="42"/>
      <c r="EN185" s="42">
        <v>1.0</v>
      </c>
      <c r="EO185" s="42"/>
      <c r="EP185" s="42"/>
      <c r="EQ185" s="42"/>
      <c r="ER185" s="42"/>
      <c r="ES185" s="42"/>
      <c r="ET185" s="42"/>
      <c r="EU185" s="42"/>
      <c r="EV185" s="42"/>
      <c r="EW185" s="42"/>
      <c r="EX185" s="42"/>
      <c r="EY185" s="42"/>
      <c r="EZ185" s="42"/>
      <c r="FA185" s="42"/>
      <c r="FB185" s="44"/>
      <c r="FC185" s="42"/>
      <c r="FD185" s="42"/>
      <c r="FE185" s="44"/>
      <c r="FF185" s="44"/>
      <c r="FG185" s="44"/>
      <c r="FH185" s="44"/>
      <c r="FI185" s="44"/>
      <c r="FJ185" s="44"/>
      <c r="FK185" s="44"/>
      <c r="FL185" s="44"/>
      <c r="FM185" s="44"/>
      <c r="FN185" s="44"/>
      <c r="FO185" s="44"/>
      <c r="FP185" s="44"/>
      <c r="FQ185" s="44"/>
      <c r="FR185" s="42">
        <v>1.0</v>
      </c>
      <c r="FS185" s="44"/>
      <c r="FT185" s="44"/>
      <c r="FU185" s="44"/>
      <c r="FV185" s="44"/>
      <c r="FW185" s="44"/>
      <c r="FX185" s="44"/>
      <c r="FY185" s="42"/>
      <c r="FZ185" s="44"/>
      <c r="GA185" s="44"/>
      <c r="GB185" s="44"/>
      <c r="GC185" s="44"/>
      <c r="GD185" s="44"/>
      <c r="GE185" s="44"/>
      <c r="GF185" s="42"/>
    </row>
    <row r="186">
      <c r="A186" s="41">
        <v>43515.0</v>
      </c>
      <c r="B186" s="42" t="s">
        <v>266</v>
      </c>
      <c r="C186" s="42">
        <v>22.060684</v>
      </c>
      <c r="D186" s="42">
        <v>-159.318512</v>
      </c>
      <c r="E186" s="42" t="s">
        <v>418</v>
      </c>
      <c r="F186" s="43">
        <v>0.4201388888888889</v>
      </c>
      <c r="G186" s="43">
        <v>0.5104166666666666</v>
      </c>
      <c r="H186" s="42">
        <v>4.0</v>
      </c>
      <c r="I186" s="42">
        <v>16.0</v>
      </c>
      <c r="J186" s="42" t="s">
        <v>217</v>
      </c>
      <c r="K186" s="42">
        <v>3.0</v>
      </c>
      <c r="L186" s="42">
        <v>10.0</v>
      </c>
      <c r="M186" s="42" t="s">
        <v>539</v>
      </c>
      <c r="N186" s="44"/>
      <c r="O186" s="42"/>
      <c r="P186" s="44"/>
      <c r="Q186" s="44"/>
      <c r="R186" s="44"/>
      <c r="S186" s="44"/>
      <c r="T186" s="44"/>
      <c r="U186" s="44"/>
      <c r="V186" s="44"/>
      <c r="W186" s="44"/>
      <c r="X186" s="44"/>
      <c r="Y186" s="44"/>
      <c r="Z186" s="44"/>
      <c r="AA186" s="44"/>
      <c r="AB186" s="44"/>
      <c r="AC186" s="44"/>
      <c r="AD186" s="44"/>
      <c r="AE186" s="44"/>
      <c r="AF186" s="44"/>
      <c r="AG186" s="42"/>
      <c r="AH186" s="42"/>
      <c r="AI186" s="44"/>
      <c r="AJ186" s="44"/>
      <c r="AK186" s="44"/>
      <c r="AL186" s="44"/>
      <c r="AM186" s="44"/>
      <c r="AN186" s="44"/>
      <c r="AO186" s="44"/>
      <c r="AP186" s="44"/>
      <c r="AQ186" s="44"/>
      <c r="AR186" s="44"/>
      <c r="AS186" s="42"/>
      <c r="AT186" s="42"/>
      <c r="AU186" s="42"/>
      <c r="AV186" s="42"/>
      <c r="AW186" s="42"/>
      <c r="AX186" s="42"/>
      <c r="AY186" s="42"/>
      <c r="AZ186" s="42"/>
      <c r="BA186" s="42">
        <v>1.0</v>
      </c>
      <c r="BB186" s="42"/>
      <c r="BC186" s="42"/>
      <c r="BD186" s="42"/>
      <c r="BE186" s="42"/>
      <c r="BF186" s="42"/>
      <c r="BG186" s="42"/>
      <c r="BH186" s="42"/>
      <c r="BI186" s="42"/>
      <c r="BJ186" s="42"/>
      <c r="BK186" s="42"/>
      <c r="BL186" s="42">
        <v>1.0</v>
      </c>
      <c r="BM186" s="44"/>
      <c r="BN186" s="44"/>
      <c r="BO186" s="44"/>
      <c r="BP186" s="44"/>
      <c r="BQ186" s="42"/>
      <c r="BR186" s="42"/>
      <c r="BS186" s="42"/>
      <c r="BT186" s="42"/>
      <c r="BU186" s="42">
        <v>1.0</v>
      </c>
      <c r="BV186" s="42"/>
      <c r="BW186" s="44"/>
      <c r="BX186" s="42"/>
      <c r="BY186" s="42">
        <v>1.0</v>
      </c>
      <c r="BZ186" s="44"/>
      <c r="CA186" s="44"/>
      <c r="CB186" s="44"/>
      <c r="CC186" s="44"/>
      <c r="CD186" s="44"/>
      <c r="CE186" s="44"/>
      <c r="CF186" s="44"/>
      <c r="CG186" s="44"/>
      <c r="CH186" s="44"/>
      <c r="CI186" s="44"/>
      <c r="CJ186" s="44"/>
      <c r="CK186" s="44"/>
      <c r="CL186" s="44"/>
      <c r="CM186" s="44"/>
      <c r="CN186" s="44"/>
      <c r="CO186" s="44"/>
      <c r="CP186" s="44"/>
      <c r="CQ186" s="44"/>
      <c r="CR186" s="44"/>
      <c r="CS186" s="44"/>
      <c r="CT186" s="44"/>
      <c r="CU186" s="42"/>
      <c r="CV186" s="42"/>
      <c r="CW186" s="42"/>
      <c r="CX186" s="42"/>
      <c r="CY186" s="42"/>
      <c r="CZ186" s="42"/>
      <c r="DA186" s="44"/>
      <c r="DB186" s="44"/>
      <c r="DC186" s="44"/>
      <c r="DD186" s="44"/>
      <c r="DE186" s="44"/>
      <c r="DF186" s="42">
        <v>1.0</v>
      </c>
      <c r="DG186" s="44"/>
      <c r="DH186" s="44"/>
      <c r="DI186" s="44"/>
      <c r="DJ186" s="44"/>
      <c r="DK186" s="44"/>
      <c r="DL186" s="42">
        <v>1.0</v>
      </c>
      <c r="DM186" s="44"/>
      <c r="DN186" s="44"/>
      <c r="DO186" s="44"/>
      <c r="DP186" s="42"/>
      <c r="DQ186" s="42"/>
      <c r="DR186" s="42">
        <v>1.0</v>
      </c>
      <c r="DS186" s="44"/>
      <c r="DT186" s="44"/>
      <c r="DU186" s="42">
        <v>1.0</v>
      </c>
      <c r="DV186" s="44"/>
      <c r="DW186" s="44"/>
      <c r="DX186" s="44"/>
      <c r="DY186" s="44"/>
      <c r="DZ186" s="44"/>
      <c r="EA186" s="44"/>
      <c r="EB186" s="44"/>
      <c r="EC186" s="44"/>
      <c r="ED186" s="44"/>
      <c r="EE186" s="44"/>
      <c r="EF186" s="44"/>
      <c r="EG186" s="44"/>
      <c r="EH186" s="44"/>
      <c r="EI186" s="42">
        <v>1.0</v>
      </c>
      <c r="EJ186" s="42"/>
      <c r="EK186" s="42"/>
      <c r="EL186" s="42"/>
      <c r="EM186" s="42"/>
      <c r="EN186" s="42"/>
      <c r="EO186" s="42"/>
      <c r="EP186" s="42"/>
      <c r="EQ186" s="42"/>
      <c r="ER186" s="42"/>
      <c r="ES186" s="42"/>
      <c r="ET186" s="42"/>
      <c r="EU186" s="42"/>
      <c r="EV186" s="42"/>
      <c r="EW186" s="42"/>
      <c r="EX186" s="42"/>
      <c r="EY186" s="42"/>
      <c r="EZ186" s="42"/>
      <c r="FA186" s="42">
        <v>1.0</v>
      </c>
      <c r="FB186" s="44"/>
      <c r="FC186" s="42"/>
      <c r="FD186" s="42"/>
      <c r="FE186" s="42">
        <v>1.0</v>
      </c>
      <c r="FF186" s="44"/>
      <c r="FG186" s="44"/>
      <c r="FH186" s="44"/>
      <c r="FI186" s="44"/>
      <c r="FJ186" s="44"/>
      <c r="FK186" s="44"/>
      <c r="FL186" s="44"/>
      <c r="FM186" s="44"/>
      <c r="FN186" s="44"/>
      <c r="FO186" s="44"/>
      <c r="FP186" s="44"/>
      <c r="FQ186" s="42">
        <v>1.0</v>
      </c>
      <c r="FR186" s="42">
        <v>1.0</v>
      </c>
      <c r="FS186" s="44"/>
      <c r="FT186" s="44"/>
      <c r="FU186" s="44"/>
      <c r="FV186" s="44"/>
      <c r="FW186" s="44"/>
      <c r="FX186" s="44"/>
      <c r="FY186" s="42"/>
      <c r="FZ186" s="44"/>
      <c r="GA186" s="44"/>
      <c r="GB186" s="44"/>
      <c r="GC186" s="44"/>
      <c r="GD186" s="44"/>
      <c r="GE186" s="44"/>
      <c r="GF186" s="42"/>
    </row>
    <row r="187">
      <c r="A187" s="31">
        <v>43516.0</v>
      </c>
      <c r="B187" s="32" t="s">
        <v>216</v>
      </c>
      <c r="C187" s="32"/>
      <c r="D187" s="32"/>
      <c r="E187" s="32"/>
      <c r="F187" s="33"/>
      <c r="G187" s="33"/>
      <c r="H187" s="32"/>
      <c r="I187" s="32"/>
      <c r="J187" s="32"/>
      <c r="K187" s="32"/>
      <c r="L187" s="32"/>
      <c r="M187" s="34"/>
      <c r="N187" s="34"/>
      <c r="O187" s="32"/>
      <c r="P187" s="34"/>
      <c r="Q187" s="34"/>
      <c r="R187" s="34"/>
      <c r="S187" s="34"/>
      <c r="T187" s="34"/>
      <c r="U187" s="34"/>
      <c r="V187" s="34"/>
      <c r="W187" s="34"/>
      <c r="X187" s="34"/>
      <c r="Y187" s="34"/>
      <c r="Z187" s="34"/>
      <c r="AA187" s="34"/>
      <c r="AB187" s="34"/>
      <c r="AC187" s="34"/>
      <c r="AD187" s="34"/>
      <c r="AE187" s="34"/>
      <c r="AF187" s="34"/>
      <c r="AG187" s="32"/>
      <c r="AH187" s="32"/>
      <c r="AI187" s="34"/>
      <c r="AJ187" s="34"/>
      <c r="AK187" s="34"/>
      <c r="AL187" s="34"/>
      <c r="AM187" s="34"/>
      <c r="AN187" s="34"/>
      <c r="AO187" s="34"/>
      <c r="AP187" s="34"/>
      <c r="AQ187" s="34"/>
      <c r="AR187" s="34"/>
      <c r="AS187" s="32"/>
      <c r="AT187" s="32"/>
      <c r="AU187" s="32"/>
      <c r="AV187" s="32"/>
      <c r="AW187" s="32"/>
      <c r="AX187" s="32"/>
      <c r="AY187" s="32"/>
      <c r="AZ187" s="32"/>
      <c r="BA187" s="32"/>
      <c r="BB187" s="32"/>
      <c r="BC187" s="32"/>
      <c r="BD187" s="32"/>
      <c r="BE187" s="32"/>
      <c r="BF187" s="32"/>
      <c r="BG187" s="32"/>
      <c r="BH187" s="32"/>
      <c r="BI187" s="32"/>
      <c r="BJ187" s="32"/>
      <c r="BK187" s="32"/>
      <c r="BL187" s="32"/>
      <c r="BM187" s="34"/>
      <c r="BN187" s="34"/>
      <c r="BO187" s="34"/>
      <c r="BP187" s="34"/>
      <c r="BQ187" s="32"/>
      <c r="BR187" s="32"/>
      <c r="BS187" s="32"/>
      <c r="BT187" s="32"/>
      <c r="BU187" s="32"/>
      <c r="BV187" s="32"/>
      <c r="BW187" s="34"/>
      <c r="BX187" s="32"/>
      <c r="BY187" s="32"/>
      <c r="BZ187" s="34"/>
      <c r="CA187" s="34"/>
      <c r="CB187" s="34"/>
      <c r="CC187" s="34"/>
      <c r="CD187" s="34"/>
      <c r="CE187" s="34"/>
      <c r="CF187" s="34"/>
      <c r="CG187" s="34"/>
      <c r="CH187" s="34"/>
      <c r="CI187" s="34"/>
      <c r="CJ187" s="34"/>
      <c r="CK187" s="34"/>
      <c r="CL187" s="34"/>
      <c r="CM187" s="34"/>
      <c r="CN187" s="34"/>
      <c r="CO187" s="34"/>
      <c r="CP187" s="34"/>
      <c r="CQ187" s="34"/>
      <c r="CR187" s="34"/>
      <c r="CS187" s="34"/>
      <c r="CT187" s="34"/>
      <c r="CU187" s="32"/>
      <c r="CV187" s="32"/>
      <c r="CW187" s="32"/>
      <c r="CX187" s="32"/>
      <c r="CY187" s="32"/>
      <c r="CZ187" s="32"/>
      <c r="DA187" s="34"/>
      <c r="DB187" s="34"/>
      <c r="DC187" s="34"/>
      <c r="DD187" s="34"/>
      <c r="DE187" s="34"/>
      <c r="DF187" s="34"/>
      <c r="DG187" s="34"/>
      <c r="DH187" s="34"/>
      <c r="DI187" s="34"/>
      <c r="DJ187" s="34"/>
      <c r="DK187" s="34"/>
      <c r="DL187" s="34"/>
      <c r="DM187" s="34"/>
      <c r="DN187" s="34"/>
      <c r="DO187" s="34"/>
      <c r="DP187" s="32"/>
      <c r="DQ187" s="32"/>
      <c r="DR187" s="32"/>
      <c r="DS187" s="34"/>
      <c r="DT187" s="34"/>
      <c r="DU187" s="34"/>
      <c r="DV187" s="34"/>
      <c r="DW187" s="34"/>
      <c r="DX187" s="34"/>
      <c r="DY187" s="34"/>
      <c r="DZ187" s="34"/>
      <c r="EA187" s="34"/>
      <c r="EB187" s="34"/>
      <c r="EC187" s="34"/>
      <c r="ED187" s="34"/>
      <c r="EE187" s="34"/>
      <c r="EF187" s="34"/>
      <c r="EG187" s="34"/>
      <c r="EH187" s="34"/>
      <c r="EI187" s="34"/>
      <c r="EJ187" s="32"/>
      <c r="EK187" s="32"/>
      <c r="EL187" s="32"/>
      <c r="EM187" s="32"/>
      <c r="EN187" s="32"/>
      <c r="EO187" s="32"/>
      <c r="EP187" s="32"/>
      <c r="EQ187" s="32"/>
      <c r="ER187" s="32"/>
      <c r="ES187" s="32"/>
      <c r="ET187" s="32"/>
      <c r="EU187" s="32"/>
      <c r="EV187" s="32"/>
      <c r="EW187" s="32"/>
      <c r="EX187" s="32"/>
      <c r="EY187" s="32"/>
      <c r="EZ187" s="32"/>
      <c r="FA187" s="32"/>
      <c r="FB187" s="34"/>
      <c r="FC187" s="32"/>
      <c r="FD187" s="32"/>
      <c r="FE187" s="34"/>
      <c r="FF187" s="34"/>
      <c r="FG187" s="34"/>
      <c r="FH187" s="34"/>
      <c r="FI187" s="34"/>
      <c r="FJ187" s="34"/>
      <c r="FK187" s="34"/>
      <c r="FL187" s="34"/>
      <c r="FM187" s="34"/>
      <c r="FN187" s="34"/>
      <c r="FO187" s="34"/>
      <c r="FP187" s="34"/>
      <c r="FQ187" s="34"/>
      <c r="FR187" s="32"/>
      <c r="FS187" s="34"/>
      <c r="FT187" s="34"/>
      <c r="FU187" s="34"/>
      <c r="FV187" s="34"/>
      <c r="FW187" s="34"/>
      <c r="FX187" s="34"/>
      <c r="FY187" s="32"/>
      <c r="FZ187" s="34"/>
      <c r="GA187" s="34"/>
      <c r="GB187" s="34"/>
      <c r="GC187" s="34"/>
      <c r="GD187" s="34"/>
      <c r="GE187" s="34"/>
      <c r="GF187" s="32"/>
    </row>
    <row r="188">
      <c r="A188" s="41">
        <v>43516.0</v>
      </c>
      <c r="B188" s="42" t="s">
        <v>244</v>
      </c>
      <c r="C188" s="42">
        <v>21.310612</v>
      </c>
      <c r="D188" s="42">
        <v>-158.00441</v>
      </c>
      <c r="E188" s="42" t="s">
        <v>278</v>
      </c>
      <c r="F188" s="43">
        <v>0.39444444444444443</v>
      </c>
      <c r="G188" s="43">
        <v>0.4791666666666667</v>
      </c>
      <c r="H188" s="42">
        <v>8.0</v>
      </c>
      <c r="I188" s="42">
        <v>10.0</v>
      </c>
      <c r="J188" s="42" t="s">
        <v>314</v>
      </c>
      <c r="K188" s="42">
        <v>6.0</v>
      </c>
      <c r="L188" s="42">
        <v>6.0</v>
      </c>
      <c r="M188" s="42" t="s">
        <v>540</v>
      </c>
      <c r="N188" s="44"/>
      <c r="O188" s="42"/>
      <c r="P188" s="44"/>
      <c r="Q188" s="44"/>
      <c r="R188" s="44"/>
      <c r="S188" s="44"/>
      <c r="T188" s="44"/>
      <c r="U188" s="44"/>
      <c r="V188" s="44"/>
      <c r="W188" s="44"/>
      <c r="X188" s="44"/>
      <c r="Y188" s="44"/>
      <c r="Z188" s="44"/>
      <c r="AA188" s="44"/>
      <c r="AB188" s="44"/>
      <c r="AC188" s="44"/>
      <c r="AD188" s="42">
        <v>1.0</v>
      </c>
      <c r="AE188" s="44"/>
      <c r="AF188" s="44"/>
      <c r="AG188" s="42"/>
      <c r="AH188" s="42"/>
      <c r="AI188" s="44"/>
      <c r="AJ188" s="44"/>
      <c r="AK188" s="44"/>
      <c r="AL188" s="44"/>
      <c r="AM188" s="44"/>
      <c r="AN188" s="44"/>
      <c r="AO188" s="44"/>
      <c r="AP188" s="44"/>
      <c r="AQ188" s="44"/>
      <c r="AR188" s="44"/>
      <c r="AS188" s="42"/>
      <c r="AT188" s="42"/>
      <c r="AU188" s="42"/>
      <c r="AV188" s="42"/>
      <c r="AW188" s="42"/>
      <c r="AX188" s="42"/>
      <c r="AY188" s="42"/>
      <c r="AZ188" s="42"/>
      <c r="BA188" s="42"/>
      <c r="BB188" s="42"/>
      <c r="BC188" s="42"/>
      <c r="BD188" s="42">
        <v>1.0</v>
      </c>
      <c r="BE188" s="42"/>
      <c r="BF188" s="42"/>
      <c r="BG188" s="42"/>
      <c r="BH188" s="42"/>
      <c r="BI188" s="42"/>
      <c r="BJ188" s="42"/>
      <c r="BK188" s="42"/>
      <c r="BL188" s="42">
        <v>1.0</v>
      </c>
      <c r="BM188" s="44"/>
      <c r="BN188" s="44"/>
      <c r="BO188" s="44"/>
      <c r="BP188" s="44"/>
      <c r="BQ188" s="42"/>
      <c r="BR188" s="42"/>
      <c r="BS188" s="42"/>
      <c r="BT188" s="42"/>
      <c r="BU188" s="42">
        <v>1.0</v>
      </c>
      <c r="BV188" s="42"/>
      <c r="BW188" s="44"/>
      <c r="BX188" s="42"/>
      <c r="BY188" s="42"/>
      <c r="BZ188" s="44"/>
      <c r="CA188" s="44"/>
      <c r="CB188" s="44"/>
      <c r="CC188" s="44"/>
      <c r="CD188" s="44"/>
      <c r="CE188" s="44"/>
      <c r="CF188" s="44"/>
      <c r="CG188" s="44"/>
      <c r="CH188" s="44"/>
      <c r="CI188" s="44"/>
      <c r="CJ188" s="44"/>
      <c r="CK188" s="44"/>
      <c r="CL188" s="44"/>
      <c r="CM188" s="44"/>
      <c r="CN188" s="44"/>
      <c r="CO188" s="44"/>
      <c r="CP188" s="44"/>
      <c r="CQ188" s="44"/>
      <c r="CR188" s="44"/>
      <c r="CS188" s="44"/>
      <c r="CT188" s="44"/>
      <c r="CU188" s="42"/>
      <c r="CV188" s="42"/>
      <c r="CW188" s="42"/>
      <c r="CX188" s="42"/>
      <c r="CY188" s="42"/>
      <c r="CZ188" s="42"/>
      <c r="DA188" s="44"/>
      <c r="DB188" s="44"/>
      <c r="DC188" s="44"/>
      <c r="DD188" s="44"/>
      <c r="DE188" s="44"/>
      <c r="DF188" s="42">
        <v>1.0</v>
      </c>
      <c r="DG188" s="44"/>
      <c r="DH188" s="44"/>
      <c r="DI188" s="44"/>
      <c r="DJ188" s="44"/>
      <c r="DK188" s="42">
        <v>1.0</v>
      </c>
      <c r="DL188" s="44"/>
      <c r="DM188" s="44"/>
      <c r="DN188" s="42">
        <v>1.0</v>
      </c>
      <c r="DO188" s="44"/>
      <c r="DP188" s="42"/>
      <c r="DQ188" s="42"/>
      <c r="DR188" s="42"/>
      <c r="DS188" s="44"/>
      <c r="DT188" s="44"/>
      <c r="DU188" s="44"/>
      <c r="DV188" s="44"/>
      <c r="DW188" s="44"/>
      <c r="DX188" s="44"/>
      <c r="DY188" s="44"/>
      <c r="DZ188" s="44"/>
      <c r="EA188" s="44"/>
      <c r="EB188" s="44"/>
      <c r="EC188" s="44"/>
      <c r="ED188" s="44"/>
      <c r="EE188" s="44"/>
      <c r="EF188" s="44"/>
      <c r="EG188" s="44"/>
      <c r="EH188" s="44"/>
      <c r="EI188" s="42">
        <v>1.0</v>
      </c>
      <c r="EJ188" s="42"/>
      <c r="EK188" s="42"/>
      <c r="EL188" s="42"/>
      <c r="EM188" s="42"/>
      <c r="EN188" s="42">
        <v>1.0</v>
      </c>
      <c r="EO188" s="42"/>
      <c r="EP188" s="42"/>
      <c r="EQ188" s="42"/>
      <c r="ER188" s="42"/>
      <c r="ES188" s="42"/>
      <c r="ET188" s="42"/>
      <c r="EU188" s="42"/>
      <c r="EV188" s="42"/>
      <c r="EW188" s="42"/>
      <c r="EX188" s="42"/>
      <c r="EY188" s="42"/>
      <c r="EZ188" s="42"/>
      <c r="FA188" s="42"/>
      <c r="FB188" s="44"/>
      <c r="FC188" s="42"/>
      <c r="FD188" s="42"/>
      <c r="FE188" s="44"/>
      <c r="FF188" s="44"/>
      <c r="FG188" s="44"/>
      <c r="FH188" s="44"/>
      <c r="FI188" s="44"/>
      <c r="FJ188" s="44"/>
      <c r="FK188" s="44"/>
      <c r="FL188" s="44"/>
      <c r="FM188" s="44"/>
      <c r="FN188" s="44"/>
      <c r="FO188" s="44"/>
      <c r="FP188" s="44"/>
      <c r="FQ188" s="44"/>
      <c r="FR188" s="42"/>
      <c r="FS188" s="44"/>
      <c r="FT188" s="44"/>
      <c r="FU188" s="44"/>
      <c r="FV188" s="42">
        <v>1.0</v>
      </c>
      <c r="FW188" s="44"/>
      <c r="FX188" s="44"/>
      <c r="FY188" s="42"/>
      <c r="FZ188" s="44"/>
      <c r="GA188" s="44"/>
      <c r="GB188" s="44"/>
      <c r="GC188" s="44"/>
      <c r="GD188" s="44"/>
      <c r="GE188" s="44"/>
      <c r="GF188" s="42"/>
    </row>
    <row r="189">
      <c r="A189" s="23">
        <v>43517.0</v>
      </c>
      <c r="B189" s="4" t="s">
        <v>440</v>
      </c>
      <c r="C189" s="4">
        <v>21.311893</v>
      </c>
      <c r="D189" s="4">
        <v>-157.895142</v>
      </c>
      <c r="E189" s="4" t="s">
        <v>418</v>
      </c>
      <c r="F189" s="24">
        <v>0.4583333333333333</v>
      </c>
      <c r="G189" s="24">
        <v>0.49027777777777776</v>
      </c>
      <c r="H189" s="4">
        <v>5.0</v>
      </c>
      <c r="I189" s="4">
        <v>10.0</v>
      </c>
      <c r="J189" s="4" t="s">
        <v>318</v>
      </c>
      <c r="K189" s="4">
        <v>5.0</v>
      </c>
      <c r="L189" s="4">
        <v>25.0</v>
      </c>
      <c r="AG189" s="4"/>
      <c r="AH189" s="4">
        <v>1.0</v>
      </c>
      <c r="AS189" s="4"/>
      <c r="AT189" s="4"/>
      <c r="AU189" s="4"/>
      <c r="AV189" s="4"/>
      <c r="AW189" s="4"/>
      <c r="AX189" s="4"/>
      <c r="AY189" s="4">
        <v>1.0</v>
      </c>
      <c r="AZ189" s="4"/>
      <c r="BA189" s="4"/>
      <c r="BB189" s="4"/>
      <c r="BC189" s="4"/>
      <c r="BD189" s="4">
        <v>1.0</v>
      </c>
      <c r="BE189" s="4"/>
      <c r="BF189" s="4"/>
      <c r="BG189" s="4"/>
      <c r="BH189" s="4"/>
      <c r="BI189" s="4"/>
      <c r="BJ189" s="4"/>
      <c r="BK189" s="4">
        <v>1.0</v>
      </c>
      <c r="BL189" s="4">
        <v>1.0</v>
      </c>
      <c r="BQ189" s="4"/>
      <c r="BR189" s="4"/>
      <c r="BS189" s="4"/>
      <c r="BT189" s="4"/>
      <c r="BU189" s="4">
        <v>1.0</v>
      </c>
      <c r="BV189" s="4"/>
      <c r="BX189" s="4"/>
      <c r="BY189" s="4">
        <v>1.0</v>
      </c>
      <c r="CU189" s="4"/>
      <c r="CV189" s="4"/>
      <c r="CW189" s="4"/>
      <c r="CX189" s="4"/>
      <c r="CY189" s="4"/>
      <c r="CZ189" s="4">
        <v>1.0</v>
      </c>
      <c r="DP189" s="4"/>
      <c r="DQ189" s="4"/>
      <c r="DR189" s="4">
        <v>1.0</v>
      </c>
      <c r="EJ189" s="4"/>
      <c r="EK189" s="4"/>
      <c r="EL189" s="4"/>
      <c r="EM189" s="4"/>
      <c r="EN189" s="4"/>
      <c r="EO189" s="4"/>
      <c r="EP189" s="4"/>
      <c r="EQ189" s="4"/>
      <c r="ER189" s="4"/>
      <c r="ES189" s="4"/>
      <c r="ET189" s="4"/>
      <c r="EU189" s="4"/>
      <c r="EV189" s="4"/>
      <c r="EW189" s="4"/>
      <c r="EX189" s="4"/>
      <c r="EY189" s="4"/>
      <c r="EZ189" s="4"/>
      <c r="FA189" s="4">
        <v>1.0</v>
      </c>
      <c r="FD189" s="4">
        <v>1.0</v>
      </c>
      <c r="FR189" s="4">
        <v>1.0</v>
      </c>
      <c r="FY189" s="4">
        <v>1.0</v>
      </c>
      <c r="GF189" s="4">
        <v>1.0</v>
      </c>
    </row>
    <row r="190">
      <c r="A190" s="23">
        <v>43519.0</v>
      </c>
      <c r="B190" s="4" t="s">
        <v>266</v>
      </c>
      <c r="C190" s="36">
        <v>22.060684</v>
      </c>
      <c r="D190" s="36">
        <v>-159.318512</v>
      </c>
      <c r="E190" s="4" t="s">
        <v>297</v>
      </c>
      <c r="F190" s="24">
        <v>0.36875</v>
      </c>
      <c r="G190" s="24">
        <v>0.40625</v>
      </c>
      <c r="H190" s="4">
        <v>4.0</v>
      </c>
      <c r="I190" s="4">
        <v>20.0</v>
      </c>
      <c r="J190" s="4" t="s">
        <v>198</v>
      </c>
      <c r="K190" s="4">
        <v>5.0</v>
      </c>
      <c r="L190" s="4">
        <v>19.0</v>
      </c>
      <c r="M190" s="4" t="s">
        <v>441</v>
      </c>
      <c r="Q190" s="4">
        <v>1.0</v>
      </c>
      <c r="Z190" s="4"/>
      <c r="AA190" s="4">
        <v>1.0</v>
      </c>
      <c r="AC190" s="4">
        <v>1.0</v>
      </c>
      <c r="AF190" s="4"/>
      <c r="AV190" s="4"/>
      <c r="AW190" s="4">
        <v>1.0</v>
      </c>
      <c r="AZ190" s="4"/>
      <c r="BA190" s="4">
        <v>1.0</v>
      </c>
      <c r="BE190" s="4"/>
      <c r="BF190" s="4"/>
      <c r="BG190" s="4"/>
      <c r="BH190" s="4"/>
      <c r="BI190" s="4"/>
      <c r="BJ190" s="4"/>
      <c r="BL190" s="4">
        <v>1.0</v>
      </c>
      <c r="BM190" s="4">
        <v>1.0</v>
      </c>
      <c r="BP190" s="4"/>
      <c r="BQ190" s="4"/>
      <c r="BU190" s="4">
        <v>1.0</v>
      </c>
      <c r="CB190" s="4"/>
      <c r="CC190" s="4"/>
      <c r="CD190" s="4"/>
      <c r="CE190" s="4"/>
      <c r="CH190" s="4"/>
      <c r="CI190" s="4"/>
      <c r="CJ190" s="4"/>
      <c r="CK190" s="4"/>
      <c r="CL190" s="4"/>
      <c r="CM190" s="4"/>
      <c r="CN190" s="4"/>
      <c r="DL190" s="4">
        <v>1.0</v>
      </c>
      <c r="DM190" s="4">
        <v>1.0</v>
      </c>
      <c r="DQ190" s="4"/>
      <c r="DR190" s="4">
        <v>1.0</v>
      </c>
      <c r="DS190" s="4"/>
      <c r="DV190" s="4"/>
      <c r="DW190" s="4"/>
      <c r="EA190" s="4"/>
      <c r="EB190" s="4"/>
      <c r="EC190" s="4"/>
      <c r="EH190" s="4"/>
      <c r="EI190" s="4">
        <v>1.0</v>
      </c>
      <c r="EJ190" s="4"/>
      <c r="EK190" s="4"/>
      <c r="EL190" s="4"/>
      <c r="EM190" s="4"/>
      <c r="EN190" s="4"/>
      <c r="EO190" s="4"/>
      <c r="EP190" s="4"/>
      <c r="EQ190" s="4"/>
      <c r="FA190" s="4">
        <v>1.0</v>
      </c>
      <c r="FH190" s="4">
        <v>1.0</v>
      </c>
      <c r="FI190" s="4"/>
      <c r="FJ190" s="4"/>
      <c r="FK190" s="4"/>
      <c r="FL190" s="4"/>
      <c r="FQ190" s="4">
        <v>1.0</v>
      </c>
      <c r="FR190" s="4">
        <v>1.0</v>
      </c>
      <c r="GA190" s="4">
        <v>1.0</v>
      </c>
    </row>
    <row r="191">
      <c r="A191" s="23">
        <v>43519.0</v>
      </c>
      <c r="B191" s="4" t="s">
        <v>266</v>
      </c>
      <c r="C191" s="36">
        <v>22.060684</v>
      </c>
      <c r="D191" s="36">
        <v>-159.318512</v>
      </c>
      <c r="E191" s="4" t="s">
        <v>347</v>
      </c>
      <c r="F191" s="24">
        <v>0.5347222222222222</v>
      </c>
      <c r="G191" s="24">
        <v>0.6041666666666666</v>
      </c>
      <c r="H191" s="4">
        <v>3.0</v>
      </c>
      <c r="I191" s="4">
        <v>20.0</v>
      </c>
      <c r="J191" s="4" t="s">
        <v>198</v>
      </c>
      <c r="K191" s="4">
        <v>20.0</v>
      </c>
      <c r="L191" s="4">
        <v>10.0</v>
      </c>
      <c r="M191" s="4" t="s">
        <v>442</v>
      </c>
      <c r="N191" s="4" t="s">
        <v>443</v>
      </c>
      <c r="AF191" s="4"/>
      <c r="AV191" s="4"/>
      <c r="AW191" s="4">
        <v>1.0</v>
      </c>
      <c r="BE191" s="4"/>
      <c r="BF191" s="4"/>
      <c r="BG191" s="4"/>
      <c r="BH191" s="4"/>
      <c r="BI191" s="4"/>
      <c r="BJ191" s="4">
        <v>1.0</v>
      </c>
      <c r="BL191" s="4">
        <v>1.0</v>
      </c>
      <c r="BP191" s="4"/>
      <c r="BQ191" s="4"/>
      <c r="BU191" s="4">
        <v>1.0</v>
      </c>
      <c r="CB191" s="4"/>
      <c r="CC191" s="4"/>
      <c r="CD191" s="4"/>
      <c r="CE191" s="4"/>
      <c r="CH191" s="4"/>
      <c r="CI191" s="4"/>
      <c r="CJ191" s="4"/>
      <c r="CK191" s="4"/>
      <c r="CL191" s="4"/>
      <c r="CM191" s="4"/>
      <c r="CN191" s="4"/>
      <c r="DL191" s="4">
        <v>1.0</v>
      </c>
      <c r="DQ191" s="4"/>
      <c r="DR191" s="4">
        <v>1.0</v>
      </c>
      <c r="DS191" s="4"/>
      <c r="DV191" s="4"/>
      <c r="DW191" s="4"/>
      <c r="EA191" s="4"/>
      <c r="EB191" s="4"/>
      <c r="EC191" s="4"/>
      <c r="EH191" s="4"/>
      <c r="EI191" s="4">
        <v>1.0</v>
      </c>
      <c r="EJ191" s="4"/>
      <c r="EK191" s="4"/>
      <c r="EL191" s="4"/>
      <c r="EM191" s="4"/>
      <c r="EN191" s="4"/>
      <c r="EO191" s="4"/>
      <c r="EP191" s="4"/>
      <c r="EQ191" s="4"/>
      <c r="FH191" s="4">
        <v>1.0</v>
      </c>
      <c r="FI191" s="4"/>
      <c r="FJ191" s="4"/>
      <c r="FK191" s="4"/>
      <c r="FL191" s="4"/>
      <c r="FQ191" s="4">
        <v>1.0</v>
      </c>
      <c r="FR191" s="4">
        <v>1.0</v>
      </c>
    </row>
    <row r="192">
      <c r="A192" s="23">
        <v>43520.0</v>
      </c>
      <c r="B192" s="4" t="s">
        <v>293</v>
      </c>
      <c r="C192" s="4">
        <v>19.738602</v>
      </c>
      <c r="D192" s="4">
        <v>-155.038879</v>
      </c>
      <c r="E192" s="4" t="s">
        <v>418</v>
      </c>
      <c r="F192" s="24">
        <v>0.5520833333333334</v>
      </c>
      <c r="G192" s="24">
        <v>0.59375</v>
      </c>
      <c r="H192" s="4">
        <v>3.0</v>
      </c>
      <c r="I192" s="4">
        <v>13.0</v>
      </c>
      <c r="J192" s="4" t="s">
        <v>198</v>
      </c>
      <c r="K192" s="4">
        <v>11.0</v>
      </c>
      <c r="L192" s="4">
        <v>25.0</v>
      </c>
      <c r="M192" s="4" t="s">
        <v>444</v>
      </c>
      <c r="AF192" s="4">
        <v>1.0</v>
      </c>
      <c r="BE192" s="4"/>
      <c r="BF192" s="4"/>
      <c r="BG192" s="4"/>
      <c r="BH192" s="4"/>
      <c r="BI192" s="4"/>
      <c r="BJ192" s="4">
        <v>1.0</v>
      </c>
      <c r="BL192" s="4">
        <v>1.0</v>
      </c>
      <c r="BP192" s="4">
        <v>1.0</v>
      </c>
      <c r="BQ192" s="4">
        <v>1.0</v>
      </c>
      <c r="CB192" s="4">
        <v>1.0</v>
      </c>
      <c r="CC192" s="4"/>
      <c r="CD192" s="4"/>
      <c r="CE192" s="4">
        <v>1.0</v>
      </c>
      <c r="CH192" s="4"/>
      <c r="CI192" s="4"/>
      <c r="CJ192" s="4"/>
      <c r="CK192" s="4"/>
      <c r="CL192" s="4"/>
      <c r="CM192" s="4"/>
      <c r="CN192" s="4">
        <v>1.0</v>
      </c>
      <c r="DS192" s="4"/>
      <c r="DV192" s="4"/>
      <c r="DW192" s="4">
        <v>1.0</v>
      </c>
      <c r="EA192" s="4"/>
      <c r="EB192" s="4"/>
      <c r="EC192" s="4">
        <v>1.0</v>
      </c>
      <c r="EJ192" s="4"/>
      <c r="EK192" s="4"/>
      <c r="EL192" s="4"/>
      <c r="EM192" s="4"/>
      <c r="EN192" s="4"/>
      <c r="EO192" s="4">
        <v>1.0</v>
      </c>
      <c r="EP192" s="4"/>
      <c r="EQ192" s="4">
        <v>1.0</v>
      </c>
      <c r="FI192" s="4"/>
      <c r="FJ192" s="4"/>
      <c r="FK192" s="4"/>
      <c r="FL192" s="4">
        <v>1.0</v>
      </c>
      <c r="FR192" s="4">
        <v>1.0</v>
      </c>
    </row>
    <row r="193">
      <c r="A193" s="37">
        <v>43525.0</v>
      </c>
      <c r="B193" s="38" t="s">
        <v>244</v>
      </c>
      <c r="C193" s="38">
        <v>21.310612</v>
      </c>
      <c r="D193" s="38">
        <v>-158.00441</v>
      </c>
      <c r="E193" s="38" t="s">
        <v>278</v>
      </c>
      <c r="F193" s="39">
        <v>0.3854166666666667</v>
      </c>
      <c r="G193" s="39">
        <v>0.4722222222222222</v>
      </c>
      <c r="H193" s="38">
        <v>8.0</v>
      </c>
      <c r="I193" s="38">
        <v>10.0</v>
      </c>
      <c r="J193" s="38" t="s">
        <v>318</v>
      </c>
      <c r="K193" s="38">
        <v>6.0</v>
      </c>
      <c r="L193" s="38">
        <v>32.0</v>
      </c>
      <c r="M193" s="38" t="s">
        <v>445</v>
      </c>
      <c r="N193" s="38"/>
      <c r="O193" s="38"/>
      <c r="P193" s="40"/>
      <c r="Q193" s="38">
        <v>1.0</v>
      </c>
      <c r="R193" s="40"/>
      <c r="S193" s="40"/>
      <c r="T193" s="38"/>
      <c r="U193" s="38"/>
      <c r="V193" s="38"/>
      <c r="W193" s="38"/>
      <c r="X193" s="38"/>
      <c r="Y193" s="38"/>
      <c r="Z193" s="38"/>
      <c r="AA193" s="38">
        <v>1.0</v>
      </c>
      <c r="AB193" s="40"/>
      <c r="AC193" s="40"/>
      <c r="AD193" s="38">
        <v>1.0</v>
      </c>
      <c r="AE193" s="40"/>
      <c r="AF193" s="40"/>
      <c r="AG193" s="40"/>
      <c r="AH193" s="40"/>
      <c r="AI193" s="38"/>
      <c r="AJ193" s="38"/>
      <c r="AK193" s="38"/>
      <c r="AL193" s="38">
        <v>1.0</v>
      </c>
      <c r="AM193" s="40"/>
      <c r="AN193" s="40"/>
      <c r="AO193" s="40"/>
      <c r="AP193" s="40"/>
      <c r="AQ193" s="40"/>
      <c r="AR193" s="40"/>
      <c r="AS193" s="38">
        <v>1.0</v>
      </c>
      <c r="AT193" s="40"/>
      <c r="AU193" s="40"/>
      <c r="AV193" s="40"/>
      <c r="AW193" s="40"/>
      <c r="AX193" s="40"/>
      <c r="AY193" s="40"/>
      <c r="AZ193" s="38"/>
      <c r="BA193" s="38">
        <v>1.0</v>
      </c>
      <c r="BB193" s="38"/>
      <c r="BC193" s="38">
        <v>1.0</v>
      </c>
      <c r="BD193" s="38">
        <v>1.0</v>
      </c>
      <c r="BE193" s="38"/>
      <c r="BF193" s="38"/>
      <c r="BG193" s="38"/>
      <c r="BH193" s="38"/>
      <c r="BI193" s="38"/>
      <c r="BJ193" s="38">
        <v>1.0</v>
      </c>
      <c r="BK193" s="40"/>
      <c r="BL193" s="38">
        <v>1.0</v>
      </c>
      <c r="BM193" s="40"/>
      <c r="BN193" s="40"/>
      <c r="BO193" s="40"/>
      <c r="BP193" s="40"/>
      <c r="BQ193" s="40"/>
      <c r="BR193" s="38"/>
      <c r="BS193" s="38"/>
      <c r="BT193" s="38"/>
      <c r="BU193" s="38">
        <v>1.0</v>
      </c>
      <c r="BV193" s="40"/>
      <c r="BW193" s="38">
        <v>1.0</v>
      </c>
      <c r="BX193" s="40"/>
      <c r="BY193" s="40"/>
      <c r="BZ193" s="40"/>
      <c r="CA193" s="40"/>
      <c r="CB193" s="40"/>
      <c r="CC193" s="40"/>
      <c r="CD193" s="40"/>
      <c r="CE193" s="40"/>
      <c r="CF193" s="40"/>
      <c r="CG193" s="40"/>
      <c r="CH193" s="38"/>
      <c r="CI193" s="38"/>
      <c r="CJ193" s="38"/>
      <c r="CK193" s="38"/>
      <c r="CL193" s="38">
        <v>1.0</v>
      </c>
      <c r="CM193" s="40"/>
      <c r="CN193" s="40"/>
      <c r="CO193" s="40"/>
      <c r="CP193" s="40"/>
      <c r="CQ193" s="40"/>
      <c r="CR193" s="40"/>
      <c r="CS193" s="40"/>
      <c r="CT193" s="40"/>
      <c r="CU193" s="40"/>
      <c r="CV193" s="40"/>
      <c r="CW193" s="40"/>
      <c r="CX193" s="40"/>
      <c r="CY193" s="40"/>
      <c r="CZ193" s="40"/>
      <c r="DA193" s="38"/>
      <c r="DB193" s="38">
        <v>1.0</v>
      </c>
      <c r="DC193" s="38"/>
      <c r="DD193" s="38">
        <v>1.0</v>
      </c>
      <c r="DE193" s="38"/>
      <c r="DF193" s="38">
        <v>1.0</v>
      </c>
      <c r="DG193" s="40"/>
      <c r="DH193" s="38"/>
      <c r="DI193" s="38"/>
      <c r="DJ193" s="38"/>
      <c r="DK193" s="38"/>
      <c r="DL193" s="38">
        <v>1.0</v>
      </c>
      <c r="DM193" s="40"/>
      <c r="DN193" s="40"/>
      <c r="DO193" s="40"/>
      <c r="DP193" s="40"/>
      <c r="DQ193" s="40"/>
      <c r="DR193" s="40"/>
      <c r="DS193" s="40"/>
      <c r="DT193" s="40"/>
      <c r="DU193" s="40"/>
      <c r="DV193" s="40"/>
      <c r="DW193" s="40"/>
      <c r="DX193" s="40"/>
      <c r="DY193" s="40"/>
      <c r="DZ193" s="40"/>
      <c r="EA193" s="38"/>
      <c r="EB193" s="38">
        <v>1.0</v>
      </c>
      <c r="EC193" s="38">
        <v>1.0</v>
      </c>
      <c r="ED193" s="38"/>
      <c r="EE193" s="38"/>
      <c r="EF193" s="38"/>
      <c r="EG193" s="38"/>
      <c r="EH193" s="38"/>
      <c r="EI193" s="38">
        <v>1.0</v>
      </c>
      <c r="EJ193" s="38">
        <v>1.0</v>
      </c>
      <c r="EK193" s="38"/>
      <c r="EL193" s="38"/>
      <c r="EM193" s="38"/>
      <c r="EN193" s="38">
        <v>1.0</v>
      </c>
      <c r="EO193" s="40"/>
      <c r="EP193" s="40"/>
      <c r="EQ193" s="40"/>
      <c r="ER193" s="38"/>
      <c r="ES193" s="38"/>
      <c r="ET193" s="38"/>
      <c r="EU193" s="38"/>
      <c r="EV193" s="38">
        <v>1.0</v>
      </c>
      <c r="EW193" s="38">
        <v>1.0</v>
      </c>
      <c r="EX193" s="40"/>
      <c r="EY193" s="40"/>
      <c r="EZ193" s="40"/>
      <c r="FA193" s="40"/>
      <c r="FB193" s="40"/>
      <c r="FC193" s="40"/>
      <c r="FD193" s="40"/>
      <c r="FE193" s="40"/>
      <c r="FF193" s="40"/>
      <c r="FG193" s="40"/>
      <c r="FH193" s="40"/>
      <c r="FI193" s="38"/>
      <c r="FJ193" s="38"/>
      <c r="FK193" s="38">
        <v>1.0</v>
      </c>
      <c r="FL193" s="40"/>
      <c r="FM193" s="38"/>
      <c r="FN193" s="38"/>
      <c r="FO193" s="38"/>
      <c r="FP193" s="38">
        <v>1.0</v>
      </c>
      <c r="FQ193" s="40"/>
      <c r="FR193" s="38">
        <v>1.0</v>
      </c>
      <c r="FS193" s="40"/>
      <c r="FT193" s="40"/>
      <c r="FU193" s="40"/>
      <c r="FV193" s="40"/>
      <c r="FW193" s="40"/>
      <c r="FX193" s="40"/>
      <c r="FY193" s="40"/>
      <c r="FZ193" s="40"/>
      <c r="GA193" s="40"/>
      <c r="GB193" s="40"/>
      <c r="GC193" s="40"/>
      <c r="GD193" s="40"/>
      <c r="GE193" s="40"/>
      <c r="GF193" s="40"/>
    </row>
    <row r="194">
      <c r="A194" s="37">
        <v>43528.0</v>
      </c>
      <c r="B194" s="38" t="s">
        <v>400</v>
      </c>
      <c r="C194" s="38">
        <v>21.900562</v>
      </c>
      <c r="D194" s="38">
        <v>-159.609818</v>
      </c>
      <c r="E194" s="38" t="s">
        <v>401</v>
      </c>
      <c r="F194" s="39">
        <v>0.3958333333333333</v>
      </c>
      <c r="G194" s="39">
        <v>0.4409722222222222</v>
      </c>
      <c r="H194" s="38">
        <v>6.0</v>
      </c>
      <c r="I194" s="38">
        <v>14.0</v>
      </c>
      <c r="J194" s="38" t="s">
        <v>198</v>
      </c>
      <c r="K194" s="38">
        <v>14.0</v>
      </c>
      <c r="L194" s="38">
        <v>43.0</v>
      </c>
      <c r="M194" s="38" t="s">
        <v>447</v>
      </c>
      <c r="N194" s="38"/>
      <c r="O194" s="38"/>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40"/>
      <c r="AX194" s="40"/>
      <c r="AY194" s="40"/>
      <c r="AZ194" s="38"/>
      <c r="BA194" s="38">
        <v>1.0</v>
      </c>
      <c r="BB194" s="40"/>
      <c r="BC194" s="40"/>
      <c r="BD194" s="40"/>
      <c r="BE194" s="38"/>
      <c r="BF194" s="38"/>
      <c r="BG194" s="38">
        <v>1.0</v>
      </c>
      <c r="BH194" s="40"/>
      <c r="BI194" s="40"/>
      <c r="BJ194" s="40"/>
      <c r="BK194" s="40"/>
      <c r="BL194" s="40"/>
      <c r="BM194" s="40"/>
      <c r="BN194" s="40"/>
      <c r="BO194" s="40"/>
      <c r="BP194" s="40"/>
      <c r="BQ194" s="40"/>
      <c r="BR194" s="40"/>
      <c r="BS194" s="40"/>
      <c r="BT194" s="40"/>
      <c r="BU194" s="40"/>
      <c r="BV194" s="38">
        <v>1.0</v>
      </c>
      <c r="BW194" s="40"/>
      <c r="BX194" s="40"/>
      <c r="BY194" s="40"/>
      <c r="BZ194" s="40"/>
      <c r="CA194" s="40"/>
      <c r="CB194" s="40"/>
      <c r="CC194" s="40"/>
      <c r="CD194" s="40"/>
      <c r="CE194" s="40"/>
      <c r="CF194" s="40"/>
      <c r="CG194" s="40"/>
      <c r="CH194" s="40"/>
      <c r="CI194" s="40"/>
      <c r="CJ194" s="40"/>
      <c r="CK194" s="40"/>
      <c r="CL194" s="40"/>
      <c r="CM194" s="40"/>
      <c r="CN194" s="40"/>
      <c r="CO194" s="40"/>
      <c r="CP194" s="40"/>
      <c r="CQ194" s="40"/>
      <c r="CR194" s="40"/>
      <c r="CS194" s="40"/>
      <c r="CT194" s="40"/>
      <c r="CU194" s="40"/>
      <c r="CV194" s="40"/>
      <c r="CW194" s="40"/>
      <c r="CX194" s="40"/>
      <c r="CY194" s="40"/>
      <c r="CZ194" s="40"/>
      <c r="DA194" s="40"/>
      <c r="DB194" s="40"/>
      <c r="DC194" s="40"/>
      <c r="DD194" s="40"/>
      <c r="DE194" s="40"/>
      <c r="DF194" s="40"/>
      <c r="DG194" s="40"/>
      <c r="DH194" s="38"/>
      <c r="DI194" s="38">
        <v>1.0</v>
      </c>
      <c r="DJ194" s="38"/>
      <c r="DK194" s="38">
        <v>1.0</v>
      </c>
      <c r="DL194" s="40"/>
      <c r="DM194" s="40"/>
      <c r="DN194" s="40"/>
      <c r="DO194" s="40"/>
      <c r="DP194" s="40"/>
      <c r="DQ194" s="40"/>
      <c r="DR194" s="38">
        <v>1.0</v>
      </c>
      <c r="DS194" s="38"/>
      <c r="DT194" s="38"/>
      <c r="DU194" s="38">
        <v>1.0</v>
      </c>
      <c r="DV194" s="40"/>
      <c r="DW194" s="40"/>
      <c r="DX194" s="40"/>
      <c r="DY194" s="40"/>
      <c r="DZ194" s="40"/>
      <c r="EA194" s="40"/>
      <c r="EB194" s="40"/>
      <c r="EC194" s="38">
        <v>1.0</v>
      </c>
      <c r="ED194" s="38"/>
      <c r="EE194" s="38"/>
      <c r="EF194" s="38"/>
      <c r="EG194" s="38"/>
      <c r="EH194" s="38"/>
      <c r="EI194" s="38">
        <v>1.0</v>
      </c>
      <c r="EJ194" s="40"/>
      <c r="EK194" s="40"/>
      <c r="EL194" s="40"/>
      <c r="EM194" s="40"/>
      <c r="EN194" s="40"/>
      <c r="EO194" s="40"/>
      <c r="EP194" s="40"/>
      <c r="EQ194" s="40"/>
      <c r="ER194" s="40"/>
      <c r="ES194" s="40"/>
      <c r="ET194" s="40"/>
      <c r="EU194" s="40"/>
      <c r="EV194" s="40"/>
      <c r="EW194" s="40"/>
      <c r="EX194" s="38"/>
      <c r="EY194" s="38"/>
      <c r="EZ194" s="38"/>
      <c r="FA194" s="38">
        <v>1.0</v>
      </c>
      <c r="FB194" s="40"/>
      <c r="FC194" s="40"/>
      <c r="FD194" s="40"/>
      <c r="FE194" s="40"/>
      <c r="FF194" s="40"/>
      <c r="FG194" s="40"/>
      <c r="FH194" s="40"/>
      <c r="FI194" s="40"/>
      <c r="FJ194" s="40"/>
      <c r="FK194" s="40"/>
      <c r="FL194" s="40"/>
      <c r="FM194" s="40"/>
      <c r="FN194" s="40"/>
      <c r="FO194" s="40"/>
      <c r="FP194" s="40"/>
      <c r="FQ194" s="38">
        <v>1.0</v>
      </c>
      <c r="FR194" s="38">
        <v>1.0</v>
      </c>
      <c r="FS194" s="40"/>
      <c r="FT194" s="40"/>
      <c r="FU194" s="40"/>
      <c r="FV194" s="40"/>
      <c r="FW194" s="40"/>
      <c r="FX194" s="40"/>
      <c r="FY194" s="40"/>
      <c r="FZ194" s="40"/>
      <c r="GA194" s="40"/>
      <c r="GB194" s="40"/>
      <c r="GC194" s="40"/>
      <c r="GD194" s="40"/>
      <c r="GE194" s="40"/>
      <c r="GF194" s="40"/>
    </row>
    <row r="195">
      <c r="A195" s="23">
        <v>43531.0</v>
      </c>
      <c r="B195" s="4" t="s">
        <v>266</v>
      </c>
      <c r="C195" s="4">
        <v>22.060684</v>
      </c>
      <c r="D195" s="4">
        <v>-159.318512</v>
      </c>
      <c r="E195" s="4" t="s">
        <v>418</v>
      </c>
      <c r="F195" s="24">
        <v>0.4375</v>
      </c>
      <c r="G195" s="24">
        <v>0.5020833333333333</v>
      </c>
      <c r="H195" s="4">
        <v>7.0</v>
      </c>
      <c r="I195" s="4">
        <v>18.0</v>
      </c>
      <c r="J195" s="4" t="s">
        <v>198</v>
      </c>
      <c r="K195" s="4">
        <v>10.0</v>
      </c>
      <c r="L195" s="4">
        <v>56.0</v>
      </c>
      <c r="M195" s="4" t="s">
        <v>450</v>
      </c>
      <c r="T195" s="4"/>
      <c r="U195" s="4"/>
      <c r="V195" s="4"/>
      <c r="W195" s="4">
        <v>1.0</v>
      </c>
      <c r="AG195" s="4"/>
      <c r="AH195" s="4">
        <v>1.0</v>
      </c>
      <c r="AZ195" s="4"/>
      <c r="BA195" s="4">
        <v>1.0</v>
      </c>
      <c r="BL195" s="4">
        <v>1.0</v>
      </c>
      <c r="BM195" s="4">
        <v>1.0</v>
      </c>
      <c r="BR195" s="4"/>
      <c r="BS195" s="4"/>
      <c r="BT195" s="4"/>
      <c r="BU195" s="4">
        <v>1.0</v>
      </c>
      <c r="CC195" s="4"/>
      <c r="CD195" s="4">
        <v>1.0</v>
      </c>
      <c r="DJ195" s="4"/>
      <c r="DK195" s="4">
        <v>1.0</v>
      </c>
      <c r="DL195" s="4">
        <v>1.0</v>
      </c>
      <c r="DP195" s="4"/>
      <c r="DQ195" s="4"/>
      <c r="DR195" s="4">
        <v>1.0</v>
      </c>
      <c r="DT195" s="4"/>
      <c r="DU195" s="4">
        <v>1.0</v>
      </c>
      <c r="ED195" s="4"/>
      <c r="EE195" s="4"/>
      <c r="EF195" s="4"/>
      <c r="EG195" s="4"/>
      <c r="EH195" s="4"/>
      <c r="EI195" s="4">
        <v>1.0</v>
      </c>
      <c r="EX195" s="4"/>
      <c r="EY195" s="4"/>
      <c r="EZ195" s="4"/>
      <c r="FA195" s="4">
        <v>1.0</v>
      </c>
      <c r="FB195" s="4">
        <v>1.0</v>
      </c>
      <c r="FL195" s="4">
        <v>1.0</v>
      </c>
      <c r="FQ195" s="4">
        <v>1.0</v>
      </c>
      <c r="FR195" s="4">
        <v>1.0</v>
      </c>
    </row>
    <row r="196">
      <c r="A196" s="37">
        <v>43531.0</v>
      </c>
      <c r="B196" s="38" t="s">
        <v>233</v>
      </c>
      <c r="C196" s="38">
        <v>21.066799</v>
      </c>
      <c r="D196" s="38">
        <v>-156.804993</v>
      </c>
      <c r="E196" s="38" t="s">
        <v>286</v>
      </c>
      <c r="F196" s="39">
        <v>0.4354166666666667</v>
      </c>
      <c r="G196" s="39">
        <v>0.47430555555555554</v>
      </c>
      <c r="H196" s="38">
        <v>4.0</v>
      </c>
      <c r="I196" s="38">
        <v>24.0</v>
      </c>
      <c r="J196" s="38" t="s">
        <v>227</v>
      </c>
      <c r="K196" s="38">
        <v>9.0</v>
      </c>
      <c r="L196" s="38">
        <v>25.0</v>
      </c>
      <c r="M196" s="38" t="s">
        <v>451</v>
      </c>
      <c r="N196" s="38"/>
      <c r="O196" s="38"/>
      <c r="P196" s="40"/>
      <c r="Q196" s="38">
        <v>1.0</v>
      </c>
      <c r="R196" s="40"/>
      <c r="S196" s="40"/>
      <c r="T196" s="40"/>
      <c r="U196" s="40"/>
      <c r="V196" s="40"/>
      <c r="W196" s="40"/>
      <c r="X196" s="40"/>
      <c r="Y196" s="40"/>
      <c r="Z196" s="40"/>
      <c r="AA196" s="40"/>
      <c r="AB196" s="40"/>
      <c r="AC196" s="40"/>
      <c r="AD196" s="40"/>
      <c r="AE196" s="40"/>
      <c r="AF196" s="40"/>
      <c r="AG196" s="40"/>
      <c r="AH196" s="40"/>
      <c r="AI196" s="38"/>
      <c r="AJ196" s="38"/>
      <c r="AK196" s="38"/>
      <c r="AL196" s="38">
        <v>1.0</v>
      </c>
      <c r="AM196" s="40"/>
      <c r="AN196" s="40"/>
      <c r="AO196" s="40"/>
      <c r="AP196" s="40"/>
      <c r="AQ196" s="40"/>
      <c r="AR196" s="40"/>
      <c r="AS196" s="40"/>
      <c r="AT196" s="40"/>
      <c r="AU196" s="40"/>
      <c r="AV196" s="40"/>
      <c r="AW196" s="40"/>
      <c r="AX196" s="40"/>
      <c r="AY196" s="40"/>
      <c r="AZ196" s="40"/>
      <c r="BA196" s="40"/>
      <c r="BB196" s="40"/>
      <c r="BC196" s="40"/>
      <c r="BD196" s="40"/>
      <c r="BE196" s="40"/>
      <c r="BF196" s="40"/>
      <c r="BG196" s="40"/>
      <c r="BH196" s="40"/>
      <c r="BI196" s="40"/>
      <c r="BJ196" s="40"/>
      <c r="BK196" s="40"/>
      <c r="BL196" s="38">
        <v>1.0</v>
      </c>
      <c r="BM196" s="40"/>
      <c r="BN196" s="40"/>
      <c r="BO196" s="40"/>
      <c r="BP196" s="40"/>
      <c r="BQ196" s="40"/>
      <c r="BR196" s="40"/>
      <c r="BS196" s="40"/>
      <c r="BT196" s="40"/>
      <c r="BU196" s="40"/>
      <c r="BV196" s="40"/>
      <c r="BW196" s="40"/>
      <c r="BX196" s="40"/>
      <c r="BY196" s="40"/>
      <c r="BZ196" s="40"/>
      <c r="CA196" s="40"/>
      <c r="CB196" s="40"/>
      <c r="CC196" s="40"/>
      <c r="CD196" s="40"/>
      <c r="CE196" s="40"/>
      <c r="CF196" s="38"/>
      <c r="CG196" s="38">
        <v>1.0</v>
      </c>
      <c r="CH196" s="40"/>
      <c r="CI196" s="40"/>
      <c r="CJ196" s="40"/>
      <c r="CK196" s="40"/>
      <c r="CL196" s="40"/>
      <c r="CM196" s="38"/>
      <c r="CN196" s="38">
        <v>1.0</v>
      </c>
      <c r="CO196" s="40"/>
      <c r="CP196" s="40"/>
      <c r="CQ196" s="40"/>
      <c r="CR196" s="40"/>
      <c r="CS196" s="40"/>
      <c r="CT196" s="40"/>
      <c r="CU196" s="40"/>
      <c r="CV196" s="40"/>
      <c r="CW196" s="40"/>
      <c r="CX196" s="40"/>
      <c r="CY196" s="40"/>
      <c r="CZ196" s="40"/>
      <c r="DA196" s="40"/>
      <c r="DB196" s="40"/>
      <c r="DC196" s="40"/>
      <c r="DD196" s="40"/>
      <c r="DE196" s="40"/>
      <c r="DF196" s="40"/>
      <c r="DG196" s="40"/>
      <c r="DH196" s="40"/>
      <c r="DI196" s="40"/>
      <c r="DJ196" s="40"/>
      <c r="DK196" s="40"/>
      <c r="DL196" s="38">
        <v>1.0</v>
      </c>
      <c r="DM196" s="40"/>
      <c r="DN196" s="40"/>
      <c r="DO196" s="40"/>
      <c r="DP196" s="40"/>
      <c r="DQ196" s="40"/>
      <c r="DR196" s="40"/>
      <c r="DS196" s="40"/>
      <c r="DT196" s="40"/>
      <c r="DU196" s="40"/>
      <c r="DV196" s="40"/>
      <c r="DW196" s="40"/>
      <c r="DX196" s="40"/>
      <c r="DY196" s="40"/>
      <c r="DZ196" s="40"/>
      <c r="EA196" s="40"/>
      <c r="EB196" s="40"/>
      <c r="EC196" s="40"/>
      <c r="ED196" s="38"/>
      <c r="EE196" s="38"/>
      <c r="EF196" s="38"/>
      <c r="EG196" s="38"/>
      <c r="EH196" s="38"/>
      <c r="EI196" s="38">
        <v>1.0</v>
      </c>
      <c r="EJ196" s="38">
        <v>1.0</v>
      </c>
      <c r="EK196" s="40"/>
      <c r="EL196" s="40"/>
      <c r="EM196" s="40"/>
      <c r="EN196" s="40"/>
      <c r="EO196" s="40"/>
      <c r="EP196" s="38">
        <v>1.0</v>
      </c>
      <c r="EQ196" s="40"/>
      <c r="ER196" s="40"/>
      <c r="ES196" s="40"/>
      <c r="ET196" s="40"/>
      <c r="EU196" s="40"/>
      <c r="EV196" s="40"/>
      <c r="EW196" s="40"/>
      <c r="EX196" s="40"/>
      <c r="EY196" s="40"/>
      <c r="EZ196" s="40"/>
      <c r="FA196" s="40"/>
      <c r="FB196" s="40"/>
      <c r="FC196" s="40"/>
      <c r="FD196" s="40"/>
      <c r="FE196" s="40"/>
      <c r="FF196" s="40"/>
      <c r="FG196" s="40"/>
      <c r="FH196" s="40"/>
      <c r="FI196" s="40"/>
      <c r="FJ196" s="40"/>
      <c r="FK196" s="40"/>
      <c r="FL196" s="40"/>
      <c r="FM196" s="40"/>
      <c r="FN196" s="40"/>
      <c r="FO196" s="40"/>
      <c r="FP196" s="40"/>
      <c r="FQ196" s="38">
        <v>1.0</v>
      </c>
      <c r="FR196" s="38">
        <v>1.0</v>
      </c>
      <c r="FS196" s="40"/>
      <c r="FT196" s="40"/>
      <c r="FU196" s="40"/>
      <c r="FV196" s="40"/>
      <c r="FW196" s="40"/>
      <c r="FX196" s="40"/>
      <c r="FY196" s="40"/>
      <c r="FZ196" s="40"/>
      <c r="GA196" s="40"/>
      <c r="GB196" s="40"/>
      <c r="GC196" s="40"/>
      <c r="GD196" s="40"/>
      <c r="GE196" s="40"/>
      <c r="GF196" s="40"/>
    </row>
    <row r="197">
      <c r="A197" s="48">
        <v>43533.0</v>
      </c>
      <c r="B197" s="49" t="s">
        <v>244</v>
      </c>
      <c r="C197" s="4">
        <v>21.310612</v>
      </c>
      <c r="D197" s="4">
        <v>-158.00441</v>
      </c>
      <c r="E197" s="49" t="s">
        <v>418</v>
      </c>
      <c r="F197" s="50">
        <v>0.4527777777777778</v>
      </c>
      <c r="G197" s="50">
        <v>0.48194444444444445</v>
      </c>
      <c r="H197" s="49">
        <v>5.0</v>
      </c>
      <c r="I197" s="49">
        <v>20.0</v>
      </c>
      <c r="J197" s="49" t="s">
        <v>217</v>
      </c>
      <c r="K197" s="49">
        <v>5.0</v>
      </c>
      <c r="L197" s="49">
        <v>24.0</v>
      </c>
      <c r="M197" s="49" t="s">
        <v>403</v>
      </c>
      <c r="Q197" s="4">
        <v>1.0</v>
      </c>
      <c r="X197" s="4"/>
      <c r="Y197" s="4"/>
      <c r="Z197" s="4"/>
      <c r="AA197" s="4">
        <v>1.0</v>
      </c>
      <c r="AD197" s="4">
        <v>1.0</v>
      </c>
      <c r="AG197" s="4"/>
      <c r="AH197" s="4">
        <v>1.0</v>
      </c>
      <c r="AI197" s="4"/>
      <c r="AJ197" s="4"/>
      <c r="AK197" s="4"/>
      <c r="AL197" s="4">
        <v>1.0</v>
      </c>
      <c r="AZ197" s="4"/>
      <c r="BA197" s="4">
        <v>1.0</v>
      </c>
      <c r="BD197" s="4">
        <v>1.0</v>
      </c>
      <c r="BL197" s="4">
        <v>1.0</v>
      </c>
      <c r="BP197" s="4">
        <v>1.0</v>
      </c>
      <c r="BR197" s="4"/>
      <c r="BS197" s="4"/>
      <c r="BT197" s="4"/>
      <c r="BU197" s="4">
        <v>1.0</v>
      </c>
      <c r="BX197" s="4"/>
      <c r="BY197" s="4">
        <v>1.0</v>
      </c>
      <c r="CM197" s="4"/>
      <c r="CN197" s="4">
        <v>1.0</v>
      </c>
      <c r="DE197" s="4"/>
      <c r="DF197" s="4">
        <v>1.0</v>
      </c>
      <c r="DN197" s="4">
        <v>1.0</v>
      </c>
      <c r="DT197" s="4"/>
      <c r="DU197" s="4">
        <v>1.0</v>
      </c>
      <c r="EA197" s="4"/>
      <c r="EB197" s="4">
        <v>1.0</v>
      </c>
      <c r="ED197" s="4"/>
      <c r="EE197" s="4"/>
      <c r="EF197" s="4"/>
      <c r="EG197" s="4"/>
      <c r="EH197" s="4"/>
      <c r="EI197" s="4">
        <v>1.0</v>
      </c>
      <c r="EK197" s="4"/>
      <c r="EL197" s="4"/>
      <c r="EM197" s="4"/>
      <c r="EN197" s="4">
        <v>1.0</v>
      </c>
      <c r="FL197" s="4">
        <v>1.0</v>
      </c>
      <c r="FM197" s="4"/>
      <c r="FN197" s="4"/>
      <c r="FO197" s="4"/>
      <c r="FP197" s="4">
        <v>1.0</v>
      </c>
      <c r="FR197" s="4">
        <v>1.0</v>
      </c>
      <c r="FY197" s="35"/>
      <c r="FZ197" s="35"/>
      <c r="GA197" s="35"/>
      <c r="GB197" s="35"/>
      <c r="GC197" s="35"/>
      <c r="GD197" s="35"/>
      <c r="GE197" s="35"/>
      <c r="GF197" s="35"/>
    </row>
    <row r="198">
      <c r="A198" s="51">
        <v>43536.0</v>
      </c>
      <c r="B198" s="49" t="s">
        <v>201</v>
      </c>
      <c r="C198" s="4">
        <v>21.25544</v>
      </c>
      <c r="D198" s="49">
        <v>-157.810303</v>
      </c>
      <c r="E198" s="49" t="s">
        <v>418</v>
      </c>
      <c r="F198" s="52">
        <v>0.5625</v>
      </c>
      <c r="G198" s="53">
        <v>0.6666666666666666</v>
      </c>
      <c r="H198" s="49">
        <v>7.0</v>
      </c>
      <c r="I198" s="49">
        <v>8.0</v>
      </c>
      <c r="J198" s="49" t="s">
        <v>198</v>
      </c>
      <c r="K198" s="49">
        <v>25.0</v>
      </c>
      <c r="L198" s="49">
        <v>35.0</v>
      </c>
      <c r="M198" s="49"/>
      <c r="N198" s="35"/>
      <c r="Q198" s="4">
        <v>1.0</v>
      </c>
      <c r="T198" s="4"/>
      <c r="U198" s="4"/>
      <c r="V198" s="4"/>
      <c r="W198" s="4">
        <v>1.0</v>
      </c>
      <c r="X198" s="4"/>
      <c r="Y198" s="4"/>
      <c r="Z198" s="4"/>
      <c r="AA198" s="4">
        <v>1.0</v>
      </c>
      <c r="AB198" s="4"/>
      <c r="AC198" s="4">
        <v>1.0</v>
      </c>
      <c r="AD198" s="4">
        <v>1.0</v>
      </c>
      <c r="AG198" s="4"/>
      <c r="AH198" s="4">
        <v>1.0</v>
      </c>
      <c r="AI198" s="4"/>
      <c r="AJ198" s="4"/>
      <c r="AK198" s="4"/>
      <c r="AL198" s="4">
        <v>1.0</v>
      </c>
      <c r="AM198" s="4">
        <v>1.0</v>
      </c>
      <c r="AZ198" s="4"/>
      <c r="BA198" s="4">
        <v>1.0</v>
      </c>
      <c r="BB198" s="4">
        <v>1.0</v>
      </c>
      <c r="BH198" s="4"/>
      <c r="BI198" s="4"/>
      <c r="BJ198" s="4">
        <v>1.0</v>
      </c>
      <c r="BL198" s="4">
        <v>1.0</v>
      </c>
      <c r="BP198" s="4">
        <v>1.0</v>
      </c>
      <c r="BR198" s="4"/>
      <c r="BS198" s="4"/>
      <c r="BT198" s="4"/>
      <c r="BU198" s="4">
        <v>1.0</v>
      </c>
      <c r="BV198" s="4">
        <v>1.0</v>
      </c>
      <c r="BX198" s="4">
        <v>1.0</v>
      </c>
      <c r="BY198" s="4">
        <v>1.0</v>
      </c>
      <c r="CF198" s="4"/>
      <c r="CG198" s="4">
        <v>1.0</v>
      </c>
      <c r="CH198" s="4"/>
      <c r="CI198" s="4"/>
      <c r="CJ198" s="4">
        <v>1.0</v>
      </c>
      <c r="CM198" s="4"/>
      <c r="CN198" s="4">
        <v>1.0</v>
      </c>
      <c r="CU198" s="4"/>
      <c r="CV198" s="4"/>
      <c r="CW198" s="4"/>
      <c r="CX198" s="4"/>
      <c r="CY198" s="4"/>
      <c r="CZ198" s="4">
        <v>1.0</v>
      </c>
      <c r="DE198" s="4"/>
      <c r="DF198" s="4">
        <v>1.0</v>
      </c>
      <c r="DJ198" s="4"/>
      <c r="DK198" s="4">
        <v>1.0</v>
      </c>
      <c r="DL198" s="4">
        <v>1.0</v>
      </c>
      <c r="DM198" s="4">
        <v>1.0</v>
      </c>
      <c r="DO198" s="4">
        <v>1.0</v>
      </c>
      <c r="DP198" s="4">
        <v>1.0</v>
      </c>
      <c r="DQ198" s="4"/>
      <c r="DR198" s="4">
        <v>1.0</v>
      </c>
      <c r="DT198" s="4"/>
      <c r="DU198" s="4">
        <v>1.0</v>
      </c>
      <c r="ED198" s="4"/>
      <c r="EE198" s="4"/>
      <c r="EF198" s="4"/>
      <c r="EG198" s="4"/>
      <c r="EH198" s="4"/>
      <c r="EI198" s="4">
        <v>1.0</v>
      </c>
      <c r="EX198" s="4"/>
      <c r="EY198" s="4">
        <v>1.0</v>
      </c>
      <c r="EZ198" s="4">
        <v>1.0</v>
      </c>
      <c r="FA198" s="4">
        <v>1.0</v>
      </c>
      <c r="FB198" s="4">
        <v>1.0</v>
      </c>
      <c r="FC198" s="4"/>
      <c r="FD198" s="4">
        <v>1.0</v>
      </c>
      <c r="FE198" s="4">
        <v>1.0</v>
      </c>
      <c r="FQ198" s="4">
        <v>1.0</v>
      </c>
      <c r="FR198" s="4">
        <v>1.0</v>
      </c>
      <c r="FS198" s="4"/>
      <c r="FT198" s="4">
        <v>1.0</v>
      </c>
      <c r="FU198" s="4"/>
      <c r="FV198" s="4">
        <v>1.0</v>
      </c>
      <c r="FY198" s="35"/>
      <c r="FZ198" s="35"/>
      <c r="GA198" s="35"/>
      <c r="GB198" s="35"/>
      <c r="GC198" s="35"/>
      <c r="GD198" s="35"/>
      <c r="GE198" s="35"/>
      <c r="GF198" s="35"/>
    </row>
    <row r="199">
      <c r="A199" s="41">
        <v>43536.0</v>
      </c>
      <c r="B199" s="60" t="s">
        <v>473</v>
      </c>
      <c r="C199" s="42">
        <v>21.3962</v>
      </c>
      <c r="D199" s="42">
        <v>-157.720306</v>
      </c>
      <c r="E199" s="60" t="s">
        <v>418</v>
      </c>
      <c r="F199" s="61">
        <v>0.39305555555555555</v>
      </c>
      <c r="G199" s="61">
        <v>0.4375</v>
      </c>
      <c r="H199" s="60">
        <v>5.0</v>
      </c>
      <c r="I199" s="60">
        <v>10.0</v>
      </c>
      <c r="J199" s="60" t="s">
        <v>217</v>
      </c>
      <c r="K199" s="60">
        <v>6.0</v>
      </c>
      <c r="L199" s="60">
        <v>20.0</v>
      </c>
      <c r="M199" s="60" t="s">
        <v>541</v>
      </c>
      <c r="N199" s="60"/>
      <c r="O199" s="60"/>
      <c r="P199" s="62"/>
      <c r="Q199" s="62"/>
      <c r="R199" s="62"/>
      <c r="S199" s="62"/>
      <c r="T199" s="62"/>
      <c r="U199" s="62"/>
      <c r="V199" s="62"/>
      <c r="W199" s="62"/>
      <c r="X199" s="60"/>
      <c r="Y199" s="60"/>
      <c r="Z199" s="60"/>
      <c r="AA199" s="60"/>
      <c r="AB199" s="62"/>
      <c r="AC199" s="62"/>
      <c r="AD199" s="62"/>
      <c r="AE199" s="62"/>
      <c r="AF199" s="62"/>
      <c r="AG199" s="62"/>
      <c r="AH199" s="62"/>
      <c r="AI199" s="60"/>
      <c r="AJ199" s="60"/>
      <c r="AK199" s="60"/>
      <c r="AL199" s="60"/>
      <c r="AM199" s="60"/>
      <c r="AN199" s="62"/>
      <c r="AO199" s="62"/>
      <c r="AP199" s="62"/>
      <c r="AQ199" s="62"/>
      <c r="AR199" s="62"/>
      <c r="AS199" s="62"/>
      <c r="AT199" s="60"/>
      <c r="AU199" s="60"/>
      <c r="AV199" s="60"/>
      <c r="AW199" s="60"/>
      <c r="AX199" s="60"/>
      <c r="AY199" s="62"/>
      <c r="AZ199" s="62"/>
      <c r="BA199" s="62"/>
      <c r="BB199" s="60">
        <v>1.0</v>
      </c>
      <c r="BC199" s="62"/>
      <c r="BD199" s="60">
        <v>1.0</v>
      </c>
      <c r="BE199" s="60"/>
      <c r="BF199" s="62"/>
      <c r="BG199" s="62"/>
      <c r="BH199" s="62"/>
      <c r="BI199" s="62"/>
      <c r="BJ199" s="62"/>
      <c r="BK199" s="62"/>
      <c r="BL199" s="60"/>
      <c r="BM199" s="62"/>
      <c r="BN199" s="62"/>
      <c r="BO199" s="62"/>
      <c r="BP199" s="62"/>
      <c r="BQ199" s="62"/>
      <c r="BR199" s="62"/>
      <c r="BS199" s="62"/>
      <c r="BT199" s="62"/>
      <c r="BU199" s="60">
        <v>1.0</v>
      </c>
      <c r="BV199" s="62"/>
      <c r="BW199" s="62"/>
      <c r="BX199" s="60"/>
      <c r="BY199" s="62"/>
      <c r="BZ199" s="62"/>
      <c r="CA199" s="62"/>
      <c r="CB199" s="60"/>
      <c r="CC199" s="60"/>
      <c r="CD199" s="62"/>
      <c r="CE199" s="60"/>
      <c r="CF199" s="62"/>
      <c r="CG199" s="62"/>
      <c r="CH199" s="62"/>
      <c r="CI199" s="62"/>
      <c r="CJ199" s="62"/>
      <c r="CK199" s="62"/>
      <c r="CL199" s="62"/>
      <c r="CM199" s="62"/>
      <c r="CN199" s="62"/>
      <c r="CO199" s="62"/>
      <c r="CP199" s="62"/>
      <c r="CQ199" s="62"/>
      <c r="CR199" s="60">
        <v>1.0</v>
      </c>
      <c r="CS199" s="62"/>
      <c r="CT199" s="62"/>
      <c r="CU199" s="60">
        <v>1.0</v>
      </c>
      <c r="CV199" s="62"/>
      <c r="CW199" s="62"/>
      <c r="CX199" s="62"/>
      <c r="CY199" s="62"/>
      <c r="CZ199" s="62"/>
      <c r="DA199" s="62"/>
      <c r="DB199" s="62"/>
      <c r="DC199" s="62"/>
      <c r="DD199" s="62"/>
      <c r="DE199" s="60"/>
      <c r="DF199" s="60"/>
      <c r="DG199" s="60"/>
      <c r="DH199" s="62"/>
      <c r="DI199" s="62"/>
      <c r="DJ199" s="62"/>
      <c r="DK199" s="62"/>
      <c r="DL199" s="62"/>
      <c r="DM199" s="62"/>
      <c r="DN199" s="62"/>
      <c r="DO199" s="62"/>
      <c r="DP199" s="62"/>
      <c r="DQ199" s="62"/>
      <c r="DR199" s="62"/>
      <c r="DS199" s="62"/>
      <c r="DT199" s="62"/>
      <c r="DU199" s="60">
        <v>1.0</v>
      </c>
      <c r="DV199" s="62"/>
      <c r="DW199" s="62"/>
      <c r="DX199" s="62"/>
      <c r="DY199" s="62"/>
      <c r="DZ199" s="62"/>
      <c r="EA199" s="60"/>
      <c r="EB199" s="62"/>
      <c r="EC199" s="62"/>
      <c r="ED199" s="60"/>
      <c r="EE199" s="60"/>
      <c r="EF199" s="60"/>
      <c r="EG199" s="60"/>
      <c r="EH199" s="60"/>
      <c r="EI199" s="60"/>
      <c r="EJ199" s="62"/>
      <c r="EK199" s="62"/>
      <c r="EL199" s="62"/>
      <c r="EM199" s="62"/>
      <c r="EN199" s="62"/>
      <c r="EO199" s="62"/>
      <c r="EP199" s="62"/>
      <c r="EQ199" s="62"/>
      <c r="ER199" s="60"/>
      <c r="ES199" s="60"/>
      <c r="ET199" s="60"/>
      <c r="EU199" s="60"/>
      <c r="EV199" s="62"/>
      <c r="EW199" s="62"/>
      <c r="EX199" s="62"/>
      <c r="EY199" s="62"/>
      <c r="EZ199" s="62"/>
      <c r="FA199" s="62"/>
      <c r="FB199" s="62"/>
      <c r="FC199" s="62"/>
      <c r="FD199" s="62"/>
      <c r="FE199" s="62"/>
      <c r="FF199" s="62"/>
      <c r="FG199" s="62"/>
      <c r="FH199" s="62"/>
      <c r="FI199" s="62"/>
      <c r="FJ199" s="62"/>
      <c r="FK199" s="62"/>
      <c r="FL199" s="62"/>
      <c r="FM199" s="62"/>
      <c r="FN199" s="62"/>
      <c r="FO199" s="62"/>
      <c r="FP199" s="62"/>
      <c r="FQ199" s="62"/>
      <c r="FR199" s="60">
        <v>1.0</v>
      </c>
      <c r="FS199" s="62"/>
      <c r="FT199" s="62"/>
      <c r="FU199" s="62"/>
      <c r="FV199" s="62"/>
      <c r="FW199" s="44"/>
      <c r="FX199" s="44"/>
      <c r="FY199" s="62"/>
      <c r="FZ199" s="62"/>
      <c r="GA199" s="62"/>
      <c r="GB199" s="62"/>
      <c r="GC199" s="62"/>
      <c r="GD199" s="62"/>
      <c r="GE199" s="62"/>
      <c r="GF199" s="62"/>
    </row>
    <row r="200">
      <c r="A200" s="37">
        <v>43556.0</v>
      </c>
      <c r="B200" s="63" t="s">
        <v>456</v>
      </c>
      <c r="C200" s="38">
        <v>21.316488</v>
      </c>
      <c r="D200" s="38">
        <v>-157.664261</v>
      </c>
      <c r="E200" s="63" t="s">
        <v>418</v>
      </c>
      <c r="F200" s="64">
        <v>0.3645833333333333</v>
      </c>
      <c r="G200" s="64">
        <v>0.4583333333333333</v>
      </c>
      <c r="H200" s="63">
        <v>7.0</v>
      </c>
      <c r="I200" s="63">
        <v>15.0</v>
      </c>
      <c r="J200" s="63" t="s">
        <v>318</v>
      </c>
      <c r="K200" s="63">
        <v>5.0</v>
      </c>
      <c r="L200" s="63">
        <v>28.0</v>
      </c>
      <c r="M200" s="63" t="s">
        <v>457</v>
      </c>
      <c r="N200" s="63"/>
      <c r="O200" s="63"/>
      <c r="P200" s="65"/>
      <c r="Q200" s="65"/>
      <c r="R200" s="65"/>
      <c r="S200" s="65"/>
      <c r="T200" s="65"/>
      <c r="U200" s="65"/>
      <c r="V200" s="65"/>
      <c r="W200" s="65"/>
      <c r="X200" s="63"/>
      <c r="Y200" s="63"/>
      <c r="Z200" s="63"/>
      <c r="AA200" s="63">
        <v>1.0</v>
      </c>
      <c r="AB200" s="65"/>
      <c r="AC200" s="65"/>
      <c r="AD200" s="65"/>
      <c r="AE200" s="65"/>
      <c r="AF200" s="65"/>
      <c r="AG200" s="65"/>
      <c r="AH200" s="65"/>
      <c r="AI200" s="63"/>
      <c r="AJ200" s="63"/>
      <c r="AK200" s="63"/>
      <c r="AL200" s="63">
        <v>1.0</v>
      </c>
      <c r="AM200" s="63">
        <v>1.0</v>
      </c>
      <c r="AN200" s="65"/>
      <c r="AO200" s="65"/>
      <c r="AP200" s="65"/>
      <c r="AQ200" s="65"/>
      <c r="AR200" s="65"/>
      <c r="AS200" s="65"/>
      <c r="AT200" s="63"/>
      <c r="AU200" s="63"/>
      <c r="AV200" s="63"/>
      <c r="AW200" s="63"/>
      <c r="AX200" s="63">
        <v>1.0</v>
      </c>
      <c r="AY200" s="65"/>
      <c r="AZ200" s="65"/>
      <c r="BA200" s="65"/>
      <c r="BB200" s="65"/>
      <c r="BC200" s="65"/>
      <c r="BD200" s="65"/>
      <c r="BE200" s="63">
        <v>1.0</v>
      </c>
      <c r="BF200" s="65"/>
      <c r="BG200" s="65"/>
      <c r="BH200" s="65"/>
      <c r="BI200" s="65"/>
      <c r="BJ200" s="65"/>
      <c r="BK200" s="65"/>
      <c r="BL200" s="63">
        <v>1.0</v>
      </c>
      <c r="BM200" s="65"/>
      <c r="BN200" s="65"/>
      <c r="BO200" s="65"/>
      <c r="BP200" s="65"/>
      <c r="BQ200" s="65"/>
      <c r="BR200" s="65"/>
      <c r="BS200" s="65"/>
      <c r="BT200" s="65"/>
      <c r="BU200" s="65"/>
      <c r="BV200" s="65"/>
      <c r="BW200" s="65"/>
      <c r="BX200" s="63">
        <v>1.0</v>
      </c>
      <c r="BY200" s="65"/>
      <c r="BZ200" s="65"/>
      <c r="CA200" s="65"/>
      <c r="CB200" s="63">
        <v>1.0</v>
      </c>
      <c r="CC200" s="63">
        <v>1.0</v>
      </c>
      <c r="CD200" s="63">
        <v>1.0</v>
      </c>
      <c r="CE200" s="63">
        <v>1.0</v>
      </c>
      <c r="CF200" s="65"/>
      <c r="CG200" s="65"/>
      <c r="CH200" s="65"/>
      <c r="CI200" s="65"/>
      <c r="CJ200" s="65"/>
      <c r="CK200" s="65"/>
      <c r="CL200" s="65"/>
      <c r="CM200" s="65"/>
      <c r="CN200" s="65"/>
      <c r="CO200" s="65"/>
      <c r="CP200" s="65"/>
      <c r="CQ200" s="65"/>
      <c r="CR200" s="65"/>
      <c r="CS200" s="65"/>
      <c r="CT200" s="65"/>
      <c r="CU200" s="63">
        <v>1.0</v>
      </c>
      <c r="CV200" s="65"/>
      <c r="CW200" s="65"/>
      <c r="CX200" s="65"/>
      <c r="CY200" s="65"/>
      <c r="CZ200" s="65"/>
      <c r="DA200" s="65"/>
      <c r="DB200" s="65"/>
      <c r="DC200" s="65"/>
      <c r="DD200" s="65"/>
      <c r="DE200" s="63"/>
      <c r="DF200" s="63">
        <v>1.0</v>
      </c>
      <c r="DG200" s="63">
        <v>1.0</v>
      </c>
      <c r="DH200" s="65"/>
      <c r="DI200" s="65"/>
      <c r="DJ200" s="65"/>
      <c r="DK200" s="65"/>
      <c r="DL200" s="65"/>
      <c r="DM200" s="65"/>
      <c r="DN200" s="65"/>
      <c r="DO200" s="65"/>
      <c r="DP200" s="65"/>
      <c r="DQ200" s="65"/>
      <c r="DR200" s="63">
        <v>1.0</v>
      </c>
      <c r="DS200" s="65"/>
      <c r="DT200" s="65"/>
      <c r="DU200" s="65"/>
      <c r="DV200" s="65"/>
      <c r="DW200" s="65"/>
      <c r="DX200" s="65"/>
      <c r="DY200" s="65"/>
      <c r="DZ200" s="65"/>
      <c r="EA200" s="63">
        <v>1.0</v>
      </c>
      <c r="EB200" s="65"/>
      <c r="EC200" s="65"/>
      <c r="ED200" s="63"/>
      <c r="EE200" s="63"/>
      <c r="EF200" s="63"/>
      <c r="EG200" s="63"/>
      <c r="EH200" s="63"/>
      <c r="EI200" s="63">
        <v>1.0</v>
      </c>
      <c r="EJ200" s="65"/>
      <c r="EK200" s="65"/>
      <c r="EL200" s="65"/>
      <c r="EM200" s="65"/>
      <c r="EN200" s="65"/>
      <c r="EO200" s="65"/>
      <c r="EP200" s="65"/>
      <c r="EQ200" s="65"/>
      <c r="ER200" s="63"/>
      <c r="ES200" s="63"/>
      <c r="ET200" s="63"/>
      <c r="EU200" s="63">
        <v>1.0</v>
      </c>
      <c r="EV200" s="65"/>
      <c r="EW200" s="65"/>
      <c r="EX200" s="65"/>
      <c r="EY200" s="65"/>
      <c r="EZ200" s="65"/>
      <c r="FA200" s="65"/>
      <c r="FB200" s="65"/>
      <c r="FC200" s="65"/>
      <c r="FD200" s="65"/>
      <c r="FE200" s="65"/>
      <c r="FF200" s="65"/>
      <c r="FG200" s="65"/>
      <c r="FH200" s="65"/>
      <c r="FI200" s="65"/>
      <c r="FJ200" s="65"/>
      <c r="FK200" s="65"/>
      <c r="FL200" s="65"/>
      <c r="FM200" s="65"/>
      <c r="FN200" s="65"/>
      <c r="FO200" s="65"/>
      <c r="FP200" s="65"/>
      <c r="FQ200" s="65"/>
      <c r="FR200" s="63">
        <v>1.0</v>
      </c>
      <c r="FS200" s="65"/>
      <c r="FT200" s="65"/>
      <c r="FU200" s="65"/>
      <c r="FV200" s="65"/>
      <c r="FW200" s="40"/>
      <c r="FX200" s="40"/>
      <c r="FY200" s="65"/>
      <c r="FZ200" s="65"/>
      <c r="GA200" s="65"/>
      <c r="GB200" s="65"/>
      <c r="GC200" s="65"/>
      <c r="GD200" s="65"/>
      <c r="GE200" s="65"/>
      <c r="GF200" s="65"/>
    </row>
    <row r="201">
      <c r="A201" s="37">
        <v>43557.0</v>
      </c>
      <c r="B201" s="38" t="s">
        <v>456</v>
      </c>
      <c r="C201" s="38">
        <v>21.316488</v>
      </c>
      <c r="D201" s="38">
        <v>-157.664261</v>
      </c>
      <c r="E201" s="38" t="s">
        <v>418</v>
      </c>
      <c r="F201" s="39">
        <v>0.3645833333333333</v>
      </c>
      <c r="G201" s="39">
        <v>0.46875</v>
      </c>
      <c r="H201" s="38">
        <v>7.0</v>
      </c>
      <c r="I201" s="38">
        <v>10.0</v>
      </c>
      <c r="J201" s="38" t="s">
        <v>318</v>
      </c>
      <c r="K201" s="38">
        <v>5.0</v>
      </c>
      <c r="L201" s="38">
        <v>31.0</v>
      </c>
      <c r="M201" s="38" t="s">
        <v>462</v>
      </c>
      <c r="N201" s="38" t="s">
        <v>463</v>
      </c>
      <c r="O201" s="38">
        <v>1.0</v>
      </c>
      <c r="P201" s="40"/>
      <c r="Q201" s="40"/>
      <c r="R201" s="40"/>
      <c r="S201" s="40"/>
      <c r="T201" s="38"/>
      <c r="U201" s="38"/>
      <c r="V201" s="38"/>
      <c r="W201" s="38">
        <v>1.0</v>
      </c>
      <c r="X201" s="38"/>
      <c r="Y201" s="38"/>
      <c r="Z201" s="38"/>
      <c r="AA201" s="38">
        <v>1.0</v>
      </c>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40"/>
      <c r="AX201" s="40"/>
      <c r="AY201" s="40"/>
      <c r="AZ201" s="40"/>
      <c r="BA201" s="40"/>
      <c r="BB201" s="40"/>
      <c r="BC201" s="40"/>
      <c r="BD201" s="40"/>
      <c r="BE201" s="38">
        <v>1.0</v>
      </c>
      <c r="BF201" s="40"/>
      <c r="BG201" s="40"/>
      <c r="BH201" s="40"/>
      <c r="BI201" s="40"/>
      <c r="BJ201" s="40"/>
      <c r="BK201" s="38">
        <v>1.0</v>
      </c>
      <c r="BL201" s="38">
        <v>1.0</v>
      </c>
      <c r="BM201" s="40"/>
      <c r="BN201" s="40"/>
      <c r="BO201" s="40"/>
      <c r="BP201" s="38">
        <v>1.0</v>
      </c>
      <c r="BQ201" s="40"/>
      <c r="BR201" s="38"/>
      <c r="BS201" s="38"/>
      <c r="BT201" s="38">
        <v>1.0</v>
      </c>
      <c r="BU201" s="40"/>
      <c r="BV201" s="40"/>
      <c r="BW201" s="40"/>
      <c r="BX201" s="38">
        <v>1.0</v>
      </c>
      <c r="BY201" s="40"/>
      <c r="BZ201" s="40"/>
      <c r="CA201" s="40"/>
      <c r="CB201" s="40"/>
      <c r="CC201" s="40"/>
      <c r="CD201" s="40"/>
      <c r="CE201" s="40"/>
      <c r="CF201" s="40"/>
      <c r="CG201" s="40"/>
      <c r="CH201" s="40"/>
      <c r="CI201" s="40"/>
      <c r="CJ201" s="40"/>
      <c r="CK201" s="40"/>
      <c r="CL201" s="40"/>
      <c r="CM201" s="38"/>
      <c r="CN201" s="38">
        <v>1.0</v>
      </c>
      <c r="CO201" s="40"/>
      <c r="CP201" s="40"/>
      <c r="CQ201" s="40"/>
      <c r="CR201" s="40"/>
      <c r="CS201" s="40"/>
      <c r="CT201" s="40"/>
      <c r="CU201" s="40"/>
      <c r="CV201" s="40"/>
      <c r="CW201" s="40"/>
      <c r="CX201" s="40"/>
      <c r="CY201" s="40"/>
      <c r="CZ201" s="40"/>
      <c r="DA201" s="40"/>
      <c r="DB201" s="40"/>
      <c r="DC201" s="40"/>
      <c r="DD201" s="40"/>
      <c r="DE201" s="38"/>
      <c r="DF201" s="38">
        <v>1.0</v>
      </c>
      <c r="DG201" s="40"/>
      <c r="DH201" s="38"/>
      <c r="DI201" s="38">
        <v>1.0</v>
      </c>
      <c r="DJ201" s="40"/>
      <c r="DK201" s="40"/>
      <c r="DL201" s="40"/>
      <c r="DM201" s="40"/>
      <c r="DN201" s="38">
        <v>1.0</v>
      </c>
      <c r="DO201" s="40"/>
      <c r="DP201" s="40"/>
      <c r="DQ201" s="38"/>
      <c r="DR201" s="38">
        <v>1.0</v>
      </c>
      <c r="DS201" s="40"/>
      <c r="DT201" s="40"/>
      <c r="DU201" s="40"/>
      <c r="DV201" s="40"/>
      <c r="DW201" s="40"/>
      <c r="DX201" s="40"/>
      <c r="DY201" s="40"/>
      <c r="DZ201" s="40"/>
      <c r="EA201" s="38">
        <v>1.0</v>
      </c>
      <c r="EB201" s="40"/>
      <c r="EC201" s="40"/>
      <c r="ED201" s="38"/>
      <c r="EE201" s="38"/>
      <c r="EF201" s="38"/>
      <c r="EG201" s="38"/>
      <c r="EH201" s="38"/>
      <c r="EI201" s="38">
        <v>1.0</v>
      </c>
      <c r="EJ201" s="38">
        <v>1.0</v>
      </c>
      <c r="EK201" s="40"/>
      <c r="EL201" s="40"/>
      <c r="EM201" s="40"/>
      <c r="EN201" s="40"/>
      <c r="EO201" s="40"/>
      <c r="EP201" s="40"/>
      <c r="EQ201" s="40"/>
      <c r="ER201" s="40"/>
      <c r="ES201" s="40"/>
      <c r="ET201" s="40"/>
      <c r="EU201" s="40"/>
      <c r="EV201" s="40"/>
      <c r="EW201" s="40"/>
      <c r="EX201" s="40"/>
      <c r="EY201" s="40"/>
      <c r="EZ201" s="38">
        <v>1.0</v>
      </c>
      <c r="FA201" s="40"/>
      <c r="FB201" s="40"/>
      <c r="FC201" s="40"/>
      <c r="FD201" s="40"/>
      <c r="FE201" s="38">
        <v>1.0</v>
      </c>
      <c r="FF201" s="40"/>
      <c r="FG201" s="40"/>
      <c r="FH201" s="40"/>
      <c r="FI201" s="40"/>
      <c r="FJ201" s="40"/>
      <c r="FK201" s="40"/>
      <c r="FL201" s="40"/>
      <c r="FM201" s="40"/>
      <c r="FN201" s="40"/>
      <c r="FO201" s="40"/>
      <c r="FP201" s="40"/>
      <c r="FQ201" s="40"/>
      <c r="FR201" s="38">
        <v>1.0</v>
      </c>
      <c r="FS201" s="40"/>
      <c r="FT201" s="40"/>
      <c r="FU201" s="40"/>
      <c r="FV201" s="40"/>
      <c r="FW201" s="40"/>
      <c r="FX201" s="40"/>
      <c r="FY201" s="40"/>
      <c r="FZ201" s="40"/>
      <c r="GA201" s="40"/>
      <c r="GB201" s="40"/>
      <c r="GC201" s="38"/>
      <c r="GD201" s="38"/>
      <c r="GE201" s="38">
        <v>1.0</v>
      </c>
      <c r="GF201" s="40"/>
    </row>
    <row r="202">
      <c r="A202" s="31">
        <v>43557.0</v>
      </c>
      <c r="B202" s="32" t="s">
        <v>499</v>
      </c>
      <c r="C202" s="32"/>
      <c r="D202" s="32"/>
      <c r="E202" s="32"/>
      <c r="F202" s="33"/>
      <c r="G202" s="33"/>
      <c r="H202" s="32"/>
      <c r="I202" s="32"/>
      <c r="J202" s="32"/>
      <c r="K202" s="32"/>
      <c r="L202" s="32"/>
      <c r="M202" s="32"/>
      <c r="N202" s="34"/>
      <c r="O202" s="32"/>
      <c r="P202" s="34"/>
      <c r="Q202" s="34"/>
      <c r="R202" s="34"/>
      <c r="S202" s="32"/>
      <c r="T202" s="34"/>
      <c r="U202" s="34"/>
      <c r="V202" s="34"/>
      <c r="W202" s="34"/>
      <c r="X202" s="34"/>
      <c r="Y202" s="34"/>
      <c r="Z202" s="34"/>
      <c r="AA202" s="34"/>
      <c r="AB202" s="34"/>
      <c r="AC202" s="34"/>
      <c r="AD202" s="34"/>
      <c r="AE202" s="34"/>
      <c r="AF202" s="34"/>
      <c r="AG202" s="34"/>
      <c r="AH202" s="34"/>
      <c r="AI202" s="32"/>
      <c r="AJ202" s="32"/>
      <c r="AK202" s="32"/>
      <c r="AL202" s="32"/>
      <c r="AM202" s="34"/>
      <c r="AN202" s="34"/>
      <c r="AO202" s="34"/>
      <c r="AP202" s="34"/>
      <c r="AQ202" s="34"/>
      <c r="AR202" s="34"/>
      <c r="AS202" s="34"/>
      <c r="AT202" s="34"/>
      <c r="AU202" s="34"/>
      <c r="AV202" s="34"/>
      <c r="AW202" s="34"/>
      <c r="AX202" s="34"/>
      <c r="AY202" s="32"/>
      <c r="AZ202" s="32"/>
      <c r="BA202" s="32"/>
      <c r="BB202" s="34"/>
      <c r="BC202" s="34"/>
      <c r="BD202" s="34"/>
      <c r="BE202" s="32"/>
      <c r="BF202" s="34"/>
      <c r="BG202" s="34"/>
      <c r="BH202" s="34"/>
      <c r="BI202" s="34"/>
      <c r="BJ202" s="34"/>
      <c r="BK202" s="34"/>
      <c r="BL202" s="32"/>
      <c r="BM202" s="34"/>
      <c r="BN202" s="34"/>
      <c r="BO202" s="34"/>
      <c r="BP202" s="34"/>
      <c r="BQ202" s="34"/>
      <c r="BR202" s="34"/>
      <c r="BS202" s="34"/>
      <c r="BT202" s="34"/>
      <c r="BU202" s="34"/>
      <c r="BV202" s="34"/>
      <c r="BW202" s="34"/>
      <c r="BX202" s="34"/>
      <c r="BY202" s="34"/>
      <c r="BZ202" s="34"/>
      <c r="CA202" s="34"/>
      <c r="CB202" s="32"/>
      <c r="CC202" s="34"/>
      <c r="CD202" s="34"/>
      <c r="CE202" s="34"/>
      <c r="CF202" s="34"/>
      <c r="CG202" s="34"/>
      <c r="CH202" s="34"/>
      <c r="CI202" s="34"/>
      <c r="CJ202" s="34"/>
      <c r="CK202" s="34"/>
      <c r="CL202" s="34"/>
      <c r="CM202" s="32"/>
      <c r="CN202" s="32"/>
      <c r="CO202" s="34"/>
      <c r="CP202" s="34"/>
      <c r="CQ202" s="34"/>
      <c r="CR202" s="34"/>
      <c r="CS202" s="34"/>
      <c r="CT202" s="34"/>
      <c r="CU202" s="32"/>
      <c r="CV202" s="34"/>
      <c r="CW202" s="34"/>
      <c r="CX202" s="34"/>
      <c r="CY202" s="34"/>
      <c r="CZ202" s="34"/>
      <c r="DA202" s="34"/>
      <c r="DB202" s="34"/>
      <c r="DC202" s="34"/>
      <c r="DD202" s="34"/>
      <c r="DE202" s="34"/>
      <c r="DF202" s="34"/>
      <c r="DG202" s="34"/>
      <c r="DH202" s="32"/>
      <c r="DI202" s="34"/>
      <c r="DJ202" s="34"/>
      <c r="DK202" s="34"/>
      <c r="DL202" s="34"/>
      <c r="DM202" s="34"/>
      <c r="DN202" s="34"/>
      <c r="DO202" s="34"/>
      <c r="DP202" s="34"/>
      <c r="DQ202" s="34"/>
      <c r="DR202" s="34"/>
      <c r="DS202" s="34"/>
      <c r="DT202" s="34"/>
      <c r="DU202" s="34"/>
      <c r="DV202" s="34"/>
      <c r="DW202" s="34"/>
      <c r="DX202" s="34"/>
      <c r="DY202" s="34"/>
      <c r="DZ202" s="34"/>
      <c r="EA202" s="34"/>
      <c r="EB202" s="34"/>
      <c r="EC202" s="34"/>
      <c r="ED202" s="32"/>
      <c r="EE202" s="32"/>
      <c r="EF202" s="32"/>
      <c r="EG202" s="32"/>
      <c r="EH202" s="32"/>
      <c r="EI202" s="32"/>
      <c r="EJ202" s="32"/>
      <c r="EK202" s="34"/>
      <c r="EL202" s="34"/>
      <c r="EM202" s="34"/>
      <c r="EN202" s="34"/>
      <c r="EO202" s="34"/>
      <c r="EP202" s="34"/>
      <c r="EQ202" s="34"/>
      <c r="ER202" s="34"/>
      <c r="ES202" s="34"/>
      <c r="ET202" s="34"/>
      <c r="EU202" s="34"/>
      <c r="EV202" s="34"/>
      <c r="EW202" s="34"/>
      <c r="EX202" s="34"/>
      <c r="EY202" s="34"/>
      <c r="EZ202" s="34"/>
      <c r="FA202" s="34"/>
      <c r="FB202" s="34"/>
      <c r="FC202" s="34"/>
      <c r="FD202" s="34"/>
      <c r="FE202" s="32"/>
      <c r="FF202" s="34"/>
      <c r="FG202" s="34"/>
      <c r="FH202" s="34"/>
      <c r="FI202" s="34"/>
      <c r="FJ202" s="34"/>
      <c r="FK202" s="34"/>
      <c r="FL202" s="34"/>
      <c r="FM202" s="34"/>
      <c r="FN202" s="34"/>
      <c r="FO202" s="34"/>
      <c r="FP202" s="34"/>
      <c r="FQ202" s="34"/>
      <c r="FR202" s="32"/>
      <c r="FS202" s="34"/>
      <c r="FT202" s="34"/>
      <c r="FU202" s="34"/>
      <c r="FV202" s="34"/>
      <c r="FW202" s="34"/>
      <c r="FX202" s="34"/>
      <c r="FY202" s="34"/>
      <c r="FZ202" s="32"/>
      <c r="GA202" s="34"/>
      <c r="GB202" s="34"/>
      <c r="GC202" s="34"/>
      <c r="GD202" s="34"/>
      <c r="GE202" s="34"/>
      <c r="GF202" s="32"/>
    </row>
    <row r="203">
      <c r="A203" s="23">
        <v>43558.0</v>
      </c>
      <c r="B203" s="4" t="s">
        <v>456</v>
      </c>
      <c r="C203" s="4">
        <v>21.316488</v>
      </c>
      <c r="D203" s="4">
        <v>-157.664261</v>
      </c>
      <c r="E203" s="4" t="s">
        <v>418</v>
      </c>
      <c r="F203" s="24">
        <v>0.375</v>
      </c>
      <c r="G203" s="24">
        <v>0.4583333333333333</v>
      </c>
      <c r="H203" s="4">
        <v>5.0</v>
      </c>
      <c r="I203" s="4">
        <v>10.0</v>
      </c>
      <c r="J203" s="4" t="s">
        <v>318</v>
      </c>
      <c r="K203" s="4">
        <v>5.0</v>
      </c>
      <c r="L203" s="4">
        <v>22.0</v>
      </c>
      <c r="M203" s="4" t="s">
        <v>464</v>
      </c>
      <c r="S203" s="4">
        <v>1.0</v>
      </c>
      <c r="AI203" s="4"/>
      <c r="AJ203" s="4"/>
      <c r="AK203" s="4"/>
      <c r="AL203" s="4">
        <v>1.0</v>
      </c>
      <c r="AY203" s="4">
        <v>1.0</v>
      </c>
      <c r="AZ203" s="4"/>
      <c r="BA203" s="4">
        <v>1.0</v>
      </c>
      <c r="BE203" s="4">
        <v>1.0</v>
      </c>
      <c r="BL203" s="4">
        <v>1.0</v>
      </c>
      <c r="CB203" s="4">
        <v>1.0</v>
      </c>
      <c r="CM203" s="4"/>
      <c r="CN203" s="4">
        <v>1.0</v>
      </c>
      <c r="CU203" s="4">
        <v>1.0</v>
      </c>
      <c r="DH203" s="4">
        <v>1.0</v>
      </c>
      <c r="ED203" s="4"/>
      <c r="EE203" s="4"/>
      <c r="EF203" s="4"/>
      <c r="EG203" s="4"/>
      <c r="EH203" s="4"/>
      <c r="EI203" s="4">
        <v>1.0</v>
      </c>
      <c r="EJ203" s="4">
        <v>1.0</v>
      </c>
      <c r="FC203" s="4"/>
      <c r="FE203" s="4">
        <v>1.0</v>
      </c>
      <c r="FR203" s="4">
        <v>1.0</v>
      </c>
      <c r="FZ203" s="4">
        <v>1.0</v>
      </c>
      <c r="GF203" s="4">
        <v>1.0</v>
      </c>
    </row>
    <row r="204">
      <c r="A204" s="41">
        <v>43558.0</v>
      </c>
      <c r="B204" s="42" t="s">
        <v>216</v>
      </c>
      <c r="C204" s="42">
        <v>21.3002</v>
      </c>
      <c r="D204" s="42">
        <v>-157.882599</v>
      </c>
      <c r="E204" s="42" t="s">
        <v>542</v>
      </c>
      <c r="F204" s="43">
        <v>0.39305555555555555</v>
      </c>
      <c r="G204" s="43">
        <v>0.4479166666666667</v>
      </c>
      <c r="H204" s="42">
        <v>6.0</v>
      </c>
      <c r="I204" s="42">
        <v>18.0</v>
      </c>
      <c r="J204" s="42" t="s">
        <v>198</v>
      </c>
      <c r="K204" s="42">
        <v>5.0</v>
      </c>
      <c r="L204" s="42">
        <v>12.0</v>
      </c>
      <c r="M204" s="42" t="s">
        <v>543</v>
      </c>
      <c r="N204" s="44"/>
      <c r="O204" s="42"/>
      <c r="P204" s="44"/>
      <c r="Q204" s="44"/>
      <c r="R204" s="44"/>
      <c r="S204" s="44"/>
      <c r="T204" s="44"/>
      <c r="U204" s="44"/>
      <c r="V204" s="44"/>
      <c r="W204" s="44"/>
      <c r="X204" s="44"/>
      <c r="Y204" s="44"/>
      <c r="Z204" s="44"/>
      <c r="AA204" s="44"/>
      <c r="AB204" s="44"/>
      <c r="AC204" s="44"/>
      <c r="AD204" s="44"/>
      <c r="AE204" s="44"/>
      <c r="AF204" s="44"/>
      <c r="AG204" s="44"/>
      <c r="AH204" s="44"/>
      <c r="AI204" s="44"/>
      <c r="AJ204" s="44"/>
      <c r="AK204" s="44"/>
      <c r="AL204" s="44"/>
      <c r="AM204" s="42">
        <v>1.0</v>
      </c>
      <c r="AN204" s="44"/>
      <c r="AO204" s="44"/>
      <c r="AP204" s="44"/>
      <c r="AQ204" s="44"/>
      <c r="AR204" s="44"/>
      <c r="AS204" s="44"/>
      <c r="AT204" s="44"/>
      <c r="AU204" s="44"/>
      <c r="AV204" s="44"/>
      <c r="AW204" s="44"/>
      <c r="AX204" s="44"/>
      <c r="AY204" s="44"/>
      <c r="AZ204" s="44"/>
      <c r="BA204" s="44"/>
      <c r="BB204" s="44"/>
      <c r="BC204" s="42"/>
      <c r="BD204" s="42">
        <v>1.0</v>
      </c>
      <c r="BE204" s="44"/>
      <c r="BF204" s="44"/>
      <c r="BG204" s="44"/>
      <c r="BH204" s="42"/>
      <c r="BI204" s="42"/>
      <c r="BJ204" s="42"/>
      <c r="BK204" s="44"/>
      <c r="BL204" s="42">
        <v>1.0</v>
      </c>
      <c r="BM204" s="44"/>
      <c r="BN204" s="44"/>
      <c r="BO204" s="44"/>
      <c r="BP204" s="44"/>
      <c r="BQ204" s="44"/>
      <c r="BR204" s="42"/>
      <c r="BS204" s="42">
        <v>1.0</v>
      </c>
      <c r="BT204" s="42">
        <v>1.0</v>
      </c>
      <c r="BU204" s="42">
        <v>1.0</v>
      </c>
      <c r="BV204" s="44"/>
      <c r="BW204" s="44"/>
      <c r="BX204" s="42"/>
      <c r="BY204" s="42"/>
      <c r="BZ204" s="44"/>
      <c r="CA204" s="44"/>
      <c r="CB204" s="42"/>
      <c r="CC204" s="44"/>
      <c r="CD204" s="44"/>
      <c r="CE204" s="42"/>
      <c r="CF204" s="44"/>
      <c r="CG204" s="44"/>
      <c r="CH204" s="44"/>
      <c r="CI204" s="44"/>
      <c r="CJ204" s="44"/>
      <c r="CK204" s="44"/>
      <c r="CL204" s="44"/>
      <c r="CM204" s="42"/>
      <c r="CN204" s="42"/>
      <c r="CO204" s="44"/>
      <c r="CP204" s="44"/>
      <c r="CQ204" s="44"/>
      <c r="CR204" s="44"/>
      <c r="CS204" s="44"/>
      <c r="CT204" s="44"/>
      <c r="CU204" s="44"/>
      <c r="CV204" s="44"/>
      <c r="CW204" s="44"/>
      <c r="CX204" s="44"/>
      <c r="CY204" s="44"/>
      <c r="CZ204" s="44"/>
      <c r="DA204" s="44"/>
      <c r="DB204" s="44"/>
      <c r="DC204" s="44"/>
      <c r="DD204" s="44"/>
      <c r="DE204" s="44"/>
      <c r="DF204" s="44"/>
      <c r="DG204" s="44"/>
      <c r="DH204" s="44"/>
      <c r="DI204" s="44"/>
      <c r="DJ204" s="44"/>
      <c r="DK204" s="44"/>
      <c r="DL204" s="42">
        <v>1.0</v>
      </c>
      <c r="DM204" s="44"/>
      <c r="DN204" s="42"/>
      <c r="DO204" s="44"/>
      <c r="DP204" s="44"/>
      <c r="DQ204" s="42"/>
      <c r="DR204" s="42"/>
      <c r="DS204" s="44"/>
      <c r="DT204" s="44"/>
      <c r="DU204" s="44"/>
      <c r="DV204" s="44"/>
      <c r="DW204" s="44"/>
      <c r="DX204" s="44"/>
      <c r="DY204" s="44"/>
      <c r="DZ204" s="44"/>
      <c r="EA204" s="44"/>
      <c r="EB204" s="42">
        <v>1.0</v>
      </c>
      <c r="EC204" s="44"/>
      <c r="ED204" s="42"/>
      <c r="EE204" s="42"/>
      <c r="EF204" s="42"/>
      <c r="EG204" s="42"/>
      <c r="EH204" s="42"/>
      <c r="EI204" s="42">
        <v>1.0</v>
      </c>
      <c r="EJ204" s="42"/>
      <c r="EK204" s="44"/>
      <c r="EL204" s="44"/>
      <c r="EM204" s="44"/>
      <c r="EN204" s="44"/>
      <c r="EO204" s="44"/>
      <c r="EP204" s="44"/>
      <c r="EQ204" s="44"/>
      <c r="ER204" s="44"/>
      <c r="ES204" s="44"/>
      <c r="ET204" s="44"/>
      <c r="EU204" s="44"/>
      <c r="EV204" s="42"/>
      <c r="EW204" s="44"/>
      <c r="EX204" s="44"/>
      <c r="EY204" s="44"/>
      <c r="EZ204" s="44"/>
      <c r="FA204" s="44"/>
      <c r="FB204" s="44"/>
      <c r="FC204" s="44"/>
      <c r="FD204" s="44"/>
      <c r="FE204" s="44"/>
      <c r="FF204" s="42"/>
      <c r="FG204" s="42"/>
      <c r="FH204" s="44"/>
      <c r="FI204" s="44"/>
      <c r="FJ204" s="44"/>
      <c r="FK204" s="44"/>
      <c r="FL204" s="44"/>
      <c r="FM204" s="44"/>
      <c r="FN204" s="44"/>
      <c r="FO204" s="44"/>
      <c r="FP204" s="44"/>
      <c r="FQ204" s="44"/>
      <c r="FR204" s="42">
        <v>1.0</v>
      </c>
      <c r="FS204" s="44"/>
      <c r="FT204" s="44"/>
      <c r="FU204" s="44"/>
      <c r="FV204" s="44"/>
      <c r="FW204" s="44"/>
      <c r="FX204" s="44"/>
      <c r="FY204" s="44"/>
      <c r="FZ204" s="44"/>
      <c r="GA204" s="44"/>
      <c r="GB204" s="44"/>
      <c r="GC204" s="44"/>
      <c r="GD204" s="44"/>
      <c r="GE204" s="44"/>
      <c r="GF204" s="44"/>
    </row>
    <row r="205">
      <c r="A205" s="23">
        <v>43559.0</v>
      </c>
      <c r="B205" s="4" t="s">
        <v>456</v>
      </c>
      <c r="C205" s="4">
        <v>21.316488</v>
      </c>
      <c r="D205" s="4">
        <v>-157.664261</v>
      </c>
      <c r="E205" s="4" t="s">
        <v>418</v>
      </c>
      <c r="F205" s="24">
        <v>0.375</v>
      </c>
      <c r="G205" s="24">
        <v>0.4791666666666667</v>
      </c>
      <c r="H205" s="4">
        <v>5.0</v>
      </c>
      <c r="I205" s="4">
        <v>10.0</v>
      </c>
      <c r="J205" s="4" t="s">
        <v>318</v>
      </c>
      <c r="K205" s="4">
        <v>5.0</v>
      </c>
      <c r="L205" s="4">
        <v>25.0</v>
      </c>
      <c r="BC205" s="4">
        <v>1.0</v>
      </c>
      <c r="BH205" s="4"/>
      <c r="BI205" s="4"/>
      <c r="BJ205" s="4">
        <v>1.0</v>
      </c>
      <c r="BL205" s="4">
        <v>1.0</v>
      </c>
      <c r="BR205" s="4"/>
      <c r="BS205" s="4">
        <v>1.0</v>
      </c>
      <c r="BX205" s="4">
        <v>1.0</v>
      </c>
      <c r="BY205" s="4">
        <v>1.0</v>
      </c>
      <c r="CB205" s="4">
        <v>1.0</v>
      </c>
      <c r="CE205" s="4">
        <v>1.0</v>
      </c>
      <c r="CM205" s="4"/>
      <c r="CN205" s="4">
        <v>1.0</v>
      </c>
      <c r="DN205" s="4">
        <v>1.0</v>
      </c>
      <c r="DQ205" s="4"/>
      <c r="DR205" s="4">
        <v>1.0</v>
      </c>
      <c r="EB205" s="4">
        <v>1.0</v>
      </c>
      <c r="ED205" s="4"/>
      <c r="EE205" s="4"/>
      <c r="EF205" s="4"/>
      <c r="EG205" s="4"/>
      <c r="EH205" s="4"/>
      <c r="EI205" s="4">
        <v>1.0</v>
      </c>
      <c r="EJ205" s="4">
        <v>1.0</v>
      </c>
      <c r="EV205" s="4">
        <v>1.0</v>
      </c>
      <c r="FF205" s="4"/>
      <c r="FG205" s="4">
        <v>1.0</v>
      </c>
      <c r="FR205" s="4">
        <v>1.0</v>
      </c>
    </row>
    <row r="206">
      <c r="A206" s="41">
        <v>43560.0</v>
      </c>
      <c r="B206" s="42" t="s">
        <v>544</v>
      </c>
      <c r="C206" s="42">
        <v>19.5791</v>
      </c>
      <c r="D206" s="42">
        <v>-155.967804</v>
      </c>
      <c r="E206" s="42" t="s">
        <v>508</v>
      </c>
      <c r="F206" s="43">
        <v>0.4305555555555556</v>
      </c>
      <c r="G206" s="43">
        <v>0.4548611111111111</v>
      </c>
      <c r="H206" s="42">
        <v>5.0</v>
      </c>
      <c r="I206" s="42">
        <v>20.0</v>
      </c>
      <c r="J206" s="42" t="s">
        <v>198</v>
      </c>
      <c r="K206" s="42">
        <v>6.0</v>
      </c>
      <c r="L206" s="42">
        <v>29.0</v>
      </c>
      <c r="M206" s="42" t="s">
        <v>545</v>
      </c>
      <c r="N206" s="44"/>
      <c r="O206" s="42"/>
      <c r="P206" s="44"/>
      <c r="Q206" s="42"/>
      <c r="R206" s="44"/>
      <c r="S206" s="44"/>
      <c r="T206" s="44"/>
      <c r="U206" s="44"/>
      <c r="V206" s="44"/>
      <c r="W206" s="44"/>
      <c r="X206" s="44"/>
      <c r="Y206" s="44"/>
      <c r="Z206" s="44"/>
      <c r="AA206" s="44"/>
      <c r="AB206" s="44"/>
      <c r="AC206" s="44"/>
      <c r="AD206" s="44"/>
      <c r="AE206" s="44"/>
      <c r="AF206" s="44"/>
      <c r="AG206" s="44"/>
      <c r="AH206" s="44"/>
      <c r="AI206" s="44"/>
      <c r="AJ206" s="44"/>
      <c r="AK206" s="44"/>
      <c r="AL206" s="44"/>
      <c r="AM206" s="44"/>
      <c r="AN206" s="44"/>
      <c r="AO206" s="44"/>
      <c r="AP206" s="44"/>
      <c r="AQ206" s="44"/>
      <c r="AR206" s="44"/>
      <c r="AS206" s="44"/>
      <c r="AT206" s="44"/>
      <c r="AU206" s="44"/>
      <c r="AV206" s="44"/>
      <c r="AW206" s="44"/>
      <c r="AX206" s="44"/>
      <c r="AY206" s="44"/>
      <c r="AZ206" s="42"/>
      <c r="BA206" s="42"/>
      <c r="BB206" s="44"/>
      <c r="BC206" s="44"/>
      <c r="BD206" s="44"/>
      <c r="BE206" s="44"/>
      <c r="BF206" s="44"/>
      <c r="BG206" s="44"/>
      <c r="BH206" s="44"/>
      <c r="BI206" s="44"/>
      <c r="BJ206" s="44"/>
      <c r="BK206" s="42"/>
      <c r="BL206" s="42">
        <v>1.0</v>
      </c>
      <c r="BM206" s="44"/>
      <c r="BN206" s="44"/>
      <c r="BO206" s="44"/>
      <c r="BP206" s="44"/>
      <c r="BQ206" s="44"/>
      <c r="BR206" s="44"/>
      <c r="BS206" s="44"/>
      <c r="BT206" s="44"/>
      <c r="BU206" s="44"/>
      <c r="BV206" s="42"/>
      <c r="BW206" s="44"/>
      <c r="BX206" s="44"/>
      <c r="BY206" s="44"/>
      <c r="BZ206" s="44"/>
      <c r="CA206" s="44"/>
      <c r="CB206" s="42">
        <v>1.0</v>
      </c>
      <c r="CC206" s="44"/>
      <c r="CD206" s="42"/>
      <c r="CE206" s="44"/>
      <c r="CF206" s="44"/>
      <c r="CG206" s="44"/>
      <c r="CH206" s="44"/>
      <c r="CI206" s="44"/>
      <c r="CJ206" s="44"/>
      <c r="CK206" s="44"/>
      <c r="CL206" s="44"/>
      <c r="CM206" s="44"/>
      <c r="CN206" s="44"/>
      <c r="CO206" s="44"/>
      <c r="CP206" s="44"/>
      <c r="CQ206" s="44"/>
      <c r="CR206" s="44"/>
      <c r="CS206" s="44"/>
      <c r="CT206" s="44"/>
      <c r="CU206" s="44"/>
      <c r="CV206" s="44"/>
      <c r="CW206" s="44"/>
      <c r="CX206" s="44"/>
      <c r="CY206" s="44"/>
      <c r="CZ206" s="44"/>
      <c r="DA206" s="44"/>
      <c r="DB206" s="44"/>
      <c r="DC206" s="44"/>
      <c r="DD206" s="44"/>
      <c r="DE206" s="44"/>
      <c r="DF206" s="44"/>
      <c r="DG206" s="44"/>
      <c r="DH206" s="44"/>
      <c r="DI206" s="44"/>
      <c r="DJ206" s="44"/>
      <c r="DK206" s="44"/>
      <c r="DL206" s="42"/>
      <c r="DM206" s="44"/>
      <c r="DN206" s="44"/>
      <c r="DO206" s="44"/>
      <c r="DP206" s="44"/>
      <c r="DQ206" s="42"/>
      <c r="DR206" s="42"/>
      <c r="DS206" s="42"/>
      <c r="DT206" s="42"/>
      <c r="DU206" s="42"/>
      <c r="DV206" s="44"/>
      <c r="DW206" s="44"/>
      <c r="DX206" s="42"/>
      <c r="DY206" s="42"/>
      <c r="DZ206" s="44"/>
      <c r="EA206" s="42"/>
      <c r="EB206" s="44"/>
      <c r="EC206" s="42">
        <v>1.0</v>
      </c>
      <c r="ED206" s="42"/>
      <c r="EE206" s="42"/>
      <c r="EF206" s="42"/>
      <c r="EG206" s="42"/>
      <c r="EH206" s="42"/>
      <c r="EI206" s="42"/>
      <c r="EJ206" s="44"/>
      <c r="EK206" s="42"/>
      <c r="EL206" s="42"/>
      <c r="EM206" s="42"/>
      <c r="EN206" s="44"/>
      <c r="EO206" s="44"/>
      <c r="EP206" s="44"/>
      <c r="EQ206" s="44"/>
      <c r="ER206" s="44"/>
      <c r="ES206" s="44"/>
      <c r="ET206" s="44"/>
      <c r="EU206" s="44"/>
      <c r="EV206" s="44"/>
      <c r="EW206" s="44"/>
      <c r="EX206" s="44"/>
      <c r="EY206" s="44"/>
      <c r="EZ206" s="44"/>
      <c r="FA206" s="42"/>
      <c r="FB206" s="42"/>
      <c r="FC206" s="44"/>
      <c r="FD206" s="44"/>
      <c r="FE206" s="44"/>
      <c r="FF206" s="44"/>
      <c r="FG206" s="44"/>
      <c r="FH206" s="44"/>
      <c r="FI206" s="44"/>
      <c r="FJ206" s="44"/>
      <c r="FK206" s="44"/>
      <c r="FL206" s="42">
        <v>1.0</v>
      </c>
      <c r="FM206" s="44"/>
      <c r="FN206" s="44"/>
      <c r="FO206" s="44"/>
      <c r="FP206" s="44"/>
      <c r="FQ206" s="42"/>
      <c r="FR206" s="42">
        <v>1.0</v>
      </c>
      <c r="FS206" s="44"/>
      <c r="FT206" s="44"/>
      <c r="FU206" s="44"/>
      <c r="FV206" s="44"/>
      <c r="FW206" s="44"/>
      <c r="FX206" s="44"/>
      <c r="FY206" s="44"/>
      <c r="FZ206" s="42"/>
      <c r="GA206" s="42"/>
      <c r="GB206" s="42"/>
      <c r="GC206" s="42"/>
      <c r="GD206" s="44"/>
      <c r="GE206" s="44"/>
      <c r="GF206" s="44"/>
    </row>
    <row r="207">
      <c r="A207" s="41">
        <v>43562.0</v>
      </c>
      <c r="B207" s="42" t="s">
        <v>293</v>
      </c>
      <c r="C207" s="42">
        <v>19.738602</v>
      </c>
      <c r="D207" s="42">
        <v>-155.038879</v>
      </c>
      <c r="E207" s="42" t="s">
        <v>482</v>
      </c>
      <c r="F207" s="43">
        <v>0.4583333333333333</v>
      </c>
      <c r="G207" s="43">
        <v>0.4791666666666667</v>
      </c>
      <c r="H207" s="42">
        <v>2.0</v>
      </c>
      <c r="I207" s="42">
        <v>10.0</v>
      </c>
      <c r="J207" s="42" t="s">
        <v>198</v>
      </c>
      <c r="K207" s="42">
        <v>5.0</v>
      </c>
      <c r="L207" s="42">
        <v>10.0</v>
      </c>
      <c r="M207" s="42" t="s">
        <v>546</v>
      </c>
      <c r="N207" s="44"/>
      <c r="O207" s="42"/>
      <c r="P207" s="44"/>
      <c r="Q207" s="42"/>
      <c r="R207" s="44"/>
      <c r="S207" s="44"/>
      <c r="T207" s="44"/>
      <c r="U207" s="44"/>
      <c r="V207" s="44"/>
      <c r="W207" s="44"/>
      <c r="X207" s="44"/>
      <c r="Y207" s="44"/>
      <c r="Z207" s="44"/>
      <c r="AA207" s="44"/>
      <c r="AB207" s="44"/>
      <c r="AC207" s="44"/>
      <c r="AD207" s="44"/>
      <c r="AE207" s="44"/>
      <c r="AF207" s="44"/>
      <c r="AG207" s="44"/>
      <c r="AH207" s="44"/>
      <c r="AI207" s="44"/>
      <c r="AJ207" s="44"/>
      <c r="AK207" s="44"/>
      <c r="AL207" s="44"/>
      <c r="AM207" s="44"/>
      <c r="AN207" s="44"/>
      <c r="AO207" s="44"/>
      <c r="AP207" s="44"/>
      <c r="AQ207" s="44"/>
      <c r="AR207" s="44"/>
      <c r="AS207" s="44"/>
      <c r="AT207" s="44"/>
      <c r="AU207" s="44"/>
      <c r="AV207" s="44"/>
      <c r="AW207" s="44"/>
      <c r="AX207" s="44"/>
      <c r="AY207" s="44"/>
      <c r="AZ207" s="42"/>
      <c r="BA207" s="42"/>
      <c r="BB207" s="44"/>
      <c r="BC207" s="44"/>
      <c r="BD207" s="44"/>
      <c r="BE207" s="44"/>
      <c r="BF207" s="44"/>
      <c r="BG207" s="44"/>
      <c r="BH207" s="44"/>
      <c r="BI207" s="44"/>
      <c r="BJ207" s="42">
        <v>1.0</v>
      </c>
      <c r="BK207" s="42"/>
      <c r="BL207" s="42">
        <v>1.0</v>
      </c>
      <c r="BM207" s="44"/>
      <c r="BN207" s="44"/>
      <c r="BO207" s="44"/>
      <c r="BP207" s="44"/>
      <c r="BQ207" s="44"/>
      <c r="BR207" s="44"/>
      <c r="BS207" s="44"/>
      <c r="BT207" s="44"/>
      <c r="BU207" s="44"/>
      <c r="BV207" s="42"/>
      <c r="BW207" s="44"/>
      <c r="BX207" s="44"/>
      <c r="BY207" s="44"/>
      <c r="BZ207" s="44"/>
      <c r="CA207" s="44"/>
      <c r="CB207" s="42">
        <v>1.0</v>
      </c>
      <c r="CC207" s="44"/>
      <c r="CD207" s="42"/>
      <c r="CE207" s="44"/>
      <c r="CF207" s="44"/>
      <c r="CG207" s="44"/>
      <c r="CH207" s="44"/>
      <c r="CI207" s="44"/>
      <c r="CJ207" s="44"/>
      <c r="CK207" s="44"/>
      <c r="CL207" s="44"/>
      <c r="CM207" s="44"/>
      <c r="CN207" s="42">
        <v>1.0</v>
      </c>
      <c r="CO207" s="44"/>
      <c r="CP207" s="44"/>
      <c r="CQ207" s="44"/>
      <c r="CR207" s="44"/>
      <c r="CS207" s="44"/>
      <c r="CT207" s="44"/>
      <c r="CU207" s="44"/>
      <c r="CV207" s="44"/>
      <c r="CW207" s="44"/>
      <c r="CX207" s="44"/>
      <c r="CY207" s="44"/>
      <c r="CZ207" s="44"/>
      <c r="DA207" s="44"/>
      <c r="DB207" s="44"/>
      <c r="DC207" s="44"/>
      <c r="DD207" s="44"/>
      <c r="DE207" s="44"/>
      <c r="DF207" s="44"/>
      <c r="DG207" s="44"/>
      <c r="DH207" s="44"/>
      <c r="DI207" s="44"/>
      <c r="DJ207" s="44"/>
      <c r="DK207" s="44"/>
      <c r="DL207" s="42"/>
      <c r="DM207" s="44"/>
      <c r="DN207" s="44"/>
      <c r="DO207" s="44"/>
      <c r="DP207" s="44"/>
      <c r="DQ207" s="42"/>
      <c r="DR207" s="42"/>
      <c r="DS207" s="42"/>
      <c r="DT207" s="42"/>
      <c r="DU207" s="42"/>
      <c r="DV207" s="44"/>
      <c r="DW207" s="44"/>
      <c r="DX207" s="42">
        <v>1.0</v>
      </c>
      <c r="DY207" s="42"/>
      <c r="DZ207" s="44"/>
      <c r="EA207" s="42"/>
      <c r="EB207" s="44"/>
      <c r="EC207" s="42"/>
      <c r="ED207" s="42"/>
      <c r="EE207" s="42"/>
      <c r="EF207" s="42"/>
      <c r="EG207" s="42"/>
      <c r="EH207" s="42"/>
      <c r="EI207" s="42">
        <v>1.0</v>
      </c>
      <c r="EJ207" s="44"/>
      <c r="EK207" s="42"/>
      <c r="EL207" s="42"/>
      <c r="EM207" s="42"/>
      <c r="EN207" s="44"/>
      <c r="EO207" s="44"/>
      <c r="EP207" s="44"/>
      <c r="EQ207" s="42">
        <v>1.0</v>
      </c>
      <c r="ER207" s="42">
        <v>1.0</v>
      </c>
      <c r="ES207" s="44"/>
      <c r="ET207" s="44"/>
      <c r="EU207" s="44"/>
      <c r="EV207" s="44"/>
      <c r="EW207" s="44"/>
      <c r="EX207" s="44"/>
      <c r="EY207" s="44"/>
      <c r="EZ207" s="44"/>
      <c r="FA207" s="42"/>
      <c r="FB207" s="42"/>
      <c r="FC207" s="44"/>
      <c r="FD207" s="44"/>
      <c r="FE207" s="44"/>
      <c r="FF207" s="44"/>
      <c r="FG207" s="44"/>
      <c r="FH207" s="44"/>
      <c r="FI207" s="44"/>
      <c r="FJ207" s="44"/>
      <c r="FK207" s="44"/>
      <c r="FL207" s="44"/>
      <c r="FM207" s="44"/>
      <c r="FN207" s="44"/>
      <c r="FO207" s="42">
        <v>1.0</v>
      </c>
      <c r="FP207" s="44"/>
      <c r="FQ207" s="42"/>
      <c r="FR207" s="42">
        <v>1.0</v>
      </c>
      <c r="FS207" s="44"/>
      <c r="FT207" s="44"/>
      <c r="FU207" s="44"/>
      <c r="FV207" s="44"/>
      <c r="FW207" s="44"/>
      <c r="FX207" s="44"/>
      <c r="FY207" s="44"/>
      <c r="FZ207" s="42"/>
      <c r="GA207" s="42"/>
      <c r="GB207" s="42"/>
      <c r="GC207" s="42"/>
      <c r="GD207" s="44"/>
      <c r="GE207" s="44"/>
      <c r="GF207" s="44"/>
    </row>
    <row r="208">
      <c r="A208" s="31">
        <v>43563.0</v>
      </c>
      <c r="B208" s="32" t="s">
        <v>216</v>
      </c>
      <c r="C208" s="32"/>
      <c r="D208" s="32"/>
      <c r="E208" s="32"/>
      <c r="F208" s="33"/>
      <c r="G208" s="33"/>
      <c r="H208" s="32"/>
      <c r="I208" s="32"/>
      <c r="J208" s="32"/>
      <c r="K208" s="32"/>
      <c r="L208" s="32"/>
      <c r="M208" s="32"/>
      <c r="N208" s="34"/>
      <c r="O208" s="32"/>
      <c r="P208" s="34"/>
      <c r="Q208" s="32"/>
      <c r="R208" s="34"/>
      <c r="S208" s="34"/>
      <c r="T208" s="34"/>
      <c r="U208" s="34"/>
      <c r="V208" s="34"/>
      <c r="W208" s="34"/>
      <c r="X208" s="34"/>
      <c r="Y208" s="34"/>
      <c r="Z208" s="34"/>
      <c r="AA208" s="34"/>
      <c r="AB208" s="34"/>
      <c r="AC208" s="34"/>
      <c r="AD208" s="34"/>
      <c r="AE208" s="34"/>
      <c r="AF208" s="34"/>
      <c r="AG208" s="34"/>
      <c r="AH208" s="34"/>
      <c r="AI208" s="34"/>
      <c r="AJ208" s="34"/>
      <c r="AK208" s="34"/>
      <c r="AL208" s="34"/>
      <c r="AM208" s="34"/>
      <c r="AN208" s="34"/>
      <c r="AO208" s="34"/>
      <c r="AP208" s="34"/>
      <c r="AQ208" s="34"/>
      <c r="AR208" s="34"/>
      <c r="AS208" s="34"/>
      <c r="AT208" s="34"/>
      <c r="AU208" s="34"/>
      <c r="AV208" s="34"/>
      <c r="AW208" s="34"/>
      <c r="AX208" s="34"/>
      <c r="AY208" s="34"/>
      <c r="AZ208" s="32"/>
      <c r="BA208" s="32"/>
      <c r="BB208" s="34"/>
      <c r="BC208" s="34"/>
      <c r="BD208" s="34"/>
      <c r="BE208" s="34"/>
      <c r="BF208" s="34"/>
      <c r="BG208" s="34"/>
      <c r="BH208" s="34"/>
      <c r="BI208" s="34"/>
      <c r="BJ208" s="34"/>
      <c r="BK208" s="32"/>
      <c r="BL208" s="34"/>
      <c r="BM208" s="34"/>
      <c r="BN208" s="34"/>
      <c r="BO208" s="34"/>
      <c r="BP208" s="34"/>
      <c r="BQ208" s="34"/>
      <c r="BR208" s="34"/>
      <c r="BS208" s="34"/>
      <c r="BT208" s="34"/>
      <c r="BU208" s="34"/>
      <c r="BV208" s="32"/>
      <c r="BW208" s="34"/>
      <c r="BX208" s="34"/>
      <c r="BY208" s="34"/>
      <c r="BZ208" s="34"/>
      <c r="CA208" s="34"/>
      <c r="CB208" s="34"/>
      <c r="CC208" s="34"/>
      <c r="CD208" s="32"/>
      <c r="CE208" s="34"/>
      <c r="CF208" s="34"/>
      <c r="CG208" s="34"/>
      <c r="CH208" s="34"/>
      <c r="CI208" s="34"/>
      <c r="CJ208" s="34"/>
      <c r="CK208" s="34"/>
      <c r="CL208" s="34"/>
      <c r="CM208" s="34"/>
      <c r="CN208" s="34"/>
      <c r="CO208" s="34"/>
      <c r="CP208" s="34"/>
      <c r="CQ208" s="34"/>
      <c r="CR208" s="34"/>
      <c r="CS208" s="34"/>
      <c r="CT208" s="34"/>
      <c r="CU208" s="34"/>
      <c r="CV208" s="34"/>
      <c r="CW208" s="34"/>
      <c r="CX208" s="34"/>
      <c r="CY208" s="34"/>
      <c r="CZ208" s="34"/>
      <c r="DA208" s="34"/>
      <c r="DB208" s="34"/>
      <c r="DC208" s="34"/>
      <c r="DD208" s="34"/>
      <c r="DE208" s="34"/>
      <c r="DF208" s="34"/>
      <c r="DG208" s="34"/>
      <c r="DH208" s="34"/>
      <c r="DI208" s="34"/>
      <c r="DJ208" s="34"/>
      <c r="DK208" s="34"/>
      <c r="DL208" s="32"/>
      <c r="DM208" s="34"/>
      <c r="DN208" s="34"/>
      <c r="DO208" s="34"/>
      <c r="DP208" s="34"/>
      <c r="DQ208" s="32"/>
      <c r="DR208" s="32"/>
      <c r="DS208" s="32"/>
      <c r="DT208" s="32"/>
      <c r="DU208" s="32"/>
      <c r="DV208" s="34"/>
      <c r="DW208" s="34"/>
      <c r="DX208" s="32"/>
      <c r="DY208" s="32"/>
      <c r="DZ208" s="34"/>
      <c r="EA208" s="32"/>
      <c r="EB208" s="34"/>
      <c r="EC208" s="32"/>
      <c r="ED208" s="32"/>
      <c r="EE208" s="32"/>
      <c r="EF208" s="32"/>
      <c r="EG208" s="32"/>
      <c r="EH208" s="32"/>
      <c r="EI208" s="32"/>
      <c r="EJ208" s="34"/>
      <c r="EK208" s="32"/>
      <c r="EL208" s="32"/>
      <c r="EM208" s="32"/>
      <c r="EN208" s="34"/>
      <c r="EO208" s="34"/>
      <c r="EP208" s="34"/>
      <c r="EQ208" s="34"/>
      <c r="ER208" s="34"/>
      <c r="ES208" s="34"/>
      <c r="ET208" s="34"/>
      <c r="EU208" s="34"/>
      <c r="EV208" s="34"/>
      <c r="EW208" s="34"/>
      <c r="EX208" s="34"/>
      <c r="EY208" s="34"/>
      <c r="EZ208" s="34"/>
      <c r="FA208" s="32"/>
      <c r="FB208" s="32"/>
      <c r="FC208" s="34"/>
      <c r="FD208" s="34"/>
      <c r="FE208" s="34"/>
      <c r="FF208" s="34"/>
      <c r="FG208" s="34"/>
      <c r="FH208" s="34"/>
      <c r="FI208" s="34"/>
      <c r="FJ208" s="34"/>
      <c r="FK208" s="34"/>
      <c r="FL208" s="34"/>
      <c r="FM208" s="34"/>
      <c r="FN208" s="34"/>
      <c r="FO208" s="34"/>
      <c r="FP208" s="34"/>
      <c r="FQ208" s="32"/>
      <c r="FR208" s="32"/>
      <c r="FS208" s="34"/>
      <c r="FT208" s="34"/>
      <c r="FU208" s="34"/>
      <c r="FV208" s="34"/>
      <c r="FW208" s="34"/>
      <c r="FX208" s="34"/>
      <c r="FY208" s="34"/>
      <c r="FZ208" s="32"/>
      <c r="GA208" s="32"/>
      <c r="GB208" s="32"/>
      <c r="GC208" s="32"/>
      <c r="GD208" s="34"/>
      <c r="GE208" s="34"/>
      <c r="GF208" s="34"/>
    </row>
    <row r="209">
      <c r="A209" s="23">
        <v>43563.0</v>
      </c>
      <c r="B209" s="4" t="s">
        <v>400</v>
      </c>
      <c r="C209" s="4">
        <v>21.900562</v>
      </c>
      <c r="D209" s="4">
        <v>-159.609818</v>
      </c>
      <c r="E209" s="4" t="s">
        <v>465</v>
      </c>
      <c r="F209" s="24">
        <v>0.4548611111111111</v>
      </c>
      <c r="G209" s="24">
        <v>0.4895833333333333</v>
      </c>
      <c r="H209" s="4">
        <v>6.0</v>
      </c>
      <c r="I209" s="4">
        <v>10.0</v>
      </c>
      <c r="J209" s="4" t="s">
        <v>198</v>
      </c>
      <c r="K209" s="4">
        <v>5.0</v>
      </c>
      <c r="L209" s="4">
        <v>29.0</v>
      </c>
      <c r="M209" s="4" t="s">
        <v>466</v>
      </c>
      <c r="Q209" s="4">
        <v>1.0</v>
      </c>
      <c r="AZ209" s="4"/>
      <c r="BA209" s="4">
        <v>1.0</v>
      </c>
      <c r="BK209" s="4">
        <v>1.0</v>
      </c>
      <c r="BV209" s="4">
        <v>1.0</v>
      </c>
      <c r="CD209" s="4">
        <v>1.0</v>
      </c>
      <c r="DL209" s="4">
        <v>1.0</v>
      </c>
      <c r="DQ209" s="4"/>
      <c r="DR209" s="4">
        <v>1.0</v>
      </c>
      <c r="DT209" s="4"/>
      <c r="DU209" s="4">
        <v>1.0</v>
      </c>
      <c r="DX209" s="4"/>
      <c r="DY209" s="4">
        <v>1.0</v>
      </c>
      <c r="EA209" s="4">
        <v>1.0</v>
      </c>
      <c r="EC209" s="4">
        <v>1.0</v>
      </c>
      <c r="ED209" s="4"/>
      <c r="EE209" s="4"/>
      <c r="EF209" s="4"/>
      <c r="EG209" s="4"/>
      <c r="EH209" s="4"/>
      <c r="EI209" s="4">
        <v>1.0</v>
      </c>
      <c r="EK209" s="4"/>
      <c r="EL209" s="4"/>
      <c r="EM209" s="4">
        <v>1.0</v>
      </c>
      <c r="FA209" s="4">
        <v>1.0</v>
      </c>
      <c r="FB209" s="4">
        <v>1.0</v>
      </c>
      <c r="FQ209" s="4">
        <v>1.0</v>
      </c>
      <c r="FR209" s="4">
        <v>1.0</v>
      </c>
      <c r="FZ209" s="4">
        <v>1.0</v>
      </c>
      <c r="GA209" s="4"/>
      <c r="GB209" s="4">
        <v>1.0</v>
      </c>
      <c r="GC209" s="4">
        <v>1.0</v>
      </c>
    </row>
    <row r="210">
      <c r="A210" s="23">
        <v>43564.0</v>
      </c>
      <c r="B210" s="4" t="s">
        <v>456</v>
      </c>
      <c r="C210" s="4">
        <v>21.316488</v>
      </c>
      <c r="D210" s="4">
        <v>-157.664261</v>
      </c>
      <c r="E210" s="4" t="s">
        <v>469</v>
      </c>
      <c r="F210" s="24">
        <v>0.36319444444444443</v>
      </c>
      <c r="G210" s="24">
        <v>0.3958333333333333</v>
      </c>
      <c r="H210" s="4">
        <v>4.0</v>
      </c>
      <c r="I210" s="4">
        <v>40.0</v>
      </c>
      <c r="J210" s="4" t="s">
        <v>470</v>
      </c>
      <c r="K210" s="4">
        <v>5.0</v>
      </c>
      <c r="L210" s="4">
        <v>10.0</v>
      </c>
      <c r="M210" s="4" t="s">
        <v>471</v>
      </c>
      <c r="CB210" s="4">
        <v>1.0</v>
      </c>
      <c r="CF210" s="4"/>
      <c r="CG210" s="4">
        <v>1.0</v>
      </c>
      <c r="DE210" s="4"/>
      <c r="DF210" s="4">
        <v>1.0</v>
      </c>
      <c r="ED210" s="4"/>
      <c r="EE210" s="4"/>
      <c r="EF210" s="4"/>
      <c r="EG210" s="4"/>
      <c r="EH210" s="4"/>
      <c r="EI210" s="4">
        <v>1.0</v>
      </c>
      <c r="FR210" s="4">
        <v>1.0</v>
      </c>
    </row>
    <row r="211">
      <c r="A211" s="23">
        <v>43564.0</v>
      </c>
      <c r="B211" s="4" t="s">
        <v>244</v>
      </c>
      <c r="C211" s="4">
        <v>21.310612</v>
      </c>
      <c r="D211" s="4">
        <v>-158.00441</v>
      </c>
      <c r="E211" s="4" t="s">
        <v>326</v>
      </c>
      <c r="F211" s="24">
        <v>0.3958333333333333</v>
      </c>
      <c r="G211" s="24">
        <v>0.4375</v>
      </c>
      <c r="H211" s="4">
        <v>7.0</v>
      </c>
      <c r="I211" s="4">
        <v>20.0</v>
      </c>
      <c r="J211" s="4" t="s">
        <v>198</v>
      </c>
      <c r="K211" s="4">
        <v>5.0</v>
      </c>
      <c r="L211" s="4">
        <v>28.0</v>
      </c>
      <c r="M211" s="4" t="s">
        <v>472</v>
      </c>
      <c r="Q211" s="4">
        <v>1.0</v>
      </c>
      <c r="X211" s="4"/>
      <c r="Y211" s="4"/>
      <c r="Z211" s="4"/>
      <c r="AA211" s="4">
        <v>1.0</v>
      </c>
      <c r="AD211" s="4">
        <v>1.0</v>
      </c>
      <c r="BB211" s="4">
        <v>1.0</v>
      </c>
      <c r="BD211" s="4">
        <v>1.0</v>
      </c>
      <c r="BL211" s="4">
        <v>1.0</v>
      </c>
      <c r="BR211" s="4">
        <v>1.0</v>
      </c>
      <c r="BU211" s="4">
        <v>1.0</v>
      </c>
      <c r="BY211" s="4">
        <v>1.0</v>
      </c>
      <c r="CM211" s="4">
        <v>1.0</v>
      </c>
      <c r="DE211" s="4"/>
      <c r="DF211" s="4">
        <v>1.0</v>
      </c>
      <c r="DM211" s="4">
        <v>1.0</v>
      </c>
      <c r="DN211" s="4">
        <v>1.0</v>
      </c>
      <c r="DO211" s="4">
        <v>1.0</v>
      </c>
      <c r="ED211" s="4"/>
      <c r="EE211" s="4"/>
      <c r="EF211" s="4"/>
      <c r="EG211" s="4"/>
      <c r="EH211" s="4"/>
      <c r="EI211" s="4">
        <v>1.0</v>
      </c>
      <c r="FA211" s="4">
        <v>1.0</v>
      </c>
      <c r="FR211" s="4">
        <v>1.0</v>
      </c>
    </row>
    <row r="212">
      <c r="A212" s="41">
        <v>43564.0</v>
      </c>
      <c r="B212" s="42" t="s">
        <v>246</v>
      </c>
      <c r="C212" s="42">
        <v>21.2882</v>
      </c>
      <c r="D212" s="42">
        <v>-157.667999</v>
      </c>
      <c r="E212" s="42" t="s">
        <v>548</v>
      </c>
      <c r="F212" s="43">
        <v>0.3888888888888889</v>
      </c>
      <c r="G212" s="43">
        <v>0.4583333333333333</v>
      </c>
      <c r="H212" s="42">
        <v>6.0</v>
      </c>
      <c r="I212" s="42">
        <v>12.0</v>
      </c>
      <c r="J212" s="42" t="s">
        <v>198</v>
      </c>
      <c r="K212" s="42">
        <v>6.0</v>
      </c>
      <c r="L212" s="42">
        <v>20.0</v>
      </c>
      <c r="M212" s="42" t="s">
        <v>549</v>
      </c>
      <c r="N212" s="42"/>
      <c r="O212" s="42"/>
      <c r="P212" s="44"/>
      <c r="Q212" s="44"/>
      <c r="R212" s="44"/>
      <c r="S212" s="44"/>
      <c r="T212" s="44"/>
      <c r="U212" s="44"/>
      <c r="V212" s="44"/>
      <c r="W212" s="44"/>
      <c r="X212" s="44"/>
      <c r="Y212" s="44"/>
      <c r="Z212" s="44"/>
      <c r="AA212" s="42">
        <v>1.0</v>
      </c>
      <c r="AB212" s="42"/>
      <c r="AC212" s="42"/>
      <c r="AD212" s="44"/>
      <c r="AE212" s="44"/>
      <c r="AF212" s="44"/>
      <c r="AG212" s="44"/>
      <c r="AH212" s="44"/>
      <c r="AI212" s="44"/>
      <c r="AJ212" s="44"/>
      <c r="AK212" s="44"/>
      <c r="AL212" s="44"/>
      <c r="AM212" s="44"/>
      <c r="AN212" s="44"/>
      <c r="AO212" s="44"/>
      <c r="AP212" s="44"/>
      <c r="AQ212" s="42">
        <v>1.0</v>
      </c>
      <c r="AR212" s="44"/>
      <c r="AS212" s="44"/>
      <c r="AT212" s="44"/>
      <c r="AU212" s="44"/>
      <c r="AV212" s="44"/>
      <c r="AW212" s="44"/>
      <c r="AX212" s="44"/>
      <c r="AY212" s="44"/>
      <c r="AZ212" s="44"/>
      <c r="BA212" s="44"/>
      <c r="BB212" s="44"/>
      <c r="BC212" s="44"/>
      <c r="BD212" s="44"/>
      <c r="BE212" s="44"/>
      <c r="BF212" s="44"/>
      <c r="BG212" s="44"/>
      <c r="BH212" s="44"/>
      <c r="BI212" s="44"/>
      <c r="BJ212" s="42">
        <v>1.0</v>
      </c>
      <c r="BK212" s="44"/>
      <c r="BL212" s="42"/>
      <c r="BM212" s="44"/>
      <c r="BN212" s="44"/>
      <c r="BO212" s="44"/>
      <c r="BP212" s="44"/>
      <c r="BQ212" s="44"/>
      <c r="BR212" s="44"/>
      <c r="BS212" s="44"/>
      <c r="BT212" s="44"/>
      <c r="BU212" s="44"/>
      <c r="BV212" s="44"/>
      <c r="BW212" s="44"/>
      <c r="BX212" s="44"/>
      <c r="BY212" s="44"/>
      <c r="BZ212" s="44"/>
      <c r="CA212" s="44"/>
      <c r="CB212" s="44"/>
      <c r="CC212" s="44"/>
      <c r="CD212" s="44"/>
      <c r="CE212" s="44"/>
      <c r="CF212" s="44"/>
      <c r="CG212" s="44"/>
      <c r="CH212" s="44"/>
      <c r="CI212" s="44"/>
      <c r="CJ212" s="44"/>
      <c r="CK212" s="44"/>
      <c r="CL212" s="44"/>
      <c r="CM212" s="44"/>
      <c r="CN212" s="44"/>
      <c r="CO212" s="44"/>
      <c r="CP212" s="44"/>
      <c r="CQ212" s="44"/>
      <c r="CR212" s="44"/>
      <c r="CS212" s="44"/>
      <c r="CT212" s="44"/>
      <c r="CU212" s="44"/>
      <c r="CV212" s="44"/>
      <c r="CW212" s="44"/>
      <c r="CX212" s="44"/>
      <c r="CY212" s="44"/>
      <c r="CZ212" s="44"/>
      <c r="DA212" s="44"/>
      <c r="DB212" s="44"/>
      <c r="DC212" s="44"/>
      <c r="DD212" s="44"/>
      <c r="DE212" s="44"/>
      <c r="DF212" s="44"/>
      <c r="DG212" s="42"/>
      <c r="DH212" s="44"/>
      <c r="DI212" s="44"/>
      <c r="DJ212" s="44"/>
      <c r="DK212" s="44"/>
      <c r="DL212" s="44"/>
      <c r="DM212" s="44"/>
      <c r="DN212" s="44"/>
      <c r="DO212" s="42"/>
      <c r="DP212" s="44"/>
      <c r="DQ212" s="42"/>
      <c r="DR212" s="42"/>
      <c r="DS212" s="44"/>
      <c r="DT212" s="44"/>
      <c r="DU212" s="44"/>
      <c r="DV212" s="44"/>
      <c r="DW212" s="44"/>
      <c r="DX212" s="44"/>
      <c r="DY212" s="44"/>
      <c r="DZ212" s="44"/>
      <c r="EA212" s="44"/>
      <c r="EB212" s="44"/>
      <c r="EC212" s="44"/>
      <c r="ED212" s="44"/>
      <c r="EE212" s="44"/>
      <c r="EF212" s="44"/>
      <c r="EG212" s="44"/>
      <c r="EH212" s="44"/>
      <c r="EI212" s="42">
        <v>1.0</v>
      </c>
      <c r="EJ212" s="44"/>
      <c r="EK212" s="42"/>
      <c r="EL212" s="42"/>
      <c r="EM212" s="42"/>
      <c r="EN212" s="44"/>
      <c r="EO212" s="44"/>
      <c r="EP212" s="44"/>
      <c r="EQ212" s="44"/>
      <c r="ER212" s="44"/>
      <c r="ES212" s="44"/>
      <c r="ET212" s="44"/>
      <c r="EU212" s="44"/>
      <c r="EV212" s="44"/>
      <c r="EW212" s="44"/>
      <c r="EX212" s="44"/>
      <c r="EY212" s="44"/>
      <c r="EZ212" s="44"/>
      <c r="FA212" s="42">
        <v>1.0</v>
      </c>
      <c r="FB212" s="42"/>
      <c r="FC212" s="44"/>
      <c r="FD212" s="44"/>
      <c r="FE212" s="44"/>
      <c r="FF212" s="44"/>
      <c r="FG212" s="44"/>
      <c r="FH212" s="44"/>
      <c r="FI212" s="44"/>
      <c r="FJ212" s="44"/>
      <c r="FK212" s="44"/>
      <c r="FL212" s="44"/>
      <c r="FM212" s="44"/>
      <c r="FN212" s="44"/>
      <c r="FO212" s="44"/>
      <c r="FP212" s="44"/>
      <c r="FQ212" s="42">
        <v>1.0</v>
      </c>
      <c r="FR212" s="42">
        <v>1.0</v>
      </c>
      <c r="FS212" s="44"/>
      <c r="FT212" s="44"/>
      <c r="FU212" s="44"/>
      <c r="FV212" s="44"/>
      <c r="FW212" s="44"/>
      <c r="FX212" s="44"/>
      <c r="FY212" s="44"/>
      <c r="FZ212" s="44"/>
      <c r="GA212" s="44"/>
      <c r="GB212" s="44"/>
      <c r="GC212" s="44"/>
      <c r="GD212" s="44"/>
      <c r="GE212" s="44"/>
      <c r="GF212" s="44"/>
    </row>
    <row r="213">
      <c r="A213" s="41">
        <v>43566.0</v>
      </c>
      <c r="B213" s="42" t="s">
        <v>246</v>
      </c>
      <c r="C213" s="42">
        <v>21.2882</v>
      </c>
      <c r="D213" s="42">
        <v>-157.667999</v>
      </c>
      <c r="E213" s="42" t="s">
        <v>548</v>
      </c>
      <c r="F213" s="43">
        <v>0.3888888888888889</v>
      </c>
      <c r="G213" s="43">
        <v>0.4618055555555556</v>
      </c>
      <c r="H213" s="42">
        <v>5.0</v>
      </c>
      <c r="I213" s="42">
        <v>10.0</v>
      </c>
      <c r="J213" s="42" t="s">
        <v>198</v>
      </c>
      <c r="K213" s="42">
        <v>6.0</v>
      </c>
      <c r="L213" s="42">
        <v>11.0</v>
      </c>
      <c r="M213" s="42" t="s">
        <v>550</v>
      </c>
      <c r="N213" s="42"/>
      <c r="O213" s="42"/>
      <c r="P213" s="44"/>
      <c r="Q213" s="44"/>
      <c r="R213" s="44"/>
      <c r="S213" s="44"/>
      <c r="T213" s="44"/>
      <c r="U213" s="44"/>
      <c r="V213" s="44"/>
      <c r="W213" s="44"/>
      <c r="X213" s="44"/>
      <c r="Y213" s="44"/>
      <c r="Z213" s="44"/>
      <c r="AA213" s="44"/>
      <c r="AB213" s="42"/>
      <c r="AC213" s="42"/>
      <c r="AD213" s="44"/>
      <c r="AE213" s="44"/>
      <c r="AF213" s="42">
        <v>1.0</v>
      </c>
      <c r="AG213" s="44"/>
      <c r="AH213" s="44"/>
      <c r="AI213" s="44"/>
      <c r="AJ213" s="44"/>
      <c r="AK213" s="44"/>
      <c r="AL213" s="44"/>
      <c r="AM213" s="44"/>
      <c r="AN213" s="44"/>
      <c r="AO213" s="44"/>
      <c r="AP213" s="44"/>
      <c r="AQ213" s="44"/>
      <c r="AR213" s="44"/>
      <c r="AS213" s="44"/>
      <c r="AT213" s="44"/>
      <c r="AU213" s="44"/>
      <c r="AV213" s="44"/>
      <c r="AW213" s="44"/>
      <c r="AX213" s="44"/>
      <c r="AY213" s="44"/>
      <c r="AZ213" s="44"/>
      <c r="BA213" s="44"/>
      <c r="BB213" s="44"/>
      <c r="BC213" s="44"/>
      <c r="BD213" s="42">
        <v>1.0</v>
      </c>
      <c r="BE213" s="44"/>
      <c r="BF213" s="44"/>
      <c r="BG213" s="44"/>
      <c r="BH213" s="44"/>
      <c r="BI213" s="44"/>
      <c r="BJ213" s="44"/>
      <c r="BK213" s="44"/>
      <c r="BL213" s="42"/>
      <c r="BM213" s="44"/>
      <c r="BN213" s="44"/>
      <c r="BO213" s="44"/>
      <c r="BP213" s="44"/>
      <c r="BQ213" s="44"/>
      <c r="BR213" s="44"/>
      <c r="BS213" s="44"/>
      <c r="BT213" s="44"/>
      <c r="BU213" s="44"/>
      <c r="BV213" s="44"/>
      <c r="BW213" s="44"/>
      <c r="BX213" s="44"/>
      <c r="BY213" s="44"/>
      <c r="BZ213" s="44"/>
      <c r="CA213" s="44"/>
      <c r="CB213" s="44"/>
      <c r="CC213" s="44"/>
      <c r="CD213" s="44"/>
      <c r="CE213" s="44"/>
      <c r="CF213" s="44"/>
      <c r="CG213" s="44"/>
      <c r="CH213" s="44"/>
      <c r="CI213" s="44"/>
      <c r="CJ213" s="44"/>
      <c r="CK213" s="44"/>
      <c r="CL213" s="44"/>
      <c r="CM213" s="44"/>
      <c r="CN213" s="44"/>
      <c r="CO213" s="44"/>
      <c r="CP213" s="44"/>
      <c r="CQ213" s="44"/>
      <c r="CR213" s="44"/>
      <c r="CS213" s="44"/>
      <c r="CT213" s="44"/>
      <c r="CU213" s="44"/>
      <c r="CV213" s="44"/>
      <c r="CW213" s="44"/>
      <c r="CX213" s="44"/>
      <c r="CY213" s="44"/>
      <c r="CZ213" s="44"/>
      <c r="DA213" s="44"/>
      <c r="DB213" s="44"/>
      <c r="DC213" s="44"/>
      <c r="DD213" s="44"/>
      <c r="DE213" s="44"/>
      <c r="DF213" s="44"/>
      <c r="DG213" s="42"/>
      <c r="DH213" s="44"/>
      <c r="DI213" s="44"/>
      <c r="DJ213" s="44"/>
      <c r="DK213" s="44"/>
      <c r="DL213" s="44"/>
      <c r="DM213" s="44"/>
      <c r="DN213" s="44"/>
      <c r="DO213" s="42"/>
      <c r="DP213" s="44"/>
      <c r="DQ213" s="42"/>
      <c r="DR213" s="42"/>
      <c r="DS213" s="44"/>
      <c r="DT213" s="44"/>
      <c r="DU213" s="44"/>
      <c r="DV213" s="44"/>
      <c r="DW213" s="44"/>
      <c r="DX213" s="44"/>
      <c r="DY213" s="44"/>
      <c r="DZ213" s="44"/>
      <c r="EA213" s="44"/>
      <c r="EB213" s="44"/>
      <c r="EC213" s="44"/>
      <c r="ED213" s="44"/>
      <c r="EE213" s="44"/>
      <c r="EF213" s="44"/>
      <c r="EG213" s="44"/>
      <c r="EH213" s="42">
        <v>1.0</v>
      </c>
      <c r="EI213" s="42">
        <v>1.0</v>
      </c>
      <c r="EJ213" s="44"/>
      <c r="EK213" s="42"/>
      <c r="EL213" s="42"/>
      <c r="EM213" s="42"/>
      <c r="EN213" s="44"/>
      <c r="EO213" s="44"/>
      <c r="EP213" s="44"/>
      <c r="EQ213" s="44"/>
      <c r="ER213" s="44"/>
      <c r="ES213" s="44"/>
      <c r="ET213" s="44"/>
      <c r="EU213" s="44"/>
      <c r="EV213" s="44"/>
      <c r="EW213" s="44"/>
      <c r="EX213" s="44"/>
      <c r="EY213" s="44"/>
      <c r="EZ213" s="44"/>
      <c r="FA213" s="44"/>
      <c r="FB213" s="42"/>
      <c r="FC213" s="44"/>
      <c r="FD213" s="44"/>
      <c r="FE213" s="44"/>
      <c r="FF213" s="44"/>
      <c r="FG213" s="44"/>
      <c r="FH213" s="44"/>
      <c r="FI213" s="44"/>
      <c r="FJ213" s="44"/>
      <c r="FK213" s="44"/>
      <c r="FL213" s="44"/>
      <c r="FM213" s="44"/>
      <c r="FN213" s="44"/>
      <c r="FO213" s="44"/>
      <c r="FP213" s="44"/>
      <c r="FQ213" s="42">
        <v>1.0</v>
      </c>
      <c r="FR213" s="42">
        <v>1.0</v>
      </c>
      <c r="FS213" s="44"/>
      <c r="FT213" s="44"/>
      <c r="FU213" s="44"/>
      <c r="FV213" s="44"/>
      <c r="FW213" s="44"/>
      <c r="FX213" s="44"/>
      <c r="FY213" s="44"/>
      <c r="FZ213" s="44"/>
      <c r="GA213" s="44"/>
      <c r="GB213" s="44"/>
      <c r="GC213" s="42">
        <v>1.0</v>
      </c>
      <c r="GD213" s="44"/>
      <c r="GE213" s="44"/>
      <c r="GF213" s="44"/>
    </row>
    <row r="214">
      <c r="A214" s="37">
        <v>43566.0</v>
      </c>
      <c r="B214" s="38" t="s">
        <v>473</v>
      </c>
      <c r="C214" s="38">
        <v>21.3962</v>
      </c>
      <c r="D214" s="38">
        <v>-157.720306</v>
      </c>
      <c r="E214" s="38" t="s">
        <v>418</v>
      </c>
      <c r="F214" s="39">
        <v>0.4166666666666667</v>
      </c>
      <c r="G214" s="39">
        <v>0.4791666666666667</v>
      </c>
      <c r="H214" s="38">
        <v>6.0</v>
      </c>
      <c r="I214" s="38">
        <v>11.0</v>
      </c>
      <c r="J214" s="38" t="s">
        <v>318</v>
      </c>
      <c r="K214" s="38">
        <v>10.0</v>
      </c>
      <c r="L214" s="38">
        <v>40.0</v>
      </c>
      <c r="M214" s="38" t="s">
        <v>474</v>
      </c>
      <c r="N214" s="38"/>
      <c r="O214" s="38"/>
      <c r="P214" s="40"/>
      <c r="Q214" s="40"/>
      <c r="R214" s="40"/>
      <c r="S214" s="40"/>
      <c r="T214" s="40"/>
      <c r="U214" s="40"/>
      <c r="V214" s="40"/>
      <c r="W214" s="40"/>
      <c r="X214" s="40"/>
      <c r="Y214" s="40"/>
      <c r="Z214" s="40"/>
      <c r="AA214" s="40"/>
      <c r="AB214" s="38"/>
      <c r="AC214" s="38">
        <v>1.0</v>
      </c>
      <c r="AD214" s="40"/>
      <c r="AE214" s="40"/>
      <c r="AF214" s="40"/>
      <c r="AG214" s="40"/>
      <c r="AH214" s="40"/>
      <c r="AI214" s="40"/>
      <c r="AJ214" s="40"/>
      <c r="AK214" s="40"/>
      <c r="AL214" s="40"/>
      <c r="AM214" s="40"/>
      <c r="AN214" s="40"/>
      <c r="AO214" s="40"/>
      <c r="AP214" s="40"/>
      <c r="AQ214" s="40"/>
      <c r="AR214" s="40"/>
      <c r="AS214" s="40"/>
      <c r="AT214" s="40"/>
      <c r="AU214" s="40"/>
      <c r="AV214" s="40"/>
      <c r="AW214" s="40"/>
      <c r="AX214" s="40"/>
      <c r="AY214" s="40"/>
      <c r="AZ214" s="40"/>
      <c r="BA214" s="40"/>
      <c r="BB214" s="40"/>
      <c r="BC214" s="40"/>
      <c r="BD214" s="40"/>
      <c r="BE214" s="40"/>
      <c r="BF214" s="40"/>
      <c r="BG214" s="40"/>
      <c r="BH214" s="40"/>
      <c r="BI214" s="40"/>
      <c r="BJ214" s="40"/>
      <c r="BK214" s="40"/>
      <c r="BL214" s="38">
        <v>1.0</v>
      </c>
      <c r="BM214" s="40"/>
      <c r="BN214" s="40"/>
      <c r="BO214" s="40"/>
      <c r="BP214" s="40"/>
      <c r="BQ214" s="40"/>
      <c r="BR214" s="40"/>
      <c r="BS214" s="40"/>
      <c r="BT214" s="40"/>
      <c r="BU214" s="40"/>
      <c r="BV214" s="40"/>
      <c r="BW214" s="40"/>
      <c r="BX214" s="40"/>
      <c r="BY214" s="40"/>
      <c r="BZ214" s="38">
        <v>1.0</v>
      </c>
      <c r="CA214" s="40"/>
      <c r="CB214" s="40"/>
      <c r="CC214" s="40"/>
      <c r="CD214" s="40"/>
      <c r="CE214" s="40"/>
      <c r="CF214" s="40"/>
      <c r="CG214" s="40"/>
      <c r="CH214" s="40"/>
      <c r="CI214" s="40"/>
      <c r="CJ214" s="40"/>
      <c r="CK214" s="40"/>
      <c r="CL214" s="40"/>
      <c r="CM214" s="40"/>
      <c r="CN214" s="40"/>
      <c r="CO214" s="40"/>
      <c r="CP214" s="40"/>
      <c r="CQ214" s="40"/>
      <c r="CR214" s="40"/>
      <c r="CS214" s="40"/>
      <c r="CT214" s="40"/>
      <c r="CU214" s="40"/>
      <c r="CV214" s="40"/>
      <c r="CW214" s="40"/>
      <c r="CX214" s="40"/>
      <c r="CY214" s="40"/>
      <c r="CZ214" s="40"/>
      <c r="DA214" s="40"/>
      <c r="DB214" s="40"/>
      <c r="DC214" s="40"/>
      <c r="DD214" s="40"/>
      <c r="DE214" s="40"/>
      <c r="DF214" s="40"/>
      <c r="DG214" s="38">
        <v>1.0</v>
      </c>
      <c r="DH214" s="40"/>
      <c r="DI214" s="40"/>
      <c r="DJ214" s="40"/>
      <c r="DK214" s="40"/>
      <c r="DL214" s="40"/>
      <c r="DM214" s="40"/>
      <c r="DN214" s="40"/>
      <c r="DO214" s="38">
        <v>1.0</v>
      </c>
      <c r="DP214" s="40"/>
      <c r="DQ214" s="38"/>
      <c r="DR214" s="38">
        <v>1.0</v>
      </c>
      <c r="DS214" s="40"/>
      <c r="DT214" s="40"/>
      <c r="DU214" s="40"/>
      <c r="DV214" s="40"/>
      <c r="DW214" s="40"/>
      <c r="DX214" s="40"/>
      <c r="DY214" s="40"/>
      <c r="DZ214" s="40"/>
      <c r="EA214" s="40"/>
      <c r="EB214" s="40"/>
      <c r="EC214" s="40"/>
      <c r="ED214" s="40"/>
      <c r="EE214" s="40"/>
      <c r="EF214" s="40"/>
      <c r="EG214" s="40"/>
      <c r="EH214" s="40"/>
      <c r="EI214" s="40"/>
      <c r="EJ214" s="40"/>
      <c r="EK214" s="38"/>
      <c r="EL214" s="38"/>
      <c r="EM214" s="38">
        <v>1.0</v>
      </c>
      <c r="EN214" s="40"/>
      <c r="EO214" s="40"/>
      <c r="EP214" s="40"/>
      <c r="EQ214" s="40"/>
      <c r="ER214" s="40"/>
      <c r="ES214" s="40"/>
      <c r="ET214" s="40"/>
      <c r="EU214" s="40"/>
      <c r="EV214" s="40"/>
      <c r="EW214" s="40"/>
      <c r="EX214" s="40"/>
      <c r="EY214" s="40"/>
      <c r="EZ214" s="40"/>
      <c r="FA214" s="40"/>
      <c r="FB214" s="38">
        <v>1.0</v>
      </c>
      <c r="FC214" s="40"/>
      <c r="FD214" s="40"/>
      <c r="FE214" s="40"/>
      <c r="FF214" s="40"/>
      <c r="FG214" s="40"/>
      <c r="FH214" s="40"/>
      <c r="FI214" s="40"/>
      <c r="FJ214" s="40"/>
      <c r="FK214" s="40"/>
      <c r="FL214" s="40"/>
      <c r="FM214" s="40"/>
      <c r="FN214" s="40"/>
      <c r="FO214" s="40"/>
      <c r="FP214" s="40"/>
      <c r="FQ214" s="40"/>
      <c r="FR214" s="38">
        <v>1.0</v>
      </c>
      <c r="FS214" s="40"/>
      <c r="FT214" s="40"/>
      <c r="FU214" s="40"/>
      <c r="FV214" s="40"/>
      <c r="FW214" s="40"/>
      <c r="FX214" s="40"/>
      <c r="FY214" s="40"/>
      <c r="FZ214" s="40"/>
      <c r="GA214" s="40"/>
      <c r="GB214" s="40"/>
      <c r="GC214" s="40"/>
      <c r="GD214" s="40"/>
      <c r="GE214" s="40"/>
      <c r="GF214" s="40"/>
    </row>
    <row r="215">
      <c r="A215" s="41">
        <v>43567.0</v>
      </c>
      <c r="B215" s="42" t="s">
        <v>473</v>
      </c>
      <c r="C215" s="42">
        <v>21.3962</v>
      </c>
      <c r="D215" s="42">
        <v>-157.720306</v>
      </c>
      <c r="E215" s="42" t="s">
        <v>418</v>
      </c>
      <c r="F215" s="43">
        <v>0.4166666666666667</v>
      </c>
      <c r="G215" s="43">
        <v>0.5</v>
      </c>
      <c r="H215" s="42">
        <v>5.0</v>
      </c>
      <c r="I215" s="42">
        <v>15.0</v>
      </c>
      <c r="J215" s="42" t="s">
        <v>314</v>
      </c>
      <c r="K215" s="42">
        <v>5.0</v>
      </c>
      <c r="L215" s="42">
        <v>9.0</v>
      </c>
      <c r="M215" s="42" t="s">
        <v>551</v>
      </c>
      <c r="N215" s="44"/>
      <c r="O215" s="42"/>
      <c r="P215" s="44"/>
      <c r="Q215" s="42"/>
      <c r="R215" s="44"/>
      <c r="S215" s="44"/>
      <c r="T215" s="44"/>
      <c r="U215" s="44"/>
      <c r="V215" s="44"/>
      <c r="W215" s="44"/>
      <c r="X215" s="44"/>
      <c r="Y215" s="44"/>
      <c r="Z215" s="44"/>
      <c r="AA215" s="44"/>
      <c r="AB215" s="44"/>
      <c r="AC215" s="44"/>
      <c r="AD215" s="42"/>
      <c r="AE215" s="44"/>
      <c r="AF215" s="44"/>
      <c r="AG215" s="44"/>
      <c r="AH215" s="44"/>
      <c r="AI215" s="44"/>
      <c r="AJ215" s="44"/>
      <c r="AK215" s="44"/>
      <c r="AL215" s="44"/>
      <c r="AM215" s="42"/>
      <c r="AN215" s="44"/>
      <c r="AO215" s="44"/>
      <c r="AP215" s="44"/>
      <c r="AQ215" s="44"/>
      <c r="AR215" s="44"/>
      <c r="AS215" s="44"/>
      <c r="AT215" s="44"/>
      <c r="AU215" s="44"/>
      <c r="AV215" s="44"/>
      <c r="AW215" s="44"/>
      <c r="AX215" s="44"/>
      <c r="AY215" s="44"/>
      <c r="AZ215" s="42"/>
      <c r="BA215" s="42"/>
      <c r="BB215" s="42"/>
      <c r="BC215" s="44"/>
      <c r="BD215" s="42"/>
      <c r="BE215" s="44"/>
      <c r="BF215" s="44"/>
      <c r="BG215" s="44"/>
      <c r="BH215" s="44"/>
      <c r="BI215" s="44"/>
      <c r="BJ215" s="44"/>
      <c r="BK215" s="44"/>
      <c r="BL215" s="42">
        <v>1.0</v>
      </c>
      <c r="BM215" s="44"/>
      <c r="BN215" s="44"/>
      <c r="BO215" s="44"/>
      <c r="BP215" s="42">
        <v>1.0</v>
      </c>
      <c r="BQ215" s="44"/>
      <c r="BR215" s="44"/>
      <c r="BS215" s="44"/>
      <c r="BT215" s="44"/>
      <c r="BU215" s="42"/>
      <c r="BV215" s="44"/>
      <c r="BW215" s="44"/>
      <c r="BX215" s="44"/>
      <c r="BY215" s="42"/>
      <c r="BZ215" s="44"/>
      <c r="CA215" s="44"/>
      <c r="CB215" s="44"/>
      <c r="CC215" s="44"/>
      <c r="CD215" s="44"/>
      <c r="CE215" s="44"/>
      <c r="CF215" s="44"/>
      <c r="CG215" s="44"/>
      <c r="CH215" s="42"/>
      <c r="CI215" s="42"/>
      <c r="CJ215" s="42"/>
      <c r="CK215" s="44"/>
      <c r="CL215" s="44"/>
      <c r="CM215" s="44"/>
      <c r="CN215" s="42"/>
      <c r="CO215" s="44"/>
      <c r="CP215" s="44"/>
      <c r="CQ215" s="44"/>
      <c r="CR215" s="44"/>
      <c r="CS215" s="44"/>
      <c r="CT215" s="44"/>
      <c r="CU215" s="44"/>
      <c r="CV215" s="44"/>
      <c r="CW215" s="44"/>
      <c r="CX215" s="44"/>
      <c r="CY215" s="44"/>
      <c r="CZ215" s="44"/>
      <c r="DA215" s="44"/>
      <c r="DB215" s="44"/>
      <c r="DC215" s="44"/>
      <c r="DD215" s="44"/>
      <c r="DE215" s="44"/>
      <c r="DF215" s="44"/>
      <c r="DG215" s="44"/>
      <c r="DH215" s="44"/>
      <c r="DI215" s="44"/>
      <c r="DJ215" s="44"/>
      <c r="DK215" s="44"/>
      <c r="DL215" s="42"/>
      <c r="DM215" s="44"/>
      <c r="DN215" s="42"/>
      <c r="DO215" s="42">
        <v>1.0</v>
      </c>
      <c r="DP215" s="44"/>
      <c r="DQ215" s="44"/>
      <c r="DR215" s="44"/>
      <c r="DS215" s="42"/>
      <c r="DT215" s="42"/>
      <c r="DU215" s="42"/>
      <c r="DV215" s="44"/>
      <c r="DW215" s="44"/>
      <c r="DX215" s="44"/>
      <c r="DY215" s="44"/>
      <c r="DZ215" s="44"/>
      <c r="EA215" s="44"/>
      <c r="EB215" s="42"/>
      <c r="EC215" s="44"/>
      <c r="ED215" s="42"/>
      <c r="EE215" s="42"/>
      <c r="EF215" s="42"/>
      <c r="EG215" s="42"/>
      <c r="EH215" s="42"/>
      <c r="EI215" s="42"/>
      <c r="EJ215" s="44"/>
      <c r="EK215" s="44"/>
      <c r="EL215" s="44"/>
      <c r="EM215" s="44"/>
      <c r="EN215" s="44"/>
      <c r="EO215" s="44"/>
      <c r="EP215" s="44"/>
      <c r="EQ215" s="44"/>
      <c r="ER215" s="44"/>
      <c r="ES215" s="44"/>
      <c r="ET215" s="44"/>
      <c r="EU215" s="44"/>
      <c r="EV215" s="44"/>
      <c r="EW215" s="42"/>
      <c r="EX215" s="44"/>
      <c r="EY215" s="44"/>
      <c r="EZ215" s="44"/>
      <c r="FA215" s="44"/>
      <c r="FB215" s="44"/>
      <c r="FC215" s="44"/>
      <c r="FD215" s="44"/>
      <c r="FE215" s="44"/>
      <c r="FF215" s="44"/>
      <c r="FG215" s="44"/>
      <c r="FH215" s="44"/>
      <c r="FI215" s="44"/>
      <c r="FJ215" s="44"/>
      <c r="FK215" s="44"/>
      <c r="FL215" s="44"/>
      <c r="FM215" s="44"/>
      <c r="FN215" s="44"/>
      <c r="FO215" s="44"/>
      <c r="FP215" s="44"/>
      <c r="FQ215" s="42"/>
      <c r="FR215" s="42">
        <v>1.0</v>
      </c>
      <c r="FS215" s="44"/>
      <c r="FT215" s="44"/>
      <c r="FU215" s="44"/>
      <c r="FV215" s="44"/>
      <c r="FW215" s="44"/>
      <c r="FX215" s="44"/>
      <c r="FY215" s="44"/>
      <c r="FZ215" s="44"/>
      <c r="GA215" s="44"/>
      <c r="GB215" s="44"/>
      <c r="GC215" s="44"/>
      <c r="GD215" s="44"/>
      <c r="GE215" s="44"/>
      <c r="GF215" s="44"/>
    </row>
    <row r="216">
      <c r="A216" s="23">
        <v>43571.0</v>
      </c>
      <c r="B216" s="4" t="s">
        <v>244</v>
      </c>
      <c r="C216" s="4">
        <v>21.310612</v>
      </c>
      <c r="D216" s="4">
        <v>-158.00441</v>
      </c>
      <c r="E216" s="4" t="s">
        <v>326</v>
      </c>
      <c r="F216" s="24">
        <v>0.3888888888888889</v>
      </c>
      <c r="G216" s="24">
        <v>0.4131944444444444</v>
      </c>
      <c r="H216" s="4">
        <v>5.0</v>
      </c>
      <c r="I216" s="4">
        <v>20.0</v>
      </c>
      <c r="J216" s="4" t="s">
        <v>198</v>
      </c>
      <c r="K216" s="4">
        <v>5.0</v>
      </c>
      <c r="L216" s="4">
        <v>20.0</v>
      </c>
      <c r="M216" s="4" t="s">
        <v>476</v>
      </c>
      <c r="Q216" s="4">
        <v>1.0</v>
      </c>
      <c r="AD216" s="4">
        <v>1.0</v>
      </c>
      <c r="AM216" s="4">
        <v>1.0</v>
      </c>
      <c r="AZ216" s="4"/>
      <c r="BA216" s="4">
        <v>1.0</v>
      </c>
      <c r="BB216" s="4">
        <v>1.0</v>
      </c>
      <c r="BD216" s="4">
        <v>1.0</v>
      </c>
      <c r="BU216" s="4">
        <v>1.0</v>
      </c>
      <c r="BY216" s="4">
        <v>1.0</v>
      </c>
      <c r="CH216" s="4"/>
      <c r="CI216" s="4"/>
      <c r="CJ216" s="4">
        <v>1.0</v>
      </c>
      <c r="CN216" s="4">
        <v>1.0</v>
      </c>
      <c r="DL216" s="4">
        <v>1.0</v>
      </c>
      <c r="DN216" s="4">
        <v>1.0</v>
      </c>
      <c r="DT216" s="4"/>
      <c r="DU216" s="4">
        <v>1.0</v>
      </c>
      <c r="EB216" s="4">
        <v>1.0</v>
      </c>
      <c r="ED216" s="4"/>
      <c r="EE216" s="4"/>
      <c r="EF216" s="4"/>
      <c r="EG216" s="4"/>
      <c r="EH216" s="4"/>
      <c r="EI216" s="4">
        <v>1.0</v>
      </c>
      <c r="EW216" s="4">
        <v>1.0</v>
      </c>
      <c r="FQ216" s="4">
        <v>1.0</v>
      </c>
      <c r="FR216" s="4">
        <v>1.0</v>
      </c>
    </row>
    <row r="217">
      <c r="A217" s="23">
        <v>43571.0</v>
      </c>
      <c r="B217" s="4" t="s">
        <v>201</v>
      </c>
      <c r="C217" s="4">
        <v>21.25544</v>
      </c>
      <c r="D217" s="4">
        <v>-157.810303</v>
      </c>
      <c r="E217" s="4" t="s">
        <v>477</v>
      </c>
      <c r="F217" s="24">
        <v>0.3576388888888889</v>
      </c>
      <c r="G217" s="24">
        <v>0.4166666666666667</v>
      </c>
      <c r="H217" s="4">
        <v>6.0</v>
      </c>
      <c r="I217" s="4">
        <v>12.5</v>
      </c>
      <c r="J217" s="4" t="s">
        <v>318</v>
      </c>
      <c r="K217" s="4">
        <v>5.0</v>
      </c>
      <c r="L217" s="4">
        <v>28.0</v>
      </c>
      <c r="M217" s="4" t="s">
        <v>478</v>
      </c>
      <c r="AZ217" s="4"/>
      <c r="BA217" s="4">
        <v>1.0</v>
      </c>
      <c r="BL217" s="4">
        <v>1.0</v>
      </c>
      <c r="BU217" s="4">
        <v>1.0</v>
      </c>
      <c r="BV217" s="4">
        <v>1.0</v>
      </c>
      <c r="BX217" s="4">
        <v>1.0</v>
      </c>
      <c r="DA217" s="4"/>
      <c r="DB217" s="4">
        <v>1.0</v>
      </c>
      <c r="DJ217" s="4"/>
      <c r="DK217" s="4">
        <v>1.0</v>
      </c>
      <c r="DL217" s="4">
        <v>1.0</v>
      </c>
      <c r="DQ217" s="4"/>
      <c r="DR217" s="4">
        <v>1.0</v>
      </c>
      <c r="DT217" s="4"/>
      <c r="DU217" s="4">
        <v>1.0</v>
      </c>
      <c r="ED217" s="4"/>
      <c r="EE217" s="4"/>
      <c r="EF217" s="4"/>
      <c r="EG217" s="4"/>
      <c r="EH217" s="4"/>
      <c r="EI217" s="4">
        <v>1.0</v>
      </c>
      <c r="EX217" s="4"/>
      <c r="EY217" s="4">
        <v>1.0</v>
      </c>
      <c r="EZ217" s="4">
        <v>1.0</v>
      </c>
      <c r="FA217" s="4">
        <v>1.0</v>
      </c>
      <c r="FQ217" s="4">
        <v>1.0</v>
      </c>
      <c r="FR217" s="4">
        <v>1.0</v>
      </c>
    </row>
    <row r="218">
      <c r="A218" s="23">
        <v>43572.0</v>
      </c>
      <c r="B218" s="4" t="s">
        <v>201</v>
      </c>
      <c r="C218" s="4">
        <v>21.25544</v>
      </c>
      <c r="D218" s="4">
        <v>-157.810303</v>
      </c>
      <c r="E218" s="4" t="s">
        <v>477</v>
      </c>
      <c r="F218" s="24">
        <v>0.3611111111111111</v>
      </c>
      <c r="G218" s="24">
        <v>0.4166666666666667</v>
      </c>
      <c r="H218" s="4">
        <v>5.0</v>
      </c>
      <c r="I218" s="4">
        <v>11.0</v>
      </c>
      <c r="J218" s="4" t="s">
        <v>318</v>
      </c>
      <c r="K218" s="4">
        <v>10.0</v>
      </c>
      <c r="L218" s="4">
        <v>46.0</v>
      </c>
      <c r="M218" s="4" t="s">
        <v>481</v>
      </c>
      <c r="S218" s="4">
        <v>1.0</v>
      </c>
      <c r="X218" s="4"/>
      <c r="Y218" s="4"/>
      <c r="Z218" s="4"/>
      <c r="AA218" s="4">
        <v>1.0</v>
      </c>
      <c r="AP218" s="4"/>
      <c r="AQ218" s="4">
        <v>1.0</v>
      </c>
      <c r="BB218" s="4">
        <v>1.0</v>
      </c>
      <c r="BL218" s="4">
        <v>1.0</v>
      </c>
      <c r="BT218" s="4">
        <v>1.0</v>
      </c>
      <c r="BU218" s="4">
        <v>1.0</v>
      </c>
      <c r="BV218" s="4">
        <v>1.0</v>
      </c>
      <c r="BW218" s="4">
        <v>1.0</v>
      </c>
      <c r="BY218" s="4">
        <v>1.0</v>
      </c>
      <c r="DA218" s="4"/>
      <c r="DB218" s="4">
        <v>1.0</v>
      </c>
      <c r="DC218" s="4"/>
      <c r="DD218" s="4">
        <v>1.0</v>
      </c>
      <c r="DI218" s="4">
        <v>1.0</v>
      </c>
      <c r="DJ218" s="4"/>
      <c r="DK218" s="4">
        <v>1.0</v>
      </c>
      <c r="DQ218" s="4"/>
      <c r="DR218" s="4">
        <v>1.0</v>
      </c>
      <c r="DT218" s="4"/>
      <c r="DU218" s="4">
        <v>1.0</v>
      </c>
      <c r="ED218" s="4"/>
      <c r="EE218" s="4"/>
      <c r="EF218" s="4"/>
      <c r="EG218" s="4"/>
      <c r="EH218" s="4"/>
      <c r="EI218" s="4">
        <v>1.0</v>
      </c>
      <c r="EX218" s="4"/>
      <c r="EY218" s="4">
        <v>1.0</v>
      </c>
      <c r="EZ218" s="4">
        <v>1.0</v>
      </c>
      <c r="FA218" s="4">
        <v>1.0</v>
      </c>
      <c r="FQ218" s="4">
        <v>1.0</v>
      </c>
      <c r="FR218" s="4">
        <v>1.0</v>
      </c>
      <c r="FU218" s="4"/>
      <c r="FV218" s="4">
        <v>1.0</v>
      </c>
    </row>
    <row r="219">
      <c r="A219" s="37">
        <v>43572.0</v>
      </c>
      <c r="B219" s="38" t="s">
        <v>259</v>
      </c>
      <c r="C219" s="38">
        <v>19.737894</v>
      </c>
      <c r="D219" s="38">
        <v>-155.034058</v>
      </c>
      <c r="E219" s="38" t="s">
        <v>482</v>
      </c>
      <c r="F219" s="39">
        <v>0.3680555555555556</v>
      </c>
      <c r="G219" s="39">
        <v>0.4479166666666667</v>
      </c>
      <c r="H219" s="38">
        <v>7.0</v>
      </c>
      <c r="I219" s="38">
        <v>20.0</v>
      </c>
      <c r="J219" s="38" t="s">
        <v>217</v>
      </c>
      <c r="K219" s="38">
        <v>5.0</v>
      </c>
      <c r="L219" s="38">
        <v>29.0</v>
      </c>
      <c r="M219" s="38" t="s">
        <v>483</v>
      </c>
      <c r="N219" s="38"/>
      <c r="O219" s="38"/>
      <c r="P219" s="40"/>
      <c r="Q219" s="40"/>
      <c r="R219" s="40"/>
      <c r="S219" s="40"/>
      <c r="T219" s="40"/>
      <c r="U219" s="40"/>
      <c r="V219" s="40"/>
      <c r="W219" s="40"/>
      <c r="X219" s="40"/>
      <c r="Y219" s="40"/>
      <c r="Z219" s="40"/>
      <c r="AA219" s="40"/>
      <c r="AB219" s="40"/>
      <c r="AC219" s="40"/>
      <c r="AD219" s="40"/>
      <c r="AE219" s="40"/>
      <c r="AF219" s="38">
        <v>1.0</v>
      </c>
      <c r="AG219" s="40"/>
      <c r="AH219" s="40"/>
      <c r="AI219" s="38"/>
      <c r="AJ219" s="38"/>
      <c r="AK219" s="38"/>
      <c r="AL219" s="38">
        <v>1.0</v>
      </c>
      <c r="AM219" s="40"/>
      <c r="AN219" s="38"/>
      <c r="AO219" s="38">
        <v>1.0</v>
      </c>
      <c r="AP219" s="40"/>
      <c r="AQ219" s="40"/>
      <c r="AR219" s="40"/>
      <c r="AS219" s="40"/>
      <c r="AT219" s="40"/>
      <c r="AU219" s="40"/>
      <c r="AV219" s="40"/>
      <c r="AW219" s="40"/>
      <c r="AX219" s="40"/>
      <c r="AY219" s="40"/>
      <c r="AZ219" s="38"/>
      <c r="BA219" s="38">
        <v>1.0</v>
      </c>
      <c r="BB219" s="40"/>
      <c r="BC219" s="40"/>
      <c r="BD219" s="40"/>
      <c r="BE219" s="40"/>
      <c r="BF219" s="40"/>
      <c r="BG219" s="40"/>
      <c r="BH219" s="38"/>
      <c r="BI219" s="38"/>
      <c r="BJ219" s="38">
        <v>1.0</v>
      </c>
      <c r="BK219" s="40"/>
      <c r="BL219" s="38">
        <v>1.0</v>
      </c>
      <c r="BM219" s="40"/>
      <c r="BN219" s="40"/>
      <c r="BO219" s="40"/>
      <c r="BP219" s="40"/>
      <c r="BQ219" s="40"/>
      <c r="BR219" s="40"/>
      <c r="BS219" s="40"/>
      <c r="BT219" s="40"/>
      <c r="BU219" s="40"/>
      <c r="BV219" s="40"/>
      <c r="BW219" s="40"/>
      <c r="BX219" s="40"/>
      <c r="BY219" s="40"/>
      <c r="BZ219" s="40"/>
      <c r="CA219" s="40"/>
      <c r="CB219" s="40"/>
      <c r="CC219" s="40"/>
      <c r="CD219" s="40"/>
      <c r="CE219" s="40"/>
      <c r="CF219" s="40"/>
      <c r="CG219" s="40"/>
      <c r="CH219" s="40"/>
      <c r="CI219" s="40"/>
      <c r="CJ219" s="40"/>
      <c r="CK219" s="40"/>
      <c r="CL219" s="40"/>
      <c r="CM219" s="40"/>
      <c r="CN219" s="38">
        <v>1.0</v>
      </c>
      <c r="CO219" s="40"/>
      <c r="CP219" s="40"/>
      <c r="CQ219" s="40"/>
      <c r="CR219" s="40"/>
      <c r="CS219" s="40"/>
      <c r="CT219" s="40"/>
      <c r="CU219" s="40"/>
      <c r="CV219" s="40"/>
      <c r="CW219" s="40"/>
      <c r="CX219" s="40"/>
      <c r="CY219" s="40"/>
      <c r="CZ219" s="40"/>
      <c r="DA219" s="40"/>
      <c r="DB219" s="40"/>
      <c r="DC219" s="40"/>
      <c r="DD219" s="40"/>
      <c r="DE219" s="40"/>
      <c r="DF219" s="40"/>
      <c r="DG219" s="38">
        <v>1.0</v>
      </c>
      <c r="DH219" s="40"/>
      <c r="DI219" s="40"/>
      <c r="DJ219" s="40"/>
      <c r="DK219" s="40"/>
      <c r="DL219" s="40"/>
      <c r="DM219" s="40"/>
      <c r="DN219" s="40"/>
      <c r="DO219" s="40"/>
      <c r="DP219" s="40"/>
      <c r="DQ219" s="40"/>
      <c r="DR219" s="40"/>
      <c r="DS219" s="40"/>
      <c r="DT219" s="40"/>
      <c r="DU219" s="40"/>
      <c r="DV219" s="40"/>
      <c r="DW219" s="40"/>
      <c r="DX219" s="40"/>
      <c r="DY219" s="40"/>
      <c r="DZ219" s="40"/>
      <c r="EA219" s="40"/>
      <c r="EB219" s="40"/>
      <c r="EC219" s="40"/>
      <c r="ED219" s="40"/>
      <c r="EE219" s="40"/>
      <c r="EF219" s="40"/>
      <c r="EG219" s="40"/>
      <c r="EH219" s="40"/>
      <c r="EI219" s="40"/>
      <c r="EJ219" s="40"/>
      <c r="EK219" s="40"/>
      <c r="EL219" s="40"/>
      <c r="EM219" s="40"/>
      <c r="EN219" s="40"/>
      <c r="EO219" s="40"/>
      <c r="EP219" s="40"/>
      <c r="EQ219" s="40"/>
      <c r="ER219" s="40"/>
      <c r="ES219" s="40"/>
      <c r="ET219" s="40"/>
      <c r="EU219" s="40"/>
      <c r="EV219" s="40"/>
      <c r="EW219" s="40"/>
      <c r="EX219" s="40"/>
      <c r="EY219" s="40"/>
      <c r="EZ219" s="40"/>
      <c r="FA219" s="40"/>
      <c r="FB219" s="40"/>
      <c r="FC219" s="38"/>
      <c r="FD219" s="38">
        <v>1.0</v>
      </c>
      <c r="FE219" s="40"/>
      <c r="FF219" s="40"/>
      <c r="FG219" s="40"/>
      <c r="FH219" s="40"/>
      <c r="FI219" s="40"/>
      <c r="FJ219" s="40"/>
      <c r="FK219" s="40"/>
      <c r="FL219" s="38">
        <v>1.0</v>
      </c>
      <c r="FM219" s="40"/>
      <c r="FN219" s="40"/>
      <c r="FO219" s="40"/>
      <c r="FP219" s="40"/>
      <c r="FQ219" s="40"/>
      <c r="FR219" s="38">
        <v>1.0</v>
      </c>
      <c r="FS219" s="40"/>
      <c r="FT219" s="40"/>
      <c r="FU219" s="38"/>
      <c r="FV219" s="38">
        <v>1.0</v>
      </c>
      <c r="FW219" s="40"/>
      <c r="FX219" s="40"/>
      <c r="FY219" s="40"/>
      <c r="FZ219" s="40"/>
      <c r="GA219" s="40"/>
      <c r="GB219" s="40"/>
      <c r="GC219" s="40"/>
      <c r="GD219" s="40"/>
      <c r="GE219" s="40"/>
      <c r="GF219" s="40"/>
    </row>
    <row r="220">
      <c r="A220" s="23">
        <v>43573.0</v>
      </c>
      <c r="B220" s="4" t="s">
        <v>340</v>
      </c>
      <c r="C220" s="4">
        <v>19.643276</v>
      </c>
      <c r="D220" s="4">
        <v>-156.010193</v>
      </c>
      <c r="E220" s="4" t="s">
        <v>418</v>
      </c>
      <c r="F220" s="24">
        <v>0.4131944444444444</v>
      </c>
      <c r="G220" s="24">
        <v>0.4791666666666667</v>
      </c>
      <c r="H220" s="4">
        <v>4.0</v>
      </c>
      <c r="I220" s="4">
        <v>18.0</v>
      </c>
      <c r="J220" s="4" t="s">
        <v>198</v>
      </c>
      <c r="K220" s="4">
        <v>10.0</v>
      </c>
      <c r="L220" s="4">
        <v>26.0</v>
      </c>
      <c r="M220" s="4" t="s">
        <v>486</v>
      </c>
      <c r="S220" s="4">
        <v>1.0</v>
      </c>
      <c r="AB220" s="4"/>
      <c r="AC220" s="4">
        <v>1.0</v>
      </c>
      <c r="AG220" s="4">
        <v>1.0</v>
      </c>
      <c r="AT220" s="4"/>
      <c r="AU220" s="4">
        <v>1.0</v>
      </c>
      <c r="AZ220" s="4"/>
      <c r="BA220" s="4">
        <v>1.0</v>
      </c>
      <c r="BF220" s="4">
        <v>1.0</v>
      </c>
      <c r="BG220" s="4">
        <v>1.0</v>
      </c>
      <c r="BL220" s="4">
        <v>1.0</v>
      </c>
      <c r="BX220" s="4">
        <v>1.0</v>
      </c>
      <c r="CB220" s="4">
        <v>1.0</v>
      </c>
      <c r="CC220" s="4">
        <v>1.0</v>
      </c>
      <c r="DL220" s="4">
        <v>1.0</v>
      </c>
      <c r="DO220" s="4">
        <v>1.0</v>
      </c>
      <c r="DS220" s="4"/>
      <c r="DV220" s="4">
        <v>1.0</v>
      </c>
      <c r="ED220" s="4"/>
      <c r="EE220" s="4"/>
      <c r="EF220" s="4"/>
      <c r="EG220" s="4"/>
      <c r="EH220" s="4"/>
      <c r="EI220" s="4">
        <v>1.0</v>
      </c>
      <c r="FA220" s="4">
        <v>1.0</v>
      </c>
      <c r="FR220" s="4">
        <v>1.0</v>
      </c>
      <c r="FY220" s="4">
        <v>1.0</v>
      </c>
    </row>
    <row r="221">
      <c r="A221" s="37">
        <v>43573.0</v>
      </c>
      <c r="B221" s="38" t="s">
        <v>259</v>
      </c>
      <c r="C221" s="38">
        <v>19.737894</v>
      </c>
      <c r="D221" s="38">
        <v>-155.034058</v>
      </c>
      <c r="E221" s="38" t="s">
        <v>482</v>
      </c>
      <c r="F221" s="39">
        <v>0.375</v>
      </c>
      <c r="G221" s="39">
        <v>0.4479166666666667</v>
      </c>
      <c r="H221" s="38">
        <v>7.0</v>
      </c>
      <c r="I221" s="38">
        <v>20.0</v>
      </c>
      <c r="J221" s="38" t="s">
        <v>217</v>
      </c>
      <c r="K221" s="38">
        <v>5.0</v>
      </c>
      <c r="L221" s="38">
        <v>33.0</v>
      </c>
      <c r="M221" s="38" t="s">
        <v>487</v>
      </c>
      <c r="N221" s="38"/>
      <c r="O221" s="38"/>
      <c r="P221" s="40"/>
      <c r="Q221" s="40"/>
      <c r="R221" s="40"/>
      <c r="S221" s="40"/>
      <c r="T221" s="40"/>
      <c r="U221" s="40"/>
      <c r="V221" s="40"/>
      <c r="W221" s="40"/>
      <c r="X221" s="40"/>
      <c r="Y221" s="40"/>
      <c r="Z221" s="40"/>
      <c r="AA221" s="40"/>
      <c r="AB221" s="40"/>
      <c r="AC221" s="40"/>
      <c r="AD221" s="40"/>
      <c r="AE221" s="40"/>
      <c r="AF221" s="40"/>
      <c r="AG221" s="40"/>
      <c r="AH221" s="40"/>
      <c r="AI221" s="38"/>
      <c r="AJ221" s="38"/>
      <c r="AK221" s="38"/>
      <c r="AL221" s="38">
        <v>1.0</v>
      </c>
      <c r="AM221" s="40"/>
      <c r="AN221" s="40"/>
      <c r="AO221" s="40"/>
      <c r="AP221" s="40"/>
      <c r="AQ221" s="40"/>
      <c r="AR221" s="40"/>
      <c r="AS221" s="40"/>
      <c r="AT221" s="40"/>
      <c r="AU221" s="40"/>
      <c r="AV221" s="40"/>
      <c r="AW221" s="40"/>
      <c r="AX221" s="40"/>
      <c r="AY221" s="40"/>
      <c r="AZ221" s="40"/>
      <c r="BA221" s="40"/>
      <c r="BB221" s="40"/>
      <c r="BC221" s="40"/>
      <c r="BD221" s="40"/>
      <c r="BE221" s="40"/>
      <c r="BF221" s="40"/>
      <c r="BG221" s="40"/>
      <c r="BH221" s="38"/>
      <c r="BI221" s="38"/>
      <c r="BJ221" s="38">
        <v>1.0</v>
      </c>
      <c r="BK221" s="40"/>
      <c r="BL221" s="38">
        <v>1.0</v>
      </c>
      <c r="BM221" s="40"/>
      <c r="BN221" s="40"/>
      <c r="BO221" s="40"/>
      <c r="BP221" s="40"/>
      <c r="BQ221" s="40"/>
      <c r="BR221" s="40"/>
      <c r="BS221" s="40"/>
      <c r="BT221" s="40"/>
      <c r="BU221" s="40"/>
      <c r="BV221" s="40"/>
      <c r="BW221" s="40"/>
      <c r="BX221" s="40"/>
      <c r="BY221" s="40"/>
      <c r="BZ221" s="40"/>
      <c r="CA221" s="40"/>
      <c r="CB221" s="40"/>
      <c r="CC221" s="38">
        <v>1.0</v>
      </c>
      <c r="CD221" s="40"/>
      <c r="CE221" s="40"/>
      <c r="CF221" s="40"/>
      <c r="CG221" s="40"/>
      <c r="CH221" s="40"/>
      <c r="CI221" s="40"/>
      <c r="CJ221" s="40"/>
      <c r="CK221" s="40"/>
      <c r="CL221" s="40"/>
      <c r="CM221" s="40"/>
      <c r="CN221" s="40"/>
      <c r="CO221" s="40"/>
      <c r="CP221" s="40"/>
      <c r="CQ221" s="40"/>
      <c r="CR221" s="40"/>
      <c r="CS221" s="40"/>
      <c r="CT221" s="40"/>
      <c r="CU221" s="40"/>
      <c r="CV221" s="40"/>
      <c r="CW221" s="40"/>
      <c r="CX221" s="40"/>
      <c r="CY221" s="40"/>
      <c r="CZ221" s="40"/>
      <c r="DA221" s="40"/>
      <c r="DB221" s="40"/>
      <c r="DC221" s="40"/>
      <c r="DD221" s="40"/>
      <c r="DE221" s="40"/>
      <c r="DF221" s="40"/>
      <c r="DG221" s="38">
        <v>1.0</v>
      </c>
      <c r="DH221" s="40"/>
      <c r="DI221" s="40"/>
      <c r="DJ221" s="40"/>
      <c r="DK221" s="40"/>
      <c r="DL221" s="40"/>
      <c r="DM221" s="40"/>
      <c r="DN221" s="40"/>
      <c r="DO221" s="40"/>
      <c r="DP221" s="40"/>
      <c r="DQ221" s="40"/>
      <c r="DR221" s="40"/>
      <c r="DS221" s="40"/>
      <c r="DT221" s="40"/>
      <c r="DU221" s="40"/>
      <c r="DV221" s="40"/>
      <c r="DW221" s="40"/>
      <c r="DX221" s="40"/>
      <c r="DY221" s="40"/>
      <c r="DZ221" s="40"/>
      <c r="EA221" s="40"/>
      <c r="EB221" s="40"/>
      <c r="EC221" s="40"/>
      <c r="ED221" s="40"/>
      <c r="EE221" s="40"/>
      <c r="EF221" s="40"/>
      <c r="EG221" s="40"/>
      <c r="EH221" s="40"/>
      <c r="EI221" s="40"/>
      <c r="EJ221" s="40"/>
      <c r="EK221" s="40"/>
      <c r="EL221" s="40"/>
      <c r="EM221" s="40"/>
      <c r="EN221" s="40"/>
      <c r="EO221" s="40"/>
      <c r="EP221" s="40"/>
      <c r="EQ221" s="40"/>
      <c r="ER221" s="40"/>
      <c r="ES221" s="40"/>
      <c r="ET221" s="40"/>
      <c r="EU221" s="40"/>
      <c r="EV221" s="40"/>
      <c r="EW221" s="40"/>
      <c r="EX221" s="40"/>
      <c r="EY221" s="40"/>
      <c r="EZ221" s="40"/>
      <c r="FA221" s="40"/>
      <c r="FB221" s="40"/>
      <c r="FC221" s="38"/>
      <c r="FD221" s="38">
        <v>1.0</v>
      </c>
      <c r="FE221" s="40"/>
      <c r="FF221" s="40"/>
      <c r="FG221" s="40"/>
      <c r="FH221" s="40"/>
      <c r="FI221" s="40"/>
      <c r="FJ221" s="40"/>
      <c r="FK221" s="40"/>
      <c r="FL221" s="38">
        <v>1.0</v>
      </c>
      <c r="FM221" s="38"/>
      <c r="FN221" s="38"/>
      <c r="FO221" s="38">
        <v>1.0</v>
      </c>
      <c r="FP221" s="38">
        <v>1.0</v>
      </c>
      <c r="FQ221" s="40"/>
      <c r="FR221" s="38">
        <v>1.0</v>
      </c>
      <c r="FS221" s="40"/>
      <c r="FT221" s="40"/>
      <c r="FU221" s="38"/>
      <c r="FV221" s="38">
        <v>1.0</v>
      </c>
      <c r="FW221" s="40"/>
      <c r="FX221" s="40"/>
      <c r="FY221" s="40"/>
      <c r="FZ221" s="40"/>
      <c r="GA221" s="40"/>
      <c r="GB221" s="40"/>
      <c r="GC221" s="40"/>
      <c r="GD221" s="40"/>
      <c r="GE221" s="40"/>
      <c r="GF221" s="40"/>
    </row>
    <row r="222">
      <c r="A222" s="23">
        <v>43573.0</v>
      </c>
      <c r="B222" s="4" t="s">
        <v>489</v>
      </c>
      <c r="C222" s="4">
        <v>19.640812</v>
      </c>
      <c r="D222" s="4">
        <v>-156.006927</v>
      </c>
      <c r="E222" s="4" t="s">
        <v>367</v>
      </c>
      <c r="F222" s="24">
        <v>0.375</v>
      </c>
      <c r="G222" s="24">
        <v>0.4791666666666667</v>
      </c>
      <c r="H222" s="4">
        <v>4.0</v>
      </c>
      <c r="I222" s="4">
        <v>20.0</v>
      </c>
      <c r="J222" s="4" t="s">
        <v>198</v>
      </c>
      <c r="K222" s="4">
        <v>10.0</v>
      </c>
      <c r="L222" s="4">
        <v>26.0</v>
      </c>
      <c r="M222" s="4" t="s">
        <v>486</v>
      </c>
      <c r="O222" s="4">
        <v>1.0</v>
      </c>
      <c r="S222" s="4">
        <v>1.0</v>
      </c>
      <c r="AG222" s="4">
        <v>1.0</v>
      </c>
      <c r="AT222" s="4"/>
      <c r="AU222" s="4">
        <v>1.0</v>
      </c>
      <c r="AZ222" s="4"/>
      <c r="BA222" s="4">
        <v>1.0</v>
      </c>
      <c r="BF222" s="4">
        <v>1.0</v>
      </c>
      <c r="BG222" s="4">
        <v>1.0</v>
      </c>
      <c r="BL222" s="4">
        <v>1.0</v>
      </c>
      <c r="BX222" s="4">
        <v>1.0</v>
      </c>
      <c r="CB222" s="4">
        <v>1.0</v>
      </c>
      <c r="CC222" s="4">
        <v>1.0</v>
      </c>
      <c r="DL222" s="4">
        <v>1.0</v>
      </c>
      <c r="DO222" s="4">
        <v>1.0</v>
      </c>
      <c r="EI222" s="4">
        <v>1.0</v>
      </c>
      <c r="FA222" s="4">
        <v>1.0</v>
      </c>
      <c r="FR222" s="4">
        <v>1.0</v>
      </c>
      <c r="FY222" s="4">
        <v>1.0</v>
      </c>
    </row>
    <row r="223">
      <c r="A223" s="23">
        <v>43573.0</v>
      </c>
      <c r="B223" s="4" t="s">
        <v>201</v>
      </c>
      <c r="C223" s="4">
        <v>21.25544</v>
      </c>
      <c r="D223" s="4">
        <v>-157.810303</v>
      </c>
      <c r="E223" s="4" t="s">
        <v>477</v>
      </c>
      <c r="F223" s="24">
        <v>0.375</v>
      </c>
      <c r="G223" s="24">
        <v>0.4305555555555556</v>
      </c>
      <c r="H223" s="4">
        <v>5.0</v>
      </c>
      <c r="I223" s="4">
        <v>10.5</v>
      </c>
      <c r="J223" s="4" t="s">
        <v>318</v>
      </c>
      <c r="K223" s="4">
        <v>10.0</v>
      </c>
      <c r="L223" s="4">
        <v>46.0</v>
      </c>
      <c r="M223" s="4" t="s">
        <v>491</v>
      </c>
      <c r="Q223" s="4">
        <v>1.0</v>
      </c>
      <c r="AI223" s="4"/>
      <c r="AJ223" s="4"/>
      <c r="AK223" s="4"/>
      <c r="AL223" s="4">
        <v>1.0</v>
      </c>
      <c r="AS223" s="4">
        <v>1.0</v>
      </c>
      <c r="BL223" s="4">
        <v>1.0</v>
      </c>
      <c r="BT223" s="4">
        <v>1.0</v>
      </c>
      <c r="BU223" s="4">
        <v>1.0</v>
      </c>
      <c r="BV223" s="4">
        <v>1.0</v>
      </c>
      <c r="DA223" s="4"/>
      <c r="DB223" s="4">
        <v>1.0</v>
      </c>
      <c r="DE223" s="4"/>
      <c r="DF223" s="4">
        <v>1.0</v>
      </c>
      <c r="DI223" s="4">
        <v>1.0</v>
      </c>
      <c r="DJ223" s="4"/>
      <c r="DK223" s="4">
        <v>1.0</v>
      </c>
      <c r="DL223" s="4">
        <v>1.0</v>
      </c>
      <c r="DQ223" s="4"/>
      <c r="DR223" s="4">
        <v>1.0</v>
      </c>
      <c r="DT223" s="4"/>
      <c r="DU223" s="4">
        <v>1.0</v>
      </c>
      <c r="EB223" s="4">
        <v>1.0</v>
      </c>
      <c r="ED223" s="4"/>
      <c r="EE223" s="4"/>
      <c r="EF223" s="4"/>
      <c r="EG223" s="4"/>
      <c r="EH223" s="4"/>
      <c r="EI223" s="4">
        <v>1.0</v>
      </c>
      <c r="EX223" s="4"/>
      <c r="EY223" s="4">
        <v>1.0</v>
      </c>
      <c r="EZ223" s="4">
        <v>1.0</v>
      </c>
      <c r="FA223" s="4">
        <v>1.0</v>
      </c>
      <c r="FH223" s="4">
        <v>1.0</v>
      </c>
      <c r="FP223" s="4">
        <v>1.0</v>
      </c>
      <c r="FQ223" s="4">
        <v>1.0</v>
      </c>
      <c r="FR223" s="4">
        <v>1.0</v>
      </c>
      <c r="FU223" s="4"/>
      <c r="FV223" s="4">
        <v>1.0</v>
      </c>
    </row>
    <row r="224" ht="15.0" customHeight="1">
      <c r="A224" s="23">
        <v>43573.0</v>
      </c>
      <c r="B224" s="4" t="s">
        <v>492</v>
      </c>
      <c r="C224" s="4">
        <v>21.452875</v>
      </c>
      <c r="D224" s="4">
        <v>-158.199966</v>
      </c>
      <c r="E224" s="4" t="s">
        <v>493</v>
      </c>
      <c r="F224" s="24">
        <v>0.3541666666666667</v>
      </c>
      <c r="G224" s="24">
        <v>0.3993055555555556</v>
      </c>
      <c r="H224" s="4">
        <v>6.0</v>
      </c>
      <c r="I224" s="4">
        <v>11.0</v>
      </c>
      <c r="J224" s="4" t="s">
        <v>318</v>
      </c>
      <c r="K224" s="4">
        <v>5.0</v>
      </c>
      <c r="L224" s="4">
        <v>30.0</v>
      </c>
      <c r="Q224" s="4">
        <v>1.0</v>
      </c>
      <c r="BL224" s="4">
        <v>1.0</v>
      </c>
      <c r="BU224" s="4">
        <v>1.0</v>
      </c>
      <c r="BY224" s="4">
        <v>1.0</v>
      </c>
      <c r="CD224" s="4">
        <v>1.0</v>
      </c>
      <c r="CE224" s="4">
        <v>1.0</v>
      </c>
      <c r="DL224" s="4">
        <v>1.0</v>
      </c>
      <c r="ED224" s="4"/>
      <c r="EE224" s="4"/>
      <c r="EF224" s="4"/>
      <c r="EG224" s="4"/>
      <c r="EH224" s="4"/>
      <c r="EI224" s="4">
        <v>1.0</v>
      </c>
      <c r="EX224" s="4"/>
      <c r="EY224" s="4">
        <v>1.0</v>
      </c>
      <c r="FA224" s="4">
        <v>1.0</v>
      </c>
      <c r="FH224" s="4">
        <v>1.0</v>
      </c>
      <c r="FQ224" s="4">
        <v>1.0</v>
      </c>
      <c r="FR224" s="4">
        <v>1.0</v>
      </c>
    </row>
    <row r="225">
      <c r="A225" s="31">
        <v>43573.0</v>
      </c>
      <c r="B225" s="32" t="s">
        <v>246</v>
      </c>
      <c r="C225" s="32"/>
      <c r="D225" s="32"/>
      <c r="E225" s="32"/>
      <c r="F225" s="33"/>
      <c r="G225" s="33"/>
      <c r="H225" s="32"/>
      <c r="I225" s="32"/>
      <c r="J225" s="32"/>
      <c r="K225" s="32"/>
      <c r="L225" s="32"/>
      <c r="M225" s="34"/>
      <c r="N225" s="34"/>
      <c r="O225" s="32"/>
      <c r="P225" s="34"/>
      <c r="Q225" s="34"/>
      <c r="R225" s="34"/>
      <c r="S225" s="34"/>
      <c r="T225" s="34"/>
      <c r="U225" s="34"/>
      <c r="V225" s="34"/>
      <c r="W225" s="34"/>
      <c r="X225" s="34"/>
      <c r="Y225" s="34"/>
      <c r="Z225" s="34"/>
      <c r="AA225" s="34"/>
      <c r="AB225" s="32"/>
      <c r="AC225" s="32"/>
      <c r="AD225" s="34"/>
      <c r="AE225" s="34"/>
      <c r="AF225" s="34"/>
      <c r="AG225" s="34"/>
      <c r="AH225" s="34"/>
      <c r="AI225" s="34"/>
      <c r="AJ225" s="34"/>
      <c r="AK225" s="34"/>
      <c r="AL225" s="34"/>
      <c r="AM225" s="34"/>
      <c r="AN225" s="34"/>
      <c r="AO225" s="34"/>
      <c r="AP225" s="34"/>
      <c r="AQ225" s="34"/>
      <c r="AR225" s="34"/>
      <c r="AS225" s="34"/>
      <c r="AT225" s="34"/>
      <c r="AU225" s="34"/>
      <c r="AV225" s="34"/>
      <c r="AW225" s="34"/>
      <c r="AX225" s="34"/>
      <c r="AY225" s="34"/>
      <c r="AZ225" s="34"/>
      <c r="BA225" s="34"/>
      <c r="BB225" s="34"/>
      <c r="BC225" s="34"/>
      <c r="BD225" s="34"/>
      <c r="BE225" s="34"/>
      <c r="BF225" s="34"/>
      <c r="BG225" s="34"/>
      <c r="BH225" s="34"/>
      <c r="BI225" s="34"/>
      <c r="BJ225" s="34"/>
      <c r="BK225" s="34"/>
      <c r="BL225" s="32"/>
      <c r="BM225" s="32"/>
      <c r="BN225" s="34"/>
      <c r="BO225" s="34"/>
      <c r="BP225" s="34"/>
      <c r="BQ225" s="34"/>
      <c r="BR225" s="34"/>
      <c r="BS225" s="34"/>
      <c r="BT225" s="34"/>
      <c r="BU225" s="32"/>
      <c r="BV225" s="32"/>
      <c r="BW225" s="32"/>
      <c r="BX225" s="34"/>
      <c r="BY225" s="32"/>
      <c r="BZ225" s="34"/>
      <c r="CA225" s="34"/>
      <c r="CB225" s="34"/>
      <c r="CC225" s="32"/>
      <c r="CD225" s="34"/>
      <c r="CE225" s="34"/>
      <c r="CF225" s="34"/>
      <c r="CG225" s="34"/>
      <c r="CH225" s="34"/>
      <c r="CI225" s="34"/>
      <c r="CJ225" s="34"/>
      <c r="CK225" s="34"/>
      <c r="CL225" s="34"/>
      <c r="CM225" s="34"/>
      <c r="CN225" s="34"/>
      <c r="CO225" s="34"/>
      <c r="CP225" s="34"/>
      <c r="CQ225" s="34"/>
      <c r="CR225" s="34"/>
      <c r="CS225" s="34"/>
      <c r="CT225" s="34"/>
      <c r="CU225" s="34"/>
      <c r="CV225" s="34"/>
      <c r="CW225" s="34"/>
      <c r="CX225" s="34"/>
      <c r="CY225" s="34"/>
      <c r="CZ225" s="34"/>
      <c r="DA225" s="34"/>
      <c r="DB225" s="34"/>
      <c r="DC225" s="34"/>
      <c r="DD225" s="34"/>
      <c r="DE225" s="34"/>
      <c r="DF225" s="34"/>
      <c r="DG225" s="34"/>
      <c r="DH225" s="34"/>
      <c r="DI225" s="34"/>
      <c r="DJ225" s="32"/>
      <c r="DK225" s="32"/>
      <c r="DL225" s="32"/>
      <c r="DM225" s="34"/>
      <c r="DN225" s="34"/>
      <c r="DO225" s="34"/>
      <c r="DP225" s="34"/>
      <c r="DQ225" s="32"/>
      <c r="DR225" s="32"/>
      <c r="DS225" s="34"/>
      <c r="DT225" s="34"/>
      <c r="DU225" s="34"/>
      <c r="DV225" s="34"/>
      <c r="DW225" s="34"/>
      <c r="DX225" s="34"/>
      <c r="DY225" s="34"/>
      <c r="DZ225" s="34"/>
      <c r="EA225" s="32"/>
      <c r="EB225" s="34"/>
      <c r="EC225" s="34"/>
      <c r="ED225" s="32"/>
      <c r="EE225" s="32"/>
      <c r="EF225" s="32"/>
      <c r="EG225" s="32"/>
      <c r="EH225" s="32"/>
      <c r="EI225" s="32"/>
      <c r="EJ225" s="34"/>
      <c r="EK225" s="34"/>
      <c r="EL225" s="34"/>
      <c r="EM225" s="34"/>
      <c r="EN225" s="34"/>
      <c r="EO225" s="34"/>
      <c r="EP225" s="34"/>
      <c r="EQ225" s="34"/>
      <c r="ER225" s="34"/>
      <c r="ES225" s="34"/>
      <c r="ET225" s="34"/>
      <c r="EU225" s="34"/>
      <c r="EV225" s="34"/>
      <c r="EW225" s="34"/>
      <c r="EX225" s="34"/>
      <c r="EY225" s="34"/>
      <c r="EZ225" s="34"/>
      <c r="FA225" s="32"/>
      <c r="FB225" s="34"/>
      <c r="FC225" s="34"/>
      <c r="FD225" s="34"/>
      <c r="FE225" s="34"/>
      <c r="FF225" s="34"/>
      <c r="FG225" s="34"/>
      <c r="FH225" s="34"/>
      <c r="FI225" s="34"/>
      <c r="FJ225" s="34"/>
      <c r="FK225" s="34"/>
      <c r="FL225" s="34"/>
      <c r="FM225" s="34"/>
      <c r="FN225" s="34"/>
      <c r="FO225" s="34"/>
      <c r="FP225" s="34"/>
      <c r="FQ225" s="32"/>
      <c r="FR225" s="32"/>
      <c r="FS225" s="34"/>
      <c r="FT225" s="34"/>
      <c r="FU225" s="34"/>
      <c r="FV225" s="34"/>
      <c r="FW225" s="34"/>
      <c r="FX225" s="34"/>
      <c r="FY225" s="34"/>
      <c r="FZ225" s="34"/>
      <c r="GA225" s="34"/>
      <c r="GB225" s="34"/>
      <c r="GC225" s="34"/>
      <c r="GD225" s="34"/>
      <c r="GE225" s="34"/>
      <c r="GF225" s="32"/>
    </row>
    <row r="226">
      <c r="A226" s="23">
        <v>43577.0</v>
      </c>
      <c r="B226" s="4" t="s">
        <v>301</v>
      </c>
      <c r="C226" s="4">
        <v>22.065599</v>
      </c>
      <c r="D226" s="4">
        <v>-159.317703</v>
      </c>
      <c r="E226" s="4" t="s">
        <v>347</v>
      </c>
      <c r="F226" s="24">
        <v>0.4583333333333333</v>
      </c>
      <c r="G226" s="24">
        <v>0.5</v>
      </c>
      <c r="H226" s="4">
        <v>5.0</v>
      </c>
      <c r="I226" s="4">
        <v>7.0</v>
      </c>
      <c r="J226" s="4" t="s">
        <v>198</v>
      </c>
      <c r="K226" s="4">
        <v>8.0</v>
      </c>
      <c r="L226" s="4">
        <v>40.0</v>
      </c>
      <c r="AB226" s="4"/>
      <c r="AC226" s="4">
        <v>1.0</v>
      </c>
      <c r="BL226" s="4">
        <v>1.0</v>
      </c>
      <c r="BM226" s="4">
        <v>1.0</v>
      </c>
      <c r="BU226" s="4">
        <v>1.0</v>
      </c>
      <c r="BV226" s="4">
        <v>1.0</v>
      </c>
      <c r="BW226" s="4">
        <v>1.0</v>
      </c>
      <c r="BY226" s="4">
        <v>1.0</v>
      </c>
      <c r="CC226" s="4">
        <v>1.0</v>
      </c>
      <c r="DJ226" s="4"/>
      <c r="DK226" s="4">
        <v>1.0</v>
      </c>
      <c r="DL226" s="4">
        <v>1.0</v>
      </c>
      <c r="DQ226" s="4"/>
      <c r="DR226" s="4">
        <v>1.0</v>
      </c>
      <c r="EA226" s="4">
        <v>1.0</v>
      </c>
      <c r="ED226" s="4"/>
      <c r="EE226" s="4"/>
      <c r="EF226" s="4"/>
      <c r="EG226" s="4"/>
      <c r="EH226" s="4"/>
      <c r="EI226" s="4">
        <v>1.0</v>
      </c>
      <c r="FA226" s="4">
        <v>1.0</v>
      </c>
      <c r="FQ226" s="4">
        <v>1.0</v>
      </c>
      <c r="FR226" s="4">
        <v>1.0</v>
      </c>
      <c r="GF226" s="4">
        <v>1.0</v>
      </c>
    </row>
    <row r="227">
      <c r="A227" s="37">
        <v>43577.0</v>
      </c>
      <c r="B227" s="38" t="s">
        <v>266</v>
      </c>
      <c r="C227" s="38">
        <v>22.060684</v>
      </c>
      <c r="D227" s="38">
        <v>-159.318512</v>
      </c>
      <c r="E227" s="38" t="s">
        <v>418</v>
      </c>
      <c r="F227" s="39">
        <v>0.4618055555555556</v>
      </c>
      <c r="G227" s="39">
        <v>0.5</v>
      </c>
      <c r="H227" s="38">
        <v>5.0</v>
      </c>
      <c r="I227" s="38">
        <v>15.0</v>
      </c>
      <c r="J227" s="38" t="s">
        <v>198</v>
      </c>
      <c r="K227" s="38">
        <v>9.0</v>
      </c>
      <c r="L227" s="38">
        <v>40.0</v>
      </c>
      <c r="M227" s="38" t="s">
        <v>494</v>
      </c>
      <c r="N227" s="38"/>
      <c r="O227" s="38"/>
      <c r="P227" s="40"/>
      <c r="Q227" s="40"/>
      <c r="R227" s="38">
        <v>1.0</v>
      </c>
      <c r="S227" s="40"/>
      <c r="T227" s="40"/>
      <c r="U227" s="40"/>
      <c r="V227" s="40"/>
      <c r="W227" s="40"/>
      <c r="X227" s="40"/>
      <c r="Y227" s="40"/>
      <c r="Z227" s="40"/>
      <c r="AA227" s="40"/>
      <c r="AB227" s="40"/>
      <c r="AC227" s="38">
        <v>1.0</v>
      </c>
      <c r="AD227" s="40"/>
      <c r="AE227" s="40"/>
      <c r="AF227" s="40"/>
      <c r="AG227" s="40"/>
      <c r="AH227" s="38">
        <v>1.0</v>
      </c>
      <c r="AI227" s="40"/>
      <c r="AJ227" s="40"/>
      <c r="AK227" s="40"/>
      <c r="AL227" s="40"/>
      <c r="AM227" s="40"/>
      <c r="AN227" s="40"/>
      <c r="AO227" s="40"/>
      <c r="AP227" s="40"/>
      <c r="AQ227" s="40"/>
      <c r="AR227" s="40"/>
      <c r="AS227" s="40"/>
      <c r="AT227" s="38"/>
      <c r="AU227" s="38">
        <v>1.0</v>
      </c>
      <c r="AV227" s="40"/>
      <c r="AW227" s="40"/>
      <c r="AX227" s="40"/>
      <c r="AY227" s="40"/>
      <c r="AZ227" s="38"/>
      <c r="BA227" s="38">
        <v>1.0</v>
      </c>
      <c r="BB227" s="40"/>
      <c r="BC227" s="40"/>
      <c r="BD227" s="40"/>
      <c r="BE227" s="40"/>
      <c r="BF227" s="40"/>
      <c r="BG227" s="40"/>
      <c r="BH227" s="40"/>
      <c r="BI227" s="40"/>
      <c r="BJ227" s="40"/>
      <c r="BK227" s="38">
        <v>1.0</v>
      </c>
      <c r="BL227" s="38">
        <v>1.0</v>
      </c>
      <c r="BM227" s="38">
        <v>1.0</v>
      </c>
      <c r="BN227" s="40"/>
      <c r="BO227" s="40"/>
      <c r="BP227" s="40"/>
      <c r="BQ227" s="40"/>
      <c r="BR227" s="40"/>
      <c r="BS227" s="40"/>
      <c r="BT227" s="38">
        <v>1.0</v>
      </c>
      <c r="BU227" s="38">
        <v>1.0</v>
      </c>
      <c r="BV227" s="40"/>
      <c r="BW227" s="40"/>
      <c r="BX227" s="40"/>
      <c r="BY227" s="38">
        <v>1.0</v>
      </c>
      <c r="BZ227" s="40"/>
      <c r="CA227" s="38">
        <v>1.0</v>
      </c>
      <c r="CB227" s="40"/>
      <c r="CC227" s="40"/>
      <c r="CD227" s="40"/>
      <c r="CE227" s="40"/>
      <c r="CF227" s="40"/>
      <c r="CG227" s="40"/>
      <c r="CH227" s="40"/>
      <c r="CI227" s="40"/>
      <c r="CJ227" s="40"/>
      <c r="CK227" s="40"/>
      <c r="CL227" s="40"/>
      <c r="CM227" s="40"/>
      <c r="CN227" s="40"/>
      <c r="CO227" s="38"/>
      <c r="CP227" s="38"/>
      <c r="CQ227" s="38"/>
      <c r="CR227" s="38">
        <v>1.0</v>
      </c>
      <c r="CS227" s="40"/>
      <c r="CT227" s="40"/>
      <c r="CU227" s="38">
        <v>1.0</v>
      </c>
      <c r="CV227" s="40"/>
      <c r="CW227" s="40"/>
      <c r="CX227" s="40"/>
      <c r="CY227" s="40"/>
      <c r="CZ227" s="40"/>
      <c r="DA227" s="40"/>
      <c r="DB227" s="40"/>
      <c r="DC227" s="40"/>
      <c r="DD227" s="40"/>
      <c r="DE227" s="40"/>
      <c r="DF227" s="38">
        <v>1.0</v>
      </c>
      <c r="DG227" s="40"/>
      <c r="DH227" s="40"/>
      <c r="DI227" s="40"/>
      <c r="DJ227" s="40"/>
      <c r="DK227" s="40"/>
      <c r="DL227" s="38">
        <v>1.0</v>
      </c>
      <c r="DM227" s="40"/>
      <c r="DN227" s="40"/>
      <c r="DO227" s="40"/>
      <c r="DP227" s="40"/>
      <c r="DQ227" s="38"/>
      <c r="DR227" s="38">
        <v>1.0</v>
      </c>
      <c r="DS227" s="38"/>
      <c r="DT227" s="38"/>
      <c r="DU227" s="38">
        <v>1.0</v>
      </c>
      <c r="DV227" s="40"/>
      <c r="DW227" s="40"/>
      <c r="DX227" s="40"/>
      <c r="DY227" s="40"/>
      <c r="DZ227" s="40"/>
      <c r="EA227" s="40"/>
      <c r="EB227" s="40"/>
      <c r="EC227" s="40"/>
      <c r="ED227" s="38"/>
      <c r="EE227" s="38"/>
      <c r="EF227" s="38"/>
      <c r="EG227" s="38"/>
      <c r="EH227" s="38"/>
      <c r="EI227" s="38">
        <v>1.0</v>
      </c>
      <c r="EJ227" s="40"/>
      <c r="EK227" s="40"/>
      <c r="EL227" s="40"/>
      <c r="EM227" s="40"/>
      <c r="EN227" s="40"/>
      <c r="EO227" s="40"/>
      <c r="EP227" s="40"/>
      <c r="EQ227" s="40"/>
      <c r="ER227" s="40"/>
      <c r="ES227" s="40"/>
      <c r="ET227" s="40"/>
      <c r="EU227" s="40"/>
      <c r="EV227" s="40"/>
      <c r="EW227" s="40"/>
      <c r="EX227" s="40"/>
      <c r="EY227" s="40"/>
      <c r="EZ227" s="40"/>
      <c r="FA227" s="38">
        <v>1.0</v>
      </c>
      <c r="FB227" s="40"/>
      <c r="FC227" s="40"/>
      <c r="FD227" s="40"/>
      <c r="FE227" s="40"/>
      <c r="FF227" s="40"/>
      <c r="FG227" s="40"/>
      <c r="FH227" s="40"/>
      <c r="FI227" s="40"/>
      <c r="FJ227" s="40"/>
      <c r="FK227" s="40"/>
      <c r="FL227" s="40"/>
      <c r="FM227" s="40"/>
      <c r="FN227" s="40"/>
      <c r="FO227" s="40"/>
      <c r="FP227" s="38">
        <v>1.0</v>
      </c>
      <c r="FQ227" s="38">
        <v>1.0</v>
      </c>
      <c r="FR227" s="38">
        <v>1.0</v>
      </c>
      <c r="FS227" s="40"/>
      <c r="FT227" s="40"/>
      <c r="FU227" s="38"/>
      <c r="FV227" s="38">
        <v>1.0</v>
      </c>
      <c r="FW227" s="40"/>
      <c r="FX227" s="40"/>
      <c r="FY227" s="40"/>
      <c r="FZ227" s="40"/>
      <c r="GA227" s="40"/>
      <c r="GB227" s="40"/>
      <c r="GC227" s="40"/>
      <c r="GD227" s="40"/>
      <c r="GE227" s="40"/>
      <c r="GF227" s="40"/>
    </row>
    <row r="228">
      <c r="A228" s="23">
        <v>43577.0</v>
      </c>
      <c r="B228" s="4" t="s">
        <v>293</v>
      </c>
      <c r="C228" s="4">
        <v>19.738602</v>
      </c>
      <c r="D228" s="4">
        <v>-155.038879</v>
      </c>
      <c r="E228" s="4" t="s">
        <v>496</v>
      </c>
      <c r="F228" s="24">
        <v>0.4173611111111111</v>
      </c>
      <c r="G228" s="24">
        <v>0.45694444444444443</v>
      </c>
      <c r="H228" s="4">
        <v>6.0</v>
      </c>
      <c r="I228" s="4">
        <v>11.0</v>
      </c>
      <c r="J228" s="4" t="s">
        <v>318</v>
      </c>
      <c r="K228" s="4">
        <v>5.0</v>
      </c>
      <c r="L228" s="4">
        <v>27.0</v>
      </c>
      <c r="M228" s="4" t="s">
        <v>497</v>
      </c>
      <c r="AB228" s="4"/>
      <c r="AC228" s="4">
        <v>1.0</v>
      </c>
      <c r="BH228" s="4"/>
      <c r="BI228" s="4"/>
      <c r="BJ228" s="4">
        <v>1.0</v>
      </c>
      <c r="BL228" s="4">
        <v>1.0</v>
      </c>
      <c r="CD228" s="4">
        <v>1.0</v>
      </c>
      <c r="DX228" s="4">
        <v>1.0</v>
      </c>
      <c r="ED228" s="4"/>
      <c r="EE228" s="4"/>
      <c r="EF228" s="4"/>
      <c r="EG228" s="4"/>
      <c r="EH228" s="4"/>
      <c r="EI228" s="4">
        <v>1.0</v>
      </c>
      <c r="EJ228" s="4">
        <v>1.0</v>
      </c>
      <c r="EO228" s="4">
        <v>1.0</v>
      </c>
      <c r="EP228" s="4">
        <v>1.0</v>
      </c>
      <c r="EQ228" s="4">
        <v>1.0</v>
      </c>
      <c r="FD228" s="4">
        <v>1.0</v>
      </c>
      <c r="FL228" s="4">
        <v>1.0</v>
      </c>
      <c r="FM228" s="4"/>
      <c r="FN228" s="4"/>
      <c r="FO228" s="4">
        <v>1.0</v>
      </c>
      <c r="FR228" s="4">
        <v>1.0</v>
      </c>
    </row>
    <row r="229">
      <c r="A229" s="23">
        <v>43578.0</v>
      </c>
      <c r="B229" s="4" t="s">
        <v>201</v>
      </c>
      <c r="C229" s="36">
        <v>21.25544</v>
      </c>
      <c r="D229" s="36">
        <v>-157.810303</v>
      </c>
      <c r="E229" s="4" t="s">
        <v>418</v>
      </c>
      <c r="F229" s="24">
        <v>0.4791666666666667</v>
      </c>
      <c r="G229" s="24">
        <v>0.5104166666666666</v>
      </c>
      <c r="H229" s="4">
        <v>6.0</v>
      </c>
      <c r="I229" s="4">
        <v>14.0</v>
      </c>
      <c r="J229" s="4" t="s">
        <v>198</v>
      </c>
      <c r="K229" s="4">
        <v>5.0</v>
      </c>
      <c r="L229" s="4">
        <v>18.0</v>
      </c>
      <c r="M229" s="4" t="s">
        <v>498</v>
      </c>
      <c r="N229" s="4"/>
      <c r="Q229" s="4">
        <v>1.0</v>
      </c>
      <c r="AC229" s="4">
        <v>1.0</v>
      </c>
      <c r="AM229" s="4"/>
      <c r="AR229" s="4">
        <v>1.0</v>
      </c>
      <c r="AT229" s="4"/>
      <c r="BE229" s="4"/>
      <c r="BL229" s="4"/>
      <c r="BV229" s="4"/>
      <c r="BY229" s="4">
        <v>1.0</v>
      </c>
      <c r="CB229" s="4"/>
      <c r="CC229" s="4"/>
      <c r="CD229" s="4"/>
      <c r="DL229" s="4">
        <v>1.0</v>
      </c>
      <c r="DN229" s="4">
        <v>1.0</v>
      </c>
      <c r="DQ229" s="4"/>
      <c r="DR229" s="4">
        <v>1.0</v>
      </c>
      <c r="EB229" s="4"/>
      <c r="EC229" s="4"/>
      <c r="ED229" s="4"/>
      <c r="EE229" s="4"/>
      <c r="EF229" s="4"/>
      <c r="EG229" s="4"/>
      <c r="EH229" s="4"/>
      <c r="EI229" s="4">
        <v>1.0</v>
      </c>
      <c r="ER229" s="4"/>
      <c r="ES229" s="4"/>
      <c r="ET229" s="4"/>
      <c r="EU229" s="4"/>
      <c r="EX229" s="4"/>
      <c r="EY229" s="4">
        <v>1.0</v>
      </c>
      <c r="EZ229" s="4"/>
      <c r="FA229" s="4">
        <v>1.0</v>
      </c>
      <c r="FC229" s="4"/>
      <c r="FE229" s="4"/>
      <c r="FQ229" s="4">
        <v>1.0</v>
      </c>
      <c r="FR229" s="4">
        <v>1.0</v>
      </c>
      <c r="FT229" s="4">
        <v>1.0</v>
      </c>
      <c r="FZ229" s="4"/>
    </row>
    <row r="230">
      <c r="A230" s="37">
        <v>43587.0</v>
      </c>
      <c r="B230" s="38" t="s">
        <v>499</v>
      </c>
      <c r="C230" s="38">
        <v>20.714273</v>
      </c>
      <c r="D230" s="38">
        <v>-156.447128</v>
      </c>
      <c r="E230" s="38" t="s">
        <v>418</v>
      </c>
      <c r="F230" s="39">
        <v>0.39444444444444443</v>
      </c>
      <c r="G230" s="39">
        <v>0.4270833333333333</v>
      </c>
      <c r="H230" s="38">
        <v>10.0</v>
      </c>
      <c r="I230" s="38">
        <v>10.0</v>
      </c>
      <c r="J230" s="38" t="s">
        <v>198</v>
      </c>
      <c r="K230" s="38">
        <v>5.0</v>
      </c>
      <c r="L230" s="38">
        <v>25.0</v>
      </c>
      <c r="M230" s="38" t="s">
        <v>500</v>
      </c>
      <c r="N230" s="38"/>
      <c r="O230" s="38"/>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38">
        <v>1.0</v>
      </c>
      <c r="AN230" s="40"/>
      <c r="AO230" s="40"/>
      <c r="AP230" s="40"/>
      <c r="AQ230" s="40"/>
      <c r="AR230" s="40"/>
      <c r="AS230" s="40"/>
      <c r="AT230" s="38">
        <v>1.0</v>
      </c>
      <c r="AU230" s="40"/>
      <c r="AV230" s="40"/>
      <c r="AW230" s="40"/>
      <c r="AX230" s="40"/>
      <c r="AY230" s="40"/>
      <c r="AZ230" s="40"/>
      <c r="BA230" s="40"/>
      <c r="BB230" s="40"/>
      <c r="BC230" s="40"/>
      <c r="BD230" s="40"/>
      <c r="BE230" s="38">
        <v>1.0</v>
      </c>
      <c r="BF230" s="40"/>
      <c r="BG230" s="40"/>
      <c r="BH230" s="40"/>
      <c r="BI230" s="40"/>
      <c r="BJ230" s="40"/>
      <c r="BK230" s="40"/>
      <c r="BL230" s="38">
        <v>1.0</v>
      </c>
      <c r="BM230" s="40"/>
      <c r="BN230" s="40"/>
      <c r="BO230" s="40"/>
      <c r="BP230" s="40"/>
      <c r="BQ230" s="40"/>
      <c r="BR230" s="40"/>
      <c r="BS230" s="40"/>
      <c r="BT230" s="40"/>
      <c r="BU230" s="40"/>
      <c r="BV230" s="38">
        <v>1.0</v>
      </c>
      <c r="BW230" s="40"/>
      <c r="BX230" s="40"/>
      <c r="BY230" s="40"/>
      <c r="BZ230" s="40"/>
      <c r="CA230" s="40"/>
      <c r="CB230" s="38">
        <v>1.0</v>
      </c>
      <c r="CC230" s="38">
        <v>1.0</v>
      </c>
      <c r="CD230" s="38">
        <v>1.0</v>
      </c>
      <c r="CE230" s="40"/>
      <c r="CF230" s="40"/>
      <c r="CG230" s="40"/>
      <c r="CH230" s="40"/>
      <c r="CI230" s="40"/>
      <c r="CJ230" s="40"/>
      <c r="CK230" s="40"/>
      <c r="CL230" s="40"/>
      <c r="CM230" s="40"/>
      <c r="CN230" s="40"/>
      <c r="CO230" s="40"/>
      <c r="CP230" s="40"/>
      <c r="CQ230" s="40"/>
      <c r="CR230" s="40"/>
      <c r="CS230" s="40"/>
      <c r="CT230" s="40"/>
      <c r="CU230" s="40"/>
      <c r="CV230" s="40"/>
      <c r="CW230" s="40"/>
      <c r="CX230" s="40"/>
      <c r="CY230" s="40"/>
      <c r="CZ230" s="40"/>
      <c r="DA230" s="40"/>
      <c r="DB230" s="40"/>
      <c r="DC230" s="40"/>
      <c r="DD230" s="40"/>
      <c r="DE230" s="40"/>
      <c r="DF230" s="40"/>
      <c r="DG230" s="40"/>
      <c r="DH230" s="40"/>
      <c r="DI230" s="40"/>
      <c r="DJ230" s="40"/>
      <c r="DK230" s="40"/>
      <c r="DL230" s="40"/>
      <c r="DM230" s="40"/>
      <c r="DN230" s="40"/>
      <c r="DO230" s="40"/>
      <c r="DP230" s="40"/>
      <c r="DQ230" s="40"/>
      <c r="DR230" s="40"/>
      <c r="DS230" s="40"/>
      <c r="DT230" s="40"/>
      <c r="DU230" s="40"/>
      <c r="DV230" s="40"/>
      <c r="DW230" s="40"/>
      <c r="DX230" s="40"/>
      <c r="DY230" s="40"/>
      <c r="DZ230" s="40"/>
      <c r="EA230" s="40"/>
      <c r="EB230" s="38">
        <v>1.0</v>
      </c>
      <c r="EC230" s="38">
        <v>1.0</v>
      </c>
      <c r="ED230" s="38"/>
      <c r="EE230" s="38"/>
      <c r="EF230" s="38"/>
      <c r="EG230" s="38"/>
      <c r="EH230" s="38"/>
      <c r="EI230" s="38">
        <v>1.0</v>
      </c>
      <c r="EJ230" s="40"/>
      <c r="EK230" s="40"/>
      <c r="EL230" s="40"/>
      <c r="EM230" s="40"/>
      <c r="EN230" s="40"/>
      <c r="EO230" s="40"/>
      <c r="EP230" s="40"/>
      <c r="EQ230" s="40"/>
      <c r="ER230" s="38"/>
      <c r="ES230" s="38"/>
      <c r="ET230" s="38"/>
      <c r="EU230" s="38">
        <v>1.0</v>
      </c>
      <c r="EV230" s="40"/>
      <c r="EW230" s="40"/>
      <c r="EX230" s="40"/>
      <c r="EY230" s="40"/>
      <c r="EZ230" s="38">
        <v>1.0</v>
      </c>
      <c r="FA230" s="40"/>
      <c r="FB230" s="40"/>
      <c r="FC230" s="40"/>
      <c r="FD230" s="40"/>
      <c r="FE230" s="38">
        <v>1.0</v>
      </c>
      <c r="FF230" s="40"/>
      <c r="FG230" s="40"/>
      <c r="FH230" s="40"/>
      <c r="FI230" s="40"/>
      <c r="FJ230" s="40"/>
      <c r="FK230" s="40"/>
      <c r="FL230" s="40"/>
      <c r="FM230" s="40"/>
      <c r="FN230" s="40"/>
      <c r="FO230" s="40"/>
      <c r="FP230" s="40"/>
      <c r="FQ230" s="38">
        <v>1.0</v>
      </c>
      <c r="FR230" s="38">
        <v>1.0</v>
      </c>
      <c r="FS230" s="40"/>
      <c r="FT230" s="40"/>
      <c r="FU230" s="40"/>
      <c r="FV230" s="40"/>
      <c r="FW230" s="40"/>
      <c r="FX230" s="40"/>
      <c r="FY230" s="40"/>
      <c r="FZ230" s="38">
        <v>1.0</v>
      </c>
      <c r="GA230" s="40"/>
      <c r="GB230" s="40"/>
      <c r="GC230" s="40"/>
      <c r="GD230" s="40"/>
      <c r="GE230" s="40"/>
      <c r="GF230" s="40"/>
    </row>
    <row r="231">
      <c r="A231" s="41">
        <v>43588.0</v>
      </c>
      <c r="B231" s="42" t="s">
        <v>250</v>
      </c>
      <c r="C231" s="42">
        <v>21.4104</v>
      </c>
      <c r="D231" s="42">
        <v>-158.177704</v>
      </c>
      <c r="E231" s="42" t="s">
        <v>418</v>
      </c>
      <c r="F231" s="43">
        <v>0.375</v>
      </c>
      <c r="G231" s="43">
        <v>0.5</v>
      </c>
      <c r="H231" s="42">
        <v>6.0</v>
      </c>
      <c r="I231" s="42">
        <v>10.0</v>
      </c>
      <c r="J231" s="42" t="s">
        <v>217</v>
      </c>
      <c r="K231" s="42">
        <v>5.0</v>
      </c>
      <c r="L231" s="42">
        <v>1.0</v>
      </c>
      <c r="M231" s="42" t="s">
        <v>552</v>
      </c>
      <c r="N231" s="44"/>
      <c r="O231" s="42"/>
      <c r="P231" s="44"/>
      <c r="Q231" s="44"/>
      <c r="R231" s="44"/>
      <c r="S231" s="44"/>
      <c r="T231" s="44"/>
      <c r="U231" s="44"/>
      <c r="V231" s="44"/>
      <c r="W231" s="44"/>
      <c r="X231" s="44"/>
      <c r="Y231" s="44"/>
      <c r="Z231" s="44"/>
      <c r="AA231" s="44"/>
      <c r="AB231" s="42"/>
      <c r="AC231" s="42"/>
      <c r="AD231" s="44"/>
      <c r="AE231" s="44"/>
      <c r="AF231" s="44"/>
      <c r="AG231" s="42"/>
      <c r="AH231" s="44"/>
      <c r="AI231" s="44"/>
      <c r="AJ231" s="44"/>
      <c r="AK231" s="44"/>
      <c r="AL231" s="44"/>
      <c r="AM231" s="44"/>
      <c r="AN231" s="44"/>
      <c r="AO231" s="44"/>
      <c r="AP231" s="44"/>
      <c r="AQ231" s="44"/>
      <c r="AR231" s="44"/>
      <c r="AS231" s="44"/>
      <c r="AT231" s="44"/>
      <c r="AU231" s="44"/>
      <c r="AV231" s="44"/>
      <c r="AW231" s="44"/>
      <c r="AX231" s="44"/>
      <c r="AY231" s="44"/>
      <c r="AZ231" s="42"/>
      <c r="BA231" s="42"/>
      <c r="BB231" s="44"/>
      <c r="BC231" s="44"/>
      <c r="BD231" s="44"/>
      <c r="BE231" s="44"/>
      <c r="BF231" s="42"/>
      <c r="BG231" s="42"/>
      <c r="BH231" s="44"/>
      <c r="BI231" s="44"/>
      <c r="BJ231" s="44"/>
      <c r="BK231" s="42"/>
      <c r="BL231" s="42"/>
      <c r="BM231" s="44"/>
      <c r="BN231" s="44"/>
      <c r="BO231" s="44"/>
      <c r="BP231" s="42">
        <v>1.0</v>
      </c>
      <c r="BQ231" s="42">
        <v>1.0</v>
      </c>
      <c r="BR231" s="44"/>
      <c r="BS231" s="44"/>
      <c r="BT231" s="44"/>
      <c r="BU231" s="44"/>
      <c r="BV231" s="44"/>
      <c r="BW231" s="44"/>
      <c r="BX231" s="44"/>
      <c r="BY231" s="44"/>
      <c r="BZ231" s="44"/>
      <c r="CA231" s="44"/>
      <c r="CB231" s="42"/>
      <c r="CC231" s="42"/>
      <c r="CD231" s="44"/>
      <c r="CE231" s="44"/>
      <c r="CF231" s="44"/>
      <c r="CG231" s="44"/>
      <c r="CH231" s="44"/>
      <c r="CI231" s="44"/>
      <c r="CJ231" s="44"/>
      <c r="CK231" s="44"/>
      <c r="CL231" s="44"/>
      <c r="CM231" s="44"/>
      <c r="CN231" s="44"/>
      <c r="CO231" s="44"/>
      <c r="CP231" s="44"/>
      <c r="CQ231" s="44"/>
      <c r="CR231" s="44"/>
      <c r="CS231" s="44"/>
      <c r="CT231" s="44"/>
      <c r="CU231" s="44"/>
      <c r="CV231" s="44"/>
      <c r="CW231" s="44"/>
      <c r="CX231" s="44"/>
      <c r="CY231" s="44"/>
      <c r="CZ231" s="44"/>
      <c r="DA231" s="44"/>
      <c r="DB231" s="44"/>
      <c r="DC231" s="44"/>
      <c r="DD231" s="44"/>
      <c r="DE231" s="44"/>
      <c r="DF231" s="44"/>
      <c r="DG231" s="44"/>
      <c r="DH231" s="44"/>
      <c r="DI231" s="44"/>
      <c r="DJ231" s="44"/>
      <c r="DK231" s="44"/>
      <c r="DL231" s="42">
        <v>1.0</v>
      </c>
      <c r="DM231" s="44"/>
      <c r="DN231" s="44"/>
      <c r="DO231" s="44"/>
      <c r="DP231" s="44"/>
      <c r="DQ231" s="44"/>
      <c r="DR231" s="44"/>
      <c r="DS231" s="44"/>
      <c r="DT231" s="44"/>
      <c r="DU231" s="44"/>
      <c r="DV231" s="44"/>
      <c r="DW231" s="44"/>
      <c r="DX231" s="44"/>
      <c r="DY231" s="44"/>
      <c r="DZ231" s="44"/>
      <c r="EA231" s="44"/>
      <c r="EB231" s="44"/>
      <c r="EC231" s="44"/>
      <c r="ED231" s="42"/>
      <c r="EE231" s="42"/>
      <c r="EF231" s="42"/>
      <c r="EG231" s="42"/>
      <c r="EH231" s="42"/>
      <c r="EI231" s="42"/>
      <c r="EJ231" s="44"/>
      <c r="EK231" s="44"/>
      <c r="EL231" s="44"/>
      <c r="EM231" s="44"/>
      <c r="EN231" s="44"/>
      <c r="EO231" s="44"/>
      <c r="EP231" s="44"/>
      <c r="EQ231" s="44"/>
      <c r="ER231" s="44"/>
      <c r="ES231" s="44"/>
      <c r="ET231" s="44"/>
      <c r="EU231" s="44"/>
      <c r="EV231" s="44"/>
      <c r="EW231" s="44"/>
      <c r="EX231" s="44"/>
      <c r="EY231" s="44"/>
      <c r="EZ231" s="42"/>
      <c r="FA231" s="42"/>
      <c r="FB231" s="44"/>
      <c r="FC231" s="44"/>
      <c r="FD231" s="44"/>
      <c r="FE231" s="44"/>
      <c r="FF231" s="44"/>
      <c r="FG231" s="44"/>
      <c r="FH231" s="44"/>
      <c r="FI231" s="44"/>
      <c r="FJ231" s="44"/>
      <c r="FK231" s="44"/>
      <c r="FL231" s="44"/>
      <c r="FM231" s="44"/>
      <c r="FN231" s="44"/>
      <c r="FO231" s="44"/>
      <c r="FP231" s="44"/>
      <c r="FQ231" s="44"/>
      <c r="FR231" s="42">
        <v>1.0</v>
      </c>
      <c r="FS231" s="44"/>
      <c r="FT231" s="44"/>
      <c r="FU231" s="42"/>
      <c r="FV231" s="42"/>
      <c r="FW231" s="44"/>
      <c r="FX231" s="44"/>
      <c r="FY231" s="44"/>
      <c r="FZ231" s="44"/>
      <c r="GA231" s="44"/>
      <c r="GB231" s="44"/>
      <c r="GC231" s="44"/>
      <c r="GD231" s="44"/>
      <c r="GE231" s="44"/>
      <c r="GF231" s="42">
        <v>1.0</v>
      </c>
    </row>
    <row r="232">
      <c r="A232" s="31">
        <v>43588.0</v>
      </c>
      <c r="B232" s="32" t="s">
        <v>233</v>
      </c>
      <c r="C232" s="32"/>
      <c r="D232" s="32"/>
      <c r="E232" s="32"/>
      <c r="F232" s="33"/>
      <c r="G232" s="33"/>
      <c r="H232" s="32"/>
      <c r="I232" s="32"/>
      <c r="J232" s="32"/>
      <c r="K232" s="32"/>
      <c r="L232" s="32"/>
      <c r="M232" s="32"/>
      <c r="N232" s="34"/>
      <c r="O232" s="32"/>
      <c r="P232" s="34"/>
      <c r="Q232" s="34"/>
      <c r="R232" s="34"/>
      <c r="S232" s="34"/>
      <c r="T232" s="34"/>
      <c r="U232" s="34"/>
      <c r="V232" s="34"/>
      <c r="W232" s="34"/>
      <c r="X232" s="34"/>
      <c r="Y232" s="34"/>
      <c r="Z232" s="34"/>
      <c r="AA232" s="34"/>
      <c r="AB232" s="32"/>
      <c r="AC232" s="32"/>
      <c r="AD232" s="34"/>
      <c r="AE232" s="34"/>
      <c r="AF232" s="34"/>
      <c r="AG232" s="32"/>
      <c r="AH232" s="34"/>
      <c r="AI232" s="34"/>
      <c r="AJ232" s="34"/>
      <c r="AK232" s="34"/>
      <c r="AL232" s="34"/>
      <c r="AM232" s="34"/>
      <c r="AN232" s="34"/>
      <c r="AO232" s="34"/>
      <c r="AP232" s="34"/>
      <c r="AQ232" s="34"/>
      <c r="AR232" s="34"/>
      <c r="AS232" s="34"/>
      <c r="AT232" s="34"/>
      <c r="AU232" s="34"/>
      <c r="AV232" s="34"/>
      <c r="AW232" s="34"/>
      <c r="AX232" s="34"/>
      <c r="AY232" s="34"/>
      <c r="AZ232" s="32"/>
      <c r="BA232" s="32"/>
      <c r="BB232" s="34"/>
      <c r="BC232" s="34"/>
      <c r="BD232" s="34"/>
      <c r="BE232" s="34"/>
      <c r="BF232" s="32"/>
      <c r="BG232" s="32"/>
      <c r="BH232" s="34"/>
      <c r="BI232" s="34"/>
      <c r="BJ232" s="34"/>
      <c r="BK232" s="32"/>
      <c r="BL232" s="32"/>
      <c r="BM232" s="34"/>
      <c r="BN232" s="34"/>
      <c r="BO232" s="34"/>
      <c r="BP232" s="34"/>
      <c r="BQ232" s="34"/>
      <c r="BR232" s="34"/>
      <c r="BS232" s="34"/>
      <c r="BT232" s="34"/>
      <c r="BU232" s="34"/>
      <c r="BV232" s="34"/>
      <c r="BW232" s="34"/>
      <c r="BX232" s="34"/>
      <c r="BY232" s="34"/>
      <c r="BZ232" s="34"/>
      <c r="CA232" s="34"/>
      <c r="CB232" s="32"/>
      <c r="CC232" s="32"/>
      <c r="CD232" s="34"/>
      <c r="CE232" s="34"/>
      <c r="CF232" s="34"/>
      <c r="CG232" s="34"/>
      <c r="CH232" s="34"/>
      <c r="CI232" s="34"/>
      <c r="CJ232" s="34"/>
      <c r="CK232" s="34"/>
      <c r="CL232" s="34"/>
      <c r="CM232" s="34"/>
      <c r="CN232" s="34"/>
      <c r="CO232" s="34"/>
      <c r="CP232" s="34"/>
      <c r="CQ232" s="34"/>
      <c r="CR232" s="34"/>
      <c r="CS232" s="34"/>
      <c r="CT232" s="34"/>
      <c r="CU232" s="34"/>
      <c r="CV232" s="34"/>
      <c r="CW232" s="34"/>
      <c r="CX232" s="34"/>
      <c r="CY232" s="34"/>
      <c r="CZ232" s="34"/>
      <c r="DA232" s="34"/>
      <c r="DB232" s="34"/>
      <c r="DC232" s="34"/>
      <c r="DD232" s="34"/>
      <c r="DE232" s="34"/>
      <c r="DF232" s="34"/>
      <c r="DG232" s="34"/>
      <c r="DH232" s="34"/>
      <c r="DI232" s="34"/>
      <c r="DJ232" s="34"/>
      <c r="DK232" s="34"/>
      <c r="DL232" s="32"/>
      <c r="DM232" s="34"/>
      <c r="DN232" s="34"/>
      <c r="DO232" s="34"/>
      <c r="DP232" s="34"/>
      <c r="DQ232" s="34"/>
      <c r="DR232" s="34"/>
      <c r="DS232" s="34"/>
      <c r="DT232" s="34"/>
      <c r="DU232" s="34"/>
      <c r="DV232" s="34"/>
      <c r="DW232" s="34"/>
      <c r="DX232" s="34"/>
      <c r="DY232" s="34"/>
      <c r="DZ232" s="34"/>
      <c r="EA232" s="34"/>
      <c r="EB232" s="34"/>
      <c r="EC232" s="34"/>
      <c r="ED232" s="32"/>
      <c r="EE232" s="32"/>
      <c r="EF232" s="32"/>
      <c r="EG232" s="32"/>
      <c r="EH232" s="32"/>
      <c r="EI232" s="32"/>
      <c r="EJ232" s="34"/>
      <c r="EK232" s="34"/>
      <c r="EL232" s="34"/>
      <c r="EM232" s="34"/>
      <c r="EN232" s="34"/>
      <c r="EO232" s="34"/>
      <c r="EP232" s="34"/>
      <c r="EQ232" s="34"/>
      <c r="ER232" s="34"/>
      <c r="ES232" s="34"/>
      <c r="ET232" s="34"/>
      <c r="EU232" s="34"/>
      <c r="EV232" s="34"/>
      <c r="EW232" s="34"/>
      <c r="EX232" s="34"/>
      <c r="EY232" s="34"/>
      <c r="EZ232" s="32"/>
      <c r="FA232" s="32"/>
      <c r="FB232" s="34"/>
      <c r="FC232" s="34"/>
      <c r="FD232" s="34"/>
      <c r="FE232" s="34"/>
      <c r="FF232" s="34"/>
      <c r="FG232" s="34"/>
      <c r="FH232" s="34"/>
      <c r="FI232" s="34"/>
      <c r="FJ232" s="34"/>
      <c r="FK232" s="34"/>
      <c r="FL232" s="34"/>
      <c r="FM232" s="34"/>
      <c r="FN232" s="34"/>
      <c r="FO232" s="34"/>
      <c r="FP232" s="34"/>
      <c r="FQ232" s="34"/>
      <c r="FR232" s="32"/>
      <c r="FS232" s="34"/>
      <c r="FT232" s="34"/>
      <c r="FU232" s="32"/>
      <c r="FV232" s="32"/>
      <c r="FW232" s="34"/>
      <c r="FX232" s="34"/>
      <c r="FY232" s="34"/>
      <c r="FZ232" s="34"/>
      <c r="GA232" s="34"/>
      <c r="GB232" s="34"/>
      <c r="GC232" s="34"/>
      <c r="GD232" s="34"/>
      <c r="GE232" s="34"/>
      <c r="GF232" s="34"/>
    </row>
    <row r="233">
      <c r="A233" s="41">
        <v>43591.0</v>
      </c>
      <c r="B233" s="42" t="s">
        <v>250</v>
      </c>
      <c r="C233" s="42">
        <v>21.4104</v>
      </c>
      <c r="D233" s="42">
        <v>-158.177704</v>
      </c>
      <c r="E233" s="42" t="s">
        <v>418</v>
      </c>
      <c r="F233" s="43">
        <v>0.40625</v>
      </c>
      <c r="G233" s="43">
        <v>0.4791666666666667</v>
      </c>
      <c r="H233" s="42">
        <v>5.0</v>
      </c>
      <c r="I233" s="42">
        <v>20.0</v>
      </c>
      <c r="J233" s="42" t="s">
        <v>460</v>
      </c>
      <c r="K233" s="42">
        <v>5.0</v>
      </c>
      <c r="L233" s="42">
        <v>24.0</v>
      </c>
      <c r="M233" s="42" t="s">
        <v>298</v>
      </c>
      <c r="N233" s="44"/>
      <c r="O233" s="42"/>
      <c r="P233" s="44"/>
      <c r="Q233" s="42">
        <v>1.0</v>
      </c>
      <c r="R233" s="42">
        <v>1.0</v>
      </c>
      <c r="S233" s="44"/>
      <c r="T233" s="44"/>
      <c r="U233" s="44"/>
      <c r="V233" s="44"/>
      <c r="W233" s="44"/>
      <c r="X233" s="44"/>
      <c r="Y233" s="44"/>
      <c r="Z233" s="44"/>
      <c r="AA233" s="44"/>
      <c r="AB233" s="42">
        <v>1.0</v>
      </c>
      <c r="AC233" s="42"/>
      <c r="AD233" s="44"/>
      <c r="AE233" s="44"/>
      <c r="AF233" s="44"/>
      <c r="AG233" s="42"/>
      <c r="AH233" s="44"/>
      <c r="AI233" s="44"/>
      <c r="AJ233" s="44"/>
      <c r="AK233" s="44"/>
      <c r="AL233" s="44"/>
      <c r="AM233" s="44"/>
      <c r="AN233" s="44"/>
      <c r="AO233" s="44"/>
      <c r="AP233" s="44"/>
      <c r="AQ233" s="44"/>
      <c r="AR233" s="44"/>
      <c r="AS233" s="44"/>
      <c r="AT233" s="44"/>
      <c r="AU233" s="44"/>
      <c r="AV233" s="44"/>
      <c r="AW233" s="44"/>
      <c r="AX233" s="44"/>
      <c r="AY233" s="44"/>
      <c r="AZ233" s="42"/>
      <c r="BA233" s="42"/>
      <c r="BB233" s="44"/>
      <c r="BC233" s="42">
        <v>1.0</v>
      </c>
      <c r="BD233" s="44"/>
      <c r="BE233" s="44"/>
      <c r="BF233" s="42"/>
      <c r="BG233" s="42"/>
      <c r="BH233" s="44"/>
      <c r="BI233" s="44"/>
      <c r="BJ233" s="44"/>
      <c r="BK233" s="42"/>
      <c r="BL233" s="42">
        <v>1.0</v>
      </c>
      <c r="BM233" s="44"/>
      <c r="BN233" s="44"/>
      <c r="BO233" s="44"/>
      <c r="BP233" s="42">
        <v>1.0</v>
      </c>
      <c r="BQ233" s="44"/>
      <c r="BR233" s="44"/>
      <c r="BS233" s="42">
        <v>1.0</v>
      </c>
      <c r="BT233" s="44"/>
      <c r="BU233" s="42">
        <v>1.0</v>
      </c>
      <c r="BV233" s="44"/>
      <c r="BW233" s="44"/>
      <c r="BX233" s="44"/>
      <c r="BY233" s="42">
        <v>1.0</v>
      </c>
      <c r="BZ233" s="44"/>
      <c r="CA233" s="42">
        <v>1.0</v>
      </c>
      <c r="CB233" s="42">
        <v>1.0</v>
      </c>
      <c r="CC233" s="42">
        <v>1.0</v>
      </c>
      <c r="CD233" s="42">
        <v>1.0</v>
      </c>
      <c r="CE233" s="42">
        <v>1.0</v>
      </c>
      <c r="CF233" s="44"/>
      <c r="CG233" s="44"/>
      <c r="CH233" s="44"/>
      <c r="CI233" s="44"/>
      <c r="CJ233" s="44"/>
      <c r="CK233" s="44"/>
      <c r="CL233" s="44"/>
      <c r="CM233" s="44"/>
      <c r="CN233" s="42">
        <v>1.0</v>
      </c>
      <c r="CO233" s="44"/>
      <c r="CP233" s="44"/>
      <c r="CQ233" s="44"/>
      <c r="CR233" s="42">
        <v>1.0</v>
      </c>
      <c r="CS233" s="44"/>
      <c r="CT233" s="44"/>
      <c r="CU233" s="44"/>
      <c r="CV233" s="44"/>
      <c r="CW233" s="44"/>
      <c r="CX233" s="44"/>
      <c r="CY233" s="44"/>
      <c r="CZ233" s="42">
        <v>1.0</v>
      </c>
      <c r="DA233" s="44"/>
      <c r="DB233" s="44"/>
      <c r="DC233" s="44"/>
      <c r="DD233" s="44"/>
      <c r="DE233" s="44"/>
      <c r="DF233" s="44"/>
      <c r="DG233" s="44"/>
      <c r="DH233" s="44"/>
      <c r="DI233" s="44"/>
      <c r="DJ233" s="44"/>
      <c r="DK233" s="44"/>
      <c r="DL233" s="42">
        <v>1.0</v>
      </c>
      <c r="DM233" s="44"/>
      <c r="DN233" s="44"/>
      <c r="DO233" s="42">
        <v>1.0</v>
      </c>
      <c r="DP233" s="44"/>
      <c r="DQ233" s="44"/>
      <c r="DR233" s="44"/>
      <c r="DS233" s="44"/>
      <c r="DT233" s="44"/>
      <c r="DU233" s="44"/>
      <c r="DV233" s="44"/>
      <c r="DW233" s="44"/>
      <c r="DX233" s="44"/>
      <c r="DY233" s="44"/>
      <c r="DZ233" s="44"/>
      <c r="EA233" s="44"/>
      <c r="EB233" s="42">
        <v>1.0</v>
      </c>
      <c r="EC233" s="42">
        <v>1.0</v>
      </c>
      <c r="ED233" s="42"/>
      <c r="EE233" s="42"/>
      <c r="EF233" s="42"/>
      <c r="EG233" s="42"/>
      <c r="EH233" s="42"/>
      <c r="EI233" s="42">
        <v>1.0</v>
      </c>
      <c r="EJ233" s="44"/>
      <c r="EK233" s="44"/>
      <c r="EL233" s="44"/>
      <c r="EM233" s="44"/>
      <c r="EN233" s="44"/>
      <c r="EO233" s="44"/>
      <c r="EP233" s="44"/>
      <c r="EQ233" s="44"/>
      <c r="ER233" s="44"/>
      <c r="ES233" s="44"/>
      <c r="ET233" s="44"/>
      <c r="EU233" s="44"/>
      <c r="EV233" s="44"/>
      <c r="EW233" s="44"/>
      <c r="EX233" s="44"/>
      <c r="EY233" s="44"/>
      <c r="EZ233" s="42"/>
      <c r="FA233" s="42">
        <v>1.0</v>
      </c>
      <c r="FB233" s="42">
        <v>1.0</v>
      </c>
      <c r="FC233" s="44"/>
      <c r="FD233" s="44"/>
      <c r="FE233" s="44"/>
      <c r="FF233" s="44"/>
      <c r="FG233" s="44"/>
      <c r="FH233" s="44"/>
      <c r="FI233" s="44"/>
      <c r="FJ233" s="44"/>
      <c r="FK233" s="44"/>
      <c r="FL233" s="44"/>
      <c r="FM233" s="44"/>
      <c r="FN233" s="44"/>
      <c r="FO233" s="44"/>
      <c r="FP233" s="44"/>
      <c r="FQ233" s="42">
        <v>1.0</v>
      </c>
      <c r="FR233" s="42">
        <v>1.0</v>
      </c>
      <c r="FS233" s="44"/>
      <c r="FT233" s="44"/>
      <c r="FU233" s="42"/>
      <c r="FV233" s="42"/>
      <c r="FW233" s="44"/>
      <c r="FX233" s="44"/>
      <c r="FY233" s="44"/>
      <c r="FZ233" s="44"/>
      <c r="GA233" s="44"/>
      <c r="GB233" s="44"/>
      <c r="GC233" s="44"/>
      <c r="GD233" s="44"/>
      <c r="GE233" s="44"/>
      <c r="GF233" s="44"/>
    </row>
    <row r="234">
      <c r="A234" s="41">
        <v>43592.0</v>
      </c>
      <c r="B234" s="42" t="s">
        <v>250</v>
      </c>
      <c r="C234" s="42">
        <v>21.4104</v>
      </c>
      <c r="D234" s="42">
        <v>-158.177704</v>
      </c>
      <c r="E234" s="42" t="s">
        <v>418</v>
      </c>
      <c r="F234" s="43">
        <v>0.4375</v>
      </c>
      <c r="G234" s="43">
        <v>0.4791666666666667</v>
      </c>
      <c r="H234" s="42">
        <v>5.0</v>
      </c>
      <c r="I234" s="42">
        <v>20.0</v>
      </c>
      <c r="J234" s="42" t="s">
        <v>198</v>
      </c>
      <c r="K234" s="42">
        <v>5.0</v>
      </c>
      <c r="L234" s="42">
        <v>19.0</v>
      </c>
      <c r="M234" s="42" t="s">
        <v>525</v>
      </c>
      <c r="N234" s="44"/>
      <c r="O234" s="42"/>
      <c r="P234" s="44"/>
      <c r="Q234" s="42">
        <v>1.0</v>
      </c>
      <c r="R234" s="42">
        <v>1.0</v>
      </c>
      <c r="S234" s="42"/>
      <c r="T234" s="44"/>
      <c r="U234" s="44"/>
      <c r="V234" s="44"/>
      <c r="W234" s="44"/>
      <c r="X234" s="44"/>
      <c r="Y234" s="44"/>
      <c r="Z234" s="44"/>
      <c r="AA234" s="44"/>
      <c r="AB234" s="42">
        <v>1.0</v>
      </c>
      <c r="AC234" s="42"/>
      <c r="AD234" s="44"/>
      <c r="AE234" s="44"/>
      <c r="AF234" s="44"/>
      <c r="AG234" s="42"/>
      <c r="AH234" s="42">
        <v>1.0</v>
      </c>
      <c r="AI234" s="44"/>
      <c r="AJ234" s="44"/>
      <c r="AK234" s="44"/>
      <c r="AL234" s="42">
        <v>1.0</v>
      </c>
      <c r="AM234" s="44"/>
      <c r="AN234" s="44"/>
      <c r="AO234" s="44"/>
      <c r="AP234" s="44"/>
      <c r="AQ234" s="44"/>
      <c r="AR234" s="44"/>
      <c r="AS234" s="44"/>
      <c r="AT234" s="44"/>
      <c r="AU234" s="44"/>
      <c r="AV234" s="44"/>
      <c r="AW234" s="44"/>
      <c r="AX234" s="44"/>
      <c r="AY234" s="44"/>
      <c r="AZ234" s="42"/>
      <c r="BA234" s="42"/>
      <c r="BB234" s="44"/>
      <c r="BC234" s="44"/>
      <c r="BD234" s="42">
        <v>1.0</v>
      </c>
      <c r="BE234" s="44"/>
      <c r="BF234" s="42"/>
      <c r="BG234" s="42"/>
      <c r="BH234" s="44"/>
      <c r="BI234" s="44"/>
      <c r="BJ234" s="44"/>
      <c r="BK234" s="42">
        <v>1.0</v>
      </c>
      <c r="BL234" s="42"/>
      <c r="BM234" s="42">
        <v>1.0</v>
      </c>
      <c r="BN234" s="44"/>
      <c r="BO234" s="44"/>
      <c r="BP234" s="44"/>
      <c r="BQ234" s="44"/>
      <c r="BR234" s="44"/>
      <c r="BS234" s="44"/>
      <c r="BT234" s="44"/>
      <c r="BU234" s="42">
        <v>1.0</v>
      </c>
      <c r="BV234" s="44"/>
      <c r="BW234" s="44"/>
      <c r="BX234" s="44"/>
      <c r="BY234" s="42">
        <v>1.0</v>
      </c>
      <c r="BZ234" s="44"/>
      <c r="CA234" s="44"/>
      <c r="CB234" s="42"/>
      <c r="CC234" s="42"/>
      <c r="CD234" s="44"/>
      <c r="CE234" s="44"/>
      <c r="CF234" s="44"/>
      <c r="CG234" s="44"/>
      <c r="CH234" s="44"/>
      <c r="CI234" s="42">
        <v>1.0</v>
      </c>
      <c r="CJ234" s="44"/>
      <c r="CK234" s="44"/>
      <c r="CL234" s="44"/>
      <c r="CM234" s="44"/>
      <c r="CN234" s="42">
        <v>1.0</v>
      </c>
      <c r="CO234" s="44"/>
      <c r="CP234" s="44"/>
      <c r="CQ234" s="44"/>
      <c r="CR234" s="42">
        <v>1.0</v>
      </c>
      <c r="CS234" s="44"/>
      <c r="CT234" s="44"/>
      <c r="CU234" s="42">
        <v>1.0</v>
      </c>
      <c r="CV234" s="44"/>
      <c r="CW234" s="44"/>
      <c r="CX234" s="44"/>
      <c r="CY234" s="44"/>
      <c r="CZ234" s="44"/>
      <c r="DA234" s="44"/>
      <c r="DB234" s="44"/>
      <c r="DC234" s="44"/>
      <c r="DD234" s="44"/>
      <c r="DE234" s="44"/>
      <c r="DF234" s="42">
        <v>1.0</v>
      </c>
      <c r="DG234" s="44"/>
      <c r="DH234" s="44"/>
      <c r="DI234" s="44"/>
      <c r="DJ234" s="44"/>
      <c r="DK234" s="44"/>
      <c r="DL234" s="42">
        <v>1.0</v>
      </c>
      <c r="DM234" s="44"/>
      <c r="DN234" s="44"/>
      <c r="DO234" s="44"/>
      <c r="DP234" s="44"/>
      <c r="DQ234" s="44"/>
      <c r="DR234" s="44"/>
      <c r="DS234" s="44"/>
      <c r="DT234" s="44"/>
      <c r="DU234" s="44"/>
      <c r="DV234" s="44"/>
      <c r="DW234" s="44"/>
      <c r="DX234" s="44"/>
      <c r="DY234" s="44"/>
      <c r="DZ234" s="44"/>
      <c r="EA234" s="44"/>
      <c r="EB234" s="42">
        <v>1.0</v>
      </c>
      <c r="EC234" s="44"/>
      <c r="ED234" s="42"/>
      <c r="EE234" s="42"/>
      <c r="EF234" s="42"/>
      <c r="EG234" s="42"/>
      <c r="EH234" s="42"/>
      <c r="EI234" s="42">
        <v>1.0</v>
      </c>
      <c r="EJ234" s="44"/>
      <c r="EK234" s="44"/>
      <c r="EL234" s="44"/>
      <c r="EM234" s="44"/>
      <c r="EN234" s="44"/>
      <c r="EO234" s="44"/>
      <c r="EP234" s="44"/>
      <c r="EQ234" s="44"/>
      <c r="ER234" s="44"/>
      <c r="ES234" s="44"/>
      <c r="ET234" s="44"/>
      <c r="EU234" s="42">
        <v>1.0</v>
      </c>
      <c r="EV234" s="44"/>
      <c r="EW234" s="42">
        <v>1.0</v>
      </c>
      <c r="EX234" s="44"/>
      <c r="EY234" s="44"/>
      <c r="EZ234" s="42"/>
      <c r="FA234" s="42">
        <v>1.0</v>
      </c>
      <c r="FB234" s="44"/>
      <c r="FC234" s="44"/>
      <c r="FD234" s="44"/>
      <c r="FE234" s="44"/>
      <c r="FF234" s="44"/>
      <c r="FG234" s="44"/>
      <c r="FH234" s="44"/>
      <c r="FI234" s="44"/>
      <c r="FJ234" s="44"/>
      <c r="FK234" s="44"/>
      <c r="FL234" s="44"/>
      <c r="FM234" s="44"/>
      <c r="FN234" s="44"/>
      <c r="FO234" s="44"/>
      <c r="FP234" s="44"/>
      <c r="FQ234" s="42">
        <v>1.0</v>
      </c>
      <c r="FR234" s="42">
        <v>1.0</v>
      </c>
      <c r="FS234" s="44"/>
      <c r="FT234" s="44"/>
      <c r="FU234" s="42"/>
      <c r="FV234" s="42">
        <v>1.0</v>
      </c>
      <c r="FW234" s="44"/>
      <c r="FX234" s="44"/>
      <c r="FY234" s="44"/>
      <c r="FZ234" s="44"/>
      <c r="GA234" s="44"/>
      <c r="GB234" s="44"/>
      <c r="GC234" s="44"/>
      <c r="GD234" s="44"/>
      <c r="GE234" s="44"/>
      <c r="GF234" s="42">
        <v>1.0</v>
      </c>
    </row>
    <row r="235">
      <c r="A235" s="41">
        <v>43593.0</v>
      </c>
      <c r="B235" s="42" t="s">
        <v>355</v>
      </c>
      <c r="C235" s="42">
        <v>21.2843</v>
      </c>
      <c r="D235" s="42">
        <v>-157.675293</v>
      </c>
      <c r="E235" s="42" t="s">
        <v>356</v>
      </c>
      <c r="F235" s="43">
        <v>0.38472222222222224</v>
      </c>
      <c r="G235" s="43">
        <v>0.42986111111111114</v>
      </c>
      <c r="H235" s="42">
        <v>7.0</v>
      </c>
      <c r="I235" s="42">
        <v>28.0</v>
      </c>
      <c r="J235" s="42" t="s">
        <v>217</v>
      </c>
      <c r="K235" s="42">
        <v>4.0</v>
      </c>
      <c r="L235" s="42">
        <v>5.0</v>
      </c>
      <c r="M235" s="42" t="s">
        <v>553</v>
      </c>
      <c r="N235" s="44"/>
      <c r="O235" s="42"/>
      <c r="P235" s="44"/>
      <c r="Q235" s="44"/>
      <c r="R235" s="44"/>
      <c r="S235" s="44"/>
      <c r="T235" s="44"/>
      <c r="U235" s="44"/>
      <c r="V235" s="44"/>
      <c r="W235" s="44"/>
      <c r="X235" s="44"/>
      <c r="Y235" s="44"/>
      <c r="Z235" s="44"/>
      <c r="AA235" s="44"/>
      <c r="AB235" s="42"/>
      <c r="AC235" s="42"/>
      <c r="AD235" s="44"/>
      <c r="AE235" s="44"/>
      <c r="AF235" s="44"/>
      <c r="AG235" s="42"/>
      <c r="AH235" s="44"/>
      <c r="AI235" s="44"/>
      <c r="AJ235" s="44"/>
      <c r="AK235" s="44"/>
      <c r="AL235" s="44"/>
      <c r="AM235" s="44"/>
      <c r="AN235" s="44"/>
      <c r="AO235" s="44"/>
      <c r="AP235" s="44"/>
      <c r="AQ235" s="44"/>
      <c r="AR235" s="44"/>
      <c r="AS235" s="44"/>
      <c r="AT235" s="44"/>
      <c r="AU235" s="44"/>
      <c r="AV235" s="44"/>
      <c r="AW235" s="44"/>
      <c r="AX235" s="44"/>
      <c r="AY235" s="44"/>
      <c r="AZ235" s="42"/>
      <c r="BA235" s="42">
        <v>1.0</v>
      </c>
      <c r="BB235" s="44"/>
      <c r="BC235" s="44"/>
      <c r="BD235" s="44"/>
      <c r="BE235" s="44"/>
      <c r="BF235" s="42"/>
      <c r="BG235" s="42"/>
      <c r="BH235" s="44"/>
      <c r="BI235" s="44"/>
      <c r="BJ235" s="44"/>
      <c r="BK235" s="42"/>
      <c r="BL235" s="42">
        <v>1.0</v>
      </c>
      <c r="BM235" s="44"/>
      <c r="BN235" s="44"/>
      <c r="BO235" s="44"/>
      <c r="BP235" s="44"/>
      <c r="BQ235" s="44"/>
      <c r="BR235" s="44"/>
      <c r="BS235" s="44"/>
      <c r="BT235" s="44"/>
      <c r="BU235" s="44"/>
      <c r="BV235" s="44"/>
      <c r="BW235" s="44"/>
      <c r="BX235" s="44"/>
      <c r="BY235" s="42">
        <v>1.0</v>
      </c>
      <c r="BZ235" s="44"/>
      <c r="CA235" s="44"/>
      <c r="CB235" s="42"/>
      <c r="CC235" s="42"/>
      <c r="CD235" s="44"/>
      <c r="CE235" s="44"/>
      <c r="CF235" s="44"/>
      <c r="CG235" s="44"/>
      <c r="CH235" s="44"/>
      <c r="CI235" s="44"/>
      <c r="CJ235" s="44"/>
      <c r="CK235" s="44"/>
      <c r="CL235" s="44"/>
      <c r="CM235" s="44"/>
      <c r="CN235" s="44"/>
      <c r="CO235" s="44"/>
      <c r="CP235" s="44"/>
      <c r="CQ235" s="44"/>
      <c r="CR235" s="44"/>
      <c r="CS235" s="44"/>
      <c r="CT235" s="44"/>
      <c r="CU235" s="44"/>
      <c r="CV235" s="44"/>
      <c r="CW235" s="44"/>
      <c r="CX235" s="44"/>
      <c r="CY235" s="44"/>
      <c r="CZ235" s="44"/>
      <c r="DA235" s="44"/>
      <c r="DB235" s="44"/>
      <c r="DC235" s="44"/>
      <c r="DD235" s="44"/>
      <c r="DE235" s="44"/>
      <c r="DF235" s="44"/>
      <c r="DG235" s="44"/>
      <c r="DH235" s="44"/>
      <c r="DI235" s="44"/>
      <c r="DJ235" s="44"/>
      <c r="DK235" s="44"/>
      <c r="DL235" s="42"/>
      <c r="DM235" s="44"/>
      <c r="DN235" s="44"/>
      <c r="DO235" s="44"/>
      <c r="DP235" s="44"/>
      <c r="DQ235" s="44"/>
      <c r="DR235" s="44"/>
      <c r="DS235" s="44"/>
      <c r="DT235" s="44"/>
      <c r="DU235" s="44"/>
      <c r="DV235" s="44"/>
      <c r="DW235" s="44"/>
      <c r="DX235" s="44"/>
      <c r="DY235" s="44"/>
      <c r="DZ235" s="44"/>
      <c r="EA235" s="44"/>
      <c r="EB235" s="44"/>
      <c r="EC235" s="44"/>
      <c r="ED235" s="42"/>
      <c r="EE235" s="42"/>
      <c r="EF235" s="42"/>
      <c r="EG235" s="42"/>
      <c r="EH235" s="42"/>
      <c r="EI235" s="42">
        <v>1.0</v>
      </c>
      <c r="EJ235" s="44"/>
      <c r="EK235" s="44"/>
      <c r="EL235" s="44"/>
      <c r="EM235" s="44"/>
      <c r="EN235" s="44"/>
      <c r="EO235" s="44"/>
      <c r="EP235" s="44"/>
      <c r="EQ235" s="44"/>
      <c r="ER235" s="44"/>
      <c r="ES235" s="44"/>
      <c r="ET235" s="44"/>
      <c r="EU235" s="44"/>
      <c r="EV235" s="44"/>
      <c r="EW235" s="44"/>
      <c r="EX235" s="44"/>
      <c r="EY235" s="44"/>
      <c r="EZ235" s="42"/>
      <c r="FA235" s="42"/>
      <c r="FB235" s="44"/>
      <c r="FC235" s="44"/>
      <c r="FD235" s="44"/>
      <c r="FE235" s="44"/>
      <c r="FF235" s="44"/>
      <c r="FG235" s="44"/>
      <c r="FH235" s="44"/>
      <c r="FI235" s="44"/>
      <c r="FJ235" s="44"/>
      <c r="FK235" s="44"/>
      <c r="FL235" s="44"/>
      <c r="FM235" s="44"/>
      <c r="FN235" s="44"/>
      <c r="FO235" s="44"/>
      <c r="FP235" s="44"/>
      <c r="FQ235" s="42">
        <v>1.0</v>
      </c>
      <c r="FR235" s="42">
        <v>1.0</v>
      </c>
      <c r="FS235" s="44"/>
      <c r="FT235" s="44"/>
      <c r="FU235" s="42"/>
      <c r="FV235" s="42"/>
      <c r="FW235" s="44"/>
      <c r="FX235" s="44"/>
      <c r="FY235" s="44"/>
      <c r="FZ235" s="44"/>
      <c r="GA235" s="44"/>
      <c r="GB235" s="44"/>
      <c r="GC235" s="44"/>
      <c r="GD235" s="44"/>
      <c r="GE235" s="44"/>
      <c r="GF235" s="44"/>
    </row>
    <row r="236">
      <c r="A236" s="23">
        <v>43602.0</v>
      </c>
      <c r="B236" s="4" t="s">
        <v>489</v>
      </c>
      <c r="C236" s="4">
        <v>19.640812</v>
      </c>
      <c r="D236" s="4">
        <v>-156.006927</v>
      </c>
      <c r="E236" s="4" t="s">
        <v>418</v>
      </c>
      <c r="F236" s="24">
        <v>0.3645833333333333</v>
      </c>
      <c r="G236" s="24">
        <v>0.4479166666666667</v>
      </c>
      <c r="H236" s="4">
        <v>5.0</v>
      </c>
      <c r="I236" s="4">
        <v>22.0</v>
      </c>
      <c r="J236" s="4" t="s">
        <v>227</v>
      </c>
      <c r="K236" s="4">
        <v>10.0</v>
      </c>
      <c r="L236" s="4">
        <v>19.0</v>
      </c>
      <c r="M236" s="4" t="s">
        <v>502</v>
      </c>
      <c r="AB236" s="4"/>
      <c r="AC236" s="4">
        <v>1.0</v>
      </c>
      <c r="AG236" s="4">
        <v>1.0</v>
      </c>
      <c r="AZ236" s="4"/>
      <c r="BA236" s="4">
        <v>1.0</v>
      </c>
      <c r="BF236" s="4">
        <v>1.0</v>
      </c>
      <c r="BG236" s="4">
        <v>1.0</v>
      </c>
      <c r="BK236" s="4">
        <v>1.0</v>
      </c>
      <c r="BL236" s="4">
        <v>1.0</v>
      </c>
      <c r="CB236" s="4">
        <v>1.0</v>
      </c>
      <c r="CC236" s="4">
        <v>1.0</v>
      </c>
      <c r="DL236" s="4">
        <v>1.0</v>
      </c>
      <c r="ED236" s="4"/>
      <c r="EE236" s="4"/>
      <c r="EF236" s="4"/>
      <c r="EG236" s="4"/>
      <c r="EH236" s="4"/>
      <c r="EI236" s="4">
        <v>1.0</v>
      </c>
      <c r="EZ236" s="4">
        <v>1.0</v>
      </c>
      <c r="FA236" s="4">
        <v>1.0</v>
      </c>
      <c r="FR236" s="4">
        <v>1.0</v>
      </c>
      <c r="FU236" s="4"/>
      <c r="FV236" s="4">
        <v>1.0</v>
      </c>
    </row>
    <row r="237">
      <c r="A237" s="23">
        <v>43602.0</v>
      </c>
      <c r="B237" s="4" t="s">
        <v>244</v>
      </c>
      <c r="C237" s="4">
        <v>21.310612</v>
      </c>
      <c r="D237" s="4">
        <v>-158.00441</v>
      </c>
      <c r="E237" s="4" t="s">
        <v>503</v>
      </c>
      <c r="F237" s="24">
        <v>0.3541666666666667</v>
      </c>
      <c r="G237" s="24">
        <v>0.4375</v>
      </c>
      <c r="H237" s="4">
        <v>5.0</v>
      </c>
      <c r="I237" s="4">
        <v>10.0</v>
      </c>
      <c r="J237" s="4" t="s">
        <v>217</v>
      </c>
      <c r="K237" s="4">
        <v>5.0</v>
      </c>
      <c r="L237" s="4">
        <v>25.0</v>
      </c>
      <c r="Q237" s="4">
        <v>1.0</v>
      </c>
      <c r="AD237" s="4">
        <v>1.0</v>
      </c>
      <c r="AH237" s="4">
        <v>1.0</v>
      </c>
      <c r="BB237" s="4">
        <v>1.0</v>
      </c>
      <c r="BC237" s="4">
        <v>1.0</v>
      </c>
      <c r="BD237" s="4">
        <v>1.0</v>
      </c>
      <c r="BL237" s="4">
        <v>1.0</v>
      </c>
      <c r="BU237" s="4">
        <v>1.0</v>
      </c>
      <c r="BY237" s="4">
        <v>1.0</v>
      </c>
      <c r="EB237" s="4">
        <v>1.0</v>
      </c>
      <c r="ED237" s="4"/>
      <c r="EE237" s="4"/>
      <c r="EF237" s="4"/>
      <c r="EG237" s="4"/>
      <c r="EH237" s="4"/>
      <c r="EI237" s="4">
        <v>1.0</v>
      </c>
      <c r="EW237" s="4">
        <v>1.0</v>
      </c>
      <c r="FC237" s="4"/>
      <c r="FE237" s="4">
        <v>1.0</v>
      </c>
      <c r="FQ237" s="4">
        <v>1.0</v>
      </c>
      <c r="FR237" s="4">
        <v>1.0</v>
      </c>
      <c r="FU237" s="4"/>
      <c r="FV237" s="4">
        <v>1.0</v>
      </c>
    </row>
    <row r="238">
      <c r="A238" s="41">
        <v>43602.0</v>
      </c>
      <c r="B238" s="42" t="s">
        <v>377</v>
      </c>
      <c r="C238" s="42">
        <v>20.705</v>
      </c>
      <c r="D238" s="42">
        <v>-156.446945</v>
      </c>
      <c r="E238" s="42" t="s">
        <v>378</v>
      </c>
      <c r="F238" s="43">
        <v>0.3888888888888889</v>
      </c>
      <c r="G238" s="43">
        <v>0.4583333333333333</v>
      </c>
      <c r="H238" s="42">
        <v>8.0</v>
      </c>
      <c r="I238" s="42">
        <v>16.0</v>
      </c>
      <c r="J238" s="42" t="s">
        <v>198</v>
      </c>
      <c r="K238" s="42">
        <v>8.0</v>
      </c>
      <c r="L238" s="42">
        <v>35.0</v>
      </c>
      <c r="M238" s="42" t="s">
        <v>554</v>
      </c>
      <c r="N238" s="42"/>
      <c r="O238" s="42"/>
      <c r="P238" s="44"/>
      <c r="Q238" s="44"/>
      <c r="R238" s="44"/>
      <c r="S238" s="44"/>
      <c r="T238" s="44"/>
      <c r="U238" s="44"/>
      <c r="V238" s="44"/>
      <c r="W238" s="44"/>
      <c r="X238" s="44"/>
      <c r="Y238" s="44"/>
      <c r="Z238" s="44"/>
      <c r="AA238" s="44"/>
      <c r="AB238" s="44"/>
      <c r="AC238" s="44"/>
      <c r="AD238" s="44"/>
      <c r="AE238" s="44"/>
      <c r="AF238" s="42">
        <v>1.0</v>
      </c>
      <c r="AG238" s="44"/>
      <c r="AH238" s="44"/>
      <c r="AI238" s="44"/>
      <c r="AJ238" s="44"/>
      <c r="AK238" s="44"/>
      <c r="AL238" s="44"/>
      <c r="AM238" s="44"/>
      <c r="AN238" s="44"/>
      <c r="AO238" s="44"/>
      <c r="AP238" s="44"/>
      <c r="AQ238" s="44"/>
      <c r="AR238" s="44"/>
      <c r="AS238" s="44"/>
      <c r="AT238" s="44"/>
      <c r="AU238" s="44"/>
      <c r="AV238" s="44"/>
      <c r="AW238" s="42">
        <v>1.0</v>
      </c>
      <c r="AX238" s="44"/>
      <c r="AY238" s="44"/>
      <c r="AZ238" s="44"/>
      <c r="BA238" s="44"/>
      <c r="BB238" s="42">
        <v>1.0</v>
      </c>
      <c r="BC238" s="44"/>
      <c r="BD238" s="44"/>
      <c r="BE238" s="42">
        <v>1.0</v>
      </c>
      <c r="BF238" s="44"/>
      <c r="BG238" s="44"/>
      <c r="BH238" s="44"/>
      <c r="BI238" s="44"/>
      <c r="BJ238" s="44"/>
      <c r="BK238" s="44"/>
      <c r="BL238" s="42">
        <v>1.0</v>
      </c>
      <c r="BM238" s="44"/>
      <c r="BN238" s="44"/>
      <c r="BO238" s="44"/>
      <c r="BP238" s="44"/>
      <c r="BQ238" s="44"/>
      <c r="BR238" s="44"/>
      <c r="BS238" s="44"/>
      <c r="BT238" s="44"/>
      <c r="BU238" s="44"/>
      <c r="BV238" s="44"/>
      <c r="BW238" s="42"/>
      <c r="BX238" s="44"/>
      <c r="BY238" s="44"/>
      <c r="BZ238" s="44"/>
      <c r="CA238" s="44"/>
      <c r="CB238" s="44"/>
      <c r="CC238" s="44"/>
      <c r="CD238" s="44"/>
      <c r="CE238" s="44"/>
      <c r="CF238" s="44"/>
      <c r="CG238" s="44"/>
      <c r="CH238" s="44"/>
      <c r="CI238" s="44"/>
      <c r="CJ238" s="44"/>
      <c r="CK238" s="44"/>
      <c r="CL238" s="44"/>
      <c r="CM238" s="44"/>
      <c r="CN238" s="44"/>
      <c r="CO238" s="44"/>
      <c r="CP238" s="44"/>
      <c r="CQ238" s="44"/>
      <c r="CR238" s="44"/>
      <c r="CS238" s="44"/>
      <c r="CT238" s="44"/>
      <c r="CU238" s="44"/>
      <c r="CV238" s="44"/>
      <c r="CW238" s="44"/>
      <c r="CX238" s="44"/>
      <c r="CY238" s="44"/>
      <c r="CZ238" s="44"/>
      <c r="DA238" s="44"/>
      <c r="DB238" s="44"/>
      <c r="DC238" s="44"/>
      <c r="DD238" s="44"/>
      <c r="DE238" s="44"/>
      <c r="DF238" s="44"/>
      <c r="DG238" s="42">
        <v>1.0</v>
      </c>
      <c r="DH238" s="44"/>
      <c r="DI238" s="44"/>
      <c r="DJ238" s="44"/>
      <c r="DK238" s="44"/>
      <c r="DL238" s="44"/>
      <c r="DM238" s="44"/>
      <c r="DN238" s="44"/>
      <c r="DO238" s="42">
        <v>1.0</v>
      </c>
      <c r="DP238" s="44"/>
      <c r="DQ238" s="44"/>
      <c r="DR238" s="42">
        <v>1.0</v>
      </c>
      <c r="DS238" s="44"/>
      <c r="DT238" s="44"/>
      <c r="DU238" s="44"/>
      <c r="DV238" s="44"/>
      <c r="DW238" s="44"/>
      <c r="DX238" s="44"/>
      <c r="DY238" s="42">
        <v>1.0</v>
      </c>
      <c r="DZ238" s="44"/>
      <c r="EA238" s="44"/>
      <c r="EB238" s="44"/>
      <c r="EC238" s="44"/>
      <c r="ED238" s="42"/>
      <c r="EE238" s="42"/>
      <c r="EF238" s="42"/>
      <c r="EG238" s="42"/>
      <c r="EH238" s="42"/>
      <c r="EI238" s="42">
        <v>1.0</v>
      </c>
      <c r="EJ238" s="44"/>
      <c r="EK238" s="44"/>
      <c r="EL238" s="44"/>
      <c r="EM238" s="44"/>
      <c r="EN238" s="44"/>
      <c r="EO238" s="44"/>
      <c r="EP238" s="44"/>
      <c r="EQ238" s="44"/>
      <c r="ER238" s="44"/>
      <c r="ES238" s="44"/>
      <c r="ET238" s="44"/>
      <c r="EU238" s="44"/>
      <c r="EV238" s="44"/>
      <c r="EW238" s="44"/>
      <c r="EX238" s="44"/>
      <c r="EY238" s="44"/>
      <c r="EZ238" s="44"/>
      <c r="FA238" s="44"/>
      <c r="FB238" s="42">
        <v>1.0</v>
      </c>
      <c r="FC238" s="44"/>
      <c r="FD238" s="44"/>
      <c r="FE238" s="42">
        <v>1.0</v>
      </c>
      <c r="FF238" s="44"/>
      <c r="FG238" s="44"/>
      <c r="FH238" s="42">
        <v>1.0</v>
      </c>
      <c r="FI238" s="44"/>
      <c r="FJ238" s="44"/>
      <c r="FK238" s="44"/>
      <c r="FL238" s="44"/>
      <c r="FM238" s="44"/>
      <c r="FN238" s="44"/>
      <c r="FO238" s="44"/>
      <c r="FP238" s="44"/>
      <c r="FQ238" s="44"/>
      <c r="FR238" s="42">
        <v>1.0</v>
      </c>
      <c r="FS238" s="44"/>
      <c r="FT238" s="44"/>
      <c r="FU238" s="44"/>
      <c r="FV238" s="42">
        <v>1.0</v>
      </c>
      <c r="FW238" s="44"/>
      <c r="FX238" s="44"/>
      <c r="FY238" s="44"/>
      <c r="FZ238" s="42">
        <v>1.0</v>
      </c>
      <c r="GA238" s="42"/>
      <c r="GB238" s="42"/>
      <c r="GC238" s="42">
        <v>1.0</v>
      </c>
      <c r="GD238" s="44"/>
      <c r="GE238" s="44"/>
      <c r="GF238" s="44"/>
    </row>
    <row r="239">
      <c r="A239" s="41">
        <v>43605.0</v>
      </c>
      <c r="B239" s="42" t="s">
        <v>307</v>
      </c>
      <c r="C239" s="42">
        <v>19.736111</v>
      </c>
      <c r="D239" s="42">
        <v>-155.030838</v>
      </c>
      <c r="E239" s="42" t="s">
        <v>308</v>
      </c>
      <c r="F239" s="43">
        <v>0.40625</v>
      </c>
      <c r="G239" s="43">
        <v>0.46875</v>
      </c>
      <c r="H239" s="42">
        <v>8.0</v>
      </c>
      <c r="I239" s="42">
        <v>12.0</v>
      </c>
      <c r="J239" s="42" t="s">
        <v>217</v>
      </c>
      <c r="K239" s="42">
        <v>8.0</v>
      </c>
      <c r="L239" s="42">
        <v>43.0</v>
      </c>
      <c r="M239" s="42" t="s">
        <v>555</v>
      </c>
      <c r="N239" s="42"/>
      <c r="O239" s="42"/>
      <c r="P239" s="44"/>
      <c r="Q239" s="42">
        <v>1.0</v>
      </c>
      <c r="R239" s="44"/>
      <c r="S239" s="44"/>
      <c r="T239" s="44"/>
      <c r="U239" s="44"/>
      <c r="V239" s="44"/>
      <c r="W239" s="44"/>
      <c r="X239" s="44"/>
      <c r="Y239" s="44"/>
      <c r="Z239" s="44"/>
      <c r="AA239" s="44"/>
      <c r="AB239" s="44"/>
      <c r="AC239" s="44"/>
      <c r="AD239" s="44"/>
      <c r="AE239" s="44"/>
      <c r="AF239" s="44"/>
      <c r="AG239" s="44"/>
      <c r="AH239" s="44"/>
      <c r="AI239" s="44"/>
      <c r="AJ239" s="44"/>
      <c r="AK239" s="44"/>
      <c r="AL239" s="44"/>
      <c r="AM239" s="44"/>
      <c r="AN239" s="44"/>
      <c r="AO239" s="44"/>
      <c r="AP239" s="44"/>
      <c r="AQ239" s="44"/>
      <c r="AR239" s="44"/>
      <c r="AS239" s="44"/>
      <c r="AT239" s="44"/>
      <c r="AU239" s="44"/>
      <c r="AV239" s="44"/>
      <c r="AW239" s="44"/>
      <c r="AX239" s="44"/>
      <c r="AY239" s="44"/>
      <c r="AZ239" s="44"/>
      <c r="BA239" s="44"/>
      <c r="BB239" s="44"/>
      <c r="BC239" s="44"/>
      <c r="BD239" s="44"/>
      <c r="BE239" s="44"/>
      <c r="BF239" s="44"/>
      <c r="BG239" s="44"/>
      <c r="BH239" s="44"/>
      <c r="BI239" s="44"/>
      <c r="BJ239" s="44"/>
      <c r="BK239" s="44"/>
      <c r="BL239" s="42">
        <v>1.0</v>
      </c>
      <c r="BM239" s="44"/>
      <c r="BN239" s="44"/>
      <c r="BO239" s="44"/>
      <c r="BP239" s="42">
        <v>1.0</v>
      </c>
      <c r="BQ239" s="44"/>
      <c r="BR239" s="44"/>
      <c r="BS239" s="44"/>
      <c r="BT239" s="44"/>
      <c r="BU239" s="42">
        <v>1.0</v>
      </c>
      <c r="BV239" s="44"/>
      <c r="BW239" s="42"/>
      <c r="BX239" s="44"/>
      <c r="BY239" s="44"/>
      <c r="BZ239" s="44"/>
      <c r="CA239" s="44"/>
      <c r="CB239" s="44"/>
      <c r="CC239" s="44"/>
      <c r="CD239" s="44"/>
      <c r="CE239" s="44"/>
      <c r="CF239" s="44"/>
      <c r="CG239" s="44"/>
      <c r="CH239" s="44"/>
      <c r="CI239" s="44"/>
      <c r="CJ239" s="44"/>
      <c r="CK239" s="44"/>
      <c r="CL239" s="44"/>
      <c r="CM239" s="44"/>
      <c r="CN239" s="42">
        <v>1.0</v>
      </c>
      <c r="CO239" s="44"/>
      <c r="CP239" s="44"/>
      <c r="CQ239" s="44"/>
      <c r="CR239" s="44"/>
      <c r="CS239" s="44"/>
      <c r="CT239" s="44"/>
      <c r="CU239" s="44"/>
      <c r="CV239" s="44"/>
      <c r="CW239" s="44"/>
      <c r="CX239" s="44"/>
      <c r="CY239" s="44"/>
      <c r="CZ239" s="42">
        <v>1.0</v>
      </c>
      <c r="DA239" s="44"/>
      <c r="DB239" s="44"/>
      <c r="DC239" s="44"/>
      <c r="DD239" s="44"/>
      <c r="DE239" s="44"/>
      <c r="DF239" s="44"/>
      <c r="DG239" s="44"/>
      <c r="DH239" s="44"/>
      <c r="DI239" s="44"/>
      <c r="DJ239" s="44"/>
      <c r="DK239" s="44"/>
      <c r="DL239" s="44"/>
      <c r="DM239" s="44"/>
      <c r="DN239" s="44"/>
      <c r="DO239" s="42">
        <v>1.0</v>
      </c>
      <c r="DP239" s="44"/>
      <c r="DQ239" s="44"/>
      <c r="DR239" s="44"/>
      <c r="DS239" s="44"/>
      <c r="DT239" s="44"/>
      <c r="DU239" s="44"/>
      <c r="DV239" s="44"/>
      <c r="DW239" s="44"/>
      <c r="DX239" s="44"/>
      <c r="DY239" s="44"/>
      <c r="DZ239" s="42">
        <v>1.0</v>
      </c>
      <c r="EA239" s="44"/>
      <c r="EB239" s="44"/>
      <c r="EC239" s="44"/>
      <c r="ED239" s="42">
        <v>1.0</v>
      </c>
      <c r="EE239" s="42"/>
      <c r="EF239" s="42"/>
      <c r="EG239" s="42"/>
      <c r="EH239" s="42"/>
      <c r="EI239" s="42">
        <v>1.0</v>
      </c>
      <c r="EJ239" s="44"/>
      <c r="EK239" s="44"/>
      <c r="EL239" s="44"/>
      <c r="EM239" s="44"/>
      <c r="EN239" s="44"/>
      <c r="EO239" s="44"/>
      <c r="EP239" s="44"/>
      <c r="EQ239" s="44"/>
      <c r="ER239" s="44"/>
      <c r="ES239" s="44"/>
      <c r="ET239" s="44"/>
      <c r="EU239" s="44"/>
      <c r="EV239" s="44"/>
      <c r="EW239" s="42">
        <v>1.0</v>
      </c>
      <c r="EX239" s="44"/>
      <c r="EY239" s="44"/>
      <c r="EZ239" s="44"/>
      <c r="FA239" s="44"/>
      <c r="FB239" s="42"/>
      <c r="FC239" s="44"/>
      <c r="FD239" s="42">
        <v>1.0</v>
      </c>
      <c r="FE239" s="42">
        <v>1.0</v>
      </c>
      <c r="FF239" s="44"/>
      <c r="FG239" s="44"/>
      <c r="FH239" s="44"/>
      <c r="FI239" s="44"/>
      <c r="FJ239" s="44"/>
      <c r="FK239" s="44"/>
      <c r="FL239" s="44"/>
      <c r="FM239" s="44"/>
      <c r="FN239" s="44"/>
      <c r="FO239" s="44"/>
      <c r="FP239" s="44"/>
      <c r="FQ239" s="42">
        <v>1.0</v>
      </c>
      <c r="FR239" s="42">
        <v>1.0</v>
      </c>
      <c r="FS239" s="44"/>
      <c r="FT239" s="44"/>
      <c r="FU239" s="44"/>
      <c r="FV239" s="44"/>
      <c r="FW239" s="42">
        <v>1.0</v>
      </c>
      <c r="FX239" s="44"/>
      <c r="FY239" s="44"/>
      <c r="FZ239" s="44"/>
      <c r="GA239" s="42"/>
      <c r="GB239" s="42"/>
      <c r="GC239" s="44"/>
      <c r="GD239" s="44"/>
      <c r="GE239" s="44"/>
      <c r="GF239" s="44"/>
    </row>
    <row r="240">
      <c r="A240" s="37">
        <v>43734.0</v>
      </c>
      <c r="B240" s="38" t="s">
        <v>329</v>
      </c>
      <c r="C240" s="38">
        <v>21.1408</v>
      </c>
      <c r="D240" s="38">
        <v>-157.290115</v>
      </c>
      <c r="E240" s="38" t="s">
        <v>286</v>
      </c>
      <c r="F240" s="39">
        <v>0.375</v>
      </c>
      <c r="G240" s="39">
        <v>0.39166666666666666</v>
      </c>
      <c r="H240" s="38">
        <v>3.0</v>
      </c>
      <c r="I240" s="38">
        <v>14.0</v>
      </c>
      <c r="J240" s="38" t="s">
        <v>198</v>
      </c>
      <c r="K240" s="38">
        <v>14.0</v>
      </c>
      <c r="L240" s="38">
        <v>15.0</v>
      </c>
      <c r="M240" s="38" t="s">
        <v>504</v>
      </c>
      <c r="N240" s="38"/>
      <c r="O240" s="38"/>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c r="AR240" s="40"/>
      <c r="AS240" s="38">
        <v>1.0</v>
      </c>
      <c r="AT240" s="40"/>
      <c r="AU240" s="40"/>
      <c r="AV240" s="40"/>
      <c r="AW240" s="40"/>
      <c r="AX240" s="40"/>
      <c r="AY240" s="40"/>
      <c r="AZ240" s="40"/>
      <c r="BA240" s="40"/>
      <c r="BB240" s="40"/>
      <c r="BC240" s="40"/>
      <c r="BD240" s="40"/>
      <c r="BE240" s="40"/>
      <c r="BF240" s="40"/>
      <c r="BG240" s="40"/>
      <c r="BH240" s="40"/>
      <c r="BI240" s="40"/>
      <c r="BJ240" s="40"/>
      <c r="BK240" s="40"/>
      <c r="BL240" s="40"/>
      <c r="BM240" s="40"/>
      <c r="BN240" s="40"/>
      <c r="BO240" s="40"/>
      <c r="BP240" s="40"/>
      <c r="BQ240" s="40"/>
      <c r="BR240" s="40"/>
      <c r="BS240" s="40"/>
      <c r="BT240" s="40"/>
      <c r="BU240" s="40"/>
      <c r="BV240" s="40"/>
      <c r="BW240" s="38">
        <v>1.0</v>
      </c>
      <c r="BX240" s="40"/>
      <c r="BY240" s="40"/>
      <c r="BZ240" s="40"/>
      <c r="CA240" s="40"/>
      <c r="CB240" s="40"/>
      <c r="CC240" s="40"/>
      <c r="CD240" s="40"/>
      <c r="CE240" s="40"/>
      <c r="CF240" s="40"/>
      <c r="CG240" s="40"/>
      <c r="CH240" s="40"/>
      <c r="CI240" s="40"/>
      <c r="CJ240" s="40"/>
      <c r="CK240" s="40"/>
      <c r="CL240" s="40"/>
      <c r="CM240" s="40"/>
      <c r="CN240" s="40"/>
      <c r="CO240" s="40"/>
      <c r="CP240" s="40"/>
      <c r="CQ240" s="40"/>
      <c r="CR240" s="40"/>
      <c r="CS240" s="40"/>
      <c r="CT240" s="40"/>
      <c r="CU240" s="40"/>
      <c r="CV240" s="40"/>
      <c r="CW240" s="40"/>
      <c r="CX240" s="40"/>
      <c r="CY240" s="40"/>
      <c r="CZ240" s="40"/>
      <c r="DA240" s="40"/>
      <c r="DB240" s="40"/>
      <c r="DC240" s="40"/>
      <c r="DD240" s="40"/>
      <c r="DE240" s="40"/>
      <c r="DF240" s="40"/>
      <c r="DG240" s="40"/>
      <c r="DH240" s="40"/>
      <c r="DI240" s="40"/>
      <c r="DJ240" s="40"/>
      <c r="DK240" s="40"/>
      <c r="DL240" s="40"/>
      <c r="DM240" s="40"/>
      <c r="DN240" s="40"/>
      <c r="DO240" s="40"/>
      <c r="DP240" s="40"/>
      <c r="DQ240" s="40"/>
      <c r="DR240" s="40"/>
      <c r="DS240" s="40"/>
      <c r="DT240" s="40"/>
      <c r="DU240" s="40"/>
      <c r="DV240" s="40"/>
      <c r="DW240" s="40"/>
      <c r="DX240" s="40"/>
      <c r="DY240" s="40"/>
      <c r="DZ240" s="40"/>
      <c r="EA240" s="40"/>
      <c r="EB240" s="40"/>
      <c r="EC240" s="40"/>
      <c r="ED240" s="38"/>
      <c r="EE240" s="38"/>
      <c r="EF240" s="38"/>
      <c r="EG240" s="38"/>
      <c r="EH240" s="38"/>
      <c r="EI240" s="38"/>
      <c r="EJ240" s="40"/>
      <c r="EK240" s="40"/>
      <c r="EL240" s="40"/>
      <c r="EM240" s="40"/>
      <c r="EN240" s="40"/>
      <c r="EO240" s="40"/>
      <c r="EP240" s="40"/>
      <c r="EQ240" s="40"/>
      <c r="ER240" s="40"/>
      <c r="ES240" s="40"/>
      <c r="ET240" s="40"/>
      <c r="EU240" s="40"/>
      <c r="EV240" s="40"/>
      <c r="EW240" s="40"/>
      <c r="EX240" s="40"/>
      <c r="EY240" s="40"/>
      <c r="EZ240" s="40"/>
      <c r="FA240" s="40"/>
      <c r="FB240" s="38">
        <v>1.0</v>
      </c>
      <c r="FC240" s="40"/>
      <c r="FD240" s="40"/>
      <c r="FE240" s="40"/>
      <c r="FF240" s="40"/>
      <c r="FG240" s="40"/>
      <c r="FH240" s="40"/>
      <c r="FI240" s="40"/>
      <c r="FJ240" s="40"/>
      <c r="FK240" s="40"/>
      <c r="FL240" s="40"/>
      <c r="FM240" s="40"/>
      <c r="FN240" s="40"/>
      <c r="FO240" s="40"/>
      <c r="FP240" s="40"/>
      <c r="FQ240" s="40"/>
      <c r="FR240" s="40"/>
      <c r="FS240" s="40"/>
      <c r="FT240" s="40"/>
      <c r="FU240" s="40"/>
      <c r="FV240" s="40"/>
      <c r="FW240" s="40"/>
      <c r="FX240" s="40"/>
      <c r="FY240" s="40"/>
      <c r="FZ240" s="40"/>
      <c r="GA240" s="38"/>
      <c r="GB240" s="38">
        <v>1.0</v>
      </c>
      <c r="GC240" s="40"/>
      <c r="GD240" s="40"/>
      <c r="GE240" s="40"/>
      <c r="GF240" s="40"/>
    </row>
    <row r="241">
      <c r="A241" s="37">
        <v>43735.0</v>
      </c>
      <c r="B241" s="38" t="s">
        <v>329</v>
      </c>
      <c r="C241" s="38">
        <v>21.1408</v>
      </c>
      <c r="D241" s="38">
        <v>-157.290115</v>
      </c>
      <c r="E241" s="38" t="s">
        <v>286</v>
      </c>
      <c r="F241" s="39">
        <v>0.3729166666666667</v>
      </c>
      <c r="G241" s="39">
        <v>0.38958333333333334</v>
      </c>
      <c r="H241" s="38">
        <v>6.0</v>
      </c>
      <c r="I241" s="38">
        <v>13.0</v>
      </c>
      <c r="J241" s="38" t="s">
        <v>198</v>
      </c>
      <c r="K241" s="38">
        <v>13.0</v>
      </c>
      <c r="L241" s="38">
        <v>42.0</v>
      </c>
      <c r="M241" s="38" t="s">
        <v>506</v>
      </c>
      <c r="N241" s="38"/>
      <c r="O241" s="38"/>
      <c r="P241" s="40"/>
      <c r="Q241" s="40"/>
      <c r="R241" s="38">
        <v>1.0</v>
      </c>
      <c r="S241" s="40"/>
      <c r="T241" s="40"/>
      <c r="U241" s="40"/>
      <c r="V241" s="40"/>
      <c r="W241" s="40"/>
      <c r="X241" s="40"/>
      <c r="Y241" s="40"/>
      <c r="Z241" s="40"/>
      <c r="AA241" s="40"/>
      <c r="AB241" s="40"/>
      <c r="AC241" s="40"/>
      <c r="AD241" s="40"/>
      <c r="AE241" s="40"/>
      <c r="AF241" s="38">
        <v>1.0</v>
      </c>
      <c r="AG241" s="40"/>
      <c r="AH241" s="40"/>
      <c r="AI241" s="40"/>
      <c r="AJ241" s="40"/>
      <c r="AK241" s="40"/>
      <c r="AL241" s="40"/>
      <c r="AM241" s="40"/>
      <c r="AN241" s="40"/>
      <c r="AO241" s="40"/>
      <c r="AP241" s="40"/>
      <c r="AQ241" s="40"/>
      <c r="AR241" s="38">
        <v>1.0</v>
      </c>
      <c r="AS241" s="40"/>
      <c r="AT241" s="40"/>
      <c r="AU241" s="40"/>
      <c r="AV241" s="40"/>
      <c r="AW241" s="40"/>
      <c r="AX241" s="40"/>
      <c r="AY241" s="40"/>
      <c r="AZ241" s="40"/>
      <c r="BA241" s="40"/>
      <c r="BB241" s="40"/>
      <c r="BC241" s="40"/>
      <c r="BD241" s="40"/>
      <c r="BE241" s="40"/>
      <c r="BF241" s="40"/>
      <c r="BG241" s="40"/>
      <c r="BH241" s="40"/>
      <c r="BI241" s="40"/>
      <c r="BJ241" s="40"/>
      <c r="BK241" s="40"/>
      <c r="BL241" s="40"/>
      <c r="BM241" s="40"/>
      <c r="BN241" s="38"/>
      <c r="BO241" s="38">
        <v>1.0</v>
      </c>
      <c r="BP241" s="40"/>
      <c r="BQ241" s="40"/>
      <c r="BR241" s="40"/>
      <c r="BS241" s="40"/>
      <c r="BT241" s="40"/>
      <c r="BU241" s="40"/>
      <c r="BV241" s="40"/>
      <c r="BW241" s="40"/>
      <c r="BX241" s="40"/>
      <c r="BY241" s="40"/>
      <c r="BZ241" s="38"/>
      <c r="CA241" s="38">
        <v>1.0</v>
      </c>
      <c r="CB241" s="40"/>
      <c r="CC241" s="40"/>
      <c r="CD241" s="40"/>
      <c r="CE241" s="40"/>
      <c r="CF241" s="40"/>
      <c r="CG241" s="40"/>
      <c r="CH241" s="40"/>
      <c r="CI241" s="40"/>
      <c r="CJ241" s="40"/>
      <c r="CK241" s="40"/>
      <c r="CL241" s="40"/>
      <c r="CM241" s="40"/>
      <c r="CN241" s="40"/>
      <c r="CO241" s="38"/>
      <c r="CP241" s="38"/>
      <c r="CQ241" s="38"/>
      <c r="CR241" s="38">
        <v>1.0</v>
      </c>
      <c r="CS241" s="40"/>
      <c r="CT241" s="40"/>
      <c r="CU241" s="40"/>
      <c r="CV241" s="40"/>
      <c r="CW241" s="40"/>
      <c r="CX241" s="40"/>
      <c r="CY241" s="40"/>
      <c r="CZ241" s="40"/>
      <c r="DA241" s="40"/>
      <c r="DB241" s="40"/>
      <c r="DC241" s="40"/>
      <c r="DD241" s="40"/>
      <c r="DE241" s="38"/>
      <c r="DF241" s="38">
        <v>1.0</v>
      </c>
      <c r="DG241" s="40"/>
      <c r="DH241" s="40"/>
      <c r="DI241" s="40"/>
      <c r="DJ241" s="40"/>
      <c r="DK241" s="40"/>
      <c r="DL241" s="40"/>
      <c r="DM241" s="40"/>
      <c r="DN241" s="40"/>
      <c r="DO241" s="40"/>
      <c r="DP241" s="40"/>
      <c r="DQ241" s="40"/>
      <c r="DR241" s="40"/>
      <c r="DS241" s="40"/>
      <c r="DT241" s="40"/>
      <c r="DU241" s="40"/>
      <c r="DV241" s="40"/>
      <c r="DW241" s="40"/>
      <c r="DX241" s="40"/>
      <c r="DY241" s="40"/>
      <c r="DZ241" s="40"/>
      <c r="EA241" s="40"/>
      <c r="EB241" s="40"/>
      <c r="EC241" s="40"/>
      <c r="ED241" s="38"/>
      <c r="EE241" s="38"/>
      <c r="EF241" s="38"/>
      <c r="EG241" s="38"/>
      <c r="EH241" s="38"/>
      <c r="EI241" s="38"/>
      <c r="EJ241" s="40"/>
      <c r="EK241" s="40"/>
      <c r="EL241" s="40"/>
      <c r="EM241" s="40"/>
      <c r="EN241" s="40"/>
      <c r="EO241" s="40"/>
      <c r="EP241" s="40"/>
      <c r="EQ241" s="40"/>
      <c r="ER241" s="40"/>
      <c r="ES241" s="40"/>
      <c r="ET241" s="40"/>
      <c r="EU241" s="40"/>
      <c r="EV241" s="40"/>
      <c r="EW241" s="40"/>
      <c r="EX241" s="40"/>
      <c r="EY241" s="40"/>
      <c r="EZ241" s="40"/>
      <c r="FA241" s="38">
        <v>1.0</v>
      </c>
      <c r="FB241" s="40"/>
      <c r="FC241" s="40"/>
      <c r="FD241" s="40"/>
      <c r="FE241" s="40"/>
      <c r="FF241" s="40"/>
      <c r="FG241" s="40"/>
      <c r="FH241" s="40"/>
      <c r="FI241" s="40"/>
      <c r="FJ241" s="40"/>
      <c r="FK241" s="40"/>
      <c r="FL241" s="40"/>
      <c r="FM241" s="40"/>
      <c r="FN241" s="40"/>
      <c r="FO241" s="40"/>
      <c r="FP241" s="40"/>
      <c r="FQ241" s="40"/>
      <c r="FR241" s="38">
        <v>1.0</v>
      </c>
      <c r="FS241" s="40"/>
      <c r="FT241" s="40"/>
      <c r="FU241" s="40"/>
      <c r="FV241" s="40"/>
      <c r="FW241" s="40"/>
      <c r="FX241" s="40"/>
      <c r="FY241" s="40"/>
      <c r="FZ241" s="40"/>
      <c r="GA241" s="40"/>
      <c r="GB241" s="40"/>
      <c r="GC241" s="40"/>
      <c r="GD241" s="40"/>
      <c r="GE241" s="40"/>
      <c r="GF241" s="40"/>
    </row>
    <row r="242">
      <c r="A242" s="48">
        <v>43839.0</v>
      </c>
      <c r="B242" s="7" t="s">
        <v>366</v>
      </c>
      <c r="C242" s="7">
        <v>19.715052</v>
      </c>
      <c r="D242" s="7">
        <v>-156.049133</v>
      </c>
      <c r="E242" s="7" t="s">
        <v>508</v>
      </c>
      <c r="F242" s="54">
        <v>0.451388888888889</v>
      </c>
      <c r="G242" s="54">
        <v>0.486111111111111</v>
      </c>
      <c r="H242" s="49">
        <v>5.0</v>
      </c>
      <c r="I242" s="49">
        <v>20.0</v>
      </c>
      <c r="J242" s="49" t="s">
        <v>198</v>
      </c>
      <c r="K242" s="49">
        <v>5.0</v>
      </c>
      <c r="L242" s="49">
        <v>20.0</v>
      </c>
      <c r="M242" s="49" t="s">
        <v>509</v>
      </c>
      <c r="N242" s="49"/>
      <c r="O242" s="49">
        <v>20.0</v>
      </c>
      <c r="P242" s="49"/>
      <c r="Q242" s="35"/>
      <c r="R242" s="49"/>
      <c r="S242" s="49">
        <v>1.0</v>
      </c>
      <c r="T242" s="49"/>
      <c r="U242" s="49"/>
      <c r="V242" s="49"/>
      <c r="W242" s="49"/>
      <c r="X242" s="49"/>
      <c r="Y242" s="49"/>
      <c r="Z242" s="49"/>
      <c r="AA242" s="49"/>
      <c r="AB242" s="49"/>
      <c r="AC242" s="49">
        <v>1.0</v>
      </c>
      <c r="AD242" s="35"/>
      <c r="AE242" s="35"/>
      <c r="AF242" s="35"/>
      <c r="AG242" s="35"/>
      <c r="AH242" s="35"/>
      <c r="AI242" s="35"/>
      <c r="AJ242" s="35"/>
      <c r="AK242" s="35"/>
      <c r="AL242" s="35"/>
      <c r="AM242" s="35"/>
      <c r="AN242" s="35"/>
      <c r="AO242" s="35"/>
      <c r="AP242" s="35"/>
      <c r="AQ242" s="35"/>
      <c r="AR242" s="35"/>
      <c r="AS242" s="35"/>
      <c r="AT242" s="35"/>
      <c r="AU242" s="35"/>
      <c r="AV242" s="35"/>
      <c r="AW242" s="35"/>
      <c r="AX242" s="35"/>
      <c r="AY242" s="35"/>
      <c r="AZ242" s="35"/>
      <c r="BA242" s="35"/>
      <c r="BB242" s="35"/>
      <c r="BC242" s="35"/>
      <c r="BD242" s="35"/>
      <c r="BE242" s="49"/>
      <c r="BF242" s="49"/>
      <c r="BG242" s="49"/>
      <c r="BH242" s="49"/>
      <c r="BI242" s="49"/>
      <c r="BJ242" s="49"/>
      <c r="BK242" s="49"/>
      <c r="BL242" s="49">
        <v>1.0</v>
      </c>
      <c r="BM242" s="35"/>
      <c r="BN242" s="35"/>
      <c r="BO242" s="35"/>
      <c r="BP242" s="35"/>
      <c r="BQ242" s="35"/>
      <c r="BR242" s="35"/>
      <c r="BS242" s="35"/>
      <c r="BT242" s="35"/>
      <c r="BU242" s="35"/>
      <c r="BV242" s="35"/>
      <c r="BW242" s="35"/>
      <c r="BX242" s="35"/>
      <c r="BY242" s="35"/>
      <c r="BZ242" s="35"/>
      <c r="CA242" s="35"/>
      <c r="CB242" s="35"/>
      <c r="CC242" s="35"/>
      <c r="CD242" s="35"/>
      <c r="CE242" s="35"/>
      <c r="CF242" s="35"/>
      <c r="CG242" s="35"/>
      <c r="CH242" s="35"/>
      <c r="CI242" s="35"/>
      <c r="CJ242" s="35"/>
      <c r="CK242" s="35"/>
      <c r="CL242" s="35"/>
      <c r="CM242" s="35"/>
      <c r="CN242" s="35"/>
      <c r="CO242" s="35"/>
      <c r="CP242" s="35"/>
      <c r="CQ242" s="35"/>
      <c r="CR242" s="35"/>
      <c r="CS242" s="35"/>
      <c r="CT242" s="35"/>
      <c r="CU242" s="49"/>
      <c r="CV242" s="49"/>
      <c r="CW242" s="49"/>
      <c r="CX242" s="49"/>
      <c r="CY242" s="49"/>
      <c r="CZ242" s="49">
        <v>1.0</v>
      </c>
      <c r="DA242" s="35"/>
      <c r="DB242" s="35"/>
      <c r="DC242" s="35"/>
      <c r="DD242" s="35"/>
      <c r="DE242" s="35"/>
      <c r="DF242" s="35"/>
      <c r="DG242" s="35"/>
      <c r="DH242" s="35"/>
      <c r="DI242" s="35"/>
      <c r="DJ242" s="35"/>
      <c r="DK242" s="35"/>
      <c r="DL242" s="35"/>
      <c r="DM242" s="49"/>
      <c r="DN242" s="49"/>
      <c r="DO242" s="49">
        <v>1.0</v>
      </c>
      <c r="DP242" s="35"/>
      <c r="DQ242" s="35"/>
      <c r="DR242" s="35"/>
      <c r="DS242" s="35"/>
      <c r="DT242" s="35"/>
      <c r="DU242" s="35"/>
      <c r="DV242" s="35"/>
      <c r="DW242" s="35"/>
      <c r="DX242" s="35"/>
      <c r="DY242" s="35"/>
      <c r="DZ242" s="35"/>
      <c r="EA242" s="35"/>
      <c r="EB242" s="35"/>
      <c r="EC242" s="35"/>
      <c r="ED242" s="35"/>
      <c r="EE242" s="35"/>
      <c r="EF242" s="35"/>
      <c r="EG242" s="35"/>
      <c r="EH242" s="35"/>
      <c r="EI242" s="35"/>
      <c r="EJ242" s="35"/>
      <c r="EK242" s="35"/>
      <c r="EL242" s="35"/>
      <c r="EM242" s="35"/>
      <c r="EN242" s="35"/>
      <c r="EO242" s="35"/>
      <c r="EP242" s="35"/>
      <c r="EQ242" s="35"/>
      <c r="ER242" s="35"/>
      <c r="ES242" s="35"/>
      <c r="ET242" s="35"/>
      <c r="EU242" s="35"/>
      <c r="EV242" s="35"/>
      <c r="EW242" s="35"/>
      <c r="EX242" s="35"/>
      <c r="EY242" s="35"/>
      <c r="EZ242" s="35"/>
      <c r="FA242" s="35"/>
      <c r="FB242" s="35"/>
      <c r="FC242" s="35"/>
      <c r="FD242" s="35"/>
      <c r="FE242" s="35"/>
      <c r="FF242" s="35"/>
      <c r="FG242" s="35"/>
      <c r="FH242" s="35"/>
      <c r="FI242" s="35"/>
      <c r="FJ242" s="35"/>
      <c r="FK242" s="35"/>
      <c r="FL242" s="35"/>
      <c r="FM242" s="35"/>
      <c r="FN242" s="35"/>
      <c r="FO242" s="35"/>
      <c r="FP242" s="35"/>
      <c r="FQ242" s="35"/>
      <c r="FR242" s="49">
        <v>1.0</v>
      </c>
      <c r="FS242" s="49"/>
      <c r="FT242" s="49"/>
      <c r="FU242" s="49"/>
      <c r="FV242" s="49">
        <v>1.0</v>
      </c>
      <c r="FY242" s="35"/>
      <c r="FZ242" s="35"/>
      <c r="GA242" s="35"/>
      <c r="GB242" s="35"/>
      <c r="GC242" s="35"/>
      <c r="GD242" s="35"/>
      <c r="GE242" s="35"/>
      <c r="GF242" s="35"/>
    </row>
    <row r="243">
      <c r="A243" s="48">
        <v>43840.0</v>
      </c>
      <c r="B243" s="7" t="s">
        <v>511</v>
      </c>
      <c r="C243" s="7">
        <v>19.5791</v>
      </c>
      <c r="D243" s="49">
        <v>-155.967804</v>
      </c>
      <c r="E243" s="7" t="s">
        <v>508</v>
      </c>
      <c r="F243" s="54">
        <v>0.425</v>
      </c>
      <c r="G243" s="54">
        <v>0.461805555555556</v>
      </c>
      <c r="H243" s="49">
        <v>5.0</v>
      </c>
      <c r="I243" s="49">
        <v>20.0</v>
      </c>
      <c r="J243" s="49" t="s">
        <v>198</v>
      </c>
      <c r="K243" s="49">
        <v>5.0</v>
      </c>
      <c r="L243" s="4">
        <v>24.0</v>
      </c>
      <c r="M243" s="4" t="s">
        <v>512</v>
      </c>
      <c r="O243" s="4">
        <v>24.0</v>
      </c>
      <c r="BE243" s="4"/>
      <c r="BF243" s="4"/>
      <c r="BG243" s="4"/>
      <c r="BH243" s="4"/>
      <c r="BI243" s="4"/>
      <c r="BJ243" s="4"/>
      <c r="BK243" s="4"/>
      <c r="BL243" s="4">
        <v>1.0</v>
      </c>
      <c r="FR243" s="4">
        <v>1.0</v>
      </c>
    </row>
    <row r="244">
      <c r="A244" s="55">
        <v>43868.0</v>
      </c>
      <c r="B244" s="7" t="s">
        <v>511</v>
      </c>
      <c r="C244" s="7">
        <v>19.5791</v>
      </c>
      <c r="D244" s="7">
        <v>-155.967804</v>
      </c>
      <c r="E244" s="4" t="s">
        <v>508</v>
      </c>
      <c r="F244" s="54">
        <v>0.420833333333333</v>
      </c>
      <c r="G244" s="54">
        <v>0.451388888888889</v>
      </c>
      <c r="H244" s="4">
        <v>5.0</v>
      </c>
      <c r="I244" s="4">
        <v>20.0</v>
      </c>
      <c r="J244" s="4" t="s">
        <v>198</v>
      </c>
      <c r="K244" s="4">
        <v>5.0</v>
      </c>
      <c r="L244" s="4">
        <v>25.0</v>
      </c>
      <c r="O244" s="4">
        <v>25.0</v>
      </c>
      <c r="BE244" s="4"/>
      <c r="BF244" s="4"/>
      <c r="BG244" s="4"/>
      <c r="BH244" s="4"/>
      <c r="BI244" s="4"/>
      <c r="BJ244" s="4"/>
      <c r="BK244" s="4"/>
      <c r="BL244" s="4">
        <v>1.0</v>
      </c>
      <c r="CH244" s="4"/>
      <c r="CI244" s="4"/>
      <c r="CJ244" s="4"/>
      <c r="CK244" s="4"/>
      <c r="CL244" s="4"/>
      <c r="CM244" s="4"/>
      <c r="CN244" s="4"/>
      <c r="CO244" s="4"/>
      <c r="CP244" s="4"/>
      <c r="CQ244" s="4"/>
      <c r="CR244" s="4"/>
      <c r="CS244" s="4"/>
      <c r="CT244" s="4">
        <v>1.0</v>
      </c>
      <c r="FR244" s="4">
        <v>1.0</v>
      </c>
    </row>
    <row r="245">
      <c r="A245" s="23">
        <v>43882.0</v>
      </c>
      <c r="B245" s="4" t="s">
        <v>340</v>
      </c>
      <c r="C245" s="7">
        <v>19.643276</v>
      </c>
      <c r="D245" s="4">
        <v>-156.010193</v>
      </c>
      <c r="E245" s="7" t="s">
        <v>508</v>
      </c>
      <c r="F245" s="54">
        <v>0.41875</v>
      </c>
      <c r="G245" s="54">
        <v>0.444444444444444</v>
      </c>
      <c r="H245" s="4">
        <v>5.0</v>
      </c>
      <c r="I245" s="4">
        <v>20.0</v>
      </c>
      <c r="J245" s="4" t="s">
        <v>198</v>
      </c>
      <c r="K245" s="4">
        <v>5.0</v>
      </c>
      <c r="L245" s="4">
        <v>25.0</v>
      </c>
      <c r="O245" s="4">
        <v>25.0</v>
      </c>
      <c r="BE245" s="4"/>
      <c r="BF245" s="4"/>
      <c r="BG245" s="4"/>
      <c r="BH245" s="4"/>
      <c r="BI245" s="4"/>
      <c r="BJ245" s="4"/>
      <c r="BK245" s="4"/>
      <c r="BL245" s="4">
        <v>1.0</v>
      </c>
      <c r="BW245" s="4"/>
      <c r="BZ245" s="4"/>
      <c r="CA245" s="4"/>
      <c r="CB245" s="4">
        <v>1.0</v>
      </c>
      <c r="DM245" s="4"/>
      <c r="DN245" s="4"/>
      <c r="DO245" s="4"/>
      <c r="DP245" s="4"/>
      <c r="DQ245" s="4"/>
      <c r="DR245" s="4"/>
      <c r="DS245" s="4"/>
      <c r="DT245" s="4"/>
      <c r="DU245" s="4"/>
      <c r="DV245" s="4"/>
      <c r="DW245" s="4"/>
      <c r="DX245" s="4"/>
      <c r="DY245" s="4"/>
      <c r="DZ245" s="4"/>
      <c r="EA245" s="4"/>
      <c r="EB245" s="4"/>
      <c r="EC245" s="4"/>
      <c r="ED245" s="4"/>
      <c r="EE245" s="4"/>
      <c r="EF245" s="4"/>
      <c r="EG245" s="4"/>
      <c r="EH245" s="4"/>
      <c r="EI245" s="4">
        <v>1.0</v>
      </c>
      <c r="FF245" s="4"/>
      <c r="FG245" s="4"/>
      <c r="FH245" s="4"/>
      <c r="FI245" s="4"/>
      <c r="FJ245" s="4"/>
      <c r="FK245" s="4"/>
      <c r="FL245" s="4">
        <v>1.0</v>
      </c>
      <c r="FM245" s="4"/>
      <c r="FN245" s="4"/>
      <c r="FO245" s="4"/>
      <c r="FP245" s="4"/>
      <c r="FQ245" s="4">
        <v>1.0</v>
      </c>
      <c r="FR245" s="4">
        <v>1.0</v>
      </c>
      <c r="FS245" s="4"/>
      <c r="FT245" s="4"/>
      <c r="FU245" s="4"/>
      <c r="FV245" s="4">
        <v>1.0</v>
      </c>
    </row>
    <row r="246">
      <c r="A246" s="56">
        <v>43885.0</v>
      </c>
      <c r="B246" s="4" t="s">
        <v>233</v>
      </c>
      <c r="C246" s="7">
        <v>21.066799</v>
      </c>
      <c r="D246" s="4">
        <v>-156.804993</v>
      </c>
      <c r="E246" s="4" t="s">
        <v>286</v>
      </c>
      <c r="F246" s="54">
        <v>0.475694444444444</v>
      </c>
      <c r="G246" s="57">
        <v>0.5104166666666666</v>
      </c>
      <c r="H246" s="4">
        <v>5.0</v>
      </c>
      <c r="I246" s="4">
        <v>25.0</v>
      </c>
      <c r="J246" s="4" t="s">
        <v>198</v>
      </c>
      <c r="K246" s="4">
        <v>7.0</v>
      </c>
      <c r="L246" s="4">
        <v>28.0</v>
      </c>
      <c r="M246" s="4" t="s">
        <v>516</v>
      </c>
      <c r="N246" s="4"/>
      <c r="O246" s="4">
        <v>28.0</v>
      </c>
      <c r="Q246" s="4">
        <v>1.0</v>
      </c>
      <c r="AE246" s="4"/>
      <c r="AF246" s="4"/>
      <c r="AG246" s="4"/>
      <c r="AH246" s="4"/>
      <c r="AI246" s="4"/>
      <c r="AJ246" s="4"/>
      <c r="AK246" s="4"/>
      <c r="AL246" s="4"/>
      <c r="AM246" s="4">
        <v>1.0</v>
      </c>
      <c r="BE246" s="4"/>
      <c r="BF246" s="4"/>
      <c r="BG246" s="4"/>
      <c r="BH246" s="4"/>
      <c r="BI246" s="4"/>
      <c r="BJ246" s="4"/>
      <c r="BK246" s="4"/>
      <c r="BL246" s="4">
        <v>1.0</v>
      </c>
      <c r="BM246" s="4"/>
      <c r="BN246" s="4"/>
      <c r="BO246" s="4"/>
      <c r="BP246" s="4"/>
      <c r="BQ246" s="4"/>
      <c r="BR246" s="4"/>
      <c r="BS246" s="4"/>
      <c r="BT246" s="4"/>
      <c r="BU246" s="4">
        <v>1.0</v>
      </c>
      <c r="BV246" s="4"/>
      <c r="BX246" s="4"/>
      <c r="BY246" s="4">
        <v>1.0</v>
      </c>
      <c r="CH246" s="4"/>
      <c r="CI246" s="4"/>
      <c r="CJ246" s="4"/>
      <c r="CK246" s="4"/>
      <c r="CL246" s="4"/>
      <c r="CM246" s="4"/>
      <c r="CN246" s="4"/>
      <c r="CO246" s="4"/>
      <c r="CP246" s="4"/>
      <c r="CQ246" s="4"/>
      <c r="CR246" s="4"/>
      <c r="CS246" s="4"/>
      <c r="CT246" s="4"/>
      <c r="CU246" s="4"/>
      <c r="CV246" s="4"/>
      <c r="CW246" s="4"/>
      <c r="CX246" s="4"/>
      <c r="CY246" s="4"/>
      <c r="CZ246" s="4"/>
      <c r="DA246" s="4"/>
      <c r="DB246" s="4"/>
      <c r="DC246" s="4"/>
      <c r="DD246" s="4"/>
      <c r="DE246" s="4"/>
      <c r="DF246" s="4">
        <v>1.0</v>
      </c>
      <c r="DG246" s="4"/>
      <c r="DH246" s="4"/>
      <c r="DI246" s="4"/>
      <c r="DJ246" s="4"/>
      <c r="DK246" s="4"/>
      <c r="DL246" s="4">
        <v>1.0</v>
      </c>
      <c r="DM246" s="4"/>
      <c r="DN246" s="4"/>
      <c r="DO246" s="4"/>
      <c r="DP246" s="4"/>
      <c r="DQ246" s="4"/>
      <c r="DR246" s="4"/>
      <c r="DS246" s="4"/>
      <c r="DT246" s="4"/>
      <c r="DU246" s="4"/>
      <c r="DV246" s="4"/>
      <c r="DW246" s="4"/>
      <c r="DX246" s="4"/>
      <c r="DY246" s="4"/>
      <c r="DZ246" s="4"/>
      <c r="EA246" s="4"/>
      <c r="EB246" s="4"/>
      <c r="EC246" s="4"/>
      <c r="ED246" s="4"/>
      <c r="EE246" s="4"/>
      <c r="EF246" s="4"/>
      <c r="EG246" s="4"/>
      <c r="EH246" s="4"/>
      <c r="EI246" s="4">
        <v>1.0</v>
      </c>
      <c r="EJ246" s="4"/>
      <c r="EK246" s="4"/>
      <c r="EL246" s="4"/>
      <c r="EM246" s="4"/>
      <c r="EN246" s="4"/>
      <c r="EO246" s="4"/>
      <c r="EP246" s="4"/>
      <c r="EQ246" s="4"/>
      <c r="ER246" s="4"/>
      <c r="ES246" s="4"/>
      <c r="ET246" s="4"/>
      <c r="EU246" s="4"/>
      <c r="EV246" s="4"/>
      <c r="EW246" s="4"/>
      <c r="EX246" s="4"/>
      <c r="EY246" s="4"/>
      <c r="EZ246" s="4"/>
      <c r="FA246" s="4"/>
      <c r="FB246" s="4"/>
      <c r="FC246" s="4"/>
      <c r="FD246" s="4"/>
      <c r="FE246" s="4">
        <v>1.0</v>
      </c>
      <c r="FF246" s="4"/>
      <c r="FG246" s="4"/>
      <c r="FH246" s="4"/>
      <c r="FI246" s="4"/>
      <c r="FJ246" s="4"/>
      <c r="FK246" s="4"/>
      <c r="FL246" s="4"/>
      <c r="FM246" s="4"/>
      <c r="FN246" s="4"/>
      <c r="FO246" s="4"/>
      <c r="FP246" s="4"/>
      <c r="FQ246" s="4"/>
      <c r="FR246" s="4">
        <v>1.0</v>
      </c>
      <c r="FS246" s="4"/>
      <c r="FT246" s="4"/>
      <c r="FU246" s="4"/>
      <c r="FV246" s="4"/>
      <c r="FY246" s="4"/>
      <c r="FZ246" s="4"/>
      <c r="GA246" s="4"/>
      <c r="GB246" s="4"/>
      <c r="GC246" s="4"/>
      <c r="GD246" s="4"/>
      <c r="GE246" s="4"/>
      <c r="GF246" s="4">
        <v>1.0</v>
      </c>
    </row>
    <row r="247">
      <c r="A247" s="58">
        <v>43893.0</v>
      </c>
      <c r="B247" s="12" t="s">
        <v>244</v>
      </c>
      <c r="C247" s="45">
        <v>21.310612</v>
      </c>
      <c r="D247" s="45">
        <v>-158.00441</v>
      </c>
      <c r="E247" s="14" t="s">
        <v>326</v>
      </c>
      <c r="F247" s="59">
        <v>0.395833333333333</v>
      </c>
      <c r="G247" s="59">
        <v>0.458333333333333</v>
      </c>
      <c r="H247" s="45">
        <v>5.0</v>
      </c>
      <c r="I247" s="45">
        <v>8.0</v>
      </c>
      <c r="J247" s="8" t="s">
        <v>318</v>
      </c>
      <c r="K247" s="45">
        <v>4.0</v>
      </c>
      <c r="L247" s="4">
        <v>9.0</v>
      </c>
      <c r="M247" s="4" t="s">
        <v>518</v>
      </c>
      <c r="N247" s="4"/>
      <c r="O247" s="4">
        <v>9.0</v>
      </c>
      <c r="P247" s="4" t="s">
        <v>519</v>
      </c>
      <c r="Q247" s="4">
        <v>1.0</v>
      </c>
      <c r="R247" s="4"/>
      <c r="S247" s="4"/>
      <c r="T247" s="4"/>
      <c r="U247" s="4"/>
      <c r="V247" s="4"/>
      <c r="W247" s="4"/>
      <c r="X247" s="4"/>
      <c r="Y247" s="4"/>
      <c r="Z247" s="4"/>
      <c r="AA247" s="4"/>
      <c r="AB247" s="4"/>
      <c r="AC247" s="4"/>
      <c r="AD247" s="4">
        <v>1.0</v>
      </c>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v>1.0</v>
      </c>
      <c r="CH247" s="4"/>
      <c r="CI247" s="4"/>
      <c r="CJ247" s="4"/>
      <c r="CK247" s="4"/>
      <c r="CL247" s="4"/>
      <c r="CM247" s="4"/>
      <c r="CN247" s="4"/>
      <c r="CO247" s="4"/>
      <c r="CP247" s="4"/>
      <c r="CQ247" s="4"/>
      <c r="CR247" s="4"/>
      <c r="CS247" s="4"/>
      <c r="CT247" s="4"/>
      <c r="CU247" s="4"/>
      <c r="CV247" s="4"/>
      <c r="CW247" s="4"/>
      <c r="CX247" s="4"/>
      <c r="CY247" s="4"/>
      <c r="CZ247" s="4"/>
      <c r="DA247" s="4"/>
      <c r="DB247" s="4"/>
      <c r="DC247" s="4"/>
      <c r="DD247" s="4"/>
      <c r="DE247" s="4"/>
      <c r="DF247" s="4"/>
      <c r="DG247" s="4"/>
      <c r="DH247" s="4"/>
      <c r="DI247" s="4"/>
      <c r="DJ247" s="4"/>
      <c r="DK247" s="4"/>
      <c r="DL247" s="4"/>
      <c r="DM247" s="4"/>
      <c r="DN247" s="4"/>
      <c r="DO247" s="4"/>
      <c r="DP247" s="4"/>
      <c r="DQ247" s="4"/>
      <c r="DR247" s="4"/>
      <c r="DS247" s="4"/>
      <c r="DT247" s="4"/>
      <c r="DU247" s="4"/>
      <c r="DV247" s="4"/>
      <c r="DW247" s="4"/>
      <c r="DX247" s="4"/>
      <c r="DY247" s="4"/>
      <c r="DZ247" s="4"/>
      <c r="EA247" s="4"/>
      <c r="EB247" s="4"/>
      <c r="EC247" s="4"/>
      <c r="ED247" s="4"/>
      <c r="EE247" s="4"/>
      <c r="EF247" s="4"/>
      <c r="EG247" s="4"/>
      <c r="EH247" s="4"/>
      <c r="EI247" s="4">
        <v>1.0</v>
      </c>
      <c r="EJ247" s="4"/>
      <c r="EK247" s="4"/>
      <c r="EL247" s="4"/>
      <c r="EM247" s="4"/>
      <c r="EN247" s="4"/>
      <c r="EO247" s="4"/>
      <c r="EP247" s="4"/>
      <c r="EQ247" s="4"/>
      <c r="ER247" s="4"/>
      <c r="ES247" s="4"/>
      <c r="ET247" s="4"/>
      <c r="EU247" s="4"/>
      <c r="EV247" s="4"/>
      <c r="EW247" s="4"/>
      <c r="EX247" s="4"/>
      <c r="EY247" s="4"/>
      <c r="EZ247" s="4"/>
      <c r="FA247" s="4"/>
      <c r="FB247" s="4"/>
      <c r="FC247" s="4"/>
      <c r="FD247" s="4"/>
      <c r="FE247" s="4"/>
      <c r="FF247" s="4"/>
      <c r="FG247" s="4"/>
      <c r="FH247" s="4"/>
      <c r="FI247" s="4"/>
      <c r="FJ247" s="4"/>
      <c r="FK247" s="4"/>
      <c r="FL247" s="4"/>
      <c r="FM247" s="4"/>
      <c r="FN247" s="4"/>
      <c r="FO247" s="4"/>
      <c r="FP247" s="4"/>
      <c r="FQ247" s="4"/>
      <c r="FR247" s="4">
        <v>1.0</v>
      </c>
    </row>
    <row r="248">
      <c r="A248" s="58">
        <v>43901.0</v>
      </c>
      <c r="B248" s="14" t="s">
        <v>456</v>
      </c>
      <c r="C248" s="45">
        <v>21.316488</v>
      </c>
      <c r="D248" s="45">
        <v>-157.664261</v>
      </c>
      <c r="E248" s="14" t="s">
        <v>469</v>
      </c>
      <c r="F248" s="59">
        <v>0.375694444444444</v>
      </c>
      <c r="G248" s="59">
        <v>0.416666666666667</v>
      </c>
      <c r="H248" s="45">
        <v>5.0</v>
      </c>
      <c r="I248" s="45">
        <v>40.0</v>
      </c>
      <c r="J248" s="12" t="s">
        <v>470</v>
      </c>
      <c r="K248" s="45">
        <v>5.0</v>
      </c>
      <c r="L248" s="4">
        <v>25.0</v>
      </c>
      <c r="M248" s="4"/>
      <c r="N248" s="4"/>
      <c r="O248" s="4">
        <v>25.0</v>
      </c>
      <c r="P248" s="4" t="s">
        <v>521</v>
      </c>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v>1.0</v>
      </c>
      <c r="BM248" s="4"/>
      <c r="BN248" s="4"/>
      <c r="BO248" s="4"/>
      <c r="BP248" s="4"/>
      <c r="BQ248" s="4"/>
      <c r="BR248" s="4"/>
      <c r="BS248" s="4"/>
      <c r="BT248" s="4"/>
      <c r="BU248" s="4"/>
      <c r="BV248" s="4"/>
      <c r="BW248" s="4"/>
      <c r="BX248" s="4"/>
      <c r="BY248" s="4"/>
      <c r="BZ248" s="4"/>
      <c r="CA248" s="4"/>
      <c r="CB248" s="4">
        <v>1.0</v>
      </c>
      <c r="CC248" s="4"/>
      <c r="CD248" s="4"/>
      <c r="CE248" s="4"/>
      <c r="CF248" s="4"/>
      <c r="CG248" s="4">
        <v>1.0</v>
      </c>
      <c r="CH248" s="4"/>
      <c r="CI248" s="4"/>
      <c r="CJ248" s="4"/>
      <c r="CK248" s="4"/>
      <c r="CL248" s="4"/>
      <c r="CM248" s="4"/>
      <c r="CN248" s="4"/>
      <c r="CO248" s="4"/>
      <c r="CP248" s="4"/>
      <c r="CQ248" s="4"/>
      <c r="CR248" s="4"/>
      <c r="CS248" s="4"/>
      <c r="CT248" s="4"/>
      <c r="CU248" s="4"/>
      <c r="CV248" s="4"/>
      <c r="CW248" s="4"/>
      <c r="CX248" s="4"/>
      <c r="CY248" s="4"/>
      <c r="CZ248" s="4"/>
      <c r="DA248" s="4"/>
      <c r="DB248" s="4"/>
      <c r="DC248" s="4"/>
      <c r="DD248" s="4"/>
      <c r="DE248" s="4"/>
      <c r="DF248" s="4"/>
      <c r="DG248" s="4"/>
      <c r="DH248" s="4"/>
      <c r="DI248" s="4"/>
      <c r="DJ248" s="4"/>
      <c r="DK248" s="4"/>
      <c r="DL248" s="4"/>
      <c r="DM248" s="4"/>
      <c r="DN248" s="4"/>
      <c r="DO248" s="4"/>
      <c r="DP248" s="4"/>
      <c r="DQ248" s="4"/>
      <c r="DR248" s="4"/>
      <c r="DS248" s="4"/>
      <c r="DT248" s="4"/>
      <c r="DU248" s="4"/>
      <c r="DV248" s="4"/>
      <c r="DW248" s="4"/>
      <c r="DX248" s="4"/>
      <c r="DY248" s="4"/>
      <c r="DZ248" s="4"/>
      <c r="EA248" s="4"/>
      <c r="EB248" s="4"/>
      <c r="EC248" s="4"/>
      <c r="ED248" s="4"/>
      <c r="EE248" s="4"/>
      <c r="EF248" s="4"/>
      <c r="EG248" s="4"/>
      <c r="EH248" s="4"/>
      <c r="EI248" s="4">
        <v>1.0</v>
      </c>
      <c r="EJ248" s="4"/>
      <c r="EK248" s="4"/>
      <c r="EL248" s="4"/>
      <c r="EM248" s="4"/>
      <c r="EN248" s="4"/>
      <c r="EO248" s="4"/>
      <c r="EP248" s="4"/>
      <c r="EQ248" s="4"/>
      <c r="ER248" s="4"/>
      <c r="ES248" s="4"/>
      <c r="ET248" s="4"/>
      <c r="EU248" s="4"/>
      <c r="EV248" s="4"/>
      <c r="EW248" s="4"/>
      <c r="EX248" s="4"/>
      <c r="EY248" s="4"/>
      <c r="EZ248" s="4"/>
      <c r="FA248" s="4"/>
      <c r="FB248" s="4"/>
      <c r="FC248" s="4"/>
      <c r="FD248" s="4"/>
      <c r="FE248" s="4"/>
      <c r="FF248" s="4"/>
      <c r="FG248" s="4"/>
      <c r="FH248" s="4"/>
      <c r="FI248" s="4"/>
      <c r="FJ248" s="4"/>
      <c r="FK248" s="4"/>
      <c r="FL248" s="4"/>
      <c r="FM248" s="4"/>
      <c r="FN248" s="4"/>
      <c r="FO248" s="4"/>
      <c r="FP248" s="4"/>
      <c r="FQ248" s="4"/>
      <c r="FR248" s="4">
        <v>1.0</v>
      </c>
      <c r="FS248" s="4"/>
      <c r="FT248" s="4"/>
      <c r="FU248" s="4"/>
      <c r="FV248" s="4"/>
      <c r="FY248" s="4"/>
      <c r="FZ248" s="4"/>
      <c r="GA248" s="4"/>
      <c r="GB248" s="4"/>
      <c r="GC248" s="4"/>
      <c r="GD248" s="4"/>
      <c r="GE248" s="4"/>
      <c r="GF248" s="4"/>
    </row>
    <row r="249">
      <c r="A249" s="31">
        <v>43902.0</v>
      </c>
      <c r="B249" s="32" t="s">
        <v>456</v>
      </c>
      <c r="C249" s="32">
        <v>21.316488</v>
      </c>
      <c r="D249" s="32">
        <v>-157.664261</v>
      </c>
      <c r="E249" s="32" t="s">
        <v>607</v>
      </c>
      <c r="F249" s="33">
        <v>0.4166666666666667</v>
      </c>
      <c r="G249" s="33">
        <v>0.4895833333333333</v>
      </c>
      <c r="H249" s="32">
        <v>3.0</v>
      </c>
      <c r="I249" s="32">
        <v>10.0</v>
      </c>
      <c r="J249" s="32" t="s">
        <v>227</v>
      </c>
      <c r="K249" s="32">
        <v>10.0</v>
      </c>
      <c r="L249" s="34"/>
      <c r="M249" s="34"/>
      <c r="N249" s="34"/>
      <c r="O249" s="34"/>
      <c r="P249" s="34"/>
      <c r="Q249" s="34"/>
      <c r="R249" s="34"/>
      <c r="S249" s="34"/>
      <c r="T249" s="34"/>
      <c r="U249" s="34"/>
      <c r="V249" s="34"/>
      <c r="W249" s="34"/>
      <c r="X249" s="34"/>
      <c r="Y249" s="34"/>
      <c r="Z249" s="34"/>
      <c r="AA249" s="34"/>
      <c r="AB249" s="34"/>
      <c r="AC249" s="34"/>
      <c r="AD249" s="34"/>
      <c r="AE249" s="34"/>
      <c r="AF249" s="34"/>
      <c r="AG249" s="34"/>
      <c r="AH249" s="34"/>
      <c r="AI249" s="34"/>
      <c r="AJ249" s="34"/>
      <c r="AK249" s="34"/>
      <c r="AL249" s="34"/>
      <c r="AM249" s="34"/>
      <c r="AN249" s="34"/>
      <c r="AO249" s="34"/>
      <c r="AP249" s="34"/>
      <c r="AQ249" s="34"/>
      <c r="AR249" s="34"/>
      <c r="AS249" s="34"/>
      <c r="AT249" s="34"/>
      <c r="AU249" s="34"/>
      <c r="AV249" s="34"/>
      <c r="AW249" s="34"/>
      <c r="AX249" s="34"/>
      <c r="AY249" s="34"/>
      <c r="AZ249" s="34"/>
      <c r="BA249" s="34"/>
      <c r="BB249" s="34"/>
      <c r="BC249" s="34"/>
      <c r="BD249" s="34"/>
      <c r="BE249" s="34"/>
      <c r="BF249" s="34"/>
      <c r="BG249" s="34"/>
      <c r="BH249" s="34"/>
      <c r="BI249" s="34"/>
      <c r="BJ249" s="34"/>
      <c r="BK249" s="34"/>
      <c r="BL249" s="34"/>
      <c r="BM249" s="34"/>
      <c r="BN249" s="34"/>
      <c r="BO249" s="34"/>
      <c r="BP249" s="34"/>
      <c r="BQ249" s="34"/>
      <c r="BR249" s="34"/>
      <c r="BS249" s="34"/>
      <c r="BT249" s="34"/>
      <c r="BU249" s="34"/>
      <c r="BV249" s="34"/>
      <c r="BW249" s="34"/>
      <c r="BX249" s="34"/>
      <c r="BY249" s="34"/>
      <c r="BZ249" s="34"/>
      <c r="CA249" s="34"/>
      <c r="CB249" s="34"/>
      <c r="CC249" s="34"/>
      <c r="CD249" s="34"/>
      <c r="CE249" s="34"/>
      <c r="CF249" s="34"/>
      <c r="CG249" s="34"/>
      <c r="CH249" s="34"/>
      <c r="CI249" s="34"/>
      <c r="CJ249" s="34"/>
      <c r="CK249" s="34"/>
      <c r="CL249" s="34"/>
      <c r="CM249" s="34"/>
      <c r="CN249" s="34"/>
      <c r="CO249" s="34"/>
      <c r="CP249" s="34"/>
      <c r="CQ249" s="34"/>
      <c r="CR249" s="34"/>
      <c r="CS249" s="34"/>
      <c r="CT249" s="34"/>
      <c r="CU249" s="34"/>
      <c r="CV249" s="34"/>
      <c r="CW249" s="34"/>
      <c r="CX249" s="34"/>
      <c r="CY249" s="34"/>
      <c r="CZ249" s="34"/>
      <c r="DA249" s="34"/>
      <c r="DB249" s="34"/>
      <c r="DC249" s="34"/>
      <c r="DD249" s="34"/>
      <c r="DE249" s="34"/>
      <c r="DF249" s="34"/>
      <c r="DG249" s="34"/>
      <c r="DH249" s="34"/>
      <c r="DI249" s="34"/>
      <c r="DJ249" s="34"/>
      <c r="DK249" s="34"/>
      <c r="DL249" s="34"/>
      <c r="DM249" s="34"/>
      <c r="DN249" s="34"/>
      <c r="DO249" s="34"/>
      <c r="DP249" s="34"/>
      <c r="DQ249" s="34"/>
      <c r="DR249" s="34"/>
      <c r="DS249" s="34"/>
      <c r="DT249" s="34"/>
      <c r="DU249" s="34"/>
      <c r="DV249" s="34"/>
      <c r="DW249" s="34"/>
      <c r="DX249" s="34"/>
      <c r="DY249" s="34"/>
      <c r="DZ249" s="34"/>
      <c r="EA249" s="34"/>
      <c r="EB249" s="34"/>
      <c r="EC249" s="34"/>
      <c r="ED249" s="34"/>
      <c r="EE249" s="34"/>
      <c r="EF249" s="34"/>
      <c r="EG249" s="34"/>
      <c r="EH249" s="34"/>
      <c r="EI249" s="34"/>
      <c r="EJ249" s="34"/>
      <c r="EK249" s="34"/>
      <c r="EL249" s="34"/>
      <c r="EM249" s="34"/>
      <c r="EN249" s="34"/>
      <c r="EO249" s="34"/>
      <c r="EP249" s="34"/>
      <c r="EQ249" s="34"/>
      <c r="ER249" s="34"/>
      <c r="ES249" s="34"/>
      <c r="ET249" s="34"/>
      <c r="EU249" s="34"/>
      <c r="EV249" s="34"/>
      <c r="EW249" s="34"/>
      <c r="EX249" s="34"/>
      <c r="EY249" s="34"/>
      <c r="EZ249" s="34"/>
      <c r="FA249" s="34"/>
      <c r="FB249" s="34"/>
      <c r="FC249" s="34"/>
      <c r="FD249" s="34"/>
      <c r="FE249" s="34"/>
      <c r="FF249" s="34"/>
      <c r="FG249" s="34"/>
      <c r="FH249" s="34"/>
      <c r="FI249" s="34"/>
      <c r="FJ249" s="34"/>
      <c r="FK249" s="34"/>
      <c r="FL249" s="34"/>
      <c r="FM249" s="34"/>
      <c r="FN249" s="34"/>
      <c r="FO249" s="34"/>
      <c r="FP249" s="34"/>
      <c r="FQ249" s="34"/>
      <c r="FR249" s="34"/>
      <c r="FS249" s="34"/>
      <c r="FT249" s="34"/>
      <c r="FU249" s="34"/>
      <c r="FV249" s="34"/>
      <c r="FW249" s="34"/>
      <c r="FX249" s="34"/>
      <c r="FY249" s="34"/>
      <c r="FZ249" s="34"/>
      <c r="GA249" s="34"/>
      <c r="GB249" s="34"/>
      <c r="GC249" s="34"/>
      <c r="GD249" s="34"/>
      <c r="GE249" s="34"/>
      <c r="GF249" s="3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9.75"/>
    <col customWidth="1" min="2" max="2" width="17.88"/>
    <col customWidth="1" min="5" max="5" width="28.5"/>
    <col customWidth="1" min="6" max="6" width="10.13"/>
    <col customWidth="1" min="7" max="7" width="9.88"/>
    <col customWidth="1" min="8" max="8" width="8.38"/>
    <col customWidth="1" min="9" max="9" width="13.5"/>
    <col customWidth="1" min="10" max="10" width="9.5"/>
    <col customWidth="1" min="11" max="11" width="13.13"/>
    <col customWidth="1" min="12" max="12" width="21.13"/>
    <col customWidth="1" min="13" max="13" width="16.13"/>
    <col customWidth="1" min="15" max="15" width="16.0"/>
    <col customWidth="1" min="17" max="17" width="20.75"/>
    <col customWidth="1" min="18" max="19" width="19.25"/>
    <col customWidth="1" min="20" max="29" width="24.75"/>
    <col customWidth="1" min="30" max="30" width="21.38"/>
    <col customWidth="1" min="31" max="31" width="13.13"/>
    <col customWidth="1" min="32" max="32" width="13.38"/>
    <col customWidth="1" min="33" max="33" width="16.75"/>
    <col customWidth="1" min="34" max="34" width="17.75"/>
    <col customWidth="1" min="35" max="36" width="21.13"/>
    <col customWidth="1" min="37" max="38" width="13.38"/>
    <col customWidth="1" min="39" max="39" width="11.13"/>
    <col customWidth="1" min="40" max="41" width="17.38"/>
    <col customWidth="1" min="42" max="44" width="20.0"/>
    <col customWidth="1" min="45" max="47" width="17.13"/>
    <col customWidth="1" min="48" max="49" width="20.5"/>
    <col customWidth="1" min="50" max="51" width="17.13"/>
    <col customWidth="1" min="52" max="53" width="28.38"/>
    <col customWidth="1" min="54" max="54" width="17.13"/>
    <col customWidth="1" min="55" max="55" width="14.38"/>
    <col customWidth="1" min="56" max="56" width="11.38"/>
    <col customWidth="1" min="57" max="64" width="21.0"/>
    <col customWidth="1" min="65" max="67" width="16.38"/>
    <col customWidth="1" min="68" max="68" width="19.0"/>
    <col customWidth="1" min="69" max="69" width="20.0"/>
    <col customWidth="1" min="70" max="72" width="20.63"/>
    <col customWidth="1" min="73" max="73" width="16.38"/>
    <col customWidth="1" min="74" max="74" width="23.13"/>
    <col customWidth="1" min="75" max="75" width="18.75"/>
    <col customWidth="1" min="76" max="76" width="17.75"/>
    <col customWidth="1" min="77" max="77" width="11.13"/>
    <col customWidth="1" min="78" max="79" width="20.75"/>
    <col customWidth="1" min="80" max="80" width="18.75"/>
    <col customWidth="1" min="81" max="81" width="19.0"/>
    <col customWidth="1" min="82" max="85" width="12.75"/>
    <col customWidth="1" min="86" max="86" width="19.5"/>
    <col customWidth="1" min="87" max="92" width="16.5"/>
    <col customWidth="1" min="93" max="93" width="18.5"/>
    <col customWidth="1" min="94" max="96" width="16.5"/>
    <col customWidth="1" min="97" max="97" width="19.25"/>
    <col customWidth="1" min="99" max="99" width="13.0"/>
    <col customWidth="1" min="100" max="100" width="20.25"/>
    <col customWidth="1" min="101" max="103" width="16.75"/>
    <col customWidth="1" min="104" max="104" width="13.0"/>
    <col customWidth="1" min="105" max="106" width="19.0"/>
    <col customWidth="1" min="107" max="108" width="15.75"/>
    <col customWidth="1" min="109" max="109" width="16.5"/>
    <col customWidth="1" min="110" max="110" width="10.5"/>
    <col customWidth="1" min="111" max="113" width="20.63"/>
    <col customWidth="1" min="114" max="114" width="13.75"/>
    <col customWidth="1" min="115" max="115" width="21.5"/>
    <col customWidth="1" min="116" max="116" width="12.13"/>
    <col customWidth="1" min="117" max="117" width="18.88"/>
    <col customWidth="1" min="118" max="119" width="15.13"/>
    <col customWidth="1" min="120" max="120" width="17.5"/>
    <col customWidth="1" min="121" max="122" width="15.13"/>
    <col customWidth="1" min="123" max="125" width="22.13"/>
    <col customWidth="1" min="126" max="126" width="19.5"/>
    <col customWidth="1" min="127" max="127" width="15.5"/>
    <col customWidth="1" min="128" max="129" width="16.38"/>
    <col customWidth="1" min="130" max="130" width="10.0"/>
    <col customWidth="1" min="131" max="132" width="13.0"/>
    <col customWidth="1" min="133" max="133" width="10.0"/>
    <col customWidth="1" min="134" max="134" width="12.0"/>
    <col customWidth="1" min="135" max="135" width="23.5"/>
    <col customWidth="1" min="136" max="138" width="20.0"/>
    <col customWidth="1" min="139" max="139" width="10.0"/>
    <col customWidth="1" min="140" max="145" width="18.0"/>
    <col customWidth="1" min="146" max="147" width="13.63"/>
    <col customWidth="1" min="148" max="151" width="21.75"/>
    <col customWidth="1" min="152" max="152" width="19.25"/>
    <col customWidth="1" min="153" max="153" width="13.63"/>
    <col customWidth="1" min="154" max="155" width="17.75"/>
    <col customWidth="1" min="156" max="156" width="18.5"/>
    <col customWidth="1" min="157" max="157" width="13.63"/>
    <col customWidth="1" min="158" max="158" width="16.38"/>
    <col customWidth="1" min="159" max="159" width="22.25"/>
    <col customWidth="1" min="160" max="161" width="13.63"/>
    <col customWidth="1" min="162" max="162" width="20.25"/>
    <col customWidth="1" min="163" max="164" width="17.63"/>
    <col customWidth="1" min="165" max="167" width="18.5"/>
    <col customWidth="1" min="168" max="168" width="17.63"/>
    <col customWidth="1" min="169" max="172" width="15.0"/>
    <col customWidth="1" min="173" max="173" width="7.75"/>
    <col customWidth="1" min="174" max="175" width="12.13"/>
    <col customWidth="1" min="176" max="176" width="12.88"/>
    <col customWidth="1" min="177" max="177" width="7.88"/>
    <col customWidth="1" min="178" max="178" width="22.63"/>
    <col customWidth="1" min="179" max="180" width="15.13"/>
    <col customWidth="1" min="181" max="181" width="21.0"/>
    <col customWidth="1" min="182" max="183" width="15.13"/>
    <col customWidth="1" min="184" max="184" width="16.75"/>
    <col customWidth="1" min="185" max="186" width="15.13"/>
    <col customWidth="1" min="187" max="189" width="22.63"/>
    <col customWidth="1" min="190" max="191" width="33.63"/>
    <col customWidth="1" min="192" max="192" width="17.25"/>
  </cols>
  <sheetData>
    <row r="1">
      <c r="A1" s="1" t="s">
        <v>2</v>
      </c>
      <c r="B1" s="2"/>
      <c r="D1" s="2"/>
      <c r="E1" s="2"/>
      <c r="F1" s="1"/>
      <c r="G1" s="1"/>
      <c r="H1" s="9" t="s">
        <v>4</v>
      </c>
      <c r="I1" s="1"/>
      <c r="J1" s="1"/>
      <c r="K1" s="1"/>
      <c r="L1" s="1"/>
      <c r="M1" s="1"/>
      <c r="N1" s="1"/>
      <c r="O1" s="1"/>
      <c r="P1" s="1"/>
      <c r="Q1" s="3"/>
      <c r="R1" s="4"/>
      <c r="S1" s="5"/>
      <c r="T1" s="4"/>
      <c r="U1" s="4"/>
      <c r="V1" s="4"/>
      <c r="W1" s="4"/>
      <c r="X1" s="4"/>
      <c r="Y1" s="4"/>
      <c r="Z1" s="4"/>
      <c r="AA1" s="6"/>
      <c r="AB1" s="4"/>
      <c r="AC1" s="7"/>
      <c r="AD1" s="3"/>
      <c r="AE1" s="8"/>
      <c r="AF1" s="8"/>
      <c r="AG1" s="4"/>
      <c r="AH1" s="1"/>
      <c r="AI1" s="4"/>
      <c r="AJ1" s="4"/>
      <c r="AK1" s="4"/>
      <c r="AL1" s="10"/>
      <c r="AM1" s="12"/>
      <c r="AN1" s="4"/>
      <c r="AO1" s="7"/>
      <c r="AP1" s="4"/>
      <c r="AQ1" s="4"/>
      <c r="AR1" s="4"/>
      <c r="AS1" s="4"/>
      <c r="AT1" s="4"/>
      <c r="AU1" s="4"/>
      <c r="AV1" s="4"/>
      <c r="AW1" s="13"/>
      <c r="AX1" s="4"/>
      <c r="AY1" s="4"/>
      <c r="AZ1" s="1"/>
      <c r="BA1" s="1"/>
      <c r="BB1" s="5"/>
      <c r="BC1" s="5"/>
      <c r="BD1" s="6"/>
      <c r="BE1" s="4"/>
      <c r="BF1" s="4"/>
      <c r="BG1" s="4"/>
      <c r="BH1" s="4"/>
      <c r="BI1" s="4"/>
      <c r="BJ1" s="6"/>
      <c r="BK1" s="5"/>
      <c r="BL1" s="3"/>
      <c r="BM1" s="5"/>
      <c r="BN1" s="4"/>
      <c r="BO1" s="5"/>
      <c r="BP1" s="4"/>
      <c r="BQ1" s="5"/>
      <c r="BR1" s="4"/>
      <c r="BS1" s="4"/>
      <c r="BT1" s="4"/>
      <c r="BU1" s="3"/>
      <c r="BV1" s="8"/>
      <c r="BW1" s="4"/>
      <c r="BX1" s="4"/>
      <c r="BY1" s="2"/>
      <c r="BZ1" s="4"/>
      <c r="CA1" s="4"/>
      <c r="CB1" s="2"/>
      <c r="CC1" s="4"/>
      <c r="CD1" s="4"/>
      <c r="CE1" s="4"/>
      <c r="CF1" s="4"/>
      <c r="CG1" s="12"/>
      <c r="CH1" s="4"/>
      <c r="CI1" s="4"/>
      <c r="CJ1" s="4"/>
      <c r="CK1" s="4"/>
      <c r="CL1" s="4"/>
      <c r="CM1" s="4"/>
      <c r="CN1" s="1"/>
      <c r="CO1" s="4"/>
      <c r="CP1" s="4"/>
      <c r="CQ1" s="4"/>
      <c r="CR1" s="1"/>
      <c r="CS1" s="8"/>
      <c r="CT1" s="8"/>
      <c r="CU1" s="4"/>
      <c r="CV1" s="4"/>
      <c r="CW1" s="4"/>
      <c r="CX1" s="4"/>
      <c r="CY1" s="4"/>
      <c r="CZ1" s="7"/>
      <c r="DA1" s="4"/>
      <c r="DB1" s="4"/>
      <c r="DC1" s="4"/>
      <c r="DD1" s="4"/>
      <c r="DE1" s="4"/>
      <c r="DF1" s="2"/>
      <c r="DG1" s="7"/>
      <c r="DH1" s="4"/>
      <c r="DI1" s="8"/>
      <c r="DJ1" s="4"/>
      <c r="DK1" s="8"/>
      <c r="DL1" s="2"/>
      <c r="DM1" s="4"/>
      <c r="DN1" s="4"/>
      <c r="DO1" s="7"/>
      <c r="DP1" s="4"/>
      <c r="DQ1" s="4"/>
      <c r="DR1" s="1"/>
      <c r="DS1" s="4"/>
      <c r="DT1" s="4"/>
      <c r="DU1" s="4"/>
      <c r="DV1" s="4"/>
      <c r="DW1" s="4"/>
      <c r="DX1" s="4"/>
      <c r="DY1" s="8"/>
      <c r="DZ1" s="10"/>
      <c r="EA1" s="4"/>
      <c r="EB1" s="4"/>
      <c r="EC1" s="4"/>
      <c r="ED1" s="4"/>
      <c r="EE1" s="4"/>
      <c r="EF1" s="4"/>
      <c r="EG1" s="4"/>
      <c r="EH1" s="4"/>
      <c r="EI1" s="2"/>
      <c r="EJ1" s="4"/>
      <c r="EK1" s="4"/>
      <c r="EL1" s="4"/>
      <c r="EM1" s="4"/>
      <c r="EN1" s="4"/>
      <c r="EO1" s="4"/>
      <c r="EP1" s="4"/>
      <c r="EQ1" s="4"/>
      <c r="ER1" s="4"/>
      <c r="ES1" s="4"/>
      <c r="ET1" s="4"/>
      <c r="EU1" s="4"/>
      <c r="EV1" s="4"/>
      <c r="EW1" s="4"/>
      <c r="EX1" s="4"/>
      <c r="EY1" s="4"/>
      <c r="EZ1" s="4"/>
      <c r="FA1" s="1"/>
      <c r="FB1" s="4"/>
      <c r="FC1" s="4"/>
      <c r="FD1" s="5"/>
      <c r="FE1" s="14"/>
      <c r="FF1" s="4"/>
      <c r="FG1" s="4"/>
      <c r="FH1" s="1"/>
      <c r="FI1" s="4"/>
      <c r="FJ1" s="5"/>
      <c r="FK1" s="5"/>
      <c r="FL1" s="15"/>
      <c r="FM1" s="4"/>
      <c r="FN1" s="4"/>
      <c r="FO1" s="4"/>
      <c r="FP1" s="15"/>
      <c r="FQ1" s="2"/>
      <c r="FR1" s="4"/>
      <c r="FS1" s="4"/>
      <c r="FT1" s="4"/>
      <c r="FU1" s="7"/>
      <c r="FV1" s="4"/>
      <c r="FW1" s="4"/>
      <c r="FX1" s="4"/>
      <c r="FY1" s="4"/>
      <c r="FZ1" s="4"/>
      <c r="GA1" s="4"/>
      <c r="GB1" s="4"/>
      <c r="GC1" s="5"/>
      <c r="GD1" s="14"/>
      <c r="GE1" s="8"/>
      <c r="GF1" s="8"/>
      <c r="GG1" s="8"/>
      <c r="GH1" s="8"/>
      <c r="GI1" s="8"/>
      <c r="GJ1" s="16"/>
      <c r="GK1" s="4"/>
      <c r="GL1" s="17"/>
      <c r="GM1" s="17"/>
      <c r="GN1" s="17"/>
      <c r="GO1" s="17"/>
      <c r="GP1" s="17"/>
      <c r="GQ1" s="17"/>
      <c r="GR1" s="17"/>
      <c r="GS1" s="17"/>
      <c r="GT1" s="17"/>
      <c r="GU1" s="17"/>
    </row>
    <row r="2">
      <c r="A2" s="1" t="s">
        <v>6</v>
      </c>
      <c r="B2" s="2" t="s">
        <v>7</v>
      </c>
      <c r="C2" s="2" t="s">
        <v>8</v>
      </c>
      <c r="D2" s="2" t="s">
        <v>9</v>
      </c>
      <c r="E2" s="2" t="s">
        <v>10</v>
      </c>
      <c r="F2" s="1" t="s">
        <v>11</v>
      </c>
      <c r="G2" s="1" t="s">
        <v>12</v>
      </c>
      <c r="H2" s="1" t="s">
        <v>13</v>
      </c>
      <c r="I2" s="1" t="s">
        <v>14</v>
      </c>
      <c r="J2" s="1" t="s">
        <v>15</v>
      </c>
      <c r="K2" s="1" t="s">
        <v>16</v>
      </c>
      <c r="L2" s="1" t="s">
        <v>17</v>
      </c>
      <c r="M2" s="1" t="s">
        <v>18</v>
      </c>
      <c r="N2" s="1" t="s">
        <v>27</v>
      </c>
      <c r="O2" s="1" t="s">
        <v>28</v>
      </c>
      <c r="P2" s="1" t="s">
        <v>20</v>
      </c>
      <c r="Q2" s="3" t="s">
        <v>21</v>
      </c>
      <c r="R2" s="4" t="s">
        <v>22</v>
      </c>
      <c r="S2" s="5" t="s">
        <v>23</v>
      </c>
      <c r="T2" s="4" t="s">
        <v>24</v>
      </c>
      <c r="U2" s="18" t="s">
        <v>25</v>
      </c>
      <c r="V2" s="18" t="s">
        <v>29</v>
      </c>
      <c r="W2" s="18" t="s">
        <v>30</v>
      </c>
      <c r="X2" s="4" t="s">
        <v>31</v>
      </c>
      <c r="Y2" s="4" t="s">
        <v>32</v>
      </c>
      <c r="Z2" s="18" t="s">
        <v>33</v>
      </c>
      <c r="AA2" s="6" t="s">
        <v>34</v>
      </c>
      <c r="AB2" s="4" t="s">
        <v>35</v>
      </c>
      <c r="AC2" s="7" t="s">
        <v>36</v>
      </c>
      <c r="AD2" s="3" t="s">
        <v>37</v>
      </c>
      <c r="AE2" s="8" t="s">
        <v>38</v>
      </c>
      <c r="AF2" s="8" t="s">
        <v>39</v>
      </c>
      <c r="AG2" s="18" t="s">
        <v>40</v>
      </c>
      <c r="AH2" s="1" t="s">
        <v>41</v>
      </c>
      <c r="AI2" s="4" t="s">
        <v>42</v>
      </c>
      <c r="AJ2" s="18" t="s">
        <v>43</v>
      </c>
      <c r="AK2" s="4" t="s">
        <v>44</v>
      </c>
      <c r="AL2" s="10" t="s">
        <v>45</v>
      </c>
      <c r="AM2" s="12" t="s">
        <v>46</v>
      </c>
      <c r="AN2" s="18" t="s">
        <v>47</v>
      </c>
      <c r="AO2" s="7" t="s">
        <v>48</v>
      </c>
      <c r="AP2" s="4" t="s">
        <v>49</v>
      </c>
      <c r="AQ2" s="4" t="s">
        <v>50</v>
      </c>
      <c r="AR2" s="4" t="s">
        <v>51</v>
      </c>
      <c r="AS2" s="4" t="s">
        <v>52</v>
      </c>
      <c r="AT2" s="18" t="s">
        <v>53</v>
      </c>
      <c r="AU2" s="18" t="s">
        <v>54</v>
      </c>
      <c r="AV2" s="18" t="s">
        <v>55</v>
      </c>
      <c r="AW2" s="19" t="s">
        <v>56</v>
      </c>
      <c r="AX2" s="18" t="s">
        <v>57</v>
      </c>
      <c r="AY2" s="18" t="s">
        <v>58</v>
      </c>
      <c r="AZ2" s="20" t="s">
        <v>59</v>
      </c>
      <c r="BA2" s="20" t="s">
        <v>60</v>
      </c>
      <c r="BB2" s="5" t="s">
        <v>61</v>
      </c>
      <c r="BC2" s="5" t="s">
        <v>62</v>
      </c>
      <c r="BD2" s="6" t="s">
        <v>63</v>
      </c>
      <c r="BE2" s="4" t="s">
        <v>64</v>
      </c>
      <c r="BF2" s="18" t="s">
        <v>65</v>
      </c>
      <c r="BG2" s="4" t="s">
        <v>66</v>
      </c>
      <c r="BH2" s="18" t="s">
        <v>67</v>
      </c>
      <c r="BI2" s="18" t="s">
        <v>68</v>
      </c>
      <c r="BJ2" s="6" t="s">
        <v>69</v>
      </c>
      <c r="BK2" s="5" t="s">
        <v>70</v>
      </c>
      <c r="BL2" s="3" t="s">
        <v>71</v>
      </c>
      <c r="BM2" s="5" t="s">
        <v>73</v>
      </c>
      <c r="BN2" s="18" t="s">
        <v>74</v>
      </c>
      <c r="BO2" s="5" t="s">
        <v>75</v>
      </c>
      <c r="BP2" s="4" t="s">
        <v>76</v>
      </c>
      <c r="BQ2" s="5" t="s">
        <v>77</v>
      </c>
      <c r="BR2" s="4" t="s">
        <v>78</v>
      </c>
      <c r="BS2" s="18" t="s">
        <v>79</v>
      </c>
      <c r="BT2" s="4" t="s">
        <v>80</v>
      </c>
      <c r="BU2" s="21" t="s">
        <v>81</v>
      </c>
      <c r="BV2" s="8" t="s">
        <v>82</v>
      </c>
      <c r="BW2" s="4" t="s">
        <v>83</v>
      </c>
      <c r="BX2" s="4" t="s">
        <v>84</v>
      </c>
      <c r="BY2" s="2" t="s">
        <v>85</v>
      </c>
      <c r="BZ2" s="4" t="s">
        <v>86</v>
      </c>
      <c r="CA2" s="4" t="s">
        <v>87</v>
      </c>
      <c r="CB2" s="2" t="s">
        <v>88</v>
      </c>
      <c r="CC2" s="18" t="s">
        <v>89</v>
      </c>
      <c r="CD2" s="18" t="s">
        <v>90</v>
      </c>
      <c r="CE2" s="4" t="s">
        <v>91</v>
      </c>
      <c r="CF2" s="18" t="s">
        <v>92</v>
      </c>
      <c r="CG2" s="12" t="s">
        <v>93</v>
      </c>
      <c r="CH2" s="4" t="s">
        <v>94</v>
      </c>
      <c r="CI2" s="18" t="s">
        <v>95</v>
      </c>
      <c r="CJ2" s="4" t="s">
        <v>96</v>
      </c>
      <c r="CK2" s="4" t="s">
        <v>97</v>
      </c>
      <c r="CL2" s="18" t="s">
        <v>98</v>
      </c>
      <c r="CM2" s="4" t="s">
        <v>99</v>
      </c>
      <c r="CN2" s="1" t="s">
        <v>100</v>
      </c>
      <c r="CO2" s="18" t="s">
        <v>101</v>
      </c>
      <c r="CP2" s="18" t="s">
        <v>102</v>
      </c>
      <c r="CQ2" s="4" t="s">
        <v>103</v>
      </c>
      <c r="CR2" s="1" t="s">
        <v>104</v>
      </c>
      <c r="CS2" s="8" t="s">
        <v>105</v>
      </c>
      <c r="CT2" s="8" t="s">
        <v>106</v>
      </c>
      <c r="CU2" s="18" t="s">
        <v>107</v>
      </c>
      <c r="CV2" s="18" t="s">
        <v>108</v>
      </c>
      <c r="CW2" s="18" t="s">
        <v>109</v>
      </c>
      <c r="CX2" s="18" t="s">
        <v>110</v>
      </c>
      <c r="CY2" s="18" t="s">
        <v>111</v>
      </c>
      <c r="CZ2" s="7" t="s">
        <v>112</v>
      </c>
      <c r="DA2" s="18" t="s">
        <v>113</v>
      </c>
      <c r="DB2" s="4" t="s">
        <v>114</v>
      </c>
      <c r="DC2" s="18" t="s">
        <v>115</v>
      </c>
      <c r="DD2" s="18" t="s">
        <v>116</v>
      </c>
      <c r="DE2" s="4" t="s">
        <v>117</v>
      </c>
      <c r="DF2" s="2" t="s">
        <v>118</v>
      </c>
      <c r="DG2" s="7" t="s">
        <v>119</v>
      </c>
      <c r="DH2" s="4" t="s">
        <v>120</v>
      </c>
      <c r="DI2" s="8" t="s">
        <v>121</v>
      </c>
      <c r="DJ2" s="18" t="s">
        <v>122</v>
      </c>
      <c r="DK2" s="8" t="s">
        <v>123</v>
      </c>
      <c r="DL2" s="2" t="s">
        <v>124</v>
      </c>
      <c r="DM2" s="4" t="s">
        <v>125</v>
      </c>
      <c r="DN2" s="4" t="s">
        <v>126</v>
      </c>
      <c r="DO2" s="7" t="s">
        <v>127</v>
      </c>
      <c r="DP2" s="4" t="s">
        <v>128</v>
      </c>
      <c r="DQ2" s="4" t="s">
        <v>129</v>
      </c>
      <c r="DR2" s="1" t="s">
        <v>130</v>
      </c>
      <c r="DS2" s="18" t="s">
        <v>131</v>
      </c>
      <c r="DT2" s="18" t="s">
        <v>132</v>
      </c>
      <c r="DU2" s="4" t="s">
        <v>133</v>
      </c>
      <c r="DV2" s="18" t="s">
        <v>134</v>
      </c>
      <c r="DW2" s="4" t="s">
        <v>135</v>
      </c>
      <c r="DX2" s="4" t="s">
        <v>136</v>
      </c>
      <c r="DY2" s="8" t="s">
        <v>137</v>
      </c>
      <c r="DZ2" s="10" t="s">
        <v>138</v>
      </c>
      <c r="EA2" s="18" t="s">
        <v>139</v>
      </c>
      <c r="EB2" s="18" t="s">
        <v>140</v>
      </c>
      <c r="EC2" s="4" t="s">
        <v>141</v>
      </c>
      <c r="ED2" s="18" t="s">
        <v>142</v>
      </c>
      <c r="EE2" s="18" t="s">
        <v>143</v>
      </c>
      <c r="EF2" s="18" t="s">
        <v>146</v>
      </c>
      <c r="EG2" s="18" t="s">
        <v>144</v>
      </c>
      <c r="EH2" s="4" t="s">
        <v>145</v>
      </c>
      <c r="EI2" s="2" t="s">
        <v>147</v>
      </c>
      <c r="EJ2" s="18" t="s">
        <v>148</v>
      </c>
      <c r="EK2" s="18" t="s">
        <v>149</v>
      </c>
      <c r="EL2" s="4" t="s">
        <v>150</v>
      </c>
      <c r="EM2" s="4" t="s">
        <v>151</v>
      </c>
      <c r="EN2" s="18" t="s">
        <v>152</v>
      </c>
      <c r="EO2" s="4" t="s">
        <v>153</v>
      </c>
      <c r="EP2" s="4" t="s">
        <v>154</v>
      </c>
      <c r="EQ2" s="4" t="s">
        <v>155</v>
      </c>
      <c r="ER2" s="18" t="s">
        <v>156</v>
      </c>
      <c r="ES2" s="18" t="s">
        <v>157</v>
      </c>
      <c r="ET2" s="18" t="s">
        <v>158</v>
      </c>
      <c r="EU2" s="4" t="s">
        <v>159</v>
      </c>
      <c r="EV2" s="4" t="s">
        <v>160</v>
      </c>
      <c r="EW2" s="4" t="s">
        <v>161</v>
      </c>
      <c r="EX2" s="18" t="s">
        <v>162</v>
      </c>
      <c r="EY2" s="4" t="s">
        <v>163</v>
      </c>
      <c r="EZ2" s="4" t="s">
        <v>164</v>
      </c>
      <c r="FA2" s="1" t="s">
        <v>165</v>
      </c>
      <c r="FB2" s="4" t="s">
        <v>166</v>
      </c>
      <c r="FC2" s="18" t="s">
        <v>167</v>
      </c>
      <c r="FD2" s="5" t="s">
        <v>200</v>
      </c>
      <c r="FE2" s="22" t="s">
        <v>169</v>
      </c>
      <c r="FF2" s="4" t="s">
        <v>170</v>
      </c>
      <c r="FG2" s="4" t="s">
        <v>171</v>
      </c>
      <c r="FH2" s="1" t="s">
        <v>172</v>
      </c>
      <c r="FI2" s="18" t="s">
        <v>173</v>
      </c>
      <c r="FJ2" s="5" t="s">
        <v>174</v>
      </c>
      <c r="FK2" s="5" t="s">
        <v>175</v>
      </c>
      <c r="FL2" s="15" t="s">
        <v>176</v>
      </c>
      <c r="FM2" s="4" t="s">
        <v>177</v>
      </c>
      <c r="FN2" s="4" t="s">
        <v>178</v>
      </c>
      <c r="FO2" s="18" t="s">
        <v>179</v>
      </c>
      <c r="FP2" s="15" t="s">
        <v>180</v>
      </c>
      <c r="FQ2" s="2" t="s">
        <v>181</v>
      </c>
      <c r="FR2" s="4" t="s">
        <v>182</v>
      </c>
      <c r="FS2" s="4" t="s">
        <v>183</v>
      </c>
      <c r="FT2" s="18" t="s">
        <v>184</v>
      </c>
      <c r="FU2" s="7" t="s">
        <v>185</v>
      </c>
      <c r="FV2" s="4" t="s">
        <v>194</v>
      </c>
      <c r="FW2" s="4" t="s">
        <v>186</v>
      </c>
      <c r="FX2" s="4" t="s">
        <v>187</v>
      </c>
      <c r="FY2" s="18" t="s">
        <v>188</v>
      </c>
      <c r="FZ2" s="4" t="s">
        <v>189</v>
      </c>
      <c r="GA2" s="4" t="s">
        <v>190</v>
      </c>
      <c r="GB2" s="18" t="s">
        <v>191</v>
      </c>
      <c r="GC2" s="5" t="s">
        <v>192</v>
      </c>
      <c r="GD2" s="22" t="s">
        <v>193</v>
      </c>
      <c r="GE2" s="8" t="s">
        <v>195</v>
      </c>
      <c r="GF2" s="8" t="s">
        <v>207</v>
      </c>
      <c r="GG2" s="8" t="s">
        <v>208</v>
      </c>
      <c r="GH2" s="8" t="s">
        <v>209</v>
      </c>
      <c r="GI2" s="8" t="s">
        <v>210</v>
      </c>
      <c r="GJ2" s="16" t="s">
        <v>211</v>
      </c>
      <c r="GK2" s="4" t="s">
        <v>213</v>
      </c>
      <c r="GL2" s="17"/>
      <c r="GM2" s="17"/>
      <c r="GN2" s="17"/>
      <c r="GO2" s="17"/>
      <c r="GP2" s="17"/>
      <c r="GQ2" s="17"/>
      <c r="GR2" s="17"/>
      <c r="GS2" s="17"/>
      <c r="GT2" s="17"/>
      <c r="GU2" s="17"/>
    </row>
    <row r="3">
      <c r="A3" s="23">
        <v>38018.0</v>
      </c>
      <c r="B3" s="4" t="s">
        <v>196</v>
      </c>
      <c r="C3" s="4">
        <v>21.559278</v>
      </c>
      <c r="D3" s="4">
        <v>-157.871902</v>
      </c>
      <c r="E3" s="4" t="s">
        <v>197</v>
      </c>
      <c r="F3" s="24">
        <v>0.0</v>
      </c>
      <c r="G3" s="24">
        <v>0.041666666666666664</v>
      </c>
      <c r="H3" s="4">
        <v>6.0</v>
      </c>
      <c r="I3" s="4">
        <v>10.0</v>
      </c>
      <c r="J3" s="4" t="s">
        <v>198</v>
      </c>
      <c r="K3" s="4">
        <v>11.0</v>
      </c>
      <c r="L3" s="4">
        <v>22.0</v>
      </c>
      <c r="M3" s="4" t="s">
        <v>199</v>
      </c>
      <c r="O3" s="4">
        <v>22.0</v>
      </c>
      <c r="Q3" s="4">
        <v>23.0</v>
      </c>
      <c r="AC3" s="4">
        <v>15.0</v>
      </c>
      <c r="AE3" s="4">
        <v>15.0</v>
      </c>
      <c r="AJ3" s="4">
        <v>11.0</v>
      </c>
      <c r="BL3" s="4">
        <v>6.0</v>
      </c>
      <c r="DO3" s="4">
        <v>1.0</v>
      </c>
      <c r="EC3" s="4">
        <v>8.0</v>
      </c>
      <c r="FA3" s="4">
        <v>15.0</v>
      </c>
      <c r="FQ3" s="4">
        <v>54.0</v>
      </c>
      <c r="FR3" s="4">
        <v>1.0</v>
      </c>
      <c r="GC3" s="4">
        <v>17.0</v>
      </c>
      <c r="GE3" s="25">
        <f t="shared" ref="GE3:GE181" si="1">count(Q3:GD3)</f>
        <v>11</v>
      </c>
      <c r="GF3" s="25">
        <f t="shared" ref="GF3:GF181" si="2">countif(Q3:GD3,"&gt;=2")</f>
        <v>9</v>
      </c>
      <c r="GG3" s="25">
        <f t="shared" ref="GG3:GG181" si="3">countif(Q3:GD3,"&gt;=5")</f>
        <v>9</v>
      </c>
      <c r="GH3" s="25">
        <f t="shared" ref="GH3:GH181" si="4">1-((Q3*(Q3-1)+R3*(R3-1)+S3*(S3-1)+T3*(T3-1)+U3*(U3-1)+V3*(V3-1)+W3*(W3-1)+X3*(X3-1)+Y3*(Y3-1)+Z3*(Z3-1)+AA3*(AA3-1)+AB3*(AB3-1)+AC3*(AC3-1)+AD3*(AD3-1)+AE3*(AE3-1)+AF3*(AF3-1)+AG3*(AG3-1)+AH3*(AH3-1)+AI3*(AI3-1)+AJ3*(AJ3-1)+AK3*(AK3-1)+AL3*(AL3-1)+AM3*(AM3-1)+AN3*(AN3-1)+AO3*(AO3-1)+AP3*(AP3-1)+AQ3*(AQ3-1)+AR3*(AR3-1)+AS3*(AS3-1)+AT3*(AT3-1)+AU3*(AU3-1)+AV3*(AV3-1)+AW3*(AW3-1)+AX3*(AX3-1)+AY3*(AY3-1)+AZ3*(AZ3-1)+BA3*(BA3-1)+BB3*(BB3-1)+BC3*(BC3-1)+BD3*(BD3-1)+BE3*(BE3-1)+BF3*(BF3-1)+BG3*(BG3-1)+BH3*(BH3-1)+BI3*(BI3-1)+BJ3*(BJ3-1)+BK3*(BK3-1)+BL3*(BL3-1)+BM3*(BM3-1)+BN3*(BN3-1)+BO3*(BO3-1)+BP3*(BP3-1)+BQ3*(BQ3-1)+BR3*(BR3-1)+BS3*(BS3-1)+BT3*(BT3-1)+BU3*(BU3-1)+BV3*(BV3-1)+BW3*(BW3-1)+BX3*(BX3-1)+BY3*(BY3-1)+BZ3*(BZ3-1)+CA3*(CA3-1)+CB3*(CB3-1)+CC3*(CC3-1)+CD3*(CD3-1)+CE3*(CE3-1)+CF3*(CF3-1)+CG3*(CG3-1)+CH3*(CH3-1)+CI3*(CI3-1)+CJ3*(CJ3-1)+CK3*(CK3-1)+CL3*(CL3-1)+CM3*(CM3-1)+CN3*(CN3-1)+CO3*(CO3-1)+CP3*(CP3-1)+CQ3*(CQ3-1)+CR3*(CR3-1)+CS3*(CS3-1)+CT3*(CT3-1)+CU3*(CU3-1)+CV3*(CV3-1)+CW3*(CW3-1)+CX3*(CX3-1)+CY3*(CY3-1)+CZ3*(CZ3-1)+DA3*(DA3-1)+DB3*(DB3-1)+DC3*(DC3-1)+DD3*(DD3-1)+DE3*(DE3-1)+DF3*(DF3-1)+DG3*(DG3-1)+DH3*(DH3-1)+DI3*(DI3-1)+DJ3*(DJ3-1)+DK3*(DK3-1)+DL3*(DL3-1)+DM3*(DM3-1)+DN3*(DN3-1)+DO3*(DO3-1)+DP3*(DP3-1)+DQ3*(DQ3-1)+DR3*(DR3-1)+DS3*(DS3-1)+DT3*(DT3-1)+DU3*(DU3-1)+DV3*(DV3-1)+DW3*(DW3-1)+DX3*(DX3-1)+DY3*(DY3-1)+DZ3*(DZ3-1)+EA3*(EA3-1)+EB3*(EB3-1)+EC3*(EC3-1)+ED3*(ED3-1)+EE3*(EE3-1)+EF3*(EF3-1)+EG3*(EG3-1)+EH3*(EH3-1)+EI3*(EI3-1)+EJ3*(EJ3-1)+EK3*(EK3-1)+EL3*(EL3-1)+EM3*(EM3-1)+EN3*(EN3-1)+EO3*(EO3-1)+EP3*(EP3-1)+EQ3*(EQ3-1)+ER3*(ER3-1)+ES3*(ES3-1)+ET3*(ET3-1)+EU3*(EU3-1)+EV3*(EV3-1)+EW3*(EW3-1)+EX3*(EX3-1)+EY3*(EY3-1)+EZ3*(EZ3-1)+FA3*(FA3-1)+FB3*(FB3-1)+FC3*(FC3-1)+FD3*(FD3-1)+FE3*(FE3-1)+FF3*(FF3-1)+FG3*(FG3-1)+FH3*(FH3-1)+FI3*(FI3-1)+FJ3*(FJ3-1)+FK3*(FK3-1)+FL3*(FL3-1)+FM3*(FM3-1)+FN3*(FN3-1)+FO3*(FO3-1)+FP3*(FP3-1)+FQ3*(FQ3-1)+FR3*(FR3-1)+FS3*(FS3-1)+FT3*(FT3-1)+FU3*(FU3-1)+FV3*(FV3-1)+FW3*(FW3-1)+FX3*(FX3-1)+FY3*(FY3-1)+FZ3*(FZ3-1)+GA3*(GA3-1)+GB3*(GB3-1)+GC3*(GC3-1)+GD3*(GD3-1))/(GI3*(GI3-1)))</f>
        <v>0.8369477912</v>
      </c>
      <c r="GI3" s="25">
        <f t="shared" ref="GI3:GI181" si="5">sum(Q3:GD3)</f>
        <v>166</v>
      </c>
      <c r="GJ3" s="25">
        <f t="shared" ref="GJ3:GJ181" si="6">25*O3</f>
        <v>550</v>
      </c>
      <c r="GK3" s="25">
        <f t="shared" ref="GK3:GK181" si="7">GJ3-GI3</f>
        <v>384</v>
      </c>
      <c r="GS3" s="35"/>
      <c r="GT3" s="35"/>
      <c r="GU3" s="35"/>
    </row>
    <row r="4">
      <c r="A4" s="23">
        <v>38041.0</v>
      </c>
      <c r="B4" s="4" t="s">
        <v>201</v>
      </c>
      <c r="C4" s="4">
        <v>21.25544</v>
      </c>
      <c r="D4" s="4">
        <v>-157.810303</v>
      </c>
      <c r="E4" s="4" t="s">
        <v>197</v>
      </c>
      <c r="F4" s="24">
        <v>0.0</v>
      </c>
      <c r="G4" s="24">
        <v>0.041666666666666664</v>
      </c>
      <c r="H4" s="4">
        <v>6.0</v>
      </c>
      <c r="I4" s="4">
        <v>11.0</v>
      </c>
      <c r="J4" s="4" t="s">
        <v>198</v>
      </c>
      <c r="K4" s="4">
        <v>12.0</v>
      </c>
      <c r="L4" s="4">
        <v>58.0</v>
      </c>
      <c r="M4" s="4" t="s">
        <v>202</v>
      </c>
      <c r="O4" s="4">
        <v>58.0</v>
      </c>
      <c r="Q4" s="4">
        <v>3.0</v>
      </c>
      <c r="AE4" s="4">
        <v>3.0</v>
      </c>
      <c r="AN4" s="4">
        <v>1.0</v>
      </c>
      <c r="BA4" s="4">
        <v>5.0</v>
      </c>
      <c r="BL4" s="4">
        <v>4.0</v>
      </c>
      <c r="BP4" s="4">
        <v>10.0</v>
      </c>
      <c r="BY4" s="4">
        <v>102.0</v>
      </c>
      <c r="CA4" s="4">
        <v>3.0</v>
      </c>
      <c r="CR4" s="4">
        <v>2.0</v>
      </c>
      <c r="DL4" s="4">
        <v>51.0</v>
      </c>
      <c r="DO4" s="4">
        <v>3.0</v>
      </c>
      <c r="DR4" s="4">
        <v>27.0</v>
      </c>
      <c r="DU4" s="4">
        <v>4.0</v>
      </c>
      <c r="EC4" s="4">
        <v>2.0</v>
      </c>
      <c r="EI4" s="4">
        <v>332.0</v>
      </c>
      <c r="FA4" s="4">
        <v>81.0</v>
      </c>
      <c r="FB4" s="4">
        <v>3.0</v>
      </c>
      <c r="FP4" s="4">
        <v>15.0</v>
      </c>
      <c r="FQ4" s="4">
        <v>308.0</v>
      </c>
      <c r="GB4" s="4">
        <v>1.0</v>
      </c>
      <c r="GC4" s="4">
        <v>3.0</v>
      </c>
      <c r="GE4" s="25">
        <f t="shared" si="1"/>
        <v>21</v>
      </c>
      <c r="GF4" s="25">
        <f t="shared" si="2"/>
        <v>19</v>
      </c>
      <c r="GG4" s="25">
        <f t="shared" si="3"/>
        <v>9</v>
      </c>
      <c r="GH4" s="25">
        <f t="shared" si="4"/>
        <v>0.7572705704</v>
      </c>
      <c r="GI4" s="25">
        <f t="shared" si="5"/>
        <v>963</v>
      </c>
      <c r="GJ4" s="25">
        <f t="shared" si="6"/>
        <v>1450</v>
      </c>
      <c r="GK4" s="25">
        <f t="shared" si="7"/>
        <v>487</v>
      </c>
      <c r="GS4" s="35"/>
      <c r="GT4" s="35"/>
      <c r="GU4" s="35"/>
    </row>
    <row r="5">
      <c r="A5" s="23">
        <v>38050.0</v>
      </c>
      <c r="B5" s="4" t="s">
        <v>196</v>
      </c>
      <c r="C5" s="4">
        <v>21.559278</v>
      </c>
      <c r="D5" s="4">
        <v>-157.871902</v>
      </c>
      <c r="E5" s="4" t="s">
        <v>197</v>
      </c>
      <c r="F5" s="24">
        <v>0.0</v>
      </c>
      <c r="G5" s="24">
        <v>0.041666666666666664</v>
      </c>
      <c r="H5" s="4">
        <v>6.0</v>
      </c>
      <c r="I5" s="4">
        <v>10.0</v>
      </c>
      <c r="J5" s="4" t="s">
        <v>198</v>
      </c>
      <c r="K5" s="4">
        <v>11.0</v>
      </c>
      <c r="L5" s="4">
        <v>33.0</v>
      </c>
      <c r="M5" s="4" t="s">
        <v>204</v>
      </c>
      <c r="O5" s="4">
        <v>33.0</v>
      </c>
      <c r="Q5" s="4">
        <v>30.0</v>
      </c>
      <c r="AC5" s="4">
        <v>13.0</v>
      </c>
      <c r="AE5" s="4">
        <v>28.0</v>
      </c>
      <c r="AJ5" s="4">
        <v>13.0</v>
      </c>
      <c r="BL5" s="4">
        <v>6.0</v>
      </c>
      <c r="EC5" s="4">
        <v>4.0</v>
      </c>
      <c r="FA5" s="4">
        <v>15.0</v>
      </c>
      <c r="FB5" s="4">
        <v>8.0</v>
      </c>
      <c r="FQ5" s="4">
        <v>73.0</v>
      </c>
      <c r="FR5" s="4">
        <v>2.0</v>
      </c>
      <c r="GC5" s="4">
        <v>103.0</v>
      </c>
      <c r="GE5" s="25">
        <f t="shared" si="1"/>
        <v>11</v>
      </c>
      <c r="GF5" s="25">
        <f t="shared" si="2"/>
        <v>11</v>
      </c>
      <c r="GG5" s="25">
        <f t="shared" si="3"/>
        <v>9</v>
      </c>
      <c r="GH5" s="25">
        <f t="shared" si="4"/>
        <v>0.7923440563</v>
      </c>
      <c r="GI5" s="25">
        <f t="shared" si="5"/>
        <v>295</v>
      </c>
      <c r="GJ5" s="25">
        <f t="shared" si="6"/>
        <v>825</v>
      </c>
      <c r="GK5" s="25">
        <f t="shared" si="7"/>
        <v>530</v>
      </c>
      <c r="GS5" s="35"/>
      <c r="GT5" s="35"/>
      <c r="GU5" s="35"/>
    </row>
    <row r="6">
      <c r="A6" s="23">
        <v>38384.0</v>
      </c>
      <c r="B6" s="4" t="s">
        <v>196</v>
      </c>
      <c r="C6" s="4">
        <v>21.559278</v>
      </c>
      <c r="D6" s="4">
        <v>-157.871902</v>
      </c>
      <c r="E6" s="4" t="s">
        <v>197</v>
      </c>
      <c r="F6" s="24">
        <v>0.0</v>
      </c>
      <c r="G6" s="24">
        <v>0.041666666666666664</v>
      </c>
      <c r="H6" s="4">
        <v>7.0</v>
      </c>
      <c r="I6" s="4">
        <v>9.0</v>
      </c>
      <c r="J6" s="4" t="s">
        <v>198</v>
      </c>
      <c r="K6" s="4">
        <v>10.0</v>
      </c>
      <c r="L6" s="4">
        <v>31.0</v>
      </c>
      <c r="M6" s="4" t="s">
        <v>206</v>
      </c>
      <c r="O6" s="4">
        <v>31.0</v>
      </c>
      <c r="Q6" s="4">
        <v>85.0</v>
      </c>
      <c r="AC6" s="4">
        <v>14.0</v>
      </c>
      <c r="AE6" s="4">
        <v>37.0</v>
      </c>
      <c r="AJ6" s="4">
        <v>4.0</v>
      </c>
      <c r="DG6" s="4">
        <v>4.0</v>
      </c>
      <c r="DH6" s="4">
        <v>1.0</v>
      </c>
      <c r="EC6" s="4">
        <v>21.0</v>
      </c>
      <c r="FB6" s="4">
        <v>2.0</v>
      </c>
      <c r="FR6" s="4">
        <v>1.0</v>
      </c>
      <c r="GB6" s="4">
        <v>15.0</v>
      </c>
      <c r="GC6" s="4">
        <v>5.0</v>
      </c>
      <c r="GE6" s="25">
        <f t="shared" si="1"/>
        <v>11</v>
      </c>
      <c r="GF6" s="25">
        <f t="shared" si="2"/>
        <v>9</v>
      </c>
      <c r="GG6" s="25">
        <f t="shared" si="3"/>
        <v>6</v>
      </c>
      <c r="GH6" s="25">
        <f t="shared" si="4"/>
        <v>0.7374197906</v>
      </c>
      <c r="GI6" s="25">
        <f t="shared" si="5"/>
        <v>189</v>
      </c>
      <c r="GJ6" s="25">
        <f t="shared" si="6"/>
        <v>775</v>
      </c>
      <c r="GK6" s="25">
        <f t="shared" si="7"/>
        <v>586</v>
      </c>
      <c r="GS6" s="14"/>
      <c r="GT6" s="35"/>
      <c r="GU6" s="35"/>
    </row>
    <row r="7">
      <c r="A7" s="23">
        <v>38401.0</v>
      </c>
      <c r="B7" s="4" t="s">
        <v>201</v>
      </c>
      <c r="C7" s="4">
        <v>21.25544</v>
      </c>
      <c r="D7" s="4">
        <v>-157.810303</v>
      </c>
      <c r="E7" s="4" t="s">
        <v>197</v>
      </c>
      <c r="F7" s="24">
        <v>0.0</v>
      </c>
      <c r="G7" s="24">
        <v>0.041666666666666664</v>
      </c>
      <c r="H7" s="4">
        <v>6.0</v>
      </c>
      <c r="I7" s="4">
        <v>9.0</v>
      </c>
      <c r="J7" s="4" t="s">
        <v>198</v>
      </c>
      <c r="K7" s="4">
        <v>10.0</v>
      </c>
      <c r="L7" s="4">
        <v>56.0</v>
      </c>
      <c r="M7" s="4"/>
      <c r="O7" s="4">
        <v>56.0</v>
      </c>
      <c r="Q7" s="4">
        <v>6.0</v>
      </c>
      <c r="AE7" s="4">
        <v>3.0</v>
      </c>
      <c r="BP7" s="4">
        <v>3.0</v>
      </c>
      <c r="BV7" s="4">
        <v>15.0</v>
      </c>
      <c r="CA7" s="4">
        <v>3.0</v>
      </c>
      <c r="CU7" s="4">
        <v>1.0</v>
      </c>
      <c r="DL7" s="4">
        <v>132.0</v>
      </c>
      <c r="DO7" s="4">
        <v>1.0</v>
      </c>
      <c r="DV7" s="4">
        <v>1.0</v>
      </c>
      <c r="EC7" s="4">
        <v>6.0</v>
      </c>
      <c r="EI7" s="4">
        <v>332.0</v>
      </c>
      <c r="FA7" s="4">
        <v>99.0</v>
      </c>
      <c r="FB7" s="4">
        <v>1.0</v>
      </c>
      <c r="FQ7" s="4">
        <v>208.0</v>
      </c>
      <c r="GC7" s="4">
        <v>12.0</v>
      </c>
      <c r="GE7" s="25">
        <f t="shared" si="1"/>
        <v>15</v>
      </c>
      <c r="GF7" s="25">
        <f t="shared" si="2"/>
        <v>11</v>
      </c>
      <c r="GG7" s="25">
        <f t="shared" si="3"/>
        <v>8</v>
      </c>
      <c r="GH7" s="25">
        <f t="shared" si="4"/>
        <v>0.7333918694</v>
      </c>
      <c r="GI7" s="25">
        <f t="shared" si="5"/>
        <v>823</v>
      </c>
      <c r="GJ7" s="25">
        <f t="shared" si="6"/>
        <v>1400</v>
      </c>
      <c r="GK7" s="25">
        <f t="shared" si="7"/>
        <v>577</v>
      </c>
      <c r="GS7" s="45"/>
      <c r="GT7" s="35"/>
      <c r="GU7" s="35"/>
    </row>
    <row r="8">
      <c r="A8" s="23">
        <v>38416.0</v>
      </c>
      <c r="B8" s="4" t="s">
        <v>196</v>
      </c>
      <c r="C8" s="4">
        <v>21.559278</v>
      </c>
      <c r="D8" s="4">
        <v>-157.871902</v>
      </c>
      <c r="E8" s="4" t="s">
        <v>197</v>
      </c>
      <c r="F8" s="24">
        <v>0.0</v>
      </c>
      <c r="G8" s="24">
        <v>0.041666666666666664</v>
      </c>
      <c r="H8" s="4">
        <v>7.0</v>
      </c>
      <c r="I8" s="4">
        <v>9.0</v>
      </c>
      <c r="J8" s="4" t="s">
        <v>198</v>
      </c>
      <c r="K8" s="4">
        <v>10.0</v>
      </c>
      <c r="L8" s="4">
        <v>29.0</v>
      </c>
      <c r="M8" s="4" t="s">
        <v>214</v>
      </c>
      <c r="O8" s="4">
        <v>29.0</v>
      </c>
      <c r="Q8" s="4">
        <v>57.0</v>
      </c>
      <c r="AC8" s="4">
        <v>15.0</v>
      </c>
      <c r="AE8" s="4">
        <v>28.0</v>
      </c>
      <c r="AJ8" s="4">
        <v>1.0</v>
      </c>
      <c r="DG8" s="4">
        <v>2.0</v>
      </c>
      <c r="DO8" s="4">
        <v>1.0</v>
      </c>
      <c r="EC8" s="4">
        <v>14.0</v>
      </c>
      <c r="EI8" s="4">
        <v>10.0</v>
      </c>
      <c r="FB8" s="4">
        <v>1.0</v>
      </c>
      <c r="GC8" s="4">
        <v>8.0</v>
      </c>
      <c r="GE8" s="25">
        <f t="shared" si="1"/>
        <v>10</v>
      </c>
      <c r="GF8" s="25">
        <f t="shared" si="2"/>
        <v>7</v>
      </c>
      <c r="GG8" s="25">
        <f t="shared" si="3"/>
        <v>6</v>
      </c>
      <c r="GH8" s="25">
        <f t="shared" si="4"/>
        <v>0.7591240876</v>
      </c>
      <c r="GI8" s="25">
        <f t="shared" si="5"/>
        <v>137</v>
      </c>
      <c r="GJ8" s="25">
        <f t="shared" si="6"/>
        <v>725</v>
      </c>
      <c r="GK8" s="25">
        <f t="shared" si="7"/>
        <v>588</v>
      </c>
      <c r="GS8" s="46"/>
      <c r="GT8" s="46"/>
      <c r="GU8" s="46"/>
    </row>
    <row r="9">
      <c r="A9" s="29">
        <v>38416.0</v>
      </c>
      <c r="B9" s="27" t="s">
        <v>201</v>
      </c>
      <c r="C9" s="27">
        <v>21.25544</v>
      </c>
      <c r="D9" s="27">
        <v>-157.810303</v>
      </c>
      <c r="E9" s="27" t="s">
        <v>197</v>
      </c>
      <c r="F9" s="30">
        <v>0.0</v>
      </c>
      <c r="G9" s="30">
        <v>0.041666666666666664</v>
      </c>
      <c r="H9" s="27">
        <v>7.0</v>
      </c>
      <c r="I9" s="27">
        <v>9.0</v>
      </c>
      <c r="J9" s="27" t="s">
        <v>198</v>
      </c>
      <c r="K9" s="27">
        <v>10.0</v>
      </c>
      <c r="L9" s="27">
        <v>56.0</v>
      </c>
      <c r="M9" s="27" t="s">
        <v>215</v>
      </c>
      <c r="N9" s="26"/>
      <c r="O9" s="27">
        <v>56.0</v>
      </c>
      <c r="P9" s="26"/>
      <c r="Q9" s="27">
        <v>23.0</v>
      </c>
      <c r="R9" s="26"/>
      <c r="S9" s="26"/>
      <c r="T9" s="26"/>
      <c r="U9" s="26"/>
      <c r="V9" s="26"/>
      <c r="W9" s="26"/>
      <c r="X9" s="26"/>
      <c r="Y9" s="26"/>
      <c r="Z9" s="26"/>
      <c r="AA9" s="26"/>
      <c r="AB9" s="26"/>
      <c r="AC9" s="26"/>
      <c r="AD9" s="26"/>
      <c r="AE9" s="27">
        <v>1.0</v>
      </c>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c r="BK9" s="26"/>
      <c r="BL9" s="26"/>
      <c r="BM9" s="26"/>
      <c r="BN9" s="26"/>
      <c r="BO9" s="26"/>
      <c r="BP9" s="27">
        <v>3.0</v>
      </c>
      <c r="BQ9" s="26"/>
      <c r="BR9" s="26"/>
      <c r="BS9" s="26"/>
      <c r="BT9" s="26"/>
      <c r="BU9" s="26"/>
      <c r="BV9" s="27">
        <v>8.0</v>
      </c>
      <c r="BW9" s="26"/>
      <c r="BX9" s="26"/>
      <c r="BY9" s="27">
        <v>6.0</v>
      </c>
      <c r="BZ9" s="26"/>
      <c r="CA9" s="27">
        <v>4.0</v>
      </c>
      <c r="CB9" s="26"/>
      <c r="CC9" s="27">
        <v>1.0</v>
      </c>
      <c r="CD9" s="26"/>
      <c r="CE9" s="26"/>
      <c r="CF9" s="26"/>
      <c r="CG9" s="26"/>
      <c r="CH9" s="26"/>
      <c r="CI9" s="26"/>
      <c r="CJ9" s="26"/>
      <c r="CK9" s="26"/>
      <c r="CL9" s="26"/>
      <c r="CM9" s="26"/>
      <c r="CN9" s="26"/>
      <c r="CO9" s="26"/>
      <c r="CP9" s="26"/>
      <c r="CQ9" s="26"/>
      <c r="CR9" s="27">
        <v>3.0</v>
      </c>
      <c r="CS9" s="26"/>
      <c r="CT9" s="26"/>
      <c r="CU9" s="27">
        <v>1.0</v>
      </c>
      <c r="CV9" s="26"/>
      <c r="CW9" s="26"/>
      <c r="CX9" s="26"/>
      <c r="CY9" s="26"/>
      <c r="CZ9" s="26"/>
      <c r="DA9" s="26"/>
      <c r="DB9" s="26"/>
      <c r="DC9" s="26"/>
      <c r="DD9" s="26"/>
      <c r="DE9" s="26"/>
      <c r="DF9" s="26"/>
      <c r="DG9" s="26"/>
      <c r="DH9" s="26"/>
      <c r="DI9" s="26"/>
      <c r="DJ9" s="26"/>
      <c r="DK9" s="26"/>
      <c r="DL9" s="27">
        <v>122.0</v>
      </c>
      <c r="DM9" s="26"/>
      <c r="DN9" s="26"/>
      <c r="DO9" s="27">
        <v>1.0</v>
      </c>
      <c r="DP9" s="26"/>
      <c r="DQ9" s="26"/>
      <c r="DR9" s="26"/>
      <c r="DS9" s="26"/>
      <c r="DT9" s="26"/>
      <c r="DU9" s="26"/>
      <c r="DV9" s="26"/>
      <c r="DW9" s="26"/>
      <c r="DX9" s="26"/>
      <c r="DY9" s="26"/>
      <c r="DZ9" s="26"/>
      <c r="EA9" s="26"/>
      <c r="EB9" s="26"/>
      <c r="EC9" s="27">
        <v>1.0</v>
      </c>
      <c r="ED9" s="26"/>
      <c r="EE9" s="26"/>
      <c r="EF9" s="26"/>
      <c r="EG9" s="26"/>
      <c r="EH9" s="26"/>
      <c r="EI9" s="27">
        <v>301.0</v>
      </c>
      <c r="EJ9" s="26"/>
      <c r="EK9" s="26"/>
      <c r="EL9" s="26"/>
      <c r="EM9" s="26"/>
      <c r="EN9" s="26"/>
      <c r="EO9" s="26"/>
      <c r="EP9" s="26"/>
      <c r="EQ9" s="26"/>
      <c r="ER9" s="26"/>
      <c r="ES9" s="26"/>
      <c r="ET9" s="26"/>
      <c r="EU9" s="26"/>
      <c r="EV9" s="26"/>
      <c r="EW9" s="26"/>
      <c r="EX9" s="26"/>
      <c r="EY9" s="26"/>
      <c r="EZ9" s="26"/>
      <c r="FA9" s="27">
        <v>130.0</v>
      </c>
      <c r="FB9" s="26"/>
      <c r="FC9" s="26"/>
      <c r="FD9" s="26"/>
      <c r="FE9" s="26"/>
      <c r="FF9" s="26"/>
      <c r="FG9" s="26"/>
      <c r="FH9" s="26"/>
      <c r="FI9" s="26"/>
      <c r="FJ9" s="26"/>
      <c r="FK9" s="26"/>
      <c r="FL9" s="26"/>
      <c r="FM9" s="26"/>
      <c r="FN9" s="26"/>
      <c r="FO9" s="26"/>
      <c r="FP9" s="27">
        <v>1.0</v>
      </c>
      <c r="FQ9" s="27">
        <v>91.0</v>
      </c>
      <c r="FR9" s="26"/>
      <c r="FS9" s="26"/>
      <c r="FT9" s="26"/>
      <c r="FU9" s="26"/>
      <c r="FV9" s="26"/>
      <c r="FW9" s="26"/>
      <c r="FX9" s="26"/>
      <c r="FY9" s="26"/>
      <c r="FZ9" s="26"/>
      <c r="GA9" s="26"/>
      <c r="GB9" s="26"/>
      <c r="GC9" s="27">
        <v>257.0</v>
      </c>
      <c r="GD9" s="26"/>
      <c r="GE9" s="25">
        <f t="shared" si="1"/>
        <v>17</v>
      </c>
      <c r="GF9" s="25">
        <f t="shared" si="2"/>
        <v>11</v>
      </c>
      <c r="GG9" s="25">
        <f t="shared" si="3"/>
        <v>8</v>
      </c>
      <c r="GH9" s="25">
        <f t="shared" si="4"/>
        <v>0.7839438956</v>
      </c>
      <c r="GI9" s="25">
        <f t="shared" si="5"/>
        <v>954</v>
      </c>
      <c r="GJ9" s="25">
        <f t="shared" si="6"/>
        <v>1400</v>
      </c>
      <c r="GK9" s="25">
        <f t="shared" si="7"/>
        <v>446</v>
      </c>
      <c r="GL9" s="26"/>
      <c r="GM9" s="26"/>
      <c r="GN9" s="26"/>
      <c r="GO9" s="26"/>
      <c r="GP9" s="26"/>
      <c r="GQ9" s="26"/>
      <c r="GR9" s="26"/>
      <c r="GS9" s="47"/>
      <c r="GT9" s="47"/>
      <c r="GU9" s="47"/>
    </row>
    <row r="10">
      <c r="A10" s="23">
        <v>38440.0</v>
      </c>
      <c r="B10" s="4" t="s">
        <v>216</v>
      </c>
      <c r="C10" s="4">
        <v>21.3002</v>
      </c>
      <c r="D10" s="4">
        <v>-157.882599</v>
      </c>
      <c r="E10" s="4" t="s">
        <v>197</v>
      </c>
      <c r="F10" s="24">
        <v>0.0</v>
      </c>
      <c r="G10" s="24">
        <v>0.041666666666666664</v>
      </c>
      <c r="H10" s="4">
        <v>4.0</v>
      </c>
      <c r="I10" s="4">
        <v>22.0</v>
      </c>
      <c r="J10" s="4" t="s">
        <v>217</v>
      </c>
      <c r="K10" s="4">
        <v>10.0</v>
      </c>
      <c r="L10" s="4">
        <v>26.0</v>
      </c>
      <c r="M10" s="4" t="s">
        <v>218</v>
      </c>
      <c r="O10" s="4">
        <v>26.0</v>
      </c>
      <c r="BY10" s="4">
        <v>6.0</v>
      </c>
      <c r="EI10" s="4">
        <v>181.0</v>
      </c>
      <c r="FA10" s="4">
        <v>3.0</v>
      </c>
      <c r="FL10" s="4">
        <v>4.0</v>
      </c>
      <c r="FQ10" s="4">
        <v>2.0</v>
      </c>
      <c r="GC10" s="4">
        <v>5.0</v>
      </c>
      <c r="GE10" s="25">
        <f t="shared" si="1"/>
        <v>6</v>
      </c>
      <c r="GF10" s="25">
        <f t="shared" si="2"/>
        <v>6</v>
      </c>
      <c r="GG10" s="25">
        <f t="shared" si="3"/>
        <v>3</v>
      </c>
      <c r="GH10" s="25">
        <f t="shared" si="4"/>
        <v>0.1878109453</v>
      </c>
      <c r="GI10" s="25">
        <f t="shared" si="5"/>
        <v>201</v>
      </c>
      <c r="GJ10" s="25">
        <f t="shared" si="6"/>
        <v>650</v>
      </c>
      <c r="GK10" s="25">
        <f t="shared" si="7"/>
        <v>449</v>
      </c>
    </row>
    <row r="11">
      <c r="A11" s="23">
        <v>38441.0</v>
      </c>
      <c r="B11" s="4" t="s">
        <v>219</v>
      </c>
      <c r="C11" s="4">
        <v>21.295799</v>
      </c>
      <c r="D11" s="4">
        <v>-158.103699</v>
      </c>
      <c r="E11" s="4" t="s">
        <v>197</v>
      </c>
      <c r="F11" s="24">
        <v>0.0</v>
      </c>
      <c r="G11" s="24">
        <v>0.041666666666666664</v>
      </c>
      <c r="H11" s="4">
        <v>5.0</v>
      </c>
      <c r="I11" s="4">
        <v>20.0</v>
      </c>
      <c r="J11" s="4" t="s">
        <v>217</v>
      </c>
      <c r="K11" s="4">
        <v>10.0</v>
      </c>
      <c r="L11" s="4">
        <v>30.0</v>
      </c>
      <c r="M11" s="4" t="s">
        <v>220</v>
      </c>
      <c r="O11" s="4">
        <v>30.0</v>
      </c>
      <c r="Q11" s="4">
        <v>57.0</v>
      </c>
      <c r="AH11" s="4">
        <v>5.0</v>
      </c>
      <c r="AL11" s="4">
        <v>3.0</v>
      </c>
      <c r="BD11" s="4">
        <v>1.0</v>
      </c>
      <c r="BL11" s="4">
        <v>1.0</v>
      </c>
      <c r="BP11" s="4">
        <v>18.0</v>
      </c>
      <c r="BV11" s="4">
        <v>14.0</v>
      </c>
      <c r="BY11" s="4">
        <v>18.0</v>
      </c>
      <c r="CB11" s="4">
        <v>1.0</v>
      </c>
      <c r="DL11" s="4">
        <v>71.0</v>
      </c>
      <c r="DP11" s="4">
        <v>1.0</v>
      </c>
      <c r="DY11" s="4">
        <v>8.0</v>
      </c>
      <c r="EC11" s="4">
        <v>1.0</v>
      </c>
      <c r="EI11" s="4">
        <v>171.0</v>
      </c>
      <c r="FA11" s="4">
        <v>24.0</v>
      </c>
      <c r="FB11" s="4">
        <v>2.0</v>
      </c>
      <c r="FQ11" s="4">
        <v>48.0</v>
      </c>
      <c r="GC11" s="4">
        <v>9.0</v>
      </c>
      <c r="GE11" s="25">
        <f t="shared" si="1"/>
        <v>18</v>
      </c>
      <c r="GF11" s="25">
        <f t="shared" si="2"/>
        <v>13</v>
      </c>
      <c r="GG11" s="25">
        <f t="shared" si="3"/>
        <v>11</v>
      </c>
      <c r="GH11" s="25">
        <f t="shared" si="4"/>
        <v>0.7998105062</v>
      </c>
      <c r="GI11" s="25">
        <f t="shared" si="5"/>
        <v>453</v>
      </c>
      <c r="GJ11" s="25">
        <f t="shared" si="6"/>
        <v>750</v>
      </c>
      <c r="GK11" s="25">
        <f t="shared" si="7"/>
        <v>297</v>
      </c>
    </row>
    <row r="12">
      <c r="A12" s="23">
        <v>38464.0</v>
      </c>
      <c r="B12" s="4" t="s">
        <v>201</v>
      </c>
      <c r="C12" s="4">
        <v>21.25544</v>
      </c>
      <c r="D12" s="4">
        <v>-157.810303</v>
      </c>
      <c r="E12" s="4" t="s">
        <v>197</v>
      </c>
      <c r="F12" s="24">
        <v>0.0</v>
      </c>
      <c r="G12" s="24">
        <v>0.041666666666666664</v>
      </c>
      <c r="H12" s="4">
        <v>5.0</v>
      </c>
      <c r="I12" s="4">
        <v>9.0</v>
      </c>
      <c r="J12" s="4" t="s">
        <v>198</v>
      </c>
      <c r="K12" s="4">
        <v>10.0</v>
      </c>
      <c r="L12" s="4">
        <v>45.0</v>
      </c>
      <c r="M12" s="4" t="s">
        <v>221</v>
      </c>
      <c r="O12" s="4">
        <v>45.0</v>
      </c>
      <c r="Q12" s="4">
        <v>5.0</v>
      </c>
      <c r="AE12" s="4">
        <v>1.0</v>
      </c>
      <c r="BP12" s="4">
        <v>1.0</v>
      </c>
      <c r="BV12" s="4">
        <v>11.0</v>
      </c>
      <c r="BY12" s="4">
        <v>9.0</v>
      </c>
      <c r="CA12" s="4">
        <v>5.0</v>
      </c>
      <c r="CI12" s="4">
        <v>6.0</v>
      </c>
      <c r="CR12" s="4">
        <v>2.0</v>
      </c>
      <c r="DL12" s="4">
        <v>35.0</v>
      </c>
      <c r="DO12" s="4">
        <v>1.0</v>
      </c>
      <c r="DR12" s="4">
        <v>9.0</v>
      </c>
      <c r="DS12" s="4">
        <v>7.0</v>
      </c>
      <c r="DT12" s="4">
        <v>1.0</v>
      </c>
      <c r="EB12" s="4">
        <v>1.0</v>
      </c>
      <c r="EI12" s="4">
        <v>151.0</v>
      </c>
      <c r="FA12" s="4">
        <v>50.0</v>
      </c>
      <c r="FQ12" s="4">
        <v>425.0</v>
      </c>
      <c r="GC12" s="4">
        <v>117.0</v>
      </c>
      <c r="GE12" s="25">
        <f t="shared" si="1"/>
        <v>18</v>
      </c>
      <c r="GF12" s="25">
        <f t="shared" si="2"/>
        <v>13</v>
      </c>
      <c r="GG12" s="25">
        <f t="shared" si="3"/>
        <v>12</v>
      </c>
      <c r="GH12" s="25">
        <f t="shared" si="4"/>
        <v>0.6849793921</v>
      </c>
      <c r="GI12" s="25">
        <f t="shared" si="5"/>
        <v>837</v>
      </c>
      <c r="GJ12" s="25">
        <f t="shared" si="6"/>
        <v>1125</v>
      </c>
      <c r="GK12" s="25">
        <f t="shared" si="7"/>
        <v>288</v>
      </c>
    </row>
    <row r="13">
      <c r="A13" s="23">
        <v>38469.0</v>
      </c>
      <c r="B13" s="4" t="s">
        <v>219</v>
      </c>
      <c r="C13" s="4">
        <v>21.295799</v>
      </c>
      <c r="D13" s="4">
        <v>-158.103699</v>
      </c>
      <c r="E13" s="4" t="s">
        <v>197</v>
      </c>
      <c r="F13" s="24">
        <v>0.0</v>
      </c>
      <c r="G13" s="24">
        <v>0.041666666666666664</v>
      </c>
      <c r="H13" s="4">
        <v>4.0</v>
      </c>
      <c r="I13" s="4">
        <v>20.0</v>
      </c>
      <c r="J13" s="4" t="s">
        <v>217</v>
      </c>
      <c r="K13" s="4">
        <v>10.0</v>
      </c>
      <c r="L13" s="4">
        <v>29.0</v>
      </c>
      <c r="M13" s="4" t="s">
        <v>222</v>
      </c>
      <c r="O13" s="4">
        <v>29.0</v>
      </c>
      <c r="Q13" s="4">
        <v>112.0</v>
      </c>
      <c r="AP13" s="4">
        <v>1.0</v>
      </c>
      <c r="BP13" s="4">
        <v>31.0</v>
      </c>
      <c r="BV13" s="4">
        <v>1.0</v>
      </c>
      <c r="BY13" s="4">
        <v>17.0</v>
      </c>
      <c r="DG13" s="4">
        <v>2.0</v>
      </c>
      <c r="DL13" s="4">
        <v>9.0</v>
      </c>
      <c r="DY13" s="4">
        <v>1.0</v>
      </c>
      <c r="EC13" s="4">
        <v>2.0</v>
      </c>
      <c r="EI13" s="4">
        <v>111.0</v>
      </c>
      <c r="FA13" s="4">
        <v>10.0</v>
      </c>
      <c r="FQ13" s="4">
        <v>44.0</v>
      </c>
      <c r="GC13" s="4">
        <v>9.0</v>
      </c>
      <c r="GE13" s="25">
        <f t="shared" si="1"/>
        <v>13</v>
      </c>
      <c r="GF13" s="25">
        <f t="shared" si="2"/>
        <v>10</v>
      </c>
      <c r="GG13" s="25">
        <f t="shared" si="3"/>
        <v>8</v>
      </c>
      <c r="GH13" s="25">
        <f t="shared" si="4"/>
        <v>0.770986492</v>
      </c>
      <c r="GI13" s="25">
        <f t="shared" si="5"/>
        <v>350</v>
      </c>
      <c r="GJ13" s="25">
        <f t="shared" si="6"/>
        <v>725</v>
      </c>
      <c r="GK13" s="25">
        <f t="shared" si="7"/>
        <v>375</v>
      </c>
    </row>
    <row r="14">
      <c r="A14" s="23">
        <v>38471.0</v>
      </c>
      <c r="B14" s="4" t="s">
        <v>216</v>
      </c>
      <c r="C14" s="4">
        <v>21.3002</v>
      </c>
      <c r="D14" s="4">
        <v>-157.882599</v>
      </c>
      <c r="E14" s="4" t="s">
        <v>197</v>
      </c>
      <c r="F14" s="24">
        <v>0.0</v>
      </c>
      <c r="G14" s="24">
        <v>0.041666666666666664</v>
      </c>
      <c r="H14" s="4">
        <v>6.0</v>
      </c>
      <c r="I14" s="4">
        <v>22.0</v>
      </c>
      <c r="J14" s="4" t="s">
        <v>217</v>
      </c>
      <c r="K14" s="4">
        <v>10.0</v>
      </c>
      <c r="L14" s="4">
        <v>36.0</v>
      </c>
      <c r="M14" s="4" t="s">
        <v>223</v>
      </c>
      <c r="O14" s="4">
        <v>36.0</v>
      </c>
      <c r="Q14" s="4">
        <v>13.0</v>
      </c>
      <c r="AB14" s="4">
        <v>10.0</v>
      </c>
      <c r="BL14" s="4">
        <v>8.0</v>
      </c>
      <c r="CB14" s="4">
        <v>2.0</v>
      </c>
      <c r="CU14" s="4">
        <v>2.0</v>
      </c>
      <c r="DR14" s="4">
        <v>4.0</v>
      </c>
      <c r="DY14" s="4">
        <v>1.0</v>
      </c>
      <c r="EB14" s="4">
        <v>1.0</v>
      </c>
      <c r="EI14" s="4">
        <v>106.0</v>
      </c>
      <c r="FB14" s="4">
        <v>1.0</v>
      </c>
      <c r="FD14" s="4">
        <v>1.0</v>
      </c>
      <c r="FI14" s="4">
        <v>1.0</v>
      </c>
      <c r="FQ14" s="4">
        <v>204.0</v>
      </c>
      <c r="GC14" s="4">
        <v>26.0</v>
      </c>
      <c r="GE14" s="25">
        <f t="shared" si="1"/>
        <v>14</v>
      </c>
      <c r="GF14" s="25">
        <f t="shared" si="2"/>
        <v>9</v>
      </c>
      <c r="GG14" s="25">
        <f t="shared" si="3"/>
        <v>6</v>
      </c>
      <c r="GH14" s="25">
        <f t="shared" si="4"/>
        <v>0.6284543813</v>
      </c>
      <c r="GI14" s="25">
        <f t="shared" si="5"/>
        <v>380</v>
      </c>
      <c r="GJ14" s="25">
        <f t="shared" si="6"/>
        <v>900</v>
      </c>
      <c r="GK14" s="25">
        <f t="shared" si="7"/>
        <v>520</v>
      </c>
    </row>
    <row r="15">
      <c r="A15" s="23">
        <v>38473.0</v>
      </c>
      <c r="B15" s="4" t="s">
        <v>201</v>
      </c>
      <c r="C15" s="4">
        <v>21.25544</v>
      </c>
      <c r="D15" s="4">
        <v>-157.810303</v>
      </c>
      <c r="E15" s="4" t="s">
        <v>197</v>
      </c>
      <c r="F15" s="24">
        <v>0.0</v>
      </c>
      <c r="G15" s="24">
        <v>0.041666666666666664</v>
      </c>
      <c r="H15" s="4">
        <v>3.0</v>
      </c>
      <c r="I15" s="4">
        <v>9.0</v>
      </c>
      <c r="J15" s="4" t="s">
        <v>198</v>
      </c>
      <c r="K15" s="4">
        <v>10.0</v>
      </c>
      <c r="L15" s="4">
        <v>27.0</v>
      </c>
      <c r="O15" s="4">
        <v>27.0</v>
      </c>
      <c r="Q15" s="4">
        <v>12.0</v>
      </c>
      <c r="BA15" s="4">
        <v>6.0</v>
      </c>
      <c r="BP15" s="4">
        <v>9.0</v>
      </c>
      <c r="BY15" s="4">
        <v>26.0</v>
      </c>
      <c r="DL15" s="4">
        <v>19.0</v>
      </c>
      <c r="DR15" s="4">
        <v>15.0</v>
      </c>
      <c r="EI15" s="4">
        <v>168.0</v>
      </c>
      <c r="FA15" s="4">
        <v>67.0</v>
      </c>
      <c r="FQ15" s="4">
        <v>122.0</v>
      </c>
      <c r="GC15" s="4">
        <v>36.0</v>
      </c>
      <c r="GE15" s="25">
        <f t="shared" si="1"/>
        <v>10</v>
      </c>
      <c r="GF15" s="25">
        <f t="shared" si="2"/>
        <v>10</v>
      </c>
      <c r="GG15" s="25">
        <f t="shared" si="3"/>
        <v>10</v>
      </c>
      <c r="GH15" s="25">
        <f t="shared" si="4"/>
        <v>0.7828114127</v>
      </c>
      <c r="GI15" s="25">
        <f t="shared" si="5"/>
        <v>480</v>
      </c>
      <c r="GJ15" s="25">
        <f t="shared" si="6"/>
        <v>675</v>
      </c>
      <c r="GK15" s="25">
        <f t="shared" si="7"/>
        <v>195</v>
      </c>
    </row>
    <row r="16">
      <c r="A16" s="23">
        <v>38473.0</v>
      </c>
      <c r="B16" s="4" t="s">
        <v>219</v>
      </c>
      <c r="C16" s="4">
        <v>21.295799</v>
      </c>
      <c r="D16" s="4">
        <v>-158.103699</v>
      </c>
      <c r="E16" s="4" t="s">
        <v>197</v>
      </c>
      <c r="F16" s="24">
        <v>0.0</v>
      </c>
      <c r="G16" s="24">
        <v>0.041666666666666664</v>
      </c>
      <c r="H16" s="4">
        <v>6.0</v>
      </c>
      <c r="I16" s="4">
        <v>20.0</v>
      </c>
      <c r="J16" s="4" t="s">
        <v>217</v>
      </c>
      <c r="K16" s="4">
        <v>10.0</v>
      </c>
      <c r="L16" s="4">
        <v>34.0</v>
      </c>
      <c r="M16" s="4" t="s">
        <v>224</v>
      </c>
      <c r="O16" s="4">
        <v>34.0</v>
      </c>
      <c r="Q16" s="4">
        <v>134.0</v>
      </c>
      <c r="BP16" s="4">
        <v>10.0</v>
      </c>
      <c r="BV16" s="4">
        <v>22.0</v>
      </c>
      <c r="BY16" s="4">
        <v>2.0</v>
      </c>
      <c r="CR16" s="4">
        <v>2.0</v>
      </c>
      <c r="DL16" s="4">
        <v>15.0</v>
      </c>
      <c r="DY16" s="4">
        <v>1.0</v>
      </c>
      <c r="EC16" s="4">
        <v>1.0</v>
      </c>
      <c r="EI16" s="4">
        <v>147.0</v>
      </c>
      <c r="FA16" s="4">
        <v>53.0</v>
      </c>
      <c r="FB16" s="4">
        <v>20.0</v>
      </c>
      <c r="FQ16" s="4">
        <v>35.0</v>
      </c>
      <c r="GC16" s="4">
        <v>1.0</v>
      </c>
      <c r="GE16" s="25">
        <f t="shared" si="1"/>
        <v>13</v>
      </c>
      <c r="GF16" s="25">
        <f t="shared" si="2"/>
        <v>10</v>
      </c>
      <c r="GG16" s="25">
        <f t="shared" si="3"/>
        <v>8</v>
      </c>
      <c r="GH16" s="25">
        <f t="shared" si="4"/>
        <v>0.7733675168</v>
      </c>
      <c r="GI16" s="25">
        <f t="shared" si="5"/>
        <v>443</v>
      </c>
      <c r="GJ16" s="25">
        <f t="shared" si="6"/>
        <v>850</v>
      </c>
      <c r="GK16" s="25">
        <f t="shared" si="7"/>
        <v>407</v>
      </c>
    </row>
    <row r="17">
      <c r="A17" s="23">
        <v>38478.0</v>
      </c>
      <c r="B17" s="4" t="s">
        <v>216</v>
      </c>
      <c r="C17" s="4">
        <v>21.3002</v>
      </c>
      <c r="D17" s="4">
        <v>-157.882599</v>
      </c>
      <c r="E17" s="4" t="s">
        <v>197</v>
      </c>
      <c r="F17" s="24">
        <v>0.0</v>
      </c>
      <c r="G17" s="24">
        <v>0.041666666666666664</v>
      </c>
      <c r="H17" s="4">
        <v>4.0</v>
      </c>
      <c r="I17" s="4">
        <v>22.0</v>
      </c>
      <c r="J17" s="4" t="s">
        <v>217</v>
      </c>
      <c r="K17" s="4">
        <v>10.0</v>
      </c>
      <c r="L17" s="4">
        <v>38.0</v>
      </c>
      <c r="M17" s="4" t="s">
        <v>225</v>
      </c>
      <c r="O17" s="4">
        <v>38.0</v>
      </c>
      <c r="Q17" s="4">
        <v>30.0</v>
      </c>
      <c r="BY17" s="4">
        <v>1.0</v>
      </c>
      <c r="CU17" s="4">
        <v>2.0</v>
      </c>
      <c r="DR17" s="4">
        <v>1.0</v>
      </c>
      <c r="EI17" s="4">
        <v>45.0</v>
      </c>
      <c r="FQ17" s="4">
        <v>223.0</v>
      </c>
      <c r="GC17" s="4">
        <v>52.0</v>
      </c>
      <c r="GE17" s="25">
        <f t="shared" si="1"/>
        <v>7</v>
      </c>
      <c r="GF17" s="25">
        <f t="shared" si="2"/>
        <v>5</v>
      </c>
      <c r="GG17" s="25">
        <f t="shared" si="3"/>
        <v>4</v>
      </c>
      <c r="GH17" s="25">
        <f t="shared" si="4"/>
        <v>0.559786175</v>
      </c>
      <c r="GI17" s="25">
        <f t="shared" si="5"/>
        <v>354</v>
      </c>
      <c r="GJ17" s="25">
        <f t="shared" si="6"/>
        <v>950</v>
      </c>
      <c r="GK17" s="25">
        <f t="shared" si="7"/>
        <v>596</v>
      </c>
    </row>
    <row r="18">
      <c r="A18" s="23">
        <v>38479.0</v>
      </c>
      <c r="B18" s="4" t="s">
        <v>226</v>
      </c>
      <c r="C18" s="4">
        <v>21.706499</v>
      </c>
      <c r="D18" s="4">
        <v>-157.998505</v>
      </c>
      <c r="E18" s="4" t="s">
        <v>197</v>
      </c>
      <c r="F18" s="24">
        <v>0.0</v>
      </c>
      <c r="G18" s="24">
        <v>0.041666666666666664</v>
      </c>
      <c r="H18" s="4">
        <v>3.0</v>
      </c>
      <c r="I18" s="4">
        <v>27.0</v>
      </c>
      <c r="J18" s="4" t="s">
        <v>227</v>
      </c>
      <c r="K18" s="4">
        <v>10.0</v>
      </c>
      <c r="L18" s="4">
        <v>22.0</v>
      </c>
      <c r="M18" s="4" t="s">
        <v>228</v>
      </c>
      <c r="O18" s="4">
        <v>22.0</v>
      </c>
      <c r="AB18" s="4">
        <v>3.0</v>
      </c>
      <c r="BG18" s="4">
        <v>4.0</v>
      </c>
      <c r="BV18" s="4">
        <v>12.0</v>
      </c>
      <c r="BY18" s="4">
        <v>5.0</v>
      </c>
      <c r="CB18" s="4">
        <v>13.0</v>
      </c>
      <c r="CR18" s="4">
        <v>1.0</v>
      </c>
      <c r="DB18" s="4">
        <v>4.0</v>
      </c>
      <c r="DL18" s="4">
        <v>116.0</v>
      </c>
      <c r="DU18" s="4">
        <v>62.0</v>
      </c>
      <c r="EI18" s="4">
        <v>93.0</v>
      </c>
      <c r="FA18" s="4">
        <v>29.0</v>
      </c>
      <c r="FP18" s="4">
        <v>14.0</v>
      </c>
      <c r="FQ18" s="4">
        <v>118.0</v>
      </c>
      <c r="FV18" s="4">
        <v>14.0</v>
      </c>
      <c r="GC18" s="4">
        <v>16.0</v>
      </c>
      <c r="GE18" s="25">
        <f t="shared" si="1"/>
        <v>15</v>
      </c>
      <c r="GF18" s="25">
        <f t="shared" si="2"/>
        <v>14</v>
      </c>
      <c r="GG18" s="25">
        <f t="shared" si="3"/>
        <v>11</v>
      </c>
      <c r="GH18" s="25">
        <f t="shared" si="4"/>
        <v>0.837333144</v>
      </c>
      <c r="GI18" s="25">
        <f t="shared" si="5"/>
        <v>504</v>
      </c>
      <c r="GJ18" s="25">
        <f t="shared" si="6"/>
        <v>550</v>
      </c>
      <c r="GK18" s="25">
        <f t="shared" si="7"/>
        <v>46</v>
      </c>
    </row>
    <row r="19">
      <c r="A19" s="23">
        <v>38493.0</v>
      </c>
      <c r="B19" s="4" t="s">
        <v>226</v>
      </c>
      <c r="C19" s="4">
        <v>21.706499</v>
      </c>
      <c r="D19" s="4">
        <v>-157.998505</v>
      </c>
      <c r="E19" s="4" t="s">
        <v>197</v>
      </c>
      <c r="F19" s="24">
        <v>0.0</v>
      </c>
      <c r="G19" s="24">
        <v>0.041666666666666664</v>
      </c>
      <c r="H19" s="4">
        <v>2.0</v>
      </c>
      <c r="I19" s="4">
        <v>27.0</v>
      </c>
      <c r="J19" s="4" t="s">
        <v>227</v>
      </c>
      <c r="K19" s="4">
        <v>10.0</v>
      </c>
      <c r="L19" s="4">
        <v>11.0</v>
      </c>
      <c r="M19" s="4" t="s">
        <v>229</v>
      </c>
      <c r="O19" s="4">
        <v>11.0</v>
      </c>
      <c r="BG19" s="4">
        <v>1.0</v>
      </c>
      <c r="BV19" s="4">
        <v>3.0</v>
      </c>
      <c r="BY19" s="4">
        <v>1.0</v>
      </c>
      <c r="DU19" s="4">
        <v>32.0</v>
      </c>
      <c r="EC19" s="4">
        <v>1.0</v>
      </c>
      <c r="EI19" s="4">
        <v>55.0</v>
      </c>
      <c r="FA19" s="4">
        <v>13.0</v>
      </c>
      <c r="FP19" s="4">
        <v>1.0</v>
      </c>
      <c r="FQ19" s="4">
        <v>103.0</v>
      </c>
      <c r="GC19" s="4">
        <v>4.0</v>
      </c>
      <c r="GE19" s="25">
        <f t="shared" si="1"/>
        <v>10</v>
      </c>
      <c r="GF19" s="25">
        <f t="shared" si="2"/>
        <v>6</v>
      </c>
      <c r="GG19" s="25">
        <f t="shared" si="3"/>
        <v>4</v>
      </c>
      <c r="GH19" s="25">
        <f t="shared" si="4"/>
        <v>0.6787767101</v>
      </c>
      <c r="GI19" s="25">
        <f t="shared" si="5"/>
        <v>214</v>
      </c>
      <c r="GJ19" s="25">
        <f t="shared" si="6"/>
        <v>275</v>
      </c>
      <c r="GK19" s="25">
        <f t="shared" si="7"/>
        <v>61</v>
      </c>
      <c r="GS19" s="35"/>
      <c r="GT19" s="35"/>
      <c r="GU19" s="35"/>
    </row>
    <row r="20">
      <c r="A20" s="23">
        <v>38496.0</v>
      </c>
      <c r="B20" s="4" t="s">
        <v>230</v>
      </c>
      <c r="C20" s="4">
        <v>20.7537</v>
      </c>
      <c r="D20" s="4">
        <v>-156.460907</v>
      </c>
      <c r="E20" s="4" t="s">
        <v>197</v>
      </c>
      <c r="F20" s="24">
        <v>0.0</v>
      </c>
      <c r="G20" s="24">
        <v>0.041666666666666664</v>
      </c>
      <c r="H20" s="4">
        <v>5.0</v>
      </c>
      <c r="I20" s="4">
        <v>15.0</v>
      </c>
      <c r="J20" s="4" t="s">
        <v>217</v>
      </c>
      <c r="K20" s="4">
        <v>8.0</v>
      </c>
      <c r="L20" s="4">
        <v>36.0</v>
      </c>
      <c r="M20" s="4" t="s">
        <v>231</v>
      </c>
      <c r="O20" s="4">
        <v>36.0</v>
      </c>
      <c r="Q20" s="4">
        <v>12.0</v>
      </c>
      <c r="BG20" s="4">
        <v>8.0</v>
      </c>
      <c r="BL20" s="4">
        <v>67.0</v>
      </c>
      <c r="DE20" s="4">
        <v>60.0</v>
      </c>
      <c r="DL20" s="4">
        <v>15.0</v>
      </c>
      <c r="EH20" s="4">
        <v>1.0</v>
      </c>
      <c r="EI20" s="4">
        <v>8.0</v>
      </c>
      <c r="FA20" s="4">
        <v>31.0</v>
      </c>
      <c r="FQ20" s="4">
        <v>23.0</v>
      </c>
      <c r="FR20" s="4">
        <v>59.0</v>
      </c>
      <c r="FT20" s="4">
        <v>1.0</v>
      </c>
      <c r="GC20" s="4">
        <v>2.0</v>
      </c>
      <c r="GE20" s="25">
        <f t="shared" si="1"/>
        <v>12</v>
      </c>
      <c r="GF20" s="25">
        <f t="shared" si="2"/>
        <v>10</v>
      </c>
      <c r="GG20" s="25">
        <f t="shared" si="3"/>
        <v>9</v>
      </c>
      <c r="GH20" s="25">
        <f t="shared" si="4"/>
        <v>0.8382593017</v>
      </c>
      <c r="GI20" s="25">
        <f t="shared" si="5"/>
        <v>287</v>
      </c>
      <c r="GJ20" s="25">
        <f t="shared" si="6"/>
        <v>900</v>
      </c>
      <c r="GK20" s="25">
        <f t="shared" si="7"/>
        <v>613</v>
      </c>
      <c r="GS20" s="35"/>
      <c r="GT20" s="35"/>
      <c r="GU20" s="35"/>
    </row>
    <row r="21">
      <c r="A21" s="23">
        <v>38507.0</v>
      </c>
      <c r="B21" s="4" t="s">
        <v>226</v>
      </c>
      <c r="C21" s="4">
        <v>21.706499</v>
      </c>
      <c r="D21" s="4">
        <v>-157.998505</v>
      </c>
      <c r="E21" s="4" t="s">
        <v>197</v>
      </c>
      <c r="F21" s="24">
        <v>0.0</v>
      </c>
      <c r="G21" s="24">
        <v>0.041666666666666664</v>
      </c>
      <c r="H21" s="4">
        <v>3.0</v>
      </c>
      <c r="I21" s="4">
        <v>27.0</v>
      </c>
      <c r="J21" s="4" t="s">
        <v>227</v>
      </c>
      <c r="K21" s="4">
        <v>10.0</v>
      </c>
      <c r="L21" s="4">
        <v>20.0</v>
      </c>
      <c r="M21" s="4" t="s">
        <v>232</v>
      </c>
      <c r="O21" s="4">
        <v>20.0</v>
      </c>
      <c r="Q21" s="4">
        <v>7.0</v>
      </c>
      <c r="R21" s="4">
        <v>1.0</v>
      </c>
      <c r="BA21" s="4">
        <v>11.0</v>
      </c>
      <c r="BG21" s="4">
        <v>1.0</v>
      </c>
      <c r="BL21" s="4">
        <v>3.0</v>
      </c>
      <c r="BV21" s="4">
        <v>7.0</v>
      </c>
      <c r="BY21" s="4">
        <v>10.0</v>
      </c>
      <c r="CB21" s="4">
        <v>7.0</v>
      </c>
      <c r="CC21" s="4">
        <v>4.0</v>
      </c>
      <c r="CR21" s="4">
        <v>1.0</v>
      </c>
      <c r="CV21" s="4">
        <v>7.0</v>
      </c>
      <c r="DB21" s="4">
        <v>1.0</v>
      </c>
      <c r="DL21" s="4">
        <v>46.0</v>
      </c>
      <c r="DU21" s="4">
        <v>53.0</v>
      </c>
      <c r="EI21" s="4">
        <v>33.0</v>
      </c>
      <c r="FA21" s="4">
        <v>7.0</v>
      </c>
      <c r="FP21" s="4">
        <v>8.0</v>
      </c>
      <c r="FQ21" s="4">
        <v>146.0</v>
      </c>
      <c r="GC21" s="4">
        <v>53.0</v>
      </c>
      <c r="GE21" s="25">
        <f t="shared" si="1"/>
        <v>19</v>
      </c>
      <c r="GF21" s="25">
        <f t="shared" si="2"/>
        <v>15</v>
      </c>
      <c r="GG21" s="25">
        <f t="shared" si="3"/>
        <v>13</v>
      </c>
      <c r="GH21" s="25">
        <f t="shared" si="4"/>
        <v>0.81577571</v>
      </c>
      <c r="GI21" s="25">
        <f t="shared" si="5"/>
        <v>406</v>
      </c>
      <c r="GJ21" s="25">
        <f t="shared" si="6"/>
        <v>500</v>
      </c>
      <c r="GK21" s="25">
        <f t="shared" si="7"/>
        <v>94</v>
      </c>
      <c r="GS21" s="35"/>
      <c r="GT21" s="35"/>
      <c r="GU21" s="35"/>
    </row>
    <row r="22">
      <c r="A22" s="23">
        <v>38824.0</v>
      </c>
      <c r="B22" s="4" t="s">
        <v>233</v>
      </c>
      <c r="C22" s="4">
        <v>21.066799</v>
      </c>
      <c r="D22" s="4">
        <v>-156.804993</v>
      </c>
      <c r="E22" s="4" t="s">
        <v>197</v>
      </c>
      <c r="F22" s="24">
        <v>0.0</v>
      </c>
      <c r="G22" s="24">
        <v>0.041666666666666664</v>
      </c>
      <c r="H22" s="4">
        <v>3.0</v>
      </c>
      <c r="I22" s="4">
        <v>27.0</v>
      </c>
      <c r="J22" s="4" t="s">
        <v>227</v>
      </c>
      <c r="K22" s="4">
        <v>10.0</v>
      </c>
      <c r="L22" s="4">
        <v>29.0</v>
      </c>
      <c r="M22" s="4" t="s">
        <v>234</v>
      </c>
      <c r="O22" s="4">
        <v>29.0</v>
      </c>
      <c r="Q22" s="4">
        <v>97.0</v>
      </c>
      <c r="BA22" s="4">
        <v>102.0</v>
      </c>
      <c r="BL22" s="4">
        <v>4.0</v>
      </c>
      <c r="BX22" s="4">
        <v>3.0</v>
      </c>
      <c r="CF22" s="4">
        <v>1.0</v>
      </c>
      <c r="CN22" s="4">
        <v>1.0</v>
      </c>
      <c r="DC22" s="4">
        <v>5.0</v>
      </c>
      <c r="DL22" s="4">
        <v>18.0</v>
      </c>
      <c r="DR22" s="4">
        <v>129.0</v>
      </c>
      <c r="EI22" s="4">
        <v>1.0</v>
      </c>
      <c r="FA22" s="4">
        <v>17.0</v>
      </c>
      <c r="FP22" s="4">
        <v>2.0</v>
      </c>
      <c r="GE22" s="25">
        <f t="shared" si="1"/>
        <v>12</v>
      </c>
      <c r="GF22" s="25">
        <f t="shared" si="2"/>
        <v>9</v>
      </c>
      <c r="GG22" s="25">
        <f t="shared" si="3"/>
        <v>6</v>
      </c>
      <c r="GH22" s="25">
        <f t="shared" si="4"/>
        <v>0.7448687682</v>
      </c>
      <c r="GI22" s="25">
        <f t="shared" si="5"/>
        <v>380</v>
      </c>
      <c r="GJ22" s="25">
        <f t="shared" si="6"/>
        <v>725</v>
      </c>
      <c r="GK22" s="25">
        <f t="shared" si="7"/>
        <v>345</v>
      </c>
    </row>
    <row r="23">
      <c r="A23" s="23">
        <v>38824.0</v>
      </c>
      <c r="B23" s="4" t="s">
        <v>201</v>
      </c>
      <c r="C23" s="4">
        <v>21.25544</v>
      </c>
      <c r="D23" s="4">
        <v>-157.810303</v>
      </c>
      <c r="E23" s="4" t="s">
        <v>197</v>
      </c>
      <c r="F23" s="24">
        <v>0.0</v>
      </c>
      <c r="G23" s="24">
        <v>0.041666666666666664</v>
      </c>
      <c r="H23" s="4">
        <v>6.0</v>
      </c>
      <c r="I23" s="4">
        <v>11.0</v>
      </c>
      <c r="J23" s="4" t="s">
        <v>198</v>
      </c>
      <c r="K23" s="4">
        <v>12.0</v>
      </c>
      <c r="L23" s="4">
        <v>53.0</v>
      </c>
      <c r="M23" s="4" t="s">
        <v>235</v>
      </c>
      <c r="O23" s="4">
        <v>53.0</v>
      </c>
      <c r="Q23" s="4">
        <v>4.0</v>
      </c>
      <c r="AD23" s="4">
        <v>2.0</v>
      </c>
      <c r="AE23" s="4">
        <v>1.0</v>
      </c>
      <c r="BG23" s="4">
        <v>2.0</v>
      </c>
      <c r="BP23" s="4">
        <v>10.0</v>
      </c>
      <c r="BV23" s="4">
        <v>7.0</v>
      </c>
      <c r="BY23" s="4">
        <v>31.0</v>
      </c>
      <c r="CR23" s="4">
        <v>22.0</v>
      </c>
      <c r="DL23" s="4">
        <v>248.0</v>
      </c>
      <c r="DO23" s="4">
        <v>3.0</v>
      </c>
      <c r="DY23" s="4">
        <v>2.0</v>
      </c>
      <c r="EI23" s="4">
        <v>188.0</v>
      </c>
      <c r="FA23" s="4">
        <v>193.0</v>
      </c>
      <c r="FB23" s="4">
        <v>6.0</v>
      </c>
      <c r="FP23" s="4">
        <v>3.0</v>
      </c>
      <c r="FQ23" s="4">
        <v>86.0</v>
      </c>
      <c r="FS23" s="4">
        <v>15.0</v>
      </c>
      <c r="GC23" s="4">
        <v>25.0</v>
      </c>
      <c r="GE23" s="25">
        <f t="shared" si="1"/>
        <v>18</v>
      </c>
      <c r="GF23" s="25">
        <f t="shared" si="2"/>
        <v>17</v>
      </c>
      <c r="GG23" s="25">
        <f t="shared" si="3"/>
        <v>11</v>
      </c>
      <c r="GH23" s="25">
        <f t="shared" si="4"/>
        <v>0.8006671716</v>
      </c>
      <c r="GI23" s="25">
        <f t="shared" si="5"/>
        <v>848</v>
      </c>
      <c r="GJ23" s="25">
        <f t="shared" si="6"/>
        <v>1325</v>
      </c>
      <c r="GK23" s="25">
        <f t="shared" si="7"/>
        <v>477</v>
      </c>
    </row>
    <row r="24">
      <c r="A24" s="23">
        <v>38825.0</v>
      </c>
      <c r="B24" s="4" t="s">
        <v>230</v>
      </c>
      <c r="C24" s="4">
        <v>20.7537</v>
      </c>
      <c r="D24" s="4">
        <v>-156.460907</v>
      </c>
      <c r="E24" s="4" t="s">
        <v>197</v>
      </c>
      <c r="F24" s="24">
        <v>0.0</v>
      </c>
      <c r="G24" s="24">
        <v>0.041666666666666664</v>
      </c>
      <c r="H24" s="4">
        <v>5.0</v>
      </c>
      <c r="I24" s="4">
        <v>22.0</v>
      </c>
      <c r="J24" s="4" t="s">
        <v>217</v>
      </c>
      <c r="K24" s="4">
        <v>14.0</v>
      </c>
      <c r="L24" s="4">
        <v>42.0</v>
      </c>
      <c r="M24" s="4" t="s">
        <v>236</v>
      </c>
      <c r="O24" s="4">
        <v>42.0</v>
      </c>
      <c r="Q24" s="4">
        <v>31.0</v>
      </c>
      <c r="BJ24" s="4">
        <v>24.0</v>
      </c>
      <c r="BL24" s="4">
        <v>109.0</v>
      </c>
      <c r="BW24" s="4">
        <v>1.0</v>
      </c>
      <c r="DE24" s="4">
        <v>23.0</v>
      </c>
      <c r="DL24" s="4">
        <v>2.0</v>
      </c>
      <c r="EC24" s="4">
        <v>2.0</v>
      </c>
      <c r="EI24" s="4">
        <v>9.0</v>
      </c>
      <c r="FA24" s="4">
        <v>14.0</v>
      </c>
      <c r="FM24" s="4">
        <v>3.0</v>
      </c>
      <c r="FQ24" s="4">
        <v>12.0</v>
      </c>
      <c r="FR24" s="4">
        <v>57.0</v>
      </c>
      <c r="FT24" s="4">
        <v>2.0</v>
      </c>
      <c r="GE24" s="25">
        <f t="shared" si="1"/>
        <v>13</v>
      </c>
      <c r="GF24" s="25">
        <f t="shared" si="2"/>
        <v>12</v>
      </c>
      <c r="GG24" s="25">
        <f t="shared" si="3"/>
        <v>8</v>
      </c>
      <c r="GH24" s="25">
        <f t="shared" si="4"/>
        <v>0.7915465206</v>
      </c>
      <c r="GI24" s="25">
        <f t="shared" si="5"/>
        <v>289</v>
      </c>
      <c r="GJ24" s="25">
        <f t="shared" si="6"/>
        <v>1050</v>
      </c>
      <c r="GK24" s="25">
        <f t="shared" si="7"/>
        <v>761</v>
      </c>
    </row>
    <row r="25">
      <c r="A25" s="23">
        <v>38834.0</v>
      </c>
      <c r="B25" s="4" t="s">
        <v>219</v>
      </c>
      <c r="C25" s="4">
        <v>21.295799</v>
      </c>
      <c r="D25" s="4">
        <v>-158.103699</v>
      </c>
      <c r="E25" s="4" t="s">
        <v>197</v>
      </c>
      <c r="F25" s="24">
        <v>0.0</v>
      </c>
      <c r="G25" s="24">
        <v>0.041666666666666664</v>
      </c>
      <c r="H25" s="4">
        <v>4.0</v>
      </c>
      <c r="I25" s="4">
        <v>25.0</v>
      </c>
      <c r="J25" s="4" t="s">
        <v>237</v>
      </c>
      <c r="K25" s="4">
        <v>5.0</v>
      </c>
      <c r="L25" s="4">
        <v>16.0</v>
      </c>
      <c r="M25" s="4" t="s">
        <v>238</v>
      </c>
      <c r="O25" s="4">
        <v>16.0</v>
      </c>
      <c r="Q25" s="4">
        <v>5.0</v>
      </c>
      <c r="BC25" s="4">
        <v>1.0</v>
      </c>
      <c r="BL25" s="4">
        <v>1.0</v>
      </c>
      <c r="BP25" s="4">
        <v>25.0</v>
      </c>
      <c r="BT25" s="4">
        <v>8.0</v>
      </c>
      <c r="BV25" s="4">
        <v>3.0</v>
      </c>
      <c r="DL25" s="4">
        <v>2.0</v>
      </c>
      <c r="EB25" s="4">
        <v>1.0</v>
      </c>
      <c r="EC25" s="4">
        <v>1.0</v>
      </c>
      <c r="EI25" s="4">
        <v>134.0</v>
      </c>
      <c r="FA25" s="4">
        <v>1.0</v>
      </c>
      <c r="FQ25" s="4">
        <v>8.0</v>
      </c>
      <c r="GE25" s="25">
        <f t="shared" si="1"/>
        <v>12</v>
      </c>
      <c r="GF25" s="25">
        <f t="shared" si="2"/>
        <v>7</v>
      </c>
      <c r="GG25" s="25">
        <f t="shared" si="3"/>
        <v>5</v>
      </c>
      <c r="GH25" s="25">
        <f t="shared" si="4"/>
        <v>0.4830966305</v>
      </c>
      <c r="GI25" s="25">
        <f t="shared" si="5"/>
        <v>190</v>
      </c>
      <c r="GJ25" s="25">
        <f t="shared" si="6"/>
        <v>400</v>
      </c>
      <c r="GK25" s="25">
        <f t="shared" si="7"/>
        <v>210</v>
      </c>
    </row>
    <row r="26">
      <c r="A26" s="23">
        <v>38835.0</v>
      </c>
      <c r="B26" s="4" t="s">
        <v>216</v>
      </c>
      <c r="C26" s="4">
        <v>21.3002</v>
      </c>
      <c r="D26" s="4">
        <v>-157.882599</v>
      </c>
      <c r="E26" s="4" t="s">
        <v>197</v>
      </c>
      <c r="F26" s="24">
        <v>0.0</v>
      </c>
      <c r="G26" s="24">
        <v>0.041666666666666664</v>
      </c>
      <c r="H26" s="4">
        <v>3.0</v>
      </c>
      <c r="I26" s="4">
        <v>25.0</v>
      </c>
      <c r="J26" s="4" t="s">
        <v>237</v>
      </c>
      <c r="K26" s="4">
        <v>5.0</v>
      </c>
      <c r="L26" s="4">
        <v>10.0</v>
      </c>
      <c r="M26" s="4" t="s">
        <v>239</v>
      </c>
      <c r="O26" s="4">
        <v>10.0</v>
      </c>
      <c r="Q26" s="4">
        <v>1.0</v>
      </c>
      <c r="BD26" s="4">
        <v>1.0</v>
      </c>
      <c r="BU26" s="4">
        <v>1.0</v>
      </c>
      <c r="DL26" s="4">
        <v>7.0</v>
      </c>
      <c r="EI26" s="4">
        <v>21.0</v>
      </c>
      <c r="FA26" s="4">
        <v>1.0</v>
      </c>
      <c r="GC26" s="4">
        <v>2.0</v>
      </c>
      <c r="GE26" s="25">
        <f t="shared" si="1"/>
        <v>7</v>
      </c>
      <c r="GF26" s="25">
        <f t="shared" si="2"/>
        <v>3</v>
      </c>
      <c r="GG26" s="25">
        <f t="shared" si="3"/>
        <v>2</v>
      </c>
      <c r="GH26" s="25">
        <f t="shared" si="4"/>
        <v>0.5864527629</v>
      </c>
      <c r="GI26" s="25">
        <f t="shared" si="5"/>
        <v>34</v>
      </c>
      <c r="GJ26" s="25">
        <f t="shared" si="6"/>
        <v>250</v>
      </c>
      <c r="GK26" s="25">
        <f t="shared" si="7"/>
        <v>216</v>
      </c>
    </row>
    <row r="27">
      <c r="A27" s="23">
        <v>38838.0</v>
      </c>
      <c r="B27" s="4" t="s">
        <v>240</v>
      </c>
      <c r="C27" s="4">
        <v>21.1059</v>
      </c>
      <c r="D27" s="4">
        <v>-156.746094</v>
      </c>
      <c r="E27" s="4" t="s">
        <v>197</v>
      </c>
      <c r="F27" s="24">
        <v>0.0</v>
      </c>
      <c r="G27" s="24">
        <v>0.041666666666666664</v>
      </c>
      <c r="H27" s="4">
        <v>3.0</v>
      </c>
      <c r="I27" s="4">
        <v>27.0</v>
      </c>
      <c r="J27" s="4" t="s">
        <v>227</v>
      </c>
      <c r="K27" s="4">
        <v>10.0</v>
      </c>
      <c r="L27" s="4">
        <v>27.0</v>
      </c>
      <c r="M27" s="4" t="s">
        <v>241</v>
      </c>
      <c r="O27" s="4">
        <v>27.0</v>
      </c>
      <c r="AL27" s="4">
        <v>22.0</v>
      </c>
      <c r="BA27" s="4">
        <v>12.0</v>
      </c>
      <c r="BL27" s="4">
        <v>9.0</v>
      </c>
      <c r="CR27" s="4">
        <v>1.0</v>
      </c>
      <c r="EI27" s="4">
        <v>40.0</v>
      </c>
      <c r="FQ27" s="4">
        <v>322.0</v>
      </c>
      <c r="GE27" s="25">
        <f t="shared" si="1"/>
        <v>6</v>
      </c>
      <c r="GF27" s="25">
        <f t="shared" si="2"/>
        <v>5</v>
      </c>
      <c r="GG27" s="25">
        <f t="shared" si="3"/>
        <v>5</v>
      </c>
      <c r="GH27" s="25">
        <f t="shared" si="4"/>
        <v>0.3578544061</v>
      </c>
      <c r="GI27" s="25">
        <f t="shared" si="5"/>
        <v>406</v>
      </c>
      <c r="GJ27" s="25">
        <f t="shared" si="6"/>
        <v>675</v>
      </c>
      <c r="GK27" s="25">
        <f t="shared" si="7"/>
        <v>269</v>
      </c>
    </row>
    <row r="28">
      <c r="A28" s="23">
        <v>38849.0</v>
      </c>
      <c r="B28" s="4" t="s">
        <v>219</v>
      </c>
      <c r="C28" s="4">
        <v>21.295799</v>
      </c>
      <c r="D28" s="4">
        <v>-158.103699</v>
      </c>
      <c r="E28" s="4" t="s">
        <v>197</v>
      </c>
      <c r="F28" s="24">
        <v>0.0</v>
      </c>
      <c r="G28" s="24">
        <v>0.041666666666666664</v>
      </c>
      <c r="H28" s="4">
        <v>4.0</v>
      </c>
      <c r="I28" s="4">
        <v>25.0</v>
      </c>
      <c r="J28" s="4" t="s">
        <v>237</v>
      </c>
      <c r="K28" s="4">
        <v>5.0</v>
      </c>
      <c r="L28" s="4">
        <v>14.0</v>
      </c>
      <c r="M28" s="4" t="s">
        <v>242</v>
      </c>
      <c r="O28" s="4">
        <v>14.0</v>
      </c>
      <c r="AC28" s="4">
        <v>3.0</v>
      </c>
      <c r="AL28" s="4">
        <v>6.0</v>
      </c>
      <c r="BP28" s="4">
        <v>5.0</v>
      </c>
      <c r="BV28" s="4">
        <v>13.0</v>
      </c>
      <c r="DG28" s="4">
        <v>1.0</v>
      </c>
      <c r="DL28" s="4">
        <v>20.0</v>
      </c>
      <c r="EB28" s="4">
        <v>1.0</v>
      </c>
      <c r="EI28" s="4">
        <v>216.0</v>
      </c>
      <c r="EU28" s="4">
        <v>1.0</v>
      </c>
      <c r="FA28" s="4">
        <v>27.0</v>
      </c>
      <c r="FB28" s="4">
        <v>1.0</v>
      </c>
      <c r="FL28" s="4">
        <v>8.0</v>
      </c>
      <c r="FQ28" s="4">
        <v>38.0</v>
      </c>
      <c r="GC28" s="4">
        <v>1.0</v>
      </c>
      <c r="GE28" s="25">
        <f t="shared" si="1"/>
        <v>14</v>
      </c>
      <c r="GF28" s="25">
        <f t="shared" si="2"/>
        <v>9</v>
      </c>
      <c r="GG28" s="25">
        <f t="shared" si="3"/>
        <v>8</v>
      </c>
      <c r="GH28" s="25">
        <f t="shared" si="4"/>
        <v>0.5756770743</v>
      </c>
      <c r="GI28" s="25">
        <f t="shared" si="5"/>
        <v>341</v>
      </c>
      <c r="GJ28" s="25">
        <f t="shared" si="6"/>
        <v>350</v>
      </c>
      <c r="GK28" s="25">
        <f t="shared" si="7"/>
        <v>9</v>
      </c>
    </row>
    <row r="29">
      <c r="A29" s="23">
        <v>38852.0</v>
      </c>
      <c r="B29" s="4" t="s">
        <v>216</v>
      </c>
      <c r="C29" s="4">
        <v>21.3002</v>
      </c>
      <c r="D29" s="4">
        <v>-157.882599</v>
      </c>
      <c r="E29" s="4" t="s">
        <v>197</v>
      </c>
      <c r="F29" s="24">
        <v>0.0</v>
      </c>
      <c r="G29" s="24">
        <v>0.041666666666666664</v>
      </c>
      <c r="H29" s="4">
        <v>7.0</v>
      </c>
      <c r="I29" s="4">
        <v>25.0</v>
      </c>
      <c r="J29" s="4" t="s">
        <v>237</v>
      </c>
      <c r="K29" s="4">
        <v>5.0</v>
      </c>
      <c r="L29" s="4">
        <v>23.0</v>
      </c>
      <c r="M29" s="4" t="s">
        <v>243</v>
      </c>
      <c r="O29" s="4">
        <v>23.0</v>
      </c>
      <c r="Q29" s="4">
        <v>4.0</v>
      </c>
      <c r="AH29" s="4">
        <v>3.0</v>
      </c>
      <c r="BC29" s="4">
        <v>1.0</v>
      </c>
      <c r="BP29" s="4">
        <v>11.0</v>
      </c>
      <c r="BV29" s="4">
        <v>1.0</v>
      </c>
      <c r="CC29" s="4">
        <v>2.0</v>
      </c>
      <c r="DL29" s="4">
        <v>3.0</v>
      </c>
      <c r="DN29" s="4">
        <v>2.0</v>
      </c>
      <c r="DR29" s="4">
        <v>6.0</v>
      </c>
      <c r="EI29" s="4">
        <v>60.0</v>
      </c>
      <c r="FA29" s="4">
        <v>11.0</v>
      </c>
      <c r="FQ29" s="4">
        <v>46.0</v>
      </c>
      <c r="GE29" s="25">
        <f t="shared" si="1"/>
        <v>12</v>
      </c>
      <c r="GF29" s="25">
        <f t="shared" si="2"/>
        <v>10</v>
      </c>
      <c r="GG29" s="25">
        <f t="shared" si="3"/>
        <v>5</v>
      </c>
      <c r="GH29" s="25">
        <f t="shared" si="4"/>
        <v>0.7365548098</v>
      </c>
      <c r="GI29" s="25">
        <f t="shared" si="5"/>
        <v>150</v>
      </c>
      <c r="GJ29" s="25">
        <f t="shared" si="6"/>
        <v>575</v>
      </c>
      <c r="GK29" s="25">
        <f t="shared" si="7"/>
        <v>425</v>
      </c>
    </row>
    <row r="30">
      <c r="A30" s="23">
        <v>38853.0</v>
      </c>
      <c r="B30" s="4" t="s">
        <v>244</v>
      </c>
      <c r="C30" s="4">
        <v>21.310612</v>
      </c>
      <c r="D30" s="4">
        <v>-158.00441</v>
      </c>
      <c r="E30" s="4" t="s">
        <v>197</v>
      </c>
      <c r="F30" s="24">
        <v>0.0</v>
      </c>
      <c r="G30" s="24">
        <v>0.041666666666666664</v>
      </c>
      <c r="H30" s="4">
        <v>4.0</v>
      </c>
      <c r="I30" s="4">
        <v>20.0</v>
      </c>
      <c r="J30" s="4" t="s">
        <v>245</v>
      </c>
      <c r="K30" s="4">
        <v>5.0</v>
      </c>
      <c r="L30" s="4">
        <v>4.0</v>
      </c>
      <c r="M30" s="4">
        <v>4.0</v>
      </c>
      <c r="O30" s="4">
        <v>4.0</v>
      </c>
      <c r="Q30" s="4">
        <v>12.0</v>
      </c>
      <c r="AW30" s="4">
        <v>1.0</v>
      </c>
      <c r="BL30" s="4">
        <v>2.0</v>
      </c>
      <c r="BP30" s="4">
        <v>14.0</v>
      </c>
      <c r="BT30" s="4">
        <v>20.0</v>
      </c>
      <c r="BW30" s="4">
        <v>27.0</v>
      </c>
      <c r="CR30" s="4">
        <v>4.0</v>
      </c>
      <c r="DC30" s="4">
        <v>4.0</v>
      </c>
      <c r="DL30" s="4">
        <v>14.0</v>
      </c>
      <c r="DT30" s="4"/>
      <c r="DU30" s="4">
        <v>5.0</v>
      </c>
      <c r="EI30" s="4">
        <v>4.0</v>
      </c>
      <c r="FA30" s="4">
        <v>7.0</v>
      </c>
      <c r="FP30" s="4">
        <v>6.0</v>
      </c>
      <c r="FQ30" s="4">
        <v>18.0</v>
      </c>
      <c r="GE30" s="25">
        <f t="shared" si="1"/>
        <v>14</v>
      </c>
      <c r="GF30" s="25">
        <f t="shared" si="2"/>
        <v>13</v>
      </c>
      <c r="GG30" s="25">
        <f t="shared" si="3"/>
        <v>9</v>
      </c>
      <c r="GH30" s="25">
        <f t="shared" si="4"/>
        <v>0.8934729715</v>
      </c>
      <c r="GI30" s="25">
        <f t="shared" si="5"/>
        <v>138</v>
      </c>
      <c r="GJ30" s="25">
        <f t="shared" si="6"/>
        <v>100</v>
      </c>
      <c r="GK30" s="25">
        <f t="shared" si="7"/>
        <v>-38</v>
      </c>
    </row>
    <row r="31">
      <c r="A31" s="23">
        <v>38854.0</v>
      </c>
      <c r="B31" s="4" t="s">
        <v>246</v>
      </c>
      <c r="C31" s="4">
        <v>21.2882</v>
      </c>
      <c r="D31" s="4">
        <v>-157.667999</v>
      </c>
      <c r="E31" s="4" t="s">
        <v>197</v>
      </c>
      <c r="F31" s="24">
        <v>0.0</v>
      </c>
      <c r="G31" s="24">
        <v>0.041666666666666664</v>
      </c>
      <c r="H31" s="4">
        <v>3.0</v>
      </c>
      <c r="I31" s="4">
        <v>20.0</v>
      </c>
      <c r="J31" s="4" t="s">
        <v>245</v>
      </c>
      <c r="K31" s="4">
        <v>5.0</v>
      </c>
      <c r="L31" s="4">
        <v>4.0</v>
      </c>
      <c r="M31" s="4">
        <v>4.0</v>
      </c>
      <c r="O31" s="4">
        <v>4.0</v>
      </c>
      <c r="Q31" s="4">
        <v>1.0</v>
      </c>
      <c r="BG31" s="4">
        <v>1.0</v>
      </c>
      <c r="BJ31" s="4">
        <v>2.0</v>
      </c>
      <c r="BV31" s="4">
        <v>3.0</v>
      </c>
      <c r="CI31" s="4">
        <v>6.0</v>
      </c>
      <c r="CN31" s="4">
        <v>3.0</v>
      </c>
      <c r="DL31" s="4">
        <v>6.0</v>
      </c>
      <c r="DN31" s="4">
        <v>3.0</v>
      </c>
      <c r="DY31" s="4">
        <v>1.0</v>
      </c>
      <c r="EI31" s="4">
        <v>8.0</v>
      </c>
      <c r="FA31" s="4">
        <v>10.0</v>
      </c>
      <c r="FP31" s="4">
        <v>1.0</v>
      </c>
      <c r="FQ31" s="4">
        <v>34.0</v>
      </c>
      <c r="GE31" s="25">
        <f t="shared" si="1"/>
        <v>13</v>
      </c>
      <c r="GF31" s="25">
        <f t="shared" si="2"/>
        <v>9</v>
      </c>
      <c r="GG31" s="25">
        <f t="shared" si="3"/>
        <v>5</v>
      </c>
      <c r="GH31" s="25">
        <f t="shared" si="4"/>
        <v>0.7812398572</v>
      </c>
      <c r="GI31" s="25">
        <f t="shared" si="5"/>
        <v>79</v>
      </c>
      <c r="GJ31" s="25">
        <f t="shared" si="6"/>
        <v>100</v>
      </c>
      <c r="GK31" s="25">
        <f t="shared" si="7"/>
        <v>21</v>
      </c>
    </row>
    <row r="32">
      <c r="A32" s="23">
        <v>39177.0</v>
      </c>
      <c r="B32" s="4" t="s">
        <v>247</v>
      </c>
      <c r="C32" s="4">
        <v>19.488199</v>
      </c>
      <c r="D32" s="4">
        <v>-154.819305</v>
      </c>
      <c r="E32" s="4" t="s">
        <v>197</v>
      </c>
      <c r="F32" s="24">
        <v>0.0</v>
      </c>
      <c r="G32" s="24">
        <v>0.041666666666666664</v>
      </c>
      <c r="H32" s="4">
        <v>4.0</v>
      </c>
      <c r="I32" s="4">
        <v>20.0</v>
      </c>
      <c r="J32" s="4" t="s">
        <v>245</v>
      </c>
      <c r="K32" s="4">
        <v>5.0</v>
      </c>
      <c r="L32" s="4">
        <v>13.0</v>
      </c>
      <c r="M32" s="4" t="s">
        <v>248</v>
      </c>
      <c r="O32" s="4">
        <v>13.0</v>
      </c>
      <c r="AL32" s="4">
        <v>10.0</v>
      </c>
      <c r="CB32" s="4">
        <v>1.0</v>
      </c>
      <c r="DL32" s="4">
        <v>9.0</v>
      </c>
      <c r="DW32" s="4">
        <v>94.0</v>
      </c>
      <c r="FL32" s="4">
        <v>1.0</v>
      </c>
      <c r="FQ32" s="4">
        <v>131.0</v>
      </c>
      <c r="GC32" s="4">
        <v>1.0</v>
      </c>
      <c r="GE32" s="25">
        <f t="shared" si="1"/>
        <v>7</v>
      </c>
      <c r="GF32" s="25">
        <f t="shared" si="2"/>
        <v>4</v>
      </c>
      <c r="GG32" s="25">
        <f t="shared" si="3"/>
        <v>4</v>
      </c>
      <c r="GH32" s="25">
        <f t="shared" si="4"/>
        <v>0.5731871894</v>
      </c>
      <c r="GI32" s="25">
        <f t="shared" si="5"/>
        <v>247</v>
      </c>
      <c r="GJ32" s="25">
        <f t="shared" si="6"/>
        <v>325</v>
      </c>
      <c r="GK32" s="25">
        <f t="shared" si="7"/>
        <v>78</v>
      </c>
    </row>
    <row r="33">
      <c r="A33" s="23">
        <v>39190.0</v>
      </c>
      <c r="B33" s="4" t="s">
        <v>201</v>
      </c>
      <c r="C33" s="4">
        <v>21.25544</v>
      </c>
      <c r="D33" s="4">
        <v>-157.810303</v>
      </c>
      <c r="E33" s="4" t="s">
        <v>197</v>
      </c>
      <c r="F33" s="24">
        <v>0.0</v>
      </c>
      <c r="G33" s="24">
        <v>0.041666666666666664</v>
      </c>
      <c r="H33" s="4">
        <v>7.0</v>
      </c>
      <c r="I33" s="4">
        <v>11.0</v>
      </c>
      <c r="J33" s="4" t="s">
        <v>198</v>
      </c>
      <c r="K33" s="4">
        <v>12.0</v>
      </c>
      <c r="L33" s="4">
        <v>74.0</v>
      </c>
      <c r="M33" s="4" t="s">
        <v>249</v>
      </c>
      <c r="O33" s="4">
        <v>74.0</v>
      </c>
      <c r="Q33" s="4">
        <v>175.0</v>
      </c>
      <c r="X33" s="4">
        <v>1.0</v>
      </c>
      <c r="AE33" s="4">
        <v>1.0</v>
      </c>
      <c r="AL33" s="4">
        <v>9.0</v>
      </c>
      <c r="AY33" s="4">
        <v>25.0</v>
      </c>
      <c r="BA33" s="4">
        <v>18.0</v>
      </c>
      <c r="BE33" s="4">
        <v>1.0</v>
      </c>
      <c r="BL33" s="4">
        <v>16.0</v>
      </c>
      <c r="BP33" s="4">
        <v>58.0</v>
      </c>
      <c r="BS33" s="4">
        <v>7.0</v>
      </c>
      <c r="BT33" s="4">
        <v>3.0</v>
      </c>
      <c r="BV33" s="4">
        <v>4.0</v>
      </c>
      <c r="BW33" s="4">
        <v>10.0</v>
      </c>
      <c r="BX33" s="4">
        <v>1.0</v>
      </c>
      <c r="CA33" s="4">
        <v>9.0</v>
      </c>
      <c r="CI33" s="4">
        <v>4.0</v>
      </c>
      <c r="CN33" s="4">
        <v>38.0</v>
      </c>
      <c r="CR33" s="4">
        <v>6.0</v>
      </c>
      <c r="CU33" s="4">
        <v>2.0</v>
      </c>
      <c r="DC33" s="4">
        <v>1.0</v>
      </c>
      <c r="DE33" s="4">
        <v>33.0</v>
      </c>
      <c r="DK33" s="4">
        <v>71.0</v>
      </c>
      <c r="DL33" s="4">
        <v>140.0</v>
      </c>
      <c r="DO33" s="4">
        <v>3.0</v>
      </c>
      <c r="DR33" s="4">
        <v>72.0</v>
      </c>
      <c r="DT33" s="4"/>
      <c r="DU33" s="4">
        <v>5.0</v>
      </c>
      <c r="EC33" s="4">
        <v>4.0</v>
      </c>
      <c r="EI33" s="4">
        <v>220.0</v>
      </c>
      <c r="EV33" s="4">
        <v>2.0</v>
      </c>
      <c r="FA33" s="4">
        <v>221.0</v>
      </c>
      <c r="FB33" s="4">
        <v>36.0</v>
      </c>
      <c r="FH33" s="4">
        <v>1.0</v>
      </c>
      <c r="FP33" s="4">
        <v>2.0</v>
      </c>
      <c r="FQ33" s="4">
        <v>142.0</v>
      </c>
      <c r="FV33" s="4">
        <v>20.0</v>
      </c>
      <c r="GB33" s="4">
        <v>11.0</v>
      </c>
      <c r="GC33" s="4">
        <v>21.0</v>
      </c>
      <c r="GE33" s="25">
        <f t="shared" si="1"/>
        <v>37</v>
      </c>
      <c r="GF33" s="25">
        <f t="shared" si="2"/>
        <v>31</v>
      </c>
      <c r="GG33" s="25">
        <f t="shared" si="3"/>
        <v>23</v>
      </c>
      <c r="GH33" s="25">
        <f t="shared" si="4"/>
        <v>0.9039336667</v>
      </c>
      <c r="GI33" s="25">
        <f t="shared" si="5"/>
        <v>1393</v>
      </c>
      <c r="GJ33" s="25">
        <f t="shared" si="6"/>
        <v>1850</v>
      </c>
      <c r="GK33" s="25">
        <f t="shared" si="7"/>
        <v>457</v>
      </c>
    </row>
    <row r="34">
      <c r="A34" s="23">
        <v>39191.0</v>
      </c>
      <c r="B34" s="4" t="s">
        <v>250</v>
      </c>
      <c r="C34" s="4">
        <v>21.4104</v>
      </c>
      <c r="D34" s="4">
        <v>-158.177704</v>
      </c>
      <c r="E34" s="4" t="s">
        <v>197</v>
      </c>
      <c r="F34" s="24">
        <v>0.0</v>
      </c>
      <c r="G34" s="24">
        <v>0.041666666666666664</v>
      </c>
      <c r="H34" s="4">
        <v>10.0</v>
      </c>
      <c r="I34" s="4">
        <v>20.0</v>
      </c>
      <c r="J34" s="4" t="s">
        <v>245</v>
      </c>
      <c r="K34" s="4">
        <v>6.0</v>
      </c>
      <c r="L34" s="4">
        <v>15.0</v>
      </c>
      <c r="M34" s="4" t="s">
        <v>251</v>
      </c>
      <c r="O34" s="4">
        <v>15.0</v>
      </c>
      <c r="Q34" s="4">
        <v>82.0</v>
      </c>
      <c r="R34" s="4">
        <v>4.0</v>
      </c>
      <c r="AI34" s="4"/>
      <c r="AJ34" s="4">
        <v>5.0</v>
      </c>
      <c r="BF34" s="4">
        <v>9.0</v>
      </c>
      <c r="BH34" s="4">
        <v>2.0</v>
      </c>
      <c r="BJ34" s="4">
        <v>9.0</v>
      </c>
      <c r="BX34" s="4">
        <v>56.0</v>
      </c>
      <c r="BY34" s="4">
        <v>33.0</v>
      </c>
      <c r="CB34" s="4">
        <v>7.0</v>
      </c>
      <c r="CC34" s="4">
        <v>1.0</v>
      </c>
      <c r="DG34" s="4">
        <v>1.0</v>
      </c>
      <c r="DK34" s="4">
        <v>9.0</v>
      </c>
      <c r="DL34" s="4">
        <v>32.0</v>
      </c>
      <c r="EI34" s="4">
        <v>11.0</v>
      </c>
      <c r="EV34" s="4">
        <v>15.0</v>
      </c>
      <c r="FB34" s="4">
        <v>2.0</v>
      </c>
      <c r="FD34" s="4">
        <v>24.0</v>
      </c>
      <c r="FP34" s="4">
        <v>16.0</v>
      </c>
      <c r="FQ34" s="4">
        <v>44.0</v>
      </c>
      <c r="FR34" s="4">
        <v>41.0</v>
      </c>
      <c r="GB34" s="4">
        <v>3.0</v>
      </c>
      <c r="GC34" s="4">
        <v>52.0</v>
      </c>
      <c r="GE34" s="25">
        <f t="shared" si="1"/>
        <v>22</v>
      </c>
      <c r="GF34" s="25">
        <f t="shared" si="2"/>
        <v>20</v>
      </c>
      <c r="GG34" s="25">
        <f t="shared" si="3"/>
        <v>16</v>
      </c>
      <c r="GH34" s="25">
        <f t="shared" si="4"/>
        <v>0.9074751799</v>
      </c>
      <c r="GI34" s="25">
        <f t="shared" si="5"/>
        <v>458</v>
      </c>
      <c r="GJ34" s="25">
        <f t="shared" si="6"/>
        <v>375</v>
      </c>
      <c r="GK34" s="25">
        <f t="shared" si="7"/>
        <v>-83</v>
      </c>
    </row>
    <row r="35">
      <c r="A35" s="23">
        <v>39191.0</v>
      </c>
      <c r="B35" s="4" t="s">
        <v>201</v>
      </c>
      <c r="C35" s="4">
        <v>21.25544</v>
      </c>
      <c r="D35" s="4">
        <v>-157.810303</v>
      </c>
      <c r="E35" s="4" t="s">
        <v>197</v>
      </c>
      <c r="F35" s="24">
        <v>0.0</v>
      </c>
      <c r="G35" s="24">
        <v>0.041666666666666664</v>
      </c>
      <c r="H35" s="4">
        <v>7.0</v>
      </c>
      <c r="I35" s="4">
        <v>11.0</v>
      </c>
      <c r="J35" s="4" t="s">
        <v>198</v>
      </c>
      <c r="K35" s="4">
        <v>12.0</v>
      </c>
      <c r="L35" s="4">
        <v>66.0</v>
      </c>
      <c r="M35" s="4" t="s">
        <v>252</v>
      </c>
      <c r="O35" s="4">
        <v>66.0</v>
      </c>
      <c r="Q35" s="4">
        <v>11.0</v>
      </c>
      <c r="W35" s="4">
        <v>3.0</v>
      </c>
      <c r="Y35" s="4">
        <v>5.0</v>
      </c>
      <c r="AD35" s="4">
        <v>10.0</v>
      </c>
      <c r="AE35" s="4">
        <v>2.0</v>
      </c>
      <c r="AH35" s="4">
        <v>2.0</v>
      </c>
      <c r="AI35" s="4">
        <v>1.0</v>
      </c>
      <c r="AL35" s="4">
        <v>2.0</v>
      </c>
      <c r="BA35" s="4">
        <v>21.0</v>
      </c>
      <c r="BL35" s="4">
        <v>1.0</v>
      </c>
      <c r="BP35" s="4">
        <v>80.0</v>
      </c>
      <c r="BS35" s="4">
        <v>32.0</v>
      </c>
      <c r="BT35" s="4">
        <v>12.0</v>
      </c>
      <c r="BV35" s="4">
        <v>5.0</v>
      </c>
      <c r="BW35" s="4">
        <v>70.0</v>
      </c>
      <c r="BX35" s="4">
        <v>52.0</v>
      </c>
      <c r="CA35" s="4">
        <v>14.0</v>
      </c>
      <c r="CI35" s="4">
        <v>5.0</v>
      </c>
      <c r="CN35" s="4">
        <v>24.0</v>
      </c>
      <c r="CR35" s="4">
        <v>7.0</v>
      </c>
      <c r="CU35" s="4">
        <v>5.0</v>
      </c>
      <c r="DE35" s="4">
        <v>18.0</v>
      </c>
      <c r="DG35" s="4">
        <v>2.0</v>
      </c>
      <c r="DK35" s="4">
        <v>40.0</v>
      </c>
      <c r="DL35" s="4">
        <v>207.0</v>
      </c>
      <c r="DN35" s="4">
        <v>3.0</v>
      </c>
      <c r="DO35" s="4">
        <v>4.0</v>
      </c>
      <c r="DR35" s="4">
        <v>40.0</v>
      </c>
      <c r="DT35" s="4"/>
      <c r="DU35" s="4">
        <v>44.0</v>
      </c>
      <c r="DY35" s="4">
        <v>1.0</v>
      </c>
      <c r="EA35" s="4">
        <v>1.0</v>
      </c>
      <c r="EB35" s="4">
        <v>1.0</v>
      </c>
      <c r="EC35" s="4">
        <v>2.0</v>
      </c>
      <c r="EI35" s="4">
        <v>168.0</v>
      </c>
      <c r="EM35" s="4">
        <v>1.0</v>
      </c>
      <c r="EV35" s="4">
        <v>13.0</v>
      </c>
      <c r="FA35" s="4">
        <v>101.0</v>
      </c>
      <c r="FB35" s="4">
        <v>10.0</v>
      </c>
      <c r="FD35" s="4">
        <v>1.0</v>
      </c>
      <c r="FE35" s="4">
        <v>3.0</v>
      </c>
      <c r="FG35" s="4">
        <v>1.0</v>
      </c>
      <c r="FL35" s="4">
        <v>1.0</v>
      </c>
      <c r="FP35" s="4">
        <v>43.0</v>
      </c>
      <c r="FQ35" s="4">
        <v>134.0</v>
      </c>
      <c r="GB35" s="4">
        <v>5.0</v>
      </c>
      <c r="GC35" s="4">
        <v>41.0</v>
      </c>
      <c r="GE35" s="25">
        <f t="shared" si="1"/>
        <v>46</v>
      </c>
      <c r="GF35" s="25">
        <f t="shared" si="2"/>
        <v>37</v>
      </c>
      <c r="GG35" s="25">
        <f t="shared" si="3"/>
        <v>28</v>
      </c>
      <c r="GH35" s="25">
        <f t="shared" si="4"/>
        <v>0.9203901583</v>
      </c>
      <c r="GI35" s="25">
        <f t="shared" si="5"/>
        <v>1249</v>
      </c>
      <c r="GJ35" s="25">
        <f t="shared" si="6"/>
        <v>1650</v>
      </c>
      <c r="GK35" s="25">
        <f t="shared" si="7"/>
        <v>401</v>
      </c>
      <c r="GS35" s="34"/>
      <c r="GT35" s="34"/>
      <c r="GU35" s="34"/>
    </row>
    <row r="36">
      <c r="A36" s="23">
        <v>39192.0</v>
      </c>
      <c r="B36" s="4" t="s">
        <v>230</v>
      </c>
      <c r="C36" s="4">
        <v>20.7537</v>
      </c>
      <c r="D36" s="4">
        <v>-156.460907</v>
      </c>
      <c r="E36" s="4" t="s">
        <v>197</v>
      </c>
      <c r="F36" s="24">
        <v>0.0</v>
      </c>
      <c r="G36" s="24">
        <v>0.041666666666666664</v>
      </c>
      <c r="H36" s="4">
        <v>4.0</v>
      </c>
      <c r="I36" s="4">
        <v>9.0</v>
      </c>
      <c r="J36" s="4" t="s">
        <v>198</v>
      </c>
      <c r="K36" s="4">
        <v>10.0</v>
      </c>
      <c r="L36" s="4">
        <v>36.0</v>
      </c>
      <c r="M36" s="4" t="s">
        <v>253</v>
      </c>
      <c r="O36" s="4">
        <v>36.0</v>
      </c>
      <c r="Q36" s="4">
        <v>14.0</v>
      </c>
      <c r="Y36" s="4">
        <v>2.0</v>
      </c>
      <c r="AC36" s="4">
        <v>5.0</v>
      </c>
      <c r="AL36" s="4">
        <v>9.0</v>
      </c>
      <c r="AM36" s="4">
        <v>2.0</v>
      </c>
      <c r="AN36" s="4"/>
      <c r="AO36" s="4">
        <v>5.0</v>
      </c>
      <c r="BG36" s="4">
        <v>1.0</v>
      </c>
      <c r="BJ36" s="4">
        <v>12.0</v>
      </c>
      <c r="BL36" s="4">
        <v>18.0</v>
      </c>
      <c r="BW36" s="4">
        <v>1.0</v>
      </c>
      <c r="BX36" s="4">
        <v>3.0</v>
      </c>
      <c r="CB36" s="4">
        <v>1.0</v>
      </c>
      <c r="DE36" s="4">
        <v>1.0</v>
      </c>
      <c r="DG36" s="4">
        <v>2.0</v>
      </c>
      <c r="DL36" s="4">
        <v>1.0</v>
      </c>
      <c r="DR36" s="4">
        <v>27.0</v>
      </c>
      <c r="DV36" s="4">
        <v>3.0</v>
      </c>
      <c r="EI36" s="4">
        <v>1.0</v>
      </c>
      <c r="FA36" s="4">
        <v>5.0</v>
      </c>
      <c r="FG36" s="4">
        <v>3.0</v>
      </c>
      <c r="FQ36" s="4">
        <v>59.0</v>
      </c>
      <c r="FR36" s="4">
        <v>27.0</v>
      </c>
      <c r="GE36" s="25">
        <f t="shared" si="1"/>
        <v>22</v>
      </c>
      <c r="GF36" s="25">
        <f t="shared" si="2"/>
        <v>16</v>
      </c>
      <c r="GG36" s="25">
        <f t="shared" si="3"/>
        <v>10</v>
      </c>
      <c r="GH36" s="25">
        <f t="shared" si="4"/>
        <v>0.8620265012</v>
      </c>
      <c r="GI36" s="25">
        <f t="shared" si="5"/>
        <v>202</v>
      </c>
      <c r="GJ36" s="25">
        <f t="shared" si="6"/>
        <v>900</v>
      </c>
      <c r="GK36" s="25">
        <f t="shared" si="7"/>
        <v>698</v>
      </c>
    </row>
    <row r="37">
      <c r="A37" s="23">
        <v>39192.0</v>
      </c>
      <c r="B37" s="4" t="s">
        <v>246</v>
      </c>
      <c r="C37" s="4">
        <v>21.2882</v>
      </c>
      <c r="D37" s="4">
        <v>-157.667999</v>
      </c>
      <c r="E37" s="4" t="s">
        <v>197</v>
      </c>
      <c r="F37" s="24">
        <v>0.0</v>
      </c>
      <c r="G37" s="24">
        <v>0.041666666666666664</v>
      </c>
      <c r="H37" s="4">
        <v>3.0</v>
      </c>
      <c r="I37" s="4">
        <v>20.0</v>
      </c>
      <c r="J37" s="4" t="s">
        <v>245</v>
      </c>
      <c r="K37" s="4">
        <v>7.0</v>
      </c>
      <c r="L37" s="4">
        <v>15.0</v>
      </c>
      <c r="M37" s="4" t="s">
        <v>254</v>
      </c>
      <c r="O37" s="4">
        <v>15.0</v>
      </c>
      <c r="Q37" s="4">
        <v>4.0</v>
      </c>
      <c r="AA37" s="4">
        <v>7.0</v>
      </c>
      <c r="AL37" s="4">
        <v>10.0</v>
      </c>
      <c r="BA37" s="4">
        <v>12.0</v>
      </c>
      <c r="BE37" s="4">
        <v>1.0</v>
      </c>
      <c r="BG37" s="4">
        <v>1.0</v>
      </c>
      <c r="BJ37" s="4">
        <v>3.0</v>
      </c>
      <c r="BL37" s="4">
        <v>10.0</v>
      </c>
      <c r="BX37" s="4">
        <v>2.0</v>
      </c>
      <c r="CI37" s="4">
        <v>4.0</v>
      </c>
      <c r="DL37" s="4">
        <v>3.0</v>
      </c>
      <c r="DR37" s="4">
        <v>1.0</v>
      </c>
      <c r="EI37" s="4">
        <v>2.0</v>
      </c>
      <c r="EU37" s="4">
        <v>7.0</v>
      </c>
      <c r="EV37" s="4">
        <v>12.0</v>
      </c>
      <c r="FL37" s="4">
        <v>5.0</v>
      </c>
      <c r="FQ37" s="4">
        <v>115.0</v>
      </c>
      <c r="GE37" s="25">
        <f t="shared" si="1"/>
        <v>17</v>
      </c>
      <c r="GF37" s="25">
        <f t="shared" si="2"/>
        <v>14</v>
      </c>
      <c r="GG37" s="25">
        <f t="shared" si="3"/>
        <v>8</v>
      </c>
      <c r="GH37" s="25">
        <f t="shared" si="4"/>
        <v>0.6523526725</v>
      </c>
      <c r="GI37" s="25">
        <f t="shared" si="5"/>
        <v>199</v>
      </c>
      <c r="GJ37" s="25">
        <f t="shared" si="6"/>
        <v>375</v>
      </c>
      <c r="GK37" s="25">
        <f t="shared" si="7"/>
        <v>176</v>
      </c>
    </row>
    <row r="38">
      <c r="A38" s="23">
        <v>39203.0</v>
      </c>
      <c r="B38" s="4" t="s">
        <v>230</v>
      </c>
      <c r="C38" s="4">
        <v>20.7537</v>
      </c>
      <c r="D38" s="4">
        <v>-156.460907</v>
      </c>
      <c r="E38" s="4" t="s">
        <v>197</v>
      </c>
      <c r="F38" s="24">
        <v>0.0</v>
      </c>
      <c r="G38" s="24">
        <v>0.041666666666666664</v>
      </c>
      <c r="H38" s="4">
        <v>5.0</v>
      </c>
      <c r="I38" s="4">
        <v>18.0</v>
      </c>
      <c r="J38" s="4" t="s">
        <v>217</v>
      </c>
      <c r="K38" s="4">
        <v>10.0</v>
      </c>
      <c r="L38" s="4">
        <v>43.0</v>
      </c>
      <c r="M38" s="4" t="s">
        <v>255</v>
      </c>
      <c r="O38" s="4">
        <v>43.0</v>
      </c>
      <c r="Q38" s="4">
        <v>18.0</v>
      </c>
      <c r="AW38" s="4">
        <v>1.0</v>
      </c>
      <c r="BA38" s="4">
        <v>1.0</v>
      </c>
      <c r="BG38" s="4">
        <v>1.0</v>
      </c>
      <c r="BL38" s="4">
        <v>73.0</v>
      </c>
      <c r="BW38" s="4">
        <v>1.0</v>
      </c>
      <c r="BY38" s="4">
        <v>1.0</v>
      </c>
      <c r="CB38" s="4">
        <v>1.0</v>
      </c>
      <c r="CI38" s="4">
        <v>1.0</v>
      </c>
      <c r="CT38" s="4">
        <v>1.0</v>
      </c>
      <c r="DE38" s="4">
        <v>17.0</v>
      </c>
      <c r="DL38" s="4">
        <v>1.0</v>
      </c>
      <c r="DV38" s="4">
        <v>1.0</v>
      </c>
      <c r="EI38" s="4">
        <v>9.0</v>
      </c>
      <c r="FA38" s="4">
        <v>38.0</v>
      </c>
      <c r="FE38" s="4">
        <v>1.0</v>
      </c>
      <c r="FQ38" s="4">
        <v>44.0</v>
      </c>
      <c r="FR38" s="4">
        <v>10.0</v>
      </c>
      <c r="FT38" s="4">
        <v>2.0</v>
      </c>
      <c r="GB38" s="4">
        <v>5.0</v>
      </c>
      <c r="GC38" s="4">
        <v>3.0</v>
      </c>
      <c r="GE38" s="25">
        <f t="shared" si="1"/>
        <v>21</v>
      </c>
      <c r="GF38" s="25">
        <f t="shared" si="2"/>
        <v>10</v>
      </c>
      <c r="GG38" s="25">
        <f t="shared" si="3"/>
        <v>8</v>
      </c>
      <c r="GH38" s="25">
        <f t="shared" si="4"/>
        <v>0.8230112018</v>
      </c>
      <c r="GI38" s="25">
        <f t="shared" si="5"/>
        <v>230</v>
      </c>
      <c r="GJ38" s="25">
        <f t="shared" si="6"/>
        <v>1075</v>
      </c>
      <c r="GK38" s="25">
        <f t="shared" si="7"/>
        <v>845</v>
      </c>
    </row>
    <row r="39">
      <c r="A39" s="23">
        <v>39203.0</v>
      </c>
      <c r="B39" s="4" t="s">
        <v>216</v>
      </c>
      <c r="C39" s="4">
        <v>21.3002</v>
      </c>
      <c r="D39" s="4">
        <v>-157.882599</v>
      </c>
      <c r="E39" s="4" t="s">
        <v>197</v>
      </c>
      <c r="F39" s="24">
        <v>0.0</v>
      </c>
      <c r="G39" s="24">
        <v>0.041666666666666664</v>
      </c>
      <c r="H39" s="4">
        <v>4.0</v>
      </c>
      <c r="I39" s="4">
        <v>30.0</v>
      </c>
      <c r="J39" s="4" t="s">
        <v>227</v>
      </c>
      <c r="K39" s="4">
        <v>10.0</v>
      </c>
      <c r="L39" s="4">
        <v>36.0</v>
      </c>
      <c r="M39" s="4" t="s">
        <v>256</v>
      </c>
      <c r="O39" s="4">
        <v>36.0</v>
      </c>
      <c r="Q39" s="4">
        <v>26.0</v>
      </c>
      <c r="AB39" s="4">
        <v>1.0</v>
      </c>
      <c r="AL39" s="4">
        <v>6.0</v>
      </c>
      <c r="BA39" s="4">
        <v>4.0</v>
      </c>
      <c r="BB39" s="4">
        <v>1.0</v>
      </c>
      <c r="BG39" s="4">
        <v>1.0</v>
      </c>
      <c r="BL39" s="4">
        <v>5.0</v>
      </c>
      <c r="CB39" s="4">
        <v>1.0</v>
      </c>
      <c r="CC39" s="4">
        <v>2.0</v>
      </c>
      <c r="CV39" s="4">
        <v>1.0</v>
      </c>
      <c r="DR39" s="4">
        <v>7.0</v>
      </c>
      <c r="DY39" s="4">
        <v>1.0</v>
      </c>
      <c r="EI39" s="4">
        <v>42.0</v>
      </c>
      <c r="FL39" s="4">
        <v>12.0</v>
      </c>
      <c r="FQ39" s="4">
        <v>163.0</v>
      </c>
      <c r="GC39" s="4">
        <v>9.0</v>
      </c>
      <c r="GE39" s="25">
        <f t="shared" si="1"/>
        <v>16</v>
      </c>
      <c r="GF39" s="25">
        <f t="shared" si="2"/>
        <v>10</v>
      </c>
      <c r="GG39" s="25">
        <f t="shared" si="3"/>
        <v>8</v>
      </c>
      <c r="GH39" s="25">
        <f t="shared" si="4"/>
        <v>0.6329219353</v>
      </c>
      <c r="GI39" s="25">
        <f t="shared" si="5"/>
        <v>282</v>
      </c>
      <c r="GJ39" s="25">
        <f t="shared" si="6"/>
        <v>900</v>
      </c>
      <c r="GK39" s="25">
        <f t="shared" si="7"/>
        <v>618</v>
      </c>
    </row>
    <row r="40">
      <c r="A40" s="23">
        <v>39204.0</v>
      </c>
      <c r="B40" s="4" t="s">
        <v>219</v>
      </c>
      <c r="C40" s="4">
        <v>21.295799</v>
      </c>
      <c r="D40" s="4">
        <v>-158.103699</v>
      </c>
      <c r="E40" s="4" t="s">
        <v>197</v>
      </c>
      <c r="F40" s="24">
        <v>0.0</v>
      </c>
      <c r="G40" s="24">
        <v>0.041666666666666664</v>
      </c>
      <c r="H40" s="4">
        <v>5.0</v>
      </c>
      <c r="I40" s="4">
        <v>30.0</v>
      </c>
      <c r="J40" s="4" t="s">
        <v>237</v>
      </c>
      <c r="K40" s="4">
        <v>7.0</v>
      </c>
      <c r="L40" s="4">
        <v>22.0</v>
      </c>
      <c r="M40" s="4" t="s">
        <v>257</v>
      </c>
      <c r="O40" s="4">
        <v>22.0</v>
      </c>
      <c r="Q40" s="4">
        <v>21.0</v>
      </c>
      <c r="AE40" s="4">
        <v>1.0</v>
      </c>
      <c r="AL40" s="4">
        <v>1.0</v>
      </c>
      <c r="BA40" s="4">
        <v>5.0</v>
      </c>
      <c r="BC40" s="4">
        <v>2.0</v>
      </c>
      <c r="BL40" s="4">
        <v>13.0</v>
      </c>
      <c r="BV40" s="4">
        <v>6.0</v>
      </c>
      <c r="BW40" s="4">
        <v>2.0</v>
      </c>
      <c r="CN40" s="4">
        <v>2.0</v>
      </c>
      <c r="CR40" s="4">
        <v>1.0</v>
      </c>
      <c r="DL40" s="4">
        <v>4.0</v>
      </c>
      <c r="DR40" s="4">
        <v>1.0</v>
      </c>
      <c r="DY40" s="4">
        <v>2.0</v>
      </c>
      <c r="EB40" s="4">
        <v>1.0</v>
      </c>
      <c r="EC40" s="4">
        <v>1.0</v>
      </c>
      <c r="EI40" s="4">
        <v>69.0</v>
      </c>
      <c r="FA40" s="4">
        <v>11.0</v>
      </c>
      <c r="FB40" s="4">
        <v>5.0</v>
      </c>
      <c r="FD40" s="4">
        <v>1.0</v>
      </c>
      <c r="FG40" s="4">
        <v>7.0</v>
      </c>
      <c r="FQ40" s="4">
        <v>159.0</v>
      </c>
      <c r="GC40" s="4">
        <v>18.0</v>
      </c>
      <c r="GE40" s="25">
        <f t="shared" si="1"/>
        <v>22</v>
      </c>
      <c r="GF40" s="25">
        <f t="shared" si="2"/>
        <v>15</v>
      </c>
      <c r="GG40" s="25">
        <f t="shared" si="3"/>
        <v>10</v>
      </c>
      <c r="GH40" s="25">
        <f t="shared" si="4"/>
        <v>0.720159919</v>
      </c>
      <c r="GI40" s="25">
        <f t="shared" si="5"/>
        <v>333</v>
      </c>
      <c r="GJ40" s="25">
        <f t="shared" si="6"/>
        <v>550</v>
      </c>
      <c r="GK40" s="25">
        <f t="shared" si="7"/>
        <v>217</v>
      </c>
    </row>
    <row r="41">
      <c r="A41" s="23">
        <v>39206.0</v>
      </c>
      <c r="B41" s="4" t="s">
        <v>216</v>
      </c>
      <c r="C41" s="4">
        <v>21.3002</v>
      </c>
      <c r="D41" s="4">
        <v>-157.882599</v>
      </c>
      <c r="E41" s="4" t="s">
        <v>197</v>
      </c>
      <c r="F41" s="24">
        <v>0.0</v>
      </c>
      <c r="G41" s="24">
        <v>0.041666666666666664</v>
      </c>
      <c r="H41" s="4">
        <v>4.0</v>
      </c>
      <c r="I41" s="4">
        <v>30.0</v>
      </c>
      <c r="J41" s="4" t="s">
        <v>237</v>
      </c>
      <c r="K41" s="4">
        <v>7.0</v>
      </c>
      <c r="L41" s="4">
        <v>20.0</v>
      </c>
      <c r="M41" s="4" t="s">
        <v>258</v>
      </c>
      <c r="O41" s="4">
        <v>20.0</v>
      </c>
      <c r="Q41" s="4">
        <v>5.0</v>
      </c>
      <c r="AD41" s="4">
        <v>2.0</v>
      </c>
      <c r="AL41" s="4">
        <v>5.0</v>
      </c>
      <c r="AM41" s="4">
        <v>2.0</v>
      </c>
      <c r="BC41" s="4">
        <v>3.0</v>
      </c>
      <c r="BG41" s="4">
        <v>1.0</v>
      </c>
      <c r="BL41" s="4">
        <v>20.0</v>
      </c>
      <c r="BV41" s="4">
        <v>4.0</v>
      </c>
      <c r="CV41" s="4">
        <v>1.0</v>
      </c>
      <c r="DP41" s="4">
        <v>4.0</v>
      </c>
      <c r="DR41" s="4">
        <v>56.0</v>
      </c>
      <c r="EI41" s="4">
        <v>17.0</v>
      </c>
      <c r="FE41" s="4">
        <v>1.0</v>
      </c>
      <c r="FI41" s="4">
        <v>1.0</v>
      </c>
      <c r="FL41" s="4">
        <v>2.0</v>
      </c>
      <c r="FQ41" s="4">
        <v>58.0</v>
      </c>
      <c r="GE41" s="25">
        <f t="shared" si="1"/>
        <v>16</v>
      </c>
      <c r="GF41" s="25">
        <f t="shared" si="2"/>
        <v>12</v>
      </c>
      <c r="GG41" s="25">
        <f t="shared" si="3"/>
        <v>6</v>
      </c>
      <c r="GH41" s="25">
        <f t="shared" si="4"/>
        <v>0.7840446846</v>
      </c>
      <c r="GI41" s="25">
        <f t="shared" si="5"/>
        <v>182</v>
      </c>
      <c r="GJ41" s="25">
        <f t="shared" si="6"/>
        <v>500</v>
      </c>
      <c r="GK41" s="25">
        <f t="shared" si="7"/>
        <v>318</v>
      </c>
    </row>
    <row r="42">
      <c r="A42" s="23">
        <v>39217.0</v>
      </c>
      <c r="B42" s="4" t="s">
        <v>259</v>
      </c>
      <c r="C42" s="4">
        <v>19.737894</v>
      </c>
      <c r="D42" s="4">
        <v>-155.034058</v>
      </c>
      <c r="E42" s="4" t="s">
        <v>197</v>
      </c>
      <c r="F42" s="24">
        <v>0.0</v>
      </c>
      <c r="G42" s="24">
        <v>0.041666666666666664</v>
      </c>
      <c r="H42" s="4">
        <v>6.0</v>
      </c>
      <c r="I42" s="4">
        <v>18.0</v>
      </c>
      <c r="J42" s="4" t="s">
        <v>227</v>
      </c>
      <c r="K42" s="4">
        <v>7.0</v>
      </c>
      <c r="L42" s="4">
        <v>22.0</v>
      </c>
      <c r="M42" s="4" t="s">
        <v>260</v>
      </c>
      <c r="O42" s="4">
        <v>22.0</v>
      </c>
      <c r="AJ42" s="4">
        <v>6.0</v>
      </c>
      <c r="BT42" s="4">
        <v>3.0</v>
      </c>
      <c r="BW42" s="4">
        <v>1.0</v>
      </c>
      <c r="CB42" s="4">
        <v>1.0</v>
      </c>
      <c r="CN42" s="4">
        <v>46.0</v>
      </c>
      <c r="DG42" s="4">
        <v>4.0</v>
      </c>
      <c r="EC42" s="4">
        <v>2.0</v>
      </c>
      <c r="EI42" s="4">
        <v>108.0</v>
      </c>
      <c r="FQ42" s="4">
        <v>8.0</v>
      </c>
      <c r="GB42" s="4">
        <v>3.0</v>
      </c>
      <c r="GC42" s="4">
        <v>11.0</v>
      </c>
      <c r="GE42" s="25">
        <f t="shared" si="1"/>
        <v>11</v>
      </c>
      <c r="GF42" s="25">
        <f t="shared" si="2"/>
        <v>9</v>
      </c>
      <c r="GG42" s="25">
        <f t="shared" si="3"/>
        <v>5</v>
      </c>
      <c r="GH42" s="25">
        <f t="shared" si="4"/>
        <v>0.6262953368</v>
      </c>
      <c r="GI42" s="25">
        <f t="shared" si="5"/>
        <v>193</v>
      </c>
      <c r="GJ42" s="25">
        <f t="shared" si="6"/>
        <v>550</v>
      </c>
      <c r="GK42" s="25">
        <f t="shared" si="7"/>
        <v>357</v>
      </c>
    </row>
    <row r="43">
      <c r="A43" s="23">
        <v>39218.0</v>
      </c>
      <c r="B43" s="4" t="s">
        <v>216</v>
      </c>
      <c r="C43" s="4">
        <v>21.3002</v>
      </c>
      <c r="D43" s="4">
        <v>-157.882599</v>
      </c>
      <c r="E43" s="4" t="s">
        <v>197</v>
      </c>
      <c r="F43" s="24">
        <v>0.0</v>
      </c>
      <c r="G43" s="24">
        <v>0.041666666666666664</v>
      </c>
      <c r="H43" s="4">
        <v>5.0</v>
      </c>
      <c r="I43" s="4">
        <v>30.0</v>
      </c>
      <c r="J43" s="4" t="s">
        <v>237</v>
      </c>
      <c r="K43" s="4">
        <v>7.0</v>
      </c>
      <c r="L43" s="4">
        <v>15.0</v>
      </c>
      <c r="M43" s="4" t="s">
        <v>261</v>
      </c>
      <c r="O43" s="4">
        <v>15.0</v>
      </c>
      <c r="Q43" s="4">
        <v>6.0</v>
      </c>
      <c r="BC43" s="4">
        <v>2.0</v>
      </c>
      <c r="BJ43" s="4">
        <v>1.0</v>
      </c>
      <c r="BV43" s="4">
        <v>1.0</v>
      </c>
      <c r="DP43" s="4">
        <v>1.0</v>
      </c>
      <c r="DR43" s="4">
        <v>16.0</v>
      </c>
      <c r="EI43" s="4">
        <v>30.0</v>
      </c>
      <c r="FM43" s="4">
        <v>1.0</v>
      </c>
      <c r="FQ43" s="4">
        <v>96.0</v>
      </c>
      <c r="GB43" s="4">
        <v>1.0</v>
      </c>
      <c r="GE43" s="25">
        <f t="shared" si="1"/>
        <v>10</v>
      </c>
      <c r="GF43" s="25">
        <f t="shared" si="2"/>
        <v>5</v>
      </c>
      <c r="GG43" s="25">
        <f t="shared" si="3"/>
        <v>4</v>
      </c>
      <c r="GH43" s="25">
        <f t="shared" si="4"/>
        <v>0.5700879765</v>
      </c>
      <c r="GI43" s="25">
        <f t="shared" si="5"/>
        <v>155</v>
      </c>
      <c r="GJ43" s="25">
        <f t="shared" si="6"/>
        <v>375</v>
      </c>
      <c r="GK43" s="25">
        <f t="shared" si="7"/>
        <v>220</v>
      </c>
    </row>
    <row r="44">
      <c r="A44" s="23">
        <v>39219.0</v>
      </c>
      <c r="B44" s="4" t="s">
        <v>247</v>
      </c>
      <c r="C44" s="4">
        <v>19.488199</v>
      </c>
      <c r="D44" s="4">
        <v>-154.819305</v>
      </c>
      <c r="E44" s="4" t="s">
        <v>197</v>
      </c>
      <c r="F44" s="24">
        <v>0.0</v>
      </c>
      <c r="G44" s="24">
        <v>0.041666666666666664</v>
      </c>
      <c r="H44" s="4">
        <v>5.0</v>
      </c>
      <c r="I44" s="4">
        <v>20.0</v>
      </c>
      <c r="J44" s="4" t="s">
        <v>217</v>
      </c>
      <c r="K44" s="4">
        <v>10.0</v>
      </c>
      <c r="L44" s="4">
        <v>49.0</v>
      </c>
      <c r="M44" s="4" t="s">
        <v>262</v>
      </c>
      <c r="O44" s="4">
        <v>49.0</v>
      </c>
      <c r="AL44" s="4">
        <v>27.0</v>
      </c>
      <c r="BJ44" s="4">
        <v>55.0</v>
      </c>
      <c r="BL44" s="4">
        <v>135.0</v>
      </c>
      <c r="BW44" s="4">
        <v>27.0</v>
      </c>
      <c r="CB44" s="4">
        <v>13.0</v>
      </c>
      <c r="CC44" s="4">
        <v>1.0</v>
      </c>
      <c r="DK44" s="4">
        <v>8.0</v>
      </c>
      <c r="DL44" s="4">
        <v>18.0</v>
      </c>
      <c r="DN44" s="4">
        <v>1.0</v>
      </c>
      <c r="DP44" s="4">
        <v>26.0</v>
      </c>
      <c r="DR44" s="4">
        <v>9.0</v>
      </c>
      <c r="DW44" s="4">
        <v>23.0</v>
      </c>
      <c r="EH44" s="4">
        <v>1.0</v>
      </c>
      <c r="EI44" s="4">
        <v>16.0</v>
      </c>
      <c r="EO44" s="4">
        <v>5.0</v>
      </c>
      <c r="EQ44" s="4">
        <v>108.0</v>
      </c>
      <c r="FF44" s="4">
        <v>1.0</v>
      </c>
      <c r="FL44" s="4">
        <v>50.0</v>
      </c>
      <c r="FQ44" s="4">
        <v>597.0</v>
      </c>
      <c r="FT44" s="4">
        <v>2.0</v>
      </c>
      <c r="FV44" s="4">
        <v>2.0</v>
      </c>
      <c r="GB44" s="4">
        <v>3.0</v>
      </c>
      <c r="GC44" s="4">
        <v>1.0</v>
      </c>
      <c r="GE44" s="25">
        <f t="shared" si="1"/>
        <v>23</v>
      </c>
      <c r="GF44" s="25">
        <f t="shared" si="2"/>
        <v>18</v>
      </c>
      <c r="GG44" s="25">
        <f t="shared" si="3"/>
        <v>15</v>
      </c>
      <c r="GH44" s="25">
        <f t="shared" si="4"/>
        <v>0.6903853281</v>
      </c>
      <c r="GI44" s="25">
        <f t="shared" si="5"/>
        <v>1129</v>
      </c>
      <c r="GJ44" s="25">
        <f t="shared" si="6"/>
        <v>1225</v>
      </c>
      <c r="GK44" s="25">
        <f t="shared" si="7"/>
        <v>96</v>
      </c>
    </row>
    <row r="45">
      <c r="A45" s="23">
        <v>39220.0</v>
      </c>
      <c r="B45" s="4" t="s">
        <v>219</v>
      </c>
      <c r="C45" s="4">
        <v>21.295799</v>
      </c>
      <c r="D45" s="4">
        <v>-158.103699</v>
      </c>
      <c r="E45" s="4" t="s">
        <v>197</v>
      </c>
      <c r="F45" s="24">
        <v>0.0</v>
      </c>
      <c r="G45" s="24">
        <v>0.041666666666666664</v>
      </c>
      <c r="H45" s="4">
        <v>5.0</v>
      </c>
      <c r="I45" s="4">
        <v>30.0</v>
      </c>
      <c r="J45" s="4" t="s">
        <v>237</v>
      </c>
      <c r="K45" s="4">
        <v>7.0</v>
      </c>
      <c r="L45" s="4">
        <v>28.0</v>
      </c>
      <c r="M45" s="4" t="s">
        <v>263</v>
      </c>
      <c r="O45" s="4">
        <v>28.0</v>
      </c>
      <c r="Q45" s="4">
        <v>24.0</v>
      </c>
      <c r="AL45" s="4">
        <v>1.0</v>
      </c>
      <c r="BA45" s="4">
        <v>5.0</v>
      </c>
      <c r="BL45" s="4">
        <v>19.0</v>
      </c>
      <c r="BS45" s="4">
        <v>2.0</v>
      </c>
      <c r="BV45" s="4">
        <v>13.0</v>
      </c>
      <c r="BW45" s="4">
        <v>4.0</v>
      </c>
      <c r="CB45" s="4">
        <v>1.0</v>
      </c>
      <c r="DC45" s="4">
        <v>1.0</v>
      </c>
      <c r="DD45" s="4">
        <v>3.0</v>
      </c>
      <c r="DG45" s="4">
        <v>2.0</v>
      </c>
      <c r="DK45" s="4">
        <v>4.0</v>
      </c>
      <c r="DL45" s="4">
        <v>28.0</v>
      </c>
      <c r="DR45" s="4">
        <v>6.0</v>
      </c>
      <c r="DT45" s="4"/>
      <c r="DU45" s="4">
        <v>3.0</v>
      </c>
      <c r="EB45" s="4">
        <v>6.0</v>
      </c>
      <c r="EI45" s="4">
        <v>196.0</v>
      </c>
      <c r="EV45" s="4">
        <v>1.0</v>
      </c>
      <c r="FA45" s="4">
        <v>28.0</v>
      </c>
      <c r="FB45" s="4">
        <v>1.0</v>
      </c>
      <c r="FG45" s="4">
        <v>1.0</v>
      </c>
      <c r="FL45" s="4">
        <v>2.0</v>
      </c>
      <c r="FQ45" s="4">
        <v>189.0</v>
      </c>
      <c r="GB45" s="4">
        <v>1.0</v>
      </c>
      <c r="GC45" s="4">
        <v>3.0</v>
      </c>
      <c r="GE45" s="25">
        <f t="shared" si="1"/>
        <v>25</v>
      </c>
      <c r="GF45" s="25">
        <f t="shared" si="2"/>
        <v>18</v>
      </c>
      <c r="GG45" s="25">
        <f t="shared" si="3"/>
        <v>10</v>
      </c>
      <c r="GH45" s="25">
        <f t="shared" si="4"/>
        <v>0.7412184487</v>
      </c>
      <c r="GI45" s="25">
        <f t="shared" si="5"/>
        <v>544</v>
      </c>
      <c r="GJ45" s="25">
        <f t="shared" si="6"/>
        <v>700</v>
      </c>
      <c r="GK45" s="25">
        <f t="shared" si="7"/>
        <v>156</v>
      </c>
    </row>
    <row r="46">
      <c r="A46" s="23">
        <v>39501.0</v>
      </c>
      <c r="B46" s="4" t="s">
        <v>250</v>
      </c>
      <c r="C46" s="4">
        <v>21.4104</v>
      </c>
      <c r="D46" s="4">
        <v>-158.177704</v>
      </c>
      <c r="E46" s="4" t="s">
        <v>197</v>
      </c>
      <c r="F46" s="24">
        <v>0.0</v>
      </c>
      <c r="G46" s="24">
        <v>0.041666666666666664</v>
      </c>
      <c r="H46" s="4">
        <v>4.0</v>
      </c>
      <c r="I46" s="4">
        <v>21.0</v>
      </c>
      <c r="J46" s="4" t="s">
        <v>217</v>
      </c>
      <c r="K46" s="4">
        <v>11.0</v>
      </c>
      <c r="L46" s="4">
        <v>41.0</v>
      </c>
      <c r="M46" s="4" t="s">
        <v>264</v>
      </c>
      <c r="O46" s="4">
        <v>41.0</v>
      </c>
      <c r="Q46" s="4">
        <v>272.0</v>
      </c>
      <c r="X46" s="4"/>
      <c r="Y46" s="4">
        <v>1.0</v>
      </c>
      <c r="AL46" s="4">
        <v>3.0</v>
      </c>
      <c r="AQ46" s="4">
        <v>1.0</v>
      </c>
      <c r="AW46" s="4">
        <v>19.0</v>
      </c>
      <c r="BG46" s="4">
        <v>2.0</v>
      </c>
      <c r="BL46" s="4">
        <v>24.0</v>
      </c>
      <c r="BP46" s="4">
        <v>77.0</v>
      </c>
      <c r="BU46" s="4">
        <v>11.0</v>
      </c>
      <c r="BY46" s="4">
        <v>75.0</v>
      </c>
      <c r="CB46" s="4">
        <v>37.0</v>
      </c>
      <c r="CC46" s="4">
        <v>28.0</v>
      </c>
      <c r="CI46" s="4">
        <v>2.0</v>
      </c>
      <c r="CJ46" s="4">
        <v>24.0</v>
      </c>
      <c r="DC46" s="4">
        <v>14.0</v>
      </c>
      <c r="DE46" s="4">
        <v>2.0</v>
      </c>
      <c r="DL46" s="4">
        <v>16.0</v>
      </c>
      <c r="DR46" s="4">
        <v>18.0</v>
      </c>
      <c r="EI46" s="4">
        <v>1.0</v>
      </c>
      <c r="EU46" s="4">
        <v>75.0</v>
      </c>
      <c r="FL46" s="4">
        <v>1.0</v>
      </c>
      <c r="FQ46" s="4">
        <v>136.0</v>
      </c>
      <c r="FR46" s="4">
        <v>31.0</v>
      </c>
      <c r="GE46" s="25">
        <f t="shared" si="1"/>
        <v>23</v>
      </c>
      <c r="GF46" s="25">
        <f t="shared" si="2"/>
        <v>19</v>
      </c>
      <c r="GG46" s="25">
        <f t="shared" si="3"/>
        <v>15</v>
      </c>
      <c r="GH46" s="25">
        <f t="shared" si="4"/>
        <v>0.8487652606</v>
      </c>
      <c r="GI46" s="25">
        <f t="shared" si="5"/>
        <v>870</v>
      </c>
      <c r="GJ46" s="25">
        <f t="shared" si="6"/>
        <v>1025</v>
      </c>
      <c r="GK46" s="25">
        <f t="shared" si="7"/>
        <v>155</v>
      </c>
    </row>
    <row r="47">
      <c r="A47" s="23">
        <v>42420.0</v>
      </c>
      <c r="B47" s="4" t="s">
        <v>216</v>
      </c>
      <c r="C47" s="4">
        <v>21.3002</v>
      </c>
      <c r="D47" s="4">
        <v>-157.882599</v>
      </c>
      <c r="E47" s="4" t="s">
        <v>197</v>
      </c>
      <c r="F47" s="24">
        <v>0.3638888888888889</v>
      </c>
      <c r="G47" s="24">
        <v>0.4305555555555556</v>
      </c>
      <c r="H47" s="4">
        <v>7.0</v>
      </c>
      <c r="I47" s="4">
        <v>25.0</v>
      </c>
      <c r="J47" s="4" t="s">
        <v>198</v>
      </c>
      <c r="K47" s="4">
        <v>13.0</v>
      </c>
      <c r="L47" s="4">
        <v>75.0</v>
      </c>
      <c r="M47" s="4" t="s">
        <v>265</v>
      </c>
      <c r="O47" s="4">
        <v>75.0</v>
      </c>
      <c r="Q47" s="4">
        <v>1.0</v>
      </c>
      <c r="R47" s="4">
        <v>1.0</v>
      </c>
      <c r="AA47" s="4">
        <v>341.0</v>
      </c>
      <c r="AB47" s="4">
        <v>7.0</v>
      </c>
      <c r="AD47" s="4">
        <v>1.0</v>
      </c>
      <c r="AF47" s="4">
        <v>13.0</v>
      </c>
      <c r="AG47" s="4">
        <v>3.0</v>
      </c>
      <c r="AH47" s="4">
        <v>8.0</v>
      </c>
      <c r="AL47" s="4">
        <v>171.0</v>
      </c>
      <c r="AW47" s="4">
        <v>1.0</v>
      </c>
      <c r="BD47" s="4">
        <v>9.0</v>
      </c>
      <c r="BJ47" s="4">
        <v>1.0</v>
      </c>
      <c r="BL47" s="4">
        <v>113.0</v>
      </c>
      <c r="BM47" s="4">
        <v>35.0</v>
      </c>
      <c r="BP47" s="4">
        <v>10.0</v>
      </c>
      <c r="BU47" s="4">
        <v>11.0</v>
      </c>
      <c r="BY47" s="4">
        <v>1.0</v>
      </c>
      <c r="CB47" s="4">
        <v>3.0</v>
      </c>
      <c r="CU47" s="4">
        <v>1.0</v>
      </c>
      <c r="CV47" s="4">
        <v>1.0</v>
      </c>
      <c r="CW47" s="4">
        <v>1.0</v>
      </c>
      <c r="DF47" s="4">
        <v>3.0</v>
      </c>
      <c r="DM47" s="4">
        <v>9.0</v>
      </c>
      <c r="DN47" s="4">
        <v>1.0</v>
      </c>
      <c r="DP47" s="4">
        <v>66.0</v>
      </c>
      <c r="EB47" s="4">
        <v>15.0</v>
      </c>
      <c r="EI47" s="4">
        <v>32.0</v>
      </c>
      <c r="FE47" s="4">
        <v>1.0</v>
      </c>
      <c r="FI47" s="4"/>
      <c r="FJ47" s="4"/>
      <c r="FK47" s="4">
        <v>1.0</v>
      </c>
      <c r="FO47" s="4">
        <v>7.0</v>
      </c>
      <c r="FQ47" s="4">
        <v>495.0</v>
      </c>
      <c r="FS47" s="4">
        <v>8.0</v>
      </c>
      <c r="GE47" s="25">
        <f t="shared" si="1"/>
        <v>32</v>
      </c>
      <c r="GF47" s="25">
        <f t="shared" si="2"/>
        <v>20</v>
      </c>
      <c r="GG47" s="25">
        <f t="shared" si="3"/>
        <v>17</v>
      </c>
      <c r="GH47" s="25">
        <f t="shared" si="4"/>
        <v>0.7819312452</v>
      </c>
      <c r="GI47" s="25">
        <f t="shared" si="5"/>
        <v>1371</v>
      </c>
      <c r="GJ47" s="25">
        <f t="shared" si="6"/>
        <v>1875</v>
      </c>
      <c r="GK47" s="25">
        <f t="shared" si="7"/>
        <v>504</v>
      </c>
    </row>
    <row r="48">
      <c r="A48" s="23">
        <v>42427.0</v>
      </c>
      <c r="B48" s="4" t="s">
        <v>266</v>
      </c>
      <c r="C48" s="4">
        <v>22.060684</v>
      </c>
      <c r="D48" s="4">
        <v>-159.318512</v>
      </c>
      <c r="E48" s="4" t="s">
        <v>197</v>
      </c>
      <c r="F48" s="24">
        <v>0.4826388888888889</v>
      </c>
      <c r="G48" s="24">
        <v>0.5416666666666666</v>
      </c>
      <c r="H48" s="4">
        <v>3.0</v>
      </c>
      <c r="I48" s="4">
        <v>16.0</v>
      </c>
      <c r="J48" s="4" t="s">
        <v>198</v>
      </c>
      <c r="K48" s="4">
        <v>15.0</v>
      </c>
      <c r="L48" s="4">
        <v>40.0</v>
      </c>
      <c r="M48" s="4" t="s">
        <v>267</v>
      </c>
      <c r="O48" s="4">
        <v>40.0</v>
      </c>
      <c r="Q48" s="4">
        <v>6.0</v>
      </c>
      <c r="S48" s="4">
        <v>1.0</v>
      </c>
      <c r="V48" s="4"/>
      <c r="W48" s="4">
        <v>1.0</v>
      </c>
      <c r="AA48" s="4">
        <v>10.0</v>
      </c>
      <c r="AB48" s="4">
        <v>6.0</v>
      </c>
      <c r="AC48" s="4">
        <v>1.0</v>
      </c>
      <c r="AF48" s="4">
        <v>2.0</v>
      </c>
      <c r="AH48" s="4">
        <v>2.0</v>
      </c>
      <c r="AL48" s="4">
        <v>26.0</v>
      </c>
      <c r="AW48" s="4">
        <v>8.0</v>
      </c>
      <c r="BA48" s="4">
        <v>24.0</v>
      </c>
      <c r="BM48" s="4">
        <v>449.0</v>
      </c>
      <c r="BU48" s="4">
        <v>7.0</v>
      </c>
      <c r="DF48" s="4">
        <v>7.0</v>
      </c>
      <c r="DL48" s="4">
        <v>3.0</v>
      </c>
      <c r="DN48" s="4">
        <v>4.0</v>
      </c>
      <c r="DT48" s="4"/>
      <c r="DU48" s="4">
        <v>5.0</v>
      </c>
      <c r="EI48" s="4">
        <v>77.0</v>
      </c>
      <c r="EM48" s="4">
        <v>4.0</v>
      </c>
      <c r="FA48" s="4">
        <v>21.0</v>
      </c>
      <c r="FH48" s="4">
        <v>8.0</v>
      </c>
      <c r="FP48" s="4">
        <v>35.0</v>
      </c>
      <c r="FQ48" s="4">
        <v>12.0</v>
      </c>
      <c r="FV48" s="4">
        <v>15.0</v>
      </c>
      <c r="GE48" s="25">
        <f t="shared" si="1"/>
        <v>24</v>
      </c>
      <c r="GF48" s="25">
        <f t="shared" si="2"/>
        <v>21</v>
      </c>
      <c r="GG48" s="25">
        <f t="shared" si="3"/>
        <v>16</v>
      </c>
      <c r="GH48" s="25">
        <f t="shared" si="4"/>
        <v>0.6086442562</v>
      </c>
      <c r="GI48" s="25">
        <f t="shared" si="5"/>
        <v>734</v>
      </c>
      <c r="GJ48" s="25">
        <f t="shared" si="6"/>
        <v>1000</v>
      </c>
      <c r="GK48" s="25">
        <f t="shared" si="7"/>
        <v>266</v>
      </c>
    </row>
    <row r="49">
      <c r="A49" s="23">
        <v>42428.0</v>
      </c>
      <c r="B49" s="4" t="s">
        <v>266</v>
      </c>
      <c r="C49" s="4">
        <v>22.060684</v>
      </c>
      <c r="D49" s="4">
        <v>-159.318512</v>
      </c>
      <c r="E49" s="4" t="s">
        <v>197</v>
      </c>
      <c r="F49" s="24">
        <v>0.4895833333333333</v>
      </c>
      <c r="G49" s="24">
        <v>0.5625</v>
      </c>
      <c r="H49" s="4">
        <v>3.0</v>
      </c>
      <c r="I49" s="4">
        <v>21.0</v>
      </c>
      <c r="J49" s="4" t="s">
        <v>198</v>
      </c>
      <c r="K49" s="4">
        <v>15.0</v>
      </c>
      <c r="L49" s="4">
        <v>43.0</v>
      </c>
      <c r="M49" s="4" t="s">
        <v>268</v>
      </c>
      <c r="O49" s="4">
        <v>43.0</v>
      </c>
      <c r="Q49" s="4">
        <v>4.0</v>
      </c>
      <c r="S49" s="4">
        <v>26.0</v>
      </c>
      <c r="AA49" s="4">
        <v>6.0</v>
      </c>
      <c r="AC49" s="4">
        <v>4.0</v>
      </c>
      <c r="AL49" s="4">
        <v>30.0</v>
      </c>
      <c r="AW49" s="4">
        <v>1.0</v>
      </c>
      <c r="AY49" s="4">
        <v>2.0</v>
      </c>
      <c r="BA49" s="4">
        <v>30.0</v>
      </c>
      <c r="BL49" s="4">
        <v>19.0</v>
      </c>
      <c r="BM49" s="4">
        <v>503.0</v>
      </c>
      <c r="BN49" s="4"/>
      <c r="BO49" s="4">
        <v>1.0</v>
      </c>
      <c r="BP49" s="4">
        <v>1.0</v>
      </c>
      <c r="BU49" s="4">
        <v>5.0</v>
      </c>
      <c r="BY49" s="4">
        <v>3.0</v>
      </c>
      <c r="CJ49" s="4">
        <v>4.0</v>
      </c>
      <c r="DF49" s="4">
        <v>3.0</v>
      </c>
      <c r="DL49" s="4">
        <v>6.0</v>
      </c>
      <c r="DT49" s="4"/>
      <c r="DU49" s="4">
        <v>40.0</v>
      </c>
      <c r="EI49" s="4">
        <v>43.0</v>
      </c>
      <c r="FA49" s="4">
        <v>6.0</v>
      </c>
      <c r="FB49" s="4">
        <v>1.0</v>
      </c>
      <c r="FH49" s="4">
        <v>19.0</v>
      </c>
      <c r="FP49" s="4">
        <v>6.0</v>
      </c>
      <c r="FQ49" s="4">
        <v>26.0</v>
      </c>
      <c r="GE49" s="25">
        <f t="shared" si="1"/>
        <v>24</v>
      </c>
      <c r="GF49" s="25">
        <f t="shared" si="2"/>
        <v>20</v>
      </c>
      <c r="GG49" s="25">
        <f t="shared" si="3"/>
        <v>14</v>
      </c>
      <c r="GH49" s="25">
        <f t="shared" si="4"/>
        <v>0.5821575856</v>
      </c>
      <c r="GI49" s="25">
        <f t="shared" si="5"/>
        <v>789</v>
      </c>
      <c r="GJ49" s="25">
        <f t="shared" si="6"/>
        <v>1075</v>
      </c>
      <c r="GK49" s="25">
        <f t="shared" si="7"/>
        <v>286</v>
      </c>
    </row>
    <row r="50">
      <c r="A50" s="23">
        <v>42437.0</v>
      </c>
      <c r="B50" s="4" t="s">
        <v>219</v>
      </c>
      <c r="C50" s="4">
        <v>21.295799</v>
      </c>
      <c r="D50" s="4">
        <v>-158.103699</v>
      </c>
      <c r="E50" s="4" t="s">
        <v>269</v>
      </c>
      <c r="F50" s="24">
        <v>0.4201388888888889</v>
      </c>
      <c r="G50" s="24">
        <v>0.4722222222222222</v>
      </c>
      <c r="H50" s="4">
        <v>7.0</v>
      </c>
      <c r="I50" s="4">
        <v>20.0</v>
      </c>
      <c r="J50" s="4" t="s">
        <v>198</v>
      </c>
      <c r="K50" s="4">
        <v>8.0</v>
      </c>
      <c r="L50" s="4">
        <v>44.0</v>
      </c>
      <c r="M50" s="4" t="s">
        <v>270</v>
      </c>
      <c r="N50" s="4" t="s">
        <v>271</v>
      </c>
      <c r="O50" s="4">
        <v>37.0</v>
      </c>
      <c r="Q50" s="4">
        <v>49.0</v>
      </c>
      <c r="V50" s="4">
        <v>1.0</v>
      </c>
      <c r="AB50" s="4">
        <v>2.0</v>
      </c>
      <c r="AL50" s="4">
        <v>27.0</v>
      </c>
      <c r="BD50" s="4">
        <v>17.0</v>
      </c>
      <c r="BJ50" s="4">
        <v>1.0</v>
      </c>
      <c r="BL50" s="4">
        <v>12.0</v>
      </c>
      <c r="BU50" s="4">
        <v>2.0</v>
      </c>
      <c r="BY50" s="4">
        <v>17.0</v>
      </c>
      <c r="CN50" s="4">
        <v>2.0</v>
      </c>
      <c r="DF50" s="4">
        <v>2.0</v>
      </c>
      <c r="DL50" s="4">
        <v>25.0</v>
      </c>
      <c r="DY50" s="4">
        <v>2.0</v>
      </c>
      <c r="EI50" s="4">
        <v>338.0</v>
      </c>
      <c r="FA50" s="4">
        <v>60.0</v>
      </c>
      <c r="FE50" s="4">
        <v>3.0</v>
      </c>
      <c r="FP50" s="4">
        <v>12.0</v>
      </c>
      <c r="FQ50" s="4">
        <v>51.0</v>
      </c>
      <c r="GE50" s="25">
        <f t="shared" si="1"/>
        <v>18</v>
      </c>
      <c r="GF50" s="25">
        <f t="shared" si="2"/>
        <v>16</v>
      </c>
      <c r="GG50" s="25">
        <f t="shared" si="3"/>
        <v>10</v>
      </c>
      <c r="GH50" s="25">
        <f t="shared" si="4"/>
        <v>0.6787817479</v>
      </c>
      <c r="GI50" s="25">
        <f t="shared" si="5"/>
        <v>623</v>
      </c>
      <c r="GJ50" s="25">
        <f t="shared" si="6"/>
        <v>925</v>
      </c>
      <c r="GK50" s="25">
        <f t="shared" si="7"/>
        <v>302</v>
      </c>
    </row>
    <row r="51">
      <c r="A51" s="23">
        <v>42439.0</v>
      </c>
      <c r="B51" s="4" t="s">
        <v>216</v>
      </c>
      <c r="C51" s="4">
        <v>21.3002</v>
      </c>
      <c r="D51" s="4">
        <v>-157.882599</v>
      </c>
      <c r="E51" s="4" t="s">
        <v>272</v>
      </c>
      <c r="F51" s="24">
        <v>0.43194444444444446</v>
      </c>
      <c r="G51" s="24">
        <v>0.4798611111111111</v>
      </c>
      <c r="H51" s="4">
        <v>7.0</v>
      </c>
      <c r="I51" s="4">
        <v>21.0</v>
      </c>
      <c r="J51" s="4" t="s">
        <v>198</v>
      </c>
      <c r="K51" s="4">
        <v>6.0</v>
      </c>
      <c r="L51" s="4">
        <v>36.0</v>
      </c>
      <c r="M51" s="4" t="s">
        <v>273</v>
      </c>
      <c r="O51" s="4">
        <v>36.0</v>
      </c>
      <c r="AI51" s="4"/>
      <c r="AJ51" s="4">
        <v>4.0</v>
      </c>
      <c r="AK51" s="4">
        <v>4.0</v>
      </c>
      <c r="AL51" s="4">
        <v>21.0</v>
      </c>
      <c r="BD51" s="4">
        <v>2.0</v>
      </c>
      <c r="BL51" s="4">
        <v>1.0</v>
      </c>
      <c r="BM51" s="4">
        <v>2.0</v>
      </c>
      <c r="BP51" s="4">
        <v>11.0</v>
      </c>
      <c r="BU51" s="4">
        <v>2.0</v>
      </c>
      <c r="CC51" s="4">
        <v>2.0</v>
      </c>
      <c r="CJ51" s="4">
        <v>6.0</v>
      </c>
      <c r="CP51" s="4">
        <v>1.0</v>
      </c>
      <c r="DF51" s="4">
        <v>2.0</v>
      </c>
      <c r="DH51" s="4">
        <v>1.0</v>
      </c>
      <c r="DP51" s="4">
        <v>2.0</v>
      </c>
      <c r="EI51" s="4">
        <v>14.0</v>
      </c>
      <c r="ET51" s="4">
        <v>3.0</v>
      </c>
      <c r="FA51" s="4">
        <v>6.0</v>
      </c>
      <c r="FE51" s="4">
        <v>1.0</v>
      </c>
      <c r="FI51" s="4"/>
      <c r="FJ51" s="4">
        <v>1.0</v>
      </c>
      <c r="FK51" s="4">
        <v>1.0</v>
      </c>
      <c r="FQ51" s="4">
        <v>406.0</v>
      </c>
      <c r="GE51" s="25">
        <f t="shared" si="1"/>
        <v>21</v>
      </c>
      <c r="GF51" s="25">
        <f t="shared" si="2"/>
        <v>15</v>
      </c>
      <c r="GG51" s="25">
        <f t="shared" si="3"/>
        <v>6</v>
      </c>
      <c r="GH51" s="25">
        <f t="shared" si="4"/>
        <v>0.3187387655</v>
      </c>
      <c r="GI51" s="25">
        <f t="shared" si="5"/>
        <v>493</v>
      </c>
      <c r="GJ51" s="25">
        <f t="shared" si="6"/>
        <v>900</v>
      </c>
      <c r="GK51" s="25">
        <f t="shared" si="7"/>
        <v>407</v>
      </c>
    </row>
    <row r="52">
      <c r="A52" s="23">
        <v>42439.0</v>
      </c>
      <c r="B52" s="4" t="s">
        <v>266</v>
      </c>
      <c r="C52" s="4">
        <v>22.060684</v>
      </c>
      <c r="D52" s="4">
        <v>-159.318512</v>
      </c>
      <c r="E52" s="4" t="s">
        <v>274</v>
      </c>
      <c r="F52" s="24">
        <v>0.375</v>
      </c>
      <c r="G52" s="24">
        <v>0.5416666666666666</v>
      </c>
      <c r="H52" s="4">
        <v>4.0</v>
      </c>
      <c r="I52" s="4">
        <v>11.0</v>
      </c>
      <c r="J52" s="4" t="s">
        <v>198</v>
      </c>
      <c r="K52" s="4">
        <v>10.0</v>
      </c>
      <c r="L52" s="4">
        <v>23.0</v>
      </c>
      <c r="M52" s="4" t="s">
        <v>275</v>
      </c>
      <c r="O52" s="4">
        <v>23.0</v>
      </c>
      <c r="Q52" s="4">
        <v>2.0</v>
      </c>
      <c r="AB52" s="4">
        <v>3.0</v>
      </c>
      <c r="AK52" s="4">
        <v>3.0</v>
      </c>
      <c r="AL52" s="4">
        <v>8.0</v>
      </c>
      <c r="AM52" s="4">
        <v>25.0</v>
      </c>
      <c r="AT52" s="4">
        <v>1.0</v>
      </c>
      <c r="BD52" s="4">
        <v>3.0</v>
      </c>
      <c r="BG52" s="4">
        <v>4.0</v>
      </c>
      <c r="BJ52" s="4">
        <v>1.0</v>
      </c>
      <c r="BL52" s="4">
        <v>3.0</v>
      </c>
      <c r="BU52" s="4">
        <v>17.0</v>
      </c>
      <c r="CR52" s="4">
        <v>2.0</v>
      </c>
      <c r="DF52" s="4">
        <v>12.0</v>
      </c>
      <c r="DL52" s="4">
        <v>93.0</v>
      </c>
      <c r="DT52" s="4"/>
      <c r="DU52" s="4">
        <v>1.0</v>
      </c>
      <c r="EI52" s="4">
        <v>46.0</v>
      </c>
      <c r="EW52" s="4">
        <v>1.0</v>
      </c>
      <c r="FA52" s="4">
        <v>3.0</v>
      </c>
      <c r="FN52" s="4">
        <v>1.0</v>
      </c>
      <c r="FP52" s="4">
        <v>21.0</v>
      </c>
      <c r="FQ52" s="4">
        <v>114.0</v>
      </c>
      <c r="GE52" s="25">
        <f t="shared" si="1"/>
        <v>21</v>
      </c>
      <c r="GF52" s="25">
        <f t="shared" si="2"/>
        <v>16</v>
      </c>
      <c r="GG52" s="25">
        <f t="shared" si="3"/>
        <v>8</v>
      </c>
      <c r="GH52" s="25">
        <f t="shared" si="4"/>
        <v>0.8105379469</v>
      </c>
      <c r="GI52" s="25">
        <f t="shared" si="5"/>
        <v>364</v>
      </c>
      <c r="GJ52" s="25">
        <f t="shared" si="6"/>
        <v>575</v>
      </c>
      <c r="GK52" s="25">
        <f t="shared" si="7"/>
        <v>211</v>
      </c>
    </row>
    <row r="53">
      <c r="A53" s="23">
        <v>42440.0</v>
      </c>
      <c r="B53" s="4" t="s">
        <v>246</v>
      </c>
      <c r="C53" s="4">
        <v>21.2882</v>
      </c>
      <c r="D53" s="4">
        <v>-157.667999</v>
      </c>
      <c r="E53" s="4" t="s">
        <v>274</v>
      </c>
      <c r="F53" s="24">
        <v>0.4270833333333333</v>
      </c>
      <c r="G53" s="24">
        <v>0.4791666666666667</v>
      </c>
      <c r="H53" s="4">
        <v>5.0</v>
      </c>
      <c r="I53" s="4">
        <v>13.0</v>
      </c>
      <c r="J53" s="4" t="s">
        <v>198</v>
      </c>
      <c r="K53" s="4">
        <v>5.0</v>
      </c>
      <c r="L53" s="4">
        <v>18.0</v>
      </c>
      <c r="M53" s="4" t="s">
        <v>276</v>
      </c>
      <c r="O53" s="4">
        <v>18.0</v>
      </c>
      <c r="AA53" s="4">
        <v>18.0</v>
      </c>
      <c r="BA53" s="4">
        <v>18.0</v>
      </c>
      <c r="BL53" s="4">
        <v>32.0</v>
      </c>
      <c r="BY53" s="4">
        <v>3.0</v>
      </c>
      <c r="DL53" s="4">
        <v>15.0</v>
      </c>
      <c r="EI53" s="4">
        <v>4.0</v>
      </c>
      <c r="FP53" s="4">
        <v>1.0</v>
      </c>
      <c r="FQ53" s="4">
        <v>132.0</v>
      </c>
      <c r="FT53" s="4"/>
      <c r="FU53" s="4">
        <v>33.0</v>
      </c>
      <c r="GE53" s="25">
        <f t="shared" si="1"/>
        <v>9</v>
      </c>
      <c r="GF53" s="25">
        <f t="shared" si="2"/>
        <v>8</v>
      </c>
      <c r="GG53" s="25">
        <f t="shared" si="3"/>
        <v>6</v>
      </c>
      <c r="GH53" s="25">
        <f t="shared" si="4"/>
        <v>0.690870098</v>
      </c>
      <c r="GI53" s="25">
        <f t="shared" si="5"/>
        <v>256</v>
      </c>
      <c r="GJ53" s="25">
        <f t="shared" si="6"/>
        <v>450</v>
      </c>
      <c r="GK53" s="25">
        <f t="shared" si="7"/>
        <v>194</v>
      </c>
    </row>
    <row r="54">
      <c r="A54" s="23">
        <v>42443.0</v>
      </c>
      <c r="B54" s="4" t="s">
        <v>230</v>
      </c>
      <c r="C54" s="4">
        <v>20.7537</v>
      </c>
      <c r="D54" s="4">
        <v>-156.460907</v>
      </c>
      <c r="E54" s="4" t="s">
        <v>197</v>
      </c>
      <c r="F54" s="24">
        <v>0.5520833333333334</v>
      </c>
      <c r="G54" s="24">
        <v>0.625</v>
      </c>
      <c r="H54" s="4">
        <v>3.0</v>
      </c>
      <c r="I54" s="4">
        <v>15.0</v>
      </c>
      <c r="J54" s="4" t="s">
        <v>277</v>
      </c>
      <c r="K54" s="4">
        <v>10.0</v>
      </c>
      <c r="L54" s="4">
        <v>30.0</v>
      </c>
      <c r="O54" s="4">
        <v>30.0</v>
      </c>
      <c r="Q54" s="4">
        <v>56.0</v>
      </c>
      <c r="AL54" s="4">
        <v>4.0</v>
      </c>
      <c r="BL54" s="4">
        <v>49.0</v>
      </c>
      <c r="BM54" s="4">
        <v>242.0</v>
      </c>
      <c r="CN54" s="4">
        <v>1.0</v>
      </c>
      <c r="DL54" s="4">
        <v>4.0</v>
      </c>
      <c r="EW54" s="4">
        <v>64.0</v>
      </c>
      <c r="FN54" s="4">
        <v>2.0</v>
      </c>
      <c r="FO54" s="4">
        <v>1.0</v>
      </c>
      <c r="FQ54" s="4">
        <v>132.0</v>
      </c>
      <c r="FR54" s="4">
        <v>2.0</v>
      </c>
      <c r="GE54" s="25">
        <f t="shared" si="1"/>
        <v>11</v>
      </c>
      <c r="GF54" s="25">
        <f t="shared" si="2"/>
        <v>9</v>
      </c>
      <c r="GG54" s="25">
        <f t="shared" si="3"/>
        <v>5</v>
      </c>
      <c r="GH54" s="25">
        <f t="shared" si="4"/>
        <v>0.7251914806</v>
      </c>
      <c r="GI54" s="25">
        <f t="shared" si="5"/>
        <v>557</v>
      </c>
      <c r="GJ54" s="25">
        <f t="shared" si="6"/>
        <v>750</v>
      </c>
      <c r="GK54" s="25">
        <f t="shared" si="7"/>
        <v>193</v>
      </c>
    </row>
    <row r="55">
      <c r="A55" s="23">
        <v>42464.0</v>
      </c>
      <c r="B55" s="4" t="s">
        <v>244</v>
      </c>
      <c r="C55" s="4">
        <v>21.310612</v>
      </c>
      <c r="D55" s="4">
        <v>-158.00441</v>
      </c>
      <c r="E55" s="4" t="s">
        <v>278</v>
      </c>
      <c r="F55" s="24">
        <v>0.375</v>
      </c>
      <c r="G55" s="24">
        <v>0.4583333333333333</v>
      </c>
      <c r="H55" s="4">
        <v>5.0</v>
      </c>
      <c r="I55" s="4">
        <v>12.0</v>
      </c>
      <c r="J55" s="4" t="s">
        <v>198</v>
      </c>
      <c r="K55" s="4">
        <v>6.0</v>
      </c>
      <c r="L55" s="4">
        <v>26.0</v>
      </c>
      <c r="M55" s="4" t="s">
        <v>279</v>
      </c>
      <c r="O55" s="4">
        <v>26.0</v>
      </c>
      <c r="Q55" s="4">
        <v>61.0</v>
      </c>
      <c r="S55" s="4">
        <v>1.0</v>
      </c>
      <c r="BL55" s="4">
        <v>1.0</v>
      </c>
      <c r="BU55" s="4">
        <v>14.0</v>
      </c>
      <c r="BY55" s="4">
        <v>8.0</v>
      </c>
      <c r="CF55" s="4"/>
      <c r="CG55" s="4">
        <v>1.0</v>
      </c>
      <c r="CR55" s="4">
        <v>1.0</v>
      </c>
      <c r="DF55" s="4">
        <v>23.0</v>
      </c>
      <c r="DL55" s="4">
        <v>35.0</v>
      </c>
      <c r="DT55" s="4"/>
      <c r="DU55" s="4">
        <v>7.0</v>
      </c>
      <c r="EI55" s="4">
        <v>307.0</v>
      </c>
      <c r="FA55" s="4">
        <v>9.0</v>
      </c>
      <c r="FQ55" s="4">
        <v>1.0</v>
      </c>
      <c r="GE55" s="25">
        <f t="shared" si="1"/>
        <v>13</v>
      </c>
      <c r="GF55" s="25">
        <f t="shared" si="2"/>
        <v>8</v>
      </c>
      <c r="GG55" s="25">
        <f t="shared" si="3"/>
        <v>8</v>
      </c>
      <c r="GH55" s="25">
        <f t="shared" si="4"/>
        <v>0.5459971206</v>
      </c>
      <c r="GI55" s="25">
        <f t="shared" si="5"/>
        <v>469</v>
      </c>
      <c r="GJ55" s="25">
        <f t="shared" si="6"/>
        <v>650</v>
      </c>
      <c r="GK55" s="25">
        <f t="shared" si="7"/>
        <v>181</v>
      </c>
    </row>
    <row r="56">
      <c r="A56" s="23">
        <v>42465.0</v>
      </c>
      <c r="B56" s="4" t="s">
        <v>280</v>
      </c>
      <c r="C56" s="4">
        <v>19.638599</v>
      </c>
      <c r="D56" s="4">
        <v>-156.002502</v>
      </c>
      <c r="E56" s="4" t="s">
        <v>274</v>
      </c>
      <c r="F56" s="24">
        <v>0.4305555555555556</v>
      </c>
      <c r="G56" s="24">
        <v>0.4791666666666667</v>
      </c>
      <c r="H56" s="4">
        <v>8.0</v>
      </c>
      <c r="I56" s="4">
        <v>26.0</v>
      </c>
      <c r="J56" s="4" t="s">
        <v>217</v>
      </c>
      <c r="K56" s="4">
        <v>12.0</v>
      </c>
      <c r="L56" s="4">
        <v>81.0</v>
      </c>
      <c r="M56" s="4" t="s">
        <v>281</v>
      </c>
      <c r="N56" s="4" t="s">
        <v>282</v>
      </c>
      <c r="O56" s="4">
        <v>73.0</v>
      </c>
      <c r="Q56" s="4">
        <v>17.0</v>
      </c>
      <c r="R56" s="4">
        <v>2.0</v>
      </c>
      <c r="AB56" s="4">
        <v>36.0</v>
      </c>
      <c r="AK56" s="4">
        <v>2.0</v>
      </c>
      <c r="BD56" s="4">
        <v>1.0</v>
      </c>
      <c r="BJ56" s="4">
        <v>31.0</v>
      </c>
      <c r="BL56" s="4">
        <v>51.0</v>
      </c>
      <c r="CB56" s="4">
        <v>25.0</v>
      </c>
      <c r="CC56" s="4">
        <v>10.0</v>
      </c>
      <c r="CU56" s="4">
        <v>1.0</v>
      </c>
      <c r="DG56" s="4">
        <v>4.0</v>
      </c>
      <c r="FE56" s="4">
        <v>3.0</v>
      </c>
      <c r="FN56" s="4">
        <v>4.0</v>
      </c>
      <c r="FO56" s="4">
        <v>19.0</v>
      </c>
      <c r="FP56" s="4">
        <v>3.0</v>
      </c>
      <c r="FQ56" s="4">
        <v>759.0</v>
      </c>
      <c r="FR56" s="4">
        <v>3.0</v>
      </c>
      <c r="GE56" s="25">
        <f t="shared" si="1"/>
        <v>17</v>
      </c>
      <c r="GF56" s="25">
        <f t="shared" si="2"/>
        <v>15</v>
      </c>
      <c r="GG56" s="25">
        <f t="shared" si="3"/>
        <v>8</v>
      </c>
      <c r="GH56" s="25">
        <f t="shared" si="4"/>
        <v>0.3827046195</v>
      </c>
      <c r="GI56" s="25">
        <f t="shared" si="5"/>
        <v>971</v>
      </c>
      <c r="GJ56" s="25">
        <f t="shared" si="6"/>
        <v>1825</v>
      </c>
      <c r="GK56" s="25">
        <f t="shared" si="7"/>
        <v>854</v>
      </c>
    </row>
    <row r="57">
      <c r="A57" s="23">
        <v>42465.0</v>
      </c>
      <c r="B57" s="4" t="s">
        <v>244</v>
      </c>
      <c r="C57" s="4">
        <v>21.310612</v>
      </c>
      <c r="D57" s="4">
        <v>-158.00441</v>
      </c>
      <c r="E57" s="4" t="s">
        <v>274</v>
      </c>
      <c r="F57" s="24">
        <v>0.3541666666666667</v>
      </c>
      <c r="G57" s="24">
        <v>0.41875</v>
      </c>
      <c r="H57" s="4">
        <v>7.0</v>
      </c>
      <c r="I57" s="4">
        <v>20.0</v>
      </c>
      <c r="J57" s="4" t="s">
        <v>198</v>
      </c>
      <c r="K57" s="4">
        <v>10.0</v>
      </c>
      <c r="L57" s="4">
        <v>51.0</v>
      </c>
      <c r="M57" s="4" t="s">
        <v>283</v>
      </c>
      <c r="O57" s="4">
        <v>51.0</v>
      </c>
      <c r="Q57" s="4">
        <v>331.0</v>
      </c>
      <c r="S57" s="4">
        <v>2.0</v>
      </c>
      <c r="V57" s="4">
        <v>1.0</v>
      </c>
      <c r="AH57" s="4">
        <v>3.0</v>
      </c>
      <c r="BD57" s="4">
        <v>101.0</v>
      </c>
      <c r="BL57" s="4">
        <v>54.0</v>
      </c>
      <c r="BU57" s="4">
        <v>22.0</v>
      </c>
      <c r="BY57" s="4">
        <v>10.0</v>
      </c>
      <c r="CB57" s="4">
        <v>1.0</v>
      </c>
      <c r="CF57" s="4"/>
      <c r="CG57" s="4">
        <v>1.0</v>
      </c>
      <c r="CN57" s="4">
        <v>16.0</v>
      </c>
      <c r="CR57" s="4">
        <v>1.0</v>
      </c>
      <c r="DF57" s="4">
        <v>3.0</v>
      </c>
      <c r="DL57" s="4">
        <v>66.0</v>
      </c>
      <c r="DN57" s="4">
        <v>1.0</v>
      </c>
      <c r="DR57" s="4">
        <v>7.0</v>
      </c>
      <c r="EB57" s="4">
        <v>5.0</v>
      </c>
      <c r="EI57" s="4">
        <v>133.0</v>
      </c>
      <c r="EJ57" s="4">
        <v>1.0</v>
      </c>
      <c r="FA57" s="4">
        <v>16.0</v>
      </c>
      <c r="FG57" s="4">
        <v>4.0</v>
      </c>
      <c r="FQ57" s="4">
        <v>160.0</v>
      </c>
      <c r="GE57" s="25">
        <f t="shared" si="1"/>
        <v>22</v>
      </c>
      <c r="GF57" s="25">
        <f t="shared" si="2"/>
        <v>16</v>
      </c>
      <c r="GG57" s="25">
        <f t="shared" si="3"/>
        <v>12</v>
      </c>
      <c r="GH57" s="25">
        <f t="shared" si="4"/>
        <v>0.8063107557</v>
      </c>
      <c r="GI57" s="25">
        <f t="shared" si="5"/>
        <v>939</v>
      </c>
      <c r="GJ57" s="25">
        <f t="shared" si="6"/>
        <v>1275</v>
      </c>
      <c r="GK57" s="25">
        <f t="shared" si="7"/>
        <v>336</v>
      </c>
    </row>
    <row r="58">
      <c r="A58" s="23">
        <v>42465.0</v>
      </c>
      <c r="B58" s="4" t="s">
        <v>244</v>
      </c>
      <c r="C58" s="4">
        <v>21.310612</v>
      </c>
      <c r="D58" s="4">
        <v>-158.00441</v>
      </c>
      <c r="E58" s="4" t="s">
        <v>278</v>
      </c>
      <c r="F58" s="24">
        <v>0.375</v>
      </c>
      <c r="G58" s="24">
        <v>0.4583333333333333</v>
      </c>
      <c r="H58" s="4">
        <v>5.0</v>
      </c>
      <c r="I58" s="4">
        <v>12.0</v>
      </c>
      <c r="J58" s="4" t="s">
        <v>198</v>
      </c>
      <c r="K58" s="4">
        <v>6.0</v>
      </c>
      <c r="L58" s="4">
        <v>29.0</v>
      </c>
      <c r="M58" s="4" t="s">
        <v>284</v>
      </c>
      <c r="O58" s="4">
        <v>29.0</v>
      </c>
      <c r="Q58" s="4">
        <v>49.0</v>
      </c>
      <c r="V58" s="4">
        <v>5.0</v>
      </c>
      <c r="AA58" s="4">
        <v>3.0</v>
      </c>
      <c r="AB58" s="4">
        <v>5.0</v>
      </c>
      <c r="AD58" s="4">
        <v>1.0</v>
      </c>
      <c r="AH58" s="4">
        <v>7.0</v>
      </c>
      <c r="BD58" s="4">
        <v>13.0</v>
      </c>
      <c r="BL58" s="4">
        <v>12.0</v>
      </c>
      <c r="BU58" s="4">
        <v>60.0</v>
      </c>
      <c r="BY58" s="4">
        <v>7.0</v>
      </c>
      <c r="CF58" s="4"/>
      <c r="CG58" s="4">
        <v>4.0</v>
      </c>
      <c r="CR58" s="4">
        <v>1.0</v>
      </c>
      <c r="DF58" s="4">
        <v>10.0</v>
      </c>
      <c r="DL58" s="4">
        <v>22.0</v>
      </c>
      <c r="EB58" s="4">
        <v>2.0</v>
      </c>
      <c r="EI58" s="4">
        <v>299.0</v>
      </c>
      <c r="EJ58" s="4">
        <v>13.0</v>
      </c>
      <c r="FA58" s="4">
        <v>5.0</v>
      </c>
      <c r="FQ58" s="4">
        <v>48.0</v>
      </c>
      <c r="FW58" s="4">
        <v>10.0</v>
      </c>
      <c r="GE58" s="25">
        <f t="shared" si="1"/>
        <v>20</v>
      </c>
      <c r="GF58" s="25">
        <f t="shared" si="2"/>
        <v>18</v>
      </c>
      <c r="GG58" s="25">
        <f t="shared" si="3"/>
        <v>15</v>
      </c>
      <c r="GH58" s="25">
        <f t="shared" si="4"/>
        <v>0.7025966184</v>
      </c>
      <c r="GI58" s="25">
        <f t="shared" si="5"/>
        <v>576</v>
      </c>
      <c r="GJ58" s="25">
        <f t="shared" si="6"/>
        <v>725</v>
      </c>
      <c r="GK58" s="25">
        <f t="shared" si="7"/>
        <v>149</v>
      </c>
    </row>
    <row r="59">
      <c r="A59" s="23">
        <v>42467.0</v>
      </c>
      <c r="B59" s="4" t="s">
        <v>201</v>
      </c>
      <c r="C59" s="4">
        <v>21.25544</v>
      </c>
      <c r="D59" s="4">
        <v>-157.810303</v>
      </c>
      <c r="E59" s="4" t="s">
        <v>274</v>
      </c>
      <c r="F59" s="24">
        <v>0.3819444444444444</v>
      </c>
      <c r="G59" s="24">
        <v>0.46875</v>
      </c>
      <c r="H59" s="4">
        <v>7.0</v>
      </c>
      <c r="I59" s="4">
        <v>10.0</v>
      </c>
      <c r="J59" s="4" t="s">
        <v>217</v>
      </c>
      <c r="K59" s="4">
        <v>6.0</v>
      </c>
      <c r="L59" s="4">
        <v>41.0</v>
      </c>
      <c r="M59" s="4" t="s">
        <v>285</v>
      </c>
      <c r="O59" s="4">
        <v>41.0</v>
      </c>
      <c r="Q59" s="4">
        <v>6.0</v>
      </c>
      <c r="AA59" s="4">
        <v>2.0</v>
      </c>
      <c r="AB59" s="4">
        <v>1.0</v>
      </c>
      <c r="AL59" s="4">
        <v>21.0</v>
      </c>
      <c r="BA59" s="4">
        <v>5.0</v>
      </c>
      <c r="BC59" s="4">
        <v>1.0</v>
      </c>
      <c r="BD59" s="4">
        <v>2.0</v>
      </c>
      <c r="BL59" s="4">
        <v>44.0</v>
      </c>
      <c r="BM59" s="4">
        <v>1.0</v>
      </c>
      <c r="BP59" s="4">
        <v>46.0</v>
      </c>
      <c r="BU59" s="4">
        <v>2.0</v>
      </c>
      <c r="BV59" s="4">
        <v>4.0</v>
      </c>
      <c r="BY59" s="4">
        <v>48.0</v>
      </c>
      <c r="CM59" s="4">
        <v>1.0</v>
      </c>
      <c r="DK59" s="4">
        <v>102.0</v>
      </c>
      <c r="DN59" s="4">
        <v>1.0</v>
      </c>
      <c r="DR59" s="4">
        <v>12.0</v>
      </c>
      <c r="DT59" s="4"/>
      <c r="DU59" s="4">
        <v>5.0</v>
      </c>
      <c r="DY59" s="4">
        <v>1.0</v>
      </c>
      <c r="EB59" s="4">
        <v>2.0</v>
      </c>
      <c r="EI59" s="4">
        <v>259.0</v>
      </c>
      <c r="EY59" s="4">
        <v>4.0</v>
      </c>
      <c r="FA59" s="4">
        <v>6.0</v>
      </c>
      <c r="FB59" s="4">
        <v>2.0</v>
      </c>
      <c r="FE59" s="4">
        <v>11.0</v>
      </c>
      <c r="FH59" s="4">
        <v>11.0</v>
      </c>
      <c r="FP59" s="4">
        <v>24.0</v>
      </c>
      <c r="FQ59" s="4">
        <v>129.0</v>
      </c>
      <c r="FV59" s="4">
        <v>3.0</v>
      </c>
      <c r="GC59" s="4">
        <v>4.0</v>
      </c>
      <c r="GE59" s="25">
        <f t="shared" si="1"/>
        <v>30</v>
      </c>
      <c r="GF59" s="25">
        <f t="shared" si="2"/>
        <v>24</v>
      </c>
      <c r="GG59" s="25">
        <f t="shared" si="3"/>
        <v>15</v>
      </c>
      <c r="GH59" s="25">
        <f t="shared" si="4"/>
        <v>0.8243360377</v>
      </c>
      <c r="GI59" s="25">
        <f t="shared" si="5"/>
        <v>760</v>
      </c>
      <c r="GJ59" s="25">
        <f t="shared" si="6"/>
        <v>1025</v>
      </c>
      <c r="GK59" s="25">
        <f t="shared" si="7"/>
        <v>265</v>
      </c>
    </row>
    <row r="60">
      <c r="A60" s="23">
        <v>42467.0</v>
      </c>
      <c r="B60" s="4" t="s">
        <v>233</v>
      </c>
      <c r="C60" s="36">
        <v>21.066799</v>
      </c>
      <c r="D60" s="36">
        <v>-156.804993</v>
      </c>
      <c r="E60" s="4" t="s">
        <v>286</v>
      </c>
      <c r="F60" s="24">
        <v>0.375</v>
      </c>
      <c r="G60" s="24">
        <v>0.4388888888888889</v>
      </c>
      <c r="H60" s="4">
        <v>4.0</v>
      </c>
      <c r="I60" s="4">
        <v>17.0</v>
      </c>
      <c r="J60" s="4" t="s">
        <v>198</v>
      </c>
      <c r="K60" s="4">
        <v>16.0</v>
      </c>
      <c r="L60" s="4">
        <v>25.0</v>
      </c>
      <c r="M60" s="4" t="s">
        <v>287</v>
      </c>
      <c r="N60" s="4" t="s">
        <v>288</v>
      </c>
      <c r="O60" s="4">
        <v>25.0</v>
      </c>
      <c r="Q60" s="4">
        <v>11.0</v>
      </c>
      <c r="T60" s="4">
        <v>39.0</v>
      </c>
      <c r="V60" s="4">
        <v>11.0</v>
      </c>
      <c r="BA60" s="4">
        <v>5.0</v>
      </c>
      <c r="BK60" s="4">
        <v>1.0</v>
      </c>
      <c r="BL60" s="4">
        <v>26.0</v>
      </c>
      <c r="BY60" s="4">
        <v>16.0</v>
      </c>
      <c r="CC60" s="4">
        <v>1.0</v>
      </c>
      <c r="CN60" s="4">
        <v>13.0</v>
      </c>
      <c r="DF60" s="4">
        <v>40.0</v>
      </c>
      <c r="EI60" s="4">
        <v>83.0</v>
      </c>
      <c r="FA60" s="4">
        <v>109.0</v>
      </c>
      <c r="FV60" s="4">
        <v>5.0</v>
      </c>
      <c r="GE60" s="25">
        <f t="shared" si="1"/>
        <v>13</v>
      </c>
      <c r="GF60" s="25">
        <f t="shared" si="2"/>
        <v>11</v>
      </c>
      <c r="GG60" s="25">
        <f t="shared" si="3"/>
        <v>11</v>
      </c>
      <c r="GH60" s="25">
        <f t="shared" si="4"/>
        <v>0.8226090994</v>
      </c>
      <c r="GI60" s="25">
        <f t="shared" si="5"/>
        <v>360</v>
      </c>
      <c r="GJ60" s="25">
        <f t="shared" si="6"/>
        <v>625</v>
      </c>
      <c r="GK60" s="25">
        <f t="shared" si="7"/>
        <v>265</v>
      </c>
    </row>
    <row r="61">
      <c r="A61" s="23">
        <v>42468.0</v>
      </c>
      <c r="B61" s="4" t="s">
        <v>247</v>
      </c>
      <c r="C61" s="4">
        <v>19.488199</v>
      </c>
      <c r="D61" s="4">
        <v>-154.819305</v>
      </c>
      <c r="E61" s="4" t="s">
        <v>289</v>
      </c>
      <c r="F61" s="24">
        <v>0.3972222222222222</v>
      </c>
      <c r="G61" s="24">
        <v>0.4479166666666667</v>
      </c>
      <c r="H61" s="4">
        <v>5.0</v>
      </c>
      <c r="I61" s="4">
        <v>21.0</v>
      </c>
      <c r="J61" s="4" t="s">
        <v>198</v>
      </c>
      <c r="K61" s="4">
        <v>5.0</v>
      </c>
      <c r="L61" s="4">
        <v>23.0</v>
      </c>
      <c r="M61" s="4" t="s">
        <v>290</v>
      </c>
      <c r="O61" s="4">
        <v>23.0</v>
      </c>
      <c r="AL61" s="4">
        <v>315.0</v>
      </c>
      <c r="BH61" s="4"/>
      <c r="BI61" s="4">
        <v>1.0</v>
      </c>
      <c r="BL61" s="4">
        <v>102.0</v>
      </c>
      <c r="BM61" s="4">
        <v>3.0</v>
      </c>
      <c r="BP61" s="4">
        <v>4.0</v>
      </c>
      <c r="CB61" s="4">
        <v>1.0</v>
      </c>
      <c r="DR61" s="4">
        <v>27.0</v>
      </c>
      <c r="FA61" s="4">
        <v>1.0</v>
      </c>
      <c r="FQ61" s="4">
        <v>109.0</v>
      </c>
      <c r="GE61" s="25">
        <f t="shared" si="1"/>
        <v>9</v>
      </c>
      <c r="GF61" s="25">
        <f t="shared" si="2"/>
        <v>6</v>
      </c>
      <c r="GG61" s="25">
        <f t="shared" si="3"/>
        <v>4</v>
      </c>
      <c r="GH61" s="25">
        <f t="shared" si="4"/>
        <v>0.6153549553</v>
      </c>
      <c r="GI61" s="25">
        <f t="shared" si="5"/>
        <v>563</v>
      </c>
      <c r="GJ61" s="25">
        <f t="shared" si="6"/>
        <v>575</v>
      </c>
      <c r="GK61" s="25">
        <f t="shared" si="7"/>
        <v>12</v>
      </c>
    </row>
    <row r="62">
      <c r="A62" s="23">
        <v>42468.0</v>
      </c>
      <c r="B62" s="4" t="s">
        <v>291</v>
      </c>
      <c r="C62" s="4">
        <v>19.734331</v>
      </c>
      <c r="D62" s="4">
        <v>-155.014832</v>
      </c>
      <c r="E62" s="4" t="s">
        <v>274</v>
      </c>
      <c r="F62" s="24">
        <v>0.3819444444444444</v>
      </c>
      <c r="G62" s="24">
        <v>0.4583333333333333</v>
      </c>
      <c r="H62" s="4">
        <v>6.0</v>
      </c>
      <c r="I62" s="4">
        <v>17.0</v>
      </c>
      <c r="J62" s="4" t="s">
        <v>198</v>
      </c>
      <c r="K62" s="4">
        <v>5.0</v>
      </c>
      <c r="L62" s="4">
        <v>19.0</v>
      </c>
      <c r="M62" s="4" t="s">
        <v>292</v>
      </c>
      <c r="O62" s="4">
        <v>19.0</v>
      </c>
      <c r="Q62" s="4">
        <v>1.0</v>
      </c>
      <c r="AB62" s="4">
        <v>1.0</v>
      </c>
      <c r="AF62" s="4">
        <v>4.0</v>
      </c>
      <c r="AL62" s="4">
        <v>20.0</v>
      </c>
      <c r="AM62" s="4">
        <v>28.0</v>
      </c>
      <c r="BA62" s="4">
        <v>83.0</v>
      </c>
      <c r="BJ62" s="4">
        <v>13.0</v>
      </c>
      <c r="BL62" s="4">
        <v>123.0</v>
      </c>
      <c r="BM62" s="4">
        <v>1.0</v>
      </c>
      <c r="CB62" s="4">
        <v>1.0</v>
      </c>
      <c r="CN62" s="4">
        <v>14.0</v>
      </c>
      <c r="CP62" s="4">
        <v>10.0</v>
      </c>
      <c r="DG62" s="4">
        <v>2.0</v>
      </c>
      <c r="DV62" s="4">
        <v>2.0</v>
      </c>
      <c r="FA62" s="4">
        <v>2.0</v>
      </c>
      <c r="FG62" s="4">
        <v>11.0</v>
      </c>
      <c r="FO62" s="4">
        <v>2.0</v>
      </c>
      <c r="FP62" s="4">
        <v>1.0</v>
      </c>
      <c r="FQ62" s="4">
        <v>65.0</v>
      </c>
      <c r="GE62" s="25">
        <f t="shared" si="1"/>
        <v>19</v>
      </c>
      <c r="GF62" s="25">
        <f t="shared" si="2"/>
        <v>14</v>
      </c>
      <c r="GG62" s="25">
        <f t="shared" si="3"/>
        <v>9</v>
      </c>
      <c r="GH62" s="25">
        <f t="shared" si="4"/>
        <v>0.8118880548</v>
      </c>
      <c r="GI62" s="25">
        <f t="shared" si="5"/>
        <v>384</v>
      </c>
      <c r="GJ62" s="25">
        <f t="shared" si="6"/>
        <v>475</v>
      </c>
      <c r="GK62" s="25">
        <f t="shared" si="7"/>
        <v>91</v>
      </c>
    </row>
    <row r="63">
      <c r="A63" s="23">
        <v>42469.0</v>
      </c>
      <c r="B63" s="4" t="s">
        <v>293</v>
      </c>
      <c r="C63" s="4">
        <v>19.738602</v>
      </c>
      <c r="D63" s="4">
        <v>-155.038879</v>
      </c>
      <c r="E63" s="4" t="s">
        <v>197</v>
      </c>
      <c r="F63" s="24">
        <v>0.4076388888888889</v>
      </c>
      <c r="G63" s="24">
        <v>0.4652777777777778</v>
      </c>
      <c r="H63" s="4">
        <v>4.0</v>
      </c>
      <c r="I63" s="4">
        <v>15.0</v>
      </c>
      <c r="J63" s="4" t="s">
        <v>277</v>
      </c>
      <c r="K63" s="4">
        <v>10.0</v>
      </c>
      <c r="L63" s="4">
        <v>20.0</v>
      </c>
      <c r="M63" s="4" t="s">
        <v>294</v>
      </c>
      <c r="N63" s="4" t="s">
        <v>295</v>
      </c>
      <c r="O63" s="4">
        <v>20.0</v>
      </c>
      <c r="AA63" s="4">
        <v>1.0</v>
      </c>
      <c r="AH63" s="4">
        <v>6.0</v>
      </c>
      <c r="AL63" s="4">
        <v>56.0</v>
      </c>
      <c r="BJ63" s="4">
        <v>38.0</v>
      </c>
      <c r="BL63" s="4">
        <v>21.0</v>
      </c>
      <c r="BY63" s="4">
        <v>1.0</v>
      </c>
      <c r="CC63" s="4">
        <v>2.0</v>
      </c>
      <c r="CE63" s="4">
        <v>3.0</v>
      </c>
      <c r="CM63" s="4">
        <v>1.0</v>
      </c>
      <c r="CN63" s="4">
        <v>52.0</v>
      </c>
      <c r="DF63" s="4">
        <v>1.0</v>
      </c>
      <c r="DL63" s="4">
        <v>1.0</v>
      </c>
      <c r="DT63" s="4"/>
      <c r="DU63" s="4">
        <v>1.0</v>
      </c>
      <c r="EI63" s="4">
        <v>14.0</v>
      </c>
      <c r="FO63" s="4">
        <v>2.0</v>
      </c>
      <c r="FQ63" s="4">
        <v>219.0</v>
      </c>
      <c r="GE63" s="25">
        <f t="shared" si="1"/>
        <v>16</v>
      </c>
      <c r="GF63" s="25">
        <f t="shared" si="2"/>
        <v>10</v>
      </c>
      <c r="GG63" s="25">
        <f t="shared" si="3"/>
        <v>7</v>
      </c>
      <c r="GH63" s="25">
        <f t="shared" si="4"/>
        <v>0.6829886606</v>
      </c>
      <c r="GI63" s="25">
        <f t="shared" si="5"/>
        <v>419</v>
      </c>
      <c r="GJ63" s="25">
        <f t="shared" si="6"/>
        <v>500</v>
      </c>
      <c r="GK63" s="25">
        <f t="shared" si="7"/>
        <v>81</v>
      </c>
    </row>
    <row r="64">
      <c r="A64" s="23">
        <v>42470.0</v>
      </c>
      <c r="B64" s="4" t="s">
        <v>293</v>
      </c>
      <c r="C64" s="4">
        <v>19.738602</v>
      </c>
      <c r="D64" s="4">
        <v>-155.038879</v>
      </c>
      <c r="E64" s="4" t="s">
        <v>197</v>
      </c>
      <c r="F64" s="24">
        <v>0.4340277777777778</v>
      </c>
      <c r="G64" s="24">
        <v>0.5277777777777778</v>
      </c>
      <c r="H64" s="4">
        <v>4.0</v>
      </c>
      <c r="I64" s="4">
        <v>22.0</v>
      </c>
      <c r="J64" s="4" t="s">
        <v>198</v>
      </c>
      <c r="K64" s="4">
        <v>11.0</v>
      </c>
      <c r="L64" s="4">
        <v>35.0</v>
      </c>
      <c r="M64" s="4" t="s">
        <v>296</v>
      </c>
      <c r="O64" s="4">
        <v>35.0</v>
      </c>
      <c r="Q64" s="4">
        <v>24.0</v>
      </c>
      <c r="S64" s="4">
        <v>9.0</v>
      </c>
      <c r="AA64" s="4">
        <v>77.0</v>
      </c>
      <c r="AC64" s="4">
        <v>6.0</v>
      </c>
      <c r="AG64" s="4">
        <v>15.0</v>
      </c>
      <c r="AL64" s="4">
        <v>35.0</v>
      </c>
      <c r="AY64" s="4">
        <v>6.0</v>
      </c>
      <c r="BA64" s="4">
        <v>3.0</v>
      </c>
      <c r="BF64" s="4">
        <v>1.0</v>
      </c>
      <c r="BH64" s="4"/>
      <c r="BI64" s="4">
        <v>1.0</v>
      </c>
      <c r="BJ64" s="4">
        <v>5.0</v>
      </c>
      <c r="BL64" s="4">
        <v>59.0</v>
      </c>
      <c r="BM64" s="4">
        <v>16.0</v>
      </c>
      <c r="BY64" s="4">
        <v>6.0</v>
      </c>
      <c r="CA64" s="4">
        <v>3.0</v>
      </c>
      <c r="CB64" s="4">
        <v>5.0</v>
      </c>
      <c r="CK64" s="4">
        <v>1.0</v>
      </c>
      <c r="CN64" s="4">
        <v>98.0</v>
      </c>
      <c r="DF64" s="4">
        <v>6.0</v>
      </c>
      <c r="DG64" s="4">
        <v>5.0</v>
      </c>
      <c r="DL64" s="4">
        <v>3.0</v>
      </c>
      <c r="DP64" s="4">
        <v>1.0</v>
      </c>
      <c r="EC64" s="4">
        <v>2.0</v>
      </c>
      <c r="EI64" s="4">
        <v>13.0</v>
      </c>
      <c r="EW64" s="4">
        <v>5.0</v>
      </c>
      <c r="FA64" s="4">
        <v>9.0</v>
      </c>
      <c r="FN64" s="4">
        <v>2.0</v>
      </c>
      <c r="FO64" s="4">
        <v>17.0</v>
      </c>
      <c r="FQ64" s="4">
        <v>161.0</v>
      </c>
      <c r="FR64" s="4">
        <v>7.0</v>
      </c>
      <c r="GE64" s="25">
        <f t="shared" si="1"/>
        <v>30</v>
      </c>
      <c r="GF64" s="25">
        <f t="shared" si="2"/>
        <v>26</v>
      </c>
      <c r="GG64" s="25">
        <f t="shared" si="3"/>
        <v>21</v>
      </c>
      <c r="GH64" s="25">
        <f t="shared" si="4"/>
        <v>0.8680865225</v>
      </c>
      <c r="GI64" s="25">
        <f t="shared" si="5"/>
        <v>601</v>
      </c>
      <c r="GJ64" s="25">
        <f t="shared" si="6"/>
        <v>875</v>
      </c>
      <c r="GK64" s="25">
        <f t="shared" si="7"/>
        <v>274</v>
      </c>
    </row>
    <row r="65">
      <c r="A65" s="23">
        <v>42471.0</v>
      </c>
      <c r="B65" s="4" t="s">
        <v>266</v>
      </c>
      <c r="C65" s="4">
        <v>22.060684</v>
      </c>
      <c r="D65" s="4">
        <v>-159.318512</v>
      </c>
      <c r="E65" s="4" t="s">
        <v>297</v>
      </c>
      <c r="F65" s="24">
        <v>0.4895833333333333</v>
      </c>
      <c r="G65" s="24">
        <v>0.5416666666666666</v>
      </c>
      <c r="H65" s="4">
        <v>5.0</v>
      </c>
      <c r="I65" s="4">
        <v>12.0</v>
      </c>
      <c r="J65" s="4" t="s">
        <v>198</v>
      </c>
      <c r="K65" s="4">
        <v>5.0</v>
      </c>
      <c r="L65" s="4">
        <v>24.0</v>
      </c>
      <c r="M65" s="4" t="s">
        <v>298</v>
      </c>
      <c r="O65" s="4">
        <v>24.0</v>
      </c>
      <c r="Q65" s="4">
        <v>1.0</v>
      </c>
      <c r="AL65" s="4">
        <v>14.0</v>
      </c>
      <c r="BA65" s="4">
        <v>13.0</v>
      </c>
      <c r="BL65" s="4">
        <v>2.0</v>
      </c>
      <c r="BM65" s="4">
        <v>289.0</v>
      </c>
      <c r="BY65" s="4">
        <v>1.0</v>
      </c>
      <c r="CU65" s="4">
        <v>3.0</v>
      </c>
      <c r="DT65" s="4"/>
      <c r="DU65" s="4">
        <v>5.0</v>
      </c>
      <c r="EI65" s="4">
        <v>26.0</v>
      </c>
      <c r="FQ65" s="4">
        <v>21.0</v>
      </c>
      <c r="GE65" s="25">
        <f t="shared" si="1"/>
        <v>10</v>
      </c>
      <c r="GF65" s="25">
        <f t="shared" si="2"/>
        <v>8</v>
      </c>
      <c r="GG65" s="25">
        <f t="shared" si="3"/>
        <v>6</v>
      </c>
      <c r="GH65" s="25">
        <f t="shared" si="4"/>
        <v>0.3963065954</v>
      </c>
      <c r="GI65" s="25">
        <f t="shared" si="5"/>
        <v>375</v>
      </c>
      <c r="GJ65" s="25">
        <f t="shared" si="6"/>
        <v>600</v>
      </c>
      <c r="GK65" s="25">
        <f t="shared" si="7"/>
        <v>225</v>
      </c>
    </row>
    <row r="66">
      <c r="A66" s="23">
        <v>42471.0</v>
      </c>
      <c r="B66" s="4" t="s">
        <v>216</v>
      </c>
      <c r="C66" s="4">
        <v>21.3002</v>
      </c>
      <c r="D66" s="4">
        <v>-157.882599</v>
      </c>
      <c r="E66" s="4" t="s">
        <v>299</v>
      </c>
      <c r="F66" s="24">
        <v>0.5277777777777778</v>
      </c>
      <c r="G66" s="24">
        <v>0.5729166666666666</v>
      </c>
      <c r="H66" s="4">
        <v>4.0</v>
      </c>
      <c r="I66" s="4">
        <v>26.0</v>
      </c>
      <c r="J66" s="4" t="s">
        <v>198</v>
      </c>
      <c r="K66" s="4">
        <v>9.0</v>
      </c>
      <c r="L66" s="4">
        <v>29.0</v>
      </c>
      <c r="M66" s="4" t="s">
        <v>300</v>
      </c>
      <c r="O66" s="4">
        <v>29.0</v>
      </c>
      <c r="AB66" s="4">
        <v>10.0</v>
      </c>
      <c r="AL66" s="4">
        <v>23.0</v>
      </c>
      <c r="BL66" s="4">
        <v>15.0</v>
      </c>
      <c r="BM66" s="4">
        <v>38.0</v>
      </c>
      <c r="BP66" s="4">
        <v>12.0</v>
      </c>
      <c r="BU66" s="4">
        <v>6.0</v>
      </c>
      <c r="BY66" s="4">
        <v>1.0</v>
      </c>
      <c r="CB66" s="4">
        <v>3.0</v>
      </c>
      <c r="FO66" s="4">
        <v>15.0</v>
      </c>
      <c r="FQ66" s="4">
        <v>364.0</v>
      </c>
      <c r="GE66" s="25">
        <f t="shared" si="1"/>
        <v>10</v>
      </c>
      <c r="GF66" s="25">
        <f t="shared" si="2"/>
        <v>9</v>
      </c>
      <c r="GG66" s="25">
        <f t="shared" si="3"/>
        <v>8</v>
      </c>
      <c r="GH66" s="25">
        <f t="shared" si="4"/>
        <v>0.4307889911</v>
      </c>
      <c r="GI66" s="25">
        <f t="shared" si="5"/>
        <v>487</v>
      </c>
      <c r="GJ66" s="25">
        <f t="shared" si="6"/>
        <v>725</v>
      </c>
      <c r="GK66" s="25">
        <f t="shared" si="7"/>
        <v>238</v>
      </c>
    </row>
    <row r="67">
      <c r="A67" s="23">
        <v>42471.0</v>
      </c>
      <c r="B67" s="4" t="s">
        <v>301</v>
      </c>
      <c r="C67" s="4">
        <v>22.065599</v>
      </c>
      <c r="D67" s="4">
        <v>-159.317703</v>
      </c>
      <c r="E67" s="4" t="s">
        <v>302</v>
      </c>
      <c r="F67" s="24">
        <v>0.4895833333333333</v>
      </c>
      <c r="G67" s="24">
        <v>0.5416666666666666</v>
      </c>
      <c r="H67" s="4">
        <v>5.0</v>
      </c>
      <c r="I67" s="4">
        <v>5.0</v>
      </c>
      <c r="J67" s="4" t="s">
        <v>198</v>
      </c>
      <c r="K67" s="4">
        <v>5.0</v>
      </c>
      <c r="L67" s="4">
        <v>25.0</v>
      </c>
      <c r="O67" s="4">
        <v>25.0</v>
      </c>
      <c r="Q67" s="4">
        <v>5.0</v>
      </c>
      <c r="AB67" s="4">
        <v>9.0</v>
      </c>
      <c r="AF67" s="4">
        <v>20.0</v>
      </c>
      <c r="AL67" s="4">
        <v>68.0</v>
      </c>
      <c r="AY67" s="4">
        <v>1.0</v>
      </c>
      <c r="BA67" s="4">
        <v>2.0</v>
      </c>
      <c r="BD67" s="4">
        <v>1.0</v>
      </c>
      <c r="BJ67" s="4">
        <v>2.0</v>
      </c>
      <c r="BL67" s="4">
        <v>22.0</v>
      </c>
      <c r="BM67" s="4">
        <v>149.0</v>
      </c>
      <c r="BN67" s="4">
        <v>1.0</v>
      </c>
      <c r="BU67" s="4">
        <v>10.0</v>
      </c>
      <c r="BY67" s="4">
        <v>12.0</v>
      </c>
      <c r="DL67" s="4">
        <v>21.0</v>
      </c>
      <c r="DT67" s="4"/>
      <c r="DU67" s="4">
        <v>15.0</v>
      </c>
      <c r="EI67" s="4">
        <v>108.0</v>
      </c>
      <c r="FA67" s="4">
        <v>11.0</v>
      </c>
      <c r="FN67" s="4">
        <v>1.0</v>
      </c>
      <c r="FP67" s="4">
        <v>8.0</v>
      </c>
      <c r="FQ67" s="4">
        <v>55.0</v>
      </c>
      <c r="GE67" s="25">
        <f t="shared" si="1"/>
        <v>20</v>
      </c>
      <c r="GF67" s="25">
        <f t="shared" si="2"/>
        <v>16</v>
      </c>
      <c r="GG67" s="25">
        <f t="shared" si="3"/>
        <v>14</v>
      </c>
      <c r="GH67" s="25">
        <f t="shared" si="4"/>
        <v>0.8409493577</v>
      </c>
      <c r="GI67" s="25">
        <f t="shared" si="5"/>
        <v>521</v>
      </c>
      <c r="GJ67" s="25">
        <f t="shared" si="6"/>
        <v>625</v>
      </c>
      <c r="GK67" s="25">
        <f t="shared" si="7"/>
        <v>104</v>
      </c>
    </row>
    <row r="68">
      <c r="A68" s="23">
        <v>42475.0</v>
      </c>
      <c r="B68" s="4" t="s">
        <v>303</v>
      </c>
      <c r="C68" s="4">
        <v>20.99424</v>
      </c>
      <c r="D68" s="4">
        <v>-156.668259</v>
      </c>
      <c r="E68" s="4" t="s">
        <v>274</v>
      </c>
      <c r="F68" s="24">
        <v>0.3333333333333333</v>
      </c>
      <c r="G68" s="24">
        <v>0.4166666666666667</v>
      </c>
      <c r="H68" s="4">
        <v>4.0</v>
      </c>
      <c r="I68" s="4">
        <v>22.0</v>
      </c>
      <c r="J68" s="4" t="s">
        <v>217</v>
      </c>
      <c r="K68" s="4">
        <v>12.0</v>
      </c>
      <c r="L68" s="4">
        <v>35.0</v>
      </c>
      <c r="M68" s="4" t="s">
        <v>296</v>
      </c>
      <c r="O68" s="4">
        <v>35.0</v>
      </c>
      <c r="Q68" s="4">
        <v>24.0</v>
      </c>
      <c r="S68" s="4">
        <v>9.0</v>
      </c>
      <c r="AA68" s="4">
        <v>77.0</v>
      </c>
      <c r="AC68" s="4">
        <v>6.0</v>
      </c>
      <c r="AE68" s="4">
        <v>2.0</v>
      </c>
      <c r="AL68" s="4">
        <v>35.0</v>
      </c>
      <c r="AW68" s="4">
        <v>4.0</v>
      </c>
      <c r="AY68" s="4">
        <v>2.0</v>
      </c>
      <c r="BA68" s="4">
        <v>3.0</v>
      </c>
      <c r="BF68" s="4">
        <v>1.0</v>
      </c>
      <c r="BH68" s="4">
        <v>1.0</v>
      </c>
      <c r="BJ68" s="4">
        <v>5.0</v>
      </c>
      <c r="BL68" s="4">
        <v>59.0</v>
      </c>
      <c r="BM68" s="4">
        <v>16.0</v>
      </c>
      <c r="BX68" s="4">
        <v>6.0</v>
      </c>
      <c r="CA68" s="4">
        <v>3.0</v>
      </c>
      <c r="CB68" s="4">
        <v>5.0</v>
      </c>
      <c r="CN68" s="4">
        <v>98.0</v>
      </c>
      <c r="DF68" s="4">
        <v>6.0</v>
      </c>
      <c r="DG68" s="4">
        <v>3.0</v>
      </c>
      <c r="DL68" s="4">
        <v>3.0</v>
      </c>
      <c r="DP68" s="4">
        <v>1.0</v>
      </c>
      <c r="EI68" s="4">
        <v>13.0</v>
      </c>
      <c r="EM68" s="4">
        <v>1.0</v>
      </c>
      <c r="EV68" s="4">
        <v>5.0</v>
      </c>
      <c r="FA68" s="4">
        <v>9.0</v>
      </c>
      <c r="FB68" s="4">
        <v>1.0</v>
      </c>
      <c r="FL68" s="4">
        <v>16.0</v>
      </c>
      <c r="FN68" s="4">
        <v>2.0</v>
      </c>
      <c r="FQ68" s="4">
        <v>176.0</v>
      </c>
      <c r="FR68" s="4">
        <v>7.0</v>
      </c>
      <c r="GE68" s="25">
        <f t="shared" si="1"/>
        <v>31</v>
      </c>
      <c r="GF68" s="25">
        <f t="shared" si="2"/>
        <v>26</v>
      </c>
      <c r="GG68" s="25">
        <f t="shared" si="3"/>
        <v>18</v>
      </c>
      <c r="GH68" s="25">
        <f t="shared" si="4"/>
        <v>0.8538924964</v>
      </c>
      <c r="GI68" s="25">
        <f t="shared" si="5"/>
        <v>599</v>
      </c>
      <c r="GJ68" s="25">
        <f t="shared" si="6"/>
        <v>875</v>
      </c>
      <c r="GK68" s="25">
        <f t="shared" si="7"/>
        <v>276</v>
      </c>
    </row>
    <row r="69">
      <c r="A69" s="23">
        <v>42479.0</v>
      </c>
      <c r="B69" s="4" t="s">
        <v>201</v>
      </c>
      <c r="C69" s="4">
        <v>21.25544</v>
      </c>
      <c r="D69" s="4">
        <v>-157.810303</v>
      </c>
      <c r="E69" s="4" t="s">
        <v>274</v>
      </c>
      <c r="F69" s="24">
        <v>0.3611111111111111</v>
      </c>
      <c r="G69" s="24">
        <v>0.4166666666666667</v>
      </c>
      <c r="H69" s="4">
        <v>5.0</v>
      </c>
      <c r="I69" s="4">
        <v>14.0</v>
      </c>
      <c r="J69" s="4" t="s">
        <v>217</v>
      </c>
      <c r="K69" s="4">
        <v>7.0</v>
      </c>
      <c r="L69" s="4">
        <v>29.0</v>
      </c>
      <c r="M69" s="4" t="s">
        <v>304</v>
      </c>
      <c r="O69" s="4">
        <v>29.0</v>
      </c>
      <c r="Q69" s="4">
        <v>1.0</v>
      </c>
      <c r="W69" s="4">
        <v>1.0</v>
      </c>
      <c r="AA69" s="4">
        <v>11.0</v>
      </c>
      <c r="AH69" s="4">
        <v>2.0</v>
      </c>
      <c r="AN69" s="4"/>
      <c r="AO69" s="4">
        <v>2.0</v>
      </c>
      <c r="BA69" s="4">
        <v>9.0</v>
      </c>
      <c r="BK69" s="4">
        <v>1.0</v>
      </c>
      <c r="BL69" s="4">
        <v>5.0</v>
      </c>
      <c r="BM69" s="4">
        <v>26.0</v>
      </c>
      <c r="BP69" s="4">
        <v>36.0</v>
      </c>
      <c r="BU69" s="4">
        <v>4.0</v>
      </c>
      <c r="BY69" s="4">
        <v>13.0</v>
      </c>
      <c r="CJ69" s="4">
        <v>5.0</v>
      </c>
      <c r="CR69" s="4">
        <v>1.0</v>
      </c>
      <c r="DF69" s="4">
        <v>13.0</v>
      </c>
      <c r="DL69" s="4">
        <v>72.0</v>
      </c>
      <c r="DO69" s="4">
        <v>9.0</v>
      </c>
      <c r="DT69" s="4"/>
      <c r="DU69" s="4">
        <v>4.0</v>
      </c>
      <c r="EB69" s="4">
        <v>1.0</v>
      </c>
      <c r="ED69" s="4"/>
      <c r="EE69" s="4">
        <v>2.0</v>
      </c>
      <c r="EI69" s="4">
        <v>174.0</v>
      </c>
      <c r="EJ69" s="4">
        <v>1.0</v>
      </c>
      <c r="FA69" s="4">
        <v>21.0</v>
      </c>
      <c r="FH69" s="4">
        <v>35.0</v>
      </c>
      <c r="FN69" s="4">
        <v>1.0</v>
      </c>
      <c r="FP69" s="4">
        <v>11.0</v>
      </c>
      <c r="FQ69" s="4">
        <v>28.0</v>
      </c>
      <c r="FS69" s="4">
        <v>1.0</v>
      </c>
      <c r="GE69" s="25">
        <f t="shared" si="1"/>
        <v>28</v>
      </c>
      <c r="GF69" s="25">
        <f t="shared" si="2"/>
        <v>20</v>
      </c>
      <c r="GG69" s="25">
        <f t="shared" si="3"/>
        <v>15</v>
      </c>
      <c r="GH69" s="25">
        <f t="shared" si="4"/>
        <v>0.8320771253</v>
      </c>
      <c r="GI69" s="25">
        <f t="shared" si="5"/>
        <v>490</v>
      </c>
      <c r="GJ69" s="25">
        <f t="shared" si="6"/>
        <v>725</v>
      </c>
      <c r="GK69" s="25">
        <f t="shared" si="7"/>
        <v>235</v>
      </c>
    </row>
    <row r="70">
      <c r="A70" s="23">
        <v>42481.0</v>
      </c>
      <c r="B70" s="4" t="s">
        <v>240</v>
      </c>
      <c r="C70" s="4">
        <v>21.1059</v>
      </c>
      <c r="D70" s="4">
        <v>-156.746094</v>
      </c>
      <c r="E70" s="4" t="s">
        <v>286</v>
      </c>
      <c r="F70" s="24">
        <v>0.3736111111111111</v>
      </c>
      <c r="G70" s="24">
        <v>0.4076388888888889</v>
      </c>
      <c r="H70" s="4">
        <v>4.0</v>
      </c>
      <c r="I70" s="4">
        <v>13.0</v>
      </c>
      <c r="J70" s="4" t="s">
        <v>198</v>
      </c>
      <c r="K70" s="4">
        <v>12.0</v>
      </c>
      <c r="L70" s="4">
        <v>34.0</v>
      </c>
      <c r="M70" s="4" t="s">
        <v>305</v>
      </c>
      <c r="N70" s="4" t="s">
        <v>271</v>
      </c>
      <c r="O70" s="4">
        <v>29.0</v>
      </c>
      <c r="AN70" s="4"/>
      <c r="AO70" s="4">
        <v>1.0</v>
      </c>
      <c r="BD70" s="4">
        <v>7.0</v>
      </c>
      <c r="BG70" s="4">
        <v>1.0</v>
      </c>
      <c r="BL70" s="4">
        <v>41.0</v>
      </c>
      <c r="BM70" s="4">
        <v>2.0</v>
      </c>
      <c r="CP70" s="4">
        <v>2.0</v>
      </c>
      <c r="CV70" s="4">
        <v>5.0</v>
      </c>
      <c r="DF70" s="4">
        <v>1.0</v>
      </c>
      <c r="DT70" s="4"/>
      <c r="DU70" s="4">
        <v>3.0</v>
      </c>
      <c r="DY70" s="4">
        <v>2.0</v>
      </c>
      <c r="ED70" s="4">
        <v>1.0</v>
      </c>
      <c r="EF70" s="4">
        <v>1.0</v>
      </c>
      <c r="EI70" s="4">
        <v>13.0</v>
      </c>
      <c r="EW70" s="4">
        <v>2.0</v>
      </c>
      <c r="FB70" s="4">
        <v>2.0</v>
      </c>
      <c r="FC70" s="4">
        <v>1.0</v>
      </c>
      <c r="FE70" s="4">
        <v>21.0</v>
      </c>
      <c r="FQ70" s="4">
        <v>372.0</v>
      </c>
      <c r="GE70" s="25">
        <f t="shared" si="1"/>
        <v>18</v>
      </c>
      <c r="GF70" s="25">
        <f t="shared" si="2"/>
        <v>12</v>
      </c>
      <c r="GG70" s="25">
        <f t="shared" si="3"/>
        <v>6</v>
      </c>
      <c r="GH70" s="25">
        <f t="shared" si="4"/>
        <v>0.3846390007</v>
      </c>
      <c r="GI70" s="25">
        <f t="shared" si="5"/>
        <v>478</v>
      </c>
      <c r="GJ70" s="25">
        <f t="shared" si="6"/>
        <v>725</v>
      </c>
      <c r="GK70" s="25">
        <f t="shared" si="7"/>
        <v>247</v>
      </c>
    </row>
    <row r="71">
      <c r="A71" s="23">
        <v>42488.0</v>
      </c>
      <c r="B71" s="4" t="s">
        <v>230</v>
      </c>
      <c r="C71" s="4">
        <v>20.7537</v>
      </c>
      <c r="D71" s="4">
        <v>-156.460907</v>
      </c>
      <c r="E71" s="4" t="s">
        <v>274</v>
      </c>
      <c r="F71" s="24">
        <v>0.4111111111111111</v>
      </c>
      <c r="G71" s="24">
        <v>0.5152777777777777</v>
      </c>
      <c r="H71" s="4">
        <v>4.0</v>
      </c>
      <c r="I71" s="4">
        <v>14.0</v>
      </c>
      <c r="J71" s="4" t="s">
        <v>277</v>
      </c>
      <c r="K71" s="4">
        <v>10.0</v>
      </c>
      <c r="L71" s="4">
        <v>39.0</v>
      </c>
      <c r="M71" s="4" t="s">
        <v>306</v>
      </c>
      <c r="O71" s="4">
        <v>39.0</v>
      </c>
      <c r="BJ71" s="4">
        <v>31.0</v>
      </c>
      <c r="BL71" s="4">
        <v>397.0</v>
      </c>
      <c r="BP71" s="4">
        <v>5.0</v>
      </c>
      <c r="EC71" s="4">
        <v>15.0</v>
      </c>
      <c r="FQ71" s="4">
        <v>22.0</v>
      </c>
      <c r="GE71" s="25">
        <f t="shared" si="1"/>
        <v>5</v>
      </c>
      <c r="GF71" s="25">
        <f t="shared" si="2"/>
        <v>5</v>
      </c>
      <c r="GG71" s="25">
        <f t="shared" si="3"/>
        <v>5</v>
      </c>
      <c r="GH71" s="25">
        <f t="shared" si="4"/>
        <v>0.2794356485</v>
      </c>
      <c r="GI71" s="25">
        <f t="shared" si="5"/>
        <v>470</v>
      </c>
      <c r="GJ71" s="25">
        <f t="shared" si="6"/>
        <v>975</v>
      </c>
      <c r="GK71" s="25">
        <f t="shared" si="7"/>
        <v>505</v>
      </c>
    </row>
    <row r="72">
      <c r="A72" s="23">
        <v>42495.0</v>
      </c>
      <c r="B72" s="4" t="s">
        <v>307</v>
      </c>
      <c r="C72" s="4">
        <v>19.736111</v>
      </c>
      <c r="D72" s="4">
        <v>-155.030838</v>
      </c>
      <c r="E72" s="4" t="s">
        <v>308</v>
      </c>
      <c r="F72" s="24">
        <v>0.36180555555555555</v>
      </c>
      <c r="G72" s="24">
        <v>0.4166666666666667</v>
      </c>
      <c r="H72" s="4">
        <v>8.0</v>
      </c>
      <c r="I72" s="4">
        <v>11.0</v>
      </c>
      <c r="J72" s="4" t="s">
        <v>198</v>
      </c>
      <c r="K72" s="4">
        <v>11.0</v>
      </c>
      <c r="L72" s="4">
        <v>64.0</v>
      </c>
      <c r="M72" s="4" t="s">
        <v>309</v>
      </c>
      <c r="O72" s="4">
        <v>64.0</v>
      </c>
      <c r="Q72" s="4">
        <v>42.0</v>
      </c>
      <c r="S72" s="4">
        <v>38.0</v>
      </c>
      <c r="AC72" s="4">
        <v>5.0</v>
      </c>
      <c r="BD72" s="4">
        <v>2.0</v>
      </c>
      <c r="BJ72" s="4">
        <v>15.0</v>
      </c>
      <c r="BL72" s="4">
        <v>162.0</v>
      </c>
      <c r="BU72" s="4">
        <v>3.0</v>
      </c>
      <c r="CA72" s="4">
        <v>12.0</v>
      </c>
      <c r="CN72" s="4">
        <v>55.0</v>
      </c>
      <c r="EC72" s="4">
        <v>3.0</v>
      </c>
      <c r="EI72" s="4">
        <v>27.0</v>
      </c>
      <c r="EW72" s="4">
        <v>1.0</v>
      </c>
      <c r="FK72" s="4">
        <v>71.0</v>
      </c>
      <c r="FO72" s="4">
        <v>1.0</v>
      </c>
      <c r="FP72" s="4">
        <v>2.0</v>
      </c>
      <c r="FQ72" s="4">
        <v>382.0</v>
      </c>
      <c r="FR72" s="4">
        <v>1.0</v>
      </c>
      <c r="GE72" s="25">
        <f t="shared" si="1"/>
        <v>17</v>
      </c>
      <c r="GF72" s="25">
        <f t="shared" si="2"/>
        <v>14</v>
      </c>
      <c r="GG72" s="25">
        <f t="shared" si="3"/>
        <v>10</v>
      </c>
      <c r="GH72" s="25">
        <f t="shared" si="4"/>
        <v>0.7276895128</v>
      </c>
      <c r="GI72" s="25">
        <f t="shared" si="5"/>
        <v>822</v>
      </c>
      <c r="GJ72" s="25">
        <f t="shared" si="6"/>
        <v>1600</v>
      </c>
      <c r="GK72" s="25">
        <f t="shared" si="7"/>
        <v>778</v>
      </c>
    </row>
    <row r="73">
      <c r="A73" s="23">
        <v>42510.0</v>
      </c>
      <c r="B73" s="4" t="s">
        <v>310</v>
      </c>
      <c r="C73" s="4">
        <v>19.457222</v>
      </c>
      <c r="D73" s="4">
        <v>-155.925003</v>
      </c>
      <c r="E73" s="4" t="s">
        <v>197</v>
      </c>
      <c r="F73" s="24">
        <v>0.3194444444444444</v>
      </c>
      <c r="G73" s="24">
        <v>0.3854166666666667</v>
      </c>
      <c r="H73" s="4">
        <v>4.0</v>
      </c>
      <c r="I73" s="4">
        <v>30.0</v>
      </c>
      <c r="J73" s="4" t="s">
        <v>198</v>
      </c>
      <c r="K73" s="4">
        <v>14.0</v>
      </c>
      <c r="L73" s="4">
        <v>41.0</v>
      </c>
      <c r="M73" s="4" t="s">
        <v>311</v>
      </c>
      <c r="O73" s="4">
        <v>41.0</v>
      </c>
      <c r="AA73" s="4">
        <v>55.0</v>
      </c>
      <c r="AL73" s="4">
        <v>102.0</v>
      </c>
      <c r="BA73" s="4">
        <v>4.0</v>
      </c>
      <c r="BF73" s="4">
        <v>4.0</v>
      </c>
      <c r="BL73" s="4">
        <v>60.0</v>
      </c>
      <c r="CA73" s="4">
        <v>2.0</v>
      </c>
      <c r="CF73" s="4"/>
      <c r="CG73" s="4">
        <v>1.0</v>
      </c>
      <c r="DL73" s="4">
        <v>4.0</v>
      </c>
      <c r="DT73" s="4"/>
      <c r="DU73" s="4">
        <v>36.0</v>
      </c>
      <c r="EI73" s="4">
        <v>13.0</v>
      </c>
      <c r="FA73" s="4">
        <v>37.0</v>
      </c>
      <c r="FB73" s="4">
        <v>1.0</v>
      </c>
      <c r="FE73" s="4">
        <v>70.0</v>
      </c>
      <c r="FO73" s="4">
        <v>13.0</v>
      </c>
      <c r="FP73" s="4">
        <v>109.0</v>
      </c>
      <c r="FQ73" s="4">
        <v>265.0</v>
      </c>
      <c r="GE73" s="25">
        <f t="shared" si="1"/>
        <v>16</v>
      </c>
      <c r="GF73" s="25">
        <f t="shared" si="2"/>
        <v>14</v>
      </c>
      <c r="GG73" s="25">
        <f t="shared" si="3"/>
        <v>10</v>
      </c>
      <c r="GH73" s="25">
        <f t="shared" si="4"/>
        <v>0.8232191553</v>
      </c>
      <c r="GI73" s="25">
        <f t="shared" si="5"/>
        <v>776</v>
      </c>
      <c r="GJ73" s="25">
        <f t="shared" si="6"/>
        <v>1025</v>
      </c>
      <c r="GK73" s="25">
        <f t="shared" si="7"/>
        <v>249</v>
      </c>
    </row>
    <row r="74">
      <c r="A74" s="23">
        <v>42761.0</v>
      </c>
      <c r="B74" s="4" t="s">
        <v>233</v>
      </c>
      <c r="C74" s="36">
        <v>21.066799</v>
      </c>
      <c r="D74" s="36">
        <v>-156.804993</v>
      </c>
      <c r="E74" s="4" t="s">
        <v>286</v>
      </c>
      <c r="F74" s="24">
        <v>0.4166666666666667</v>
      </c>
      <c r="G74" s="24">
        <v>0.4722222222222222</v>
      </c>
      <c r="H74" s="4">
        <v>4.0</v>
      </c>
      <c r="I74" s="4">
        <v>20.0</v>
      </c>
      <c r="J74" s="4" t="s">
        <v>217</v>
      </c>
      <c r="K74" s="4">
        <v>10.0</v>
      </c>
      <c r="L74" s="4">
        <v>20.0</v>
      </c>
      <c r="M74" s="4" t="s">
        <v>316</v>
      </c>
      <c r="N74" s="4" t="s">
        <v>317</v>
      </c>
      <c r="O74" s="4">
        <v>20.0</v>
      </c>
      <c r="Q74" s="4">
        <v>20.0</v>
      </c>
      <c r="X74" s="4"/>
      <c r="Y74" s="4">
        <v>57.0</v>
      </c>
      <c r="CN74" s="4">
        <v>20.0</v>
      </c>
      <c r="DL74" s="4">
        <v>35.0</v>
      </c>
      <c r="DQ74" s="4"/>
      <c r="DR74" s="4">
        <v>7.0</v>
      </c>
      <c r="FQ74" s="4">
        <v>219.0</v>
      </c>
      <c r="FW74" s="4">
        <v>24.0</v>
      </c>
      <c r="GE74" s="25">
        <f t="shared" si="1"/>
        <v>7</v>
      </c>
      <c r="GF74" s="25">
        <f t="shared" si="2"/>
        <v>7</v>
      </c>
      <c r="GG74" s="25">
        <f t="shared" si="3"/>
        <v>7</v>
      </c>
      <c r="GH74" s="25">
        <f t="shared" si="4"/>
        <v>0.6325596735</v>
      </c>
      <c r="GI74" s="25">
        <f t="shared" si="5"/>
        <v>382</v>
      </c>
      <c r="GJ74" s="25">
        <f t="shared" si="6"/>
        <v>500</v>
      </c>
      <c r="GK74" s="25">
        <f t="shared" si="7"/>
        <v>118</v>
      </c>
    </row>
    <row r="75">
      <c r="A75" s="23">
        <v>42778.0</v>
      </c>
      <c r="B75" s="4" t="s">
        <v>201</v>
      </c>
      <c r="C75" s="4">
        <v>21.25544</v>
      </c>
      <c r="D75" s="4">
        <v>-157.810303</v>
      </c>
      <c r="E75" s="4" t="s">
        <v>197</v>
      </c>
      <c r="F75" s="24">
        <v>0.4479166666666667</v>
      </c>
      <c r="G75" s="24">
        <v>0.4895833333333333</v>
      </c>
      <c r="H75" s="4">
        <v>9.0</v>
      </c>
      <c r="I75" s="4">
        <v>12.0</v>
      </c>
      <c r="J75" s="4" t="s">
        <v>318</v>
      </c>
      <c r="K75" s="4">
        <v>7.0</v>
      </c>
      <c r="L75" s="4">
        <v>47.0</v>
      </c>
      <c r="M75" s="4" t="s">
        <v>319</v>
      </c>
      <c r="O75" s="4">
        <v>47.0</v>
      </c>
      <c r="Q75" s="4">
        <v>2.0</v>
      </c>
      <c r="Z75" s="4"/>
      <c r="AA75" s="4">
        <v>4.0</v>
      </c>
      <c r="AB75" s="4">
        <v>1.0</v>
      </c>
      <c r="AH75" s="4">
        <v>14.0</v>
      </c>
      <c r="AY75" s="4">
        <v>1.0</v>
      </c>
      <c r="AZ75" s="4"/>
      <c r="BA75" s="4">
        <v>22.0</v>
      </c>
      <c r="BL75" s="4">
        <v>31.0</v>
      </c>
      <c r="BM75" s="4">
        <v>18.0</v>
      </c>
      <c r="BP75" s="4">
        <v>23.0</v>
      </c>
      <c r="BU75" s="4">
        <v>11.0</v>
      </c>
      <c r="BY75" s="4">
        <v>19.0</v>
      </c>
      <c r="CF75" s="4"/>
      <c r="CG75" s="4">
        <v>7.0</v>
      </c>
      <c r="CI75" s="4"/>
      <c r="CJ75" s="4">
        <v>1.0</v>
      </c>
      <c r="CN75" s="4">
        <v>3.0</v>
      </c>
      <c r="CR75" s="4">
        <v>9.0</v>
      </c>
      <c r="DE75" s="4"/>
      <c r="DF75" s="4">
        <v>1.0</v>
      </c>
      <c r="DI75" s="4">
        <v>21.0</v>
      </c>
      <c r="DK75" s="4">
        <v>24.0</v>
      </c>
      <c r="DL75" s="4">
        <v>33.0</v>
      </c>
      <c r="DM75" s="4">
        <v>2.0</v>
      </c>
      <c r="DN75" s="4">
        <v>1.0</v>
      </c>
      <c r="DQ75" s="4"/>
      <c r="DR75" s="4">
        <v>41.0</v>
      </c>
      <c r="DS75" s="4"/>
      <c r="DT75" s="4"/>
      <c r="DU75" s="4">
        <v>36.0</v>
      </c>
      <c r="DY75" s="4">
        <v>1.0</v>
      </c>
      <c r="EB75" s="4">
        <v>2.0</v>
      </c>
      <c r="ED75" s="4"/>
      <c r="EE75" s="4">
        <v>1.0</v>
      </c>
      <c r="EI75" s="4">
        <v>137.0</v>
      </c>
      <c r="EX75" s="4"/>
      <c r="EY75" s="4">
        <v>15.0</v>
      </c>
      <c r="EZ75" s="4">
        <v>5.0</v>
      </c>
      <c r="FA75" s="4">
        <v>22.0</v>
      </c>
      <c r="FB75" s="4">
        <v>4.0</v>
      </c>
      <c r="FH75" s="4">
        <v>2.0</v>
      </c>
      <c r="FL75" s="4">
        <v>4.0</v>
      </c>
      <c r="FP75" s="4">
        <v>46.0</v>
      </c>
      <c r="FQ75" s="4">
        <v>328.0</v>
      </c>
      <c r="GB75" s="4"/>
      <c r="GC75" s="4">
        <v>2.0</v>
      </c>
      <c r="GE75" s="25">
        <f t="shared" si="1"/>
        <v>36</v>
      </c>
      <c r="GF75" s="25">
        <f t="shared" si="2"/>
        <v>29</v>
      </c>
      <c r="GG75" s="25">
        <f t="shared" si="3"/>
        <v>20</v>
      </c>
      <c r="GH75" s="25">
        <f t="shared" si="4"/>
        <v>0.8289179324</v>
      </c>
      <c r="GI75" s="25">
        <f t="shared" si="5"/>
        <v>894</v>
      </c>
      <c r="GJ75" s="25">
        <f t="shared" si="6"/>
        <v>1175</v>
      </c>
      <c r="GK75" s="25">
        <f t="shared" si="7"/>
        <v>281</v>
      </c>
    </row>
    <row r="76">
      <c r="A76" s="23">
        <v>42788.0</v>
      </c>
      <c r="B76" s="4" t="s">
        <v>320</v>
      </c>
      <c r="C76" s="4">
        <v>22.005989</v>
      </c>
      <c r="D76" s="4">
        <v>-159.335648</v>
      </c>
      <c r="E76" s="4" t="s">
        <v>321</v>
      </c>
      <c r="F76" s="24">
        <v>0.3819444444444444</v>
      </c>
      <c r="G76" s="24">
        <v>0.48125</v>
      </c>
      <c r="H76" s="4">
        <v>2.0</v>
      </c>
      <c r="I76" s="4">
        <v>8.0</v>
      </c>
      <c r="J76" s="4" t="s">
        <v>318</v>
      </c>
      <c r="K76" s="4">
        <v>7.0</v>
      </c>
      <c r="L76" s="4">
        <v>12.0</v>
      </c>
      <c r="M76" s="4" t="s">
        <v>322</v>
      </c>
      <c r="O76" s="4">
        <v>12.0</v>
      </c>
      <c r="Q76" s="4">
        <v>35.0</v>
      </c>
      <c r="AL76" s="4">
        <v>40.0</v>
      </c>
      <c r="AZ76" s="4"/>
      <c r="BA76" s="4">
        <v>2.0</v>
      </c>
      <c r="BV76" s="4">
        <v>23.0</v>
      </c>
      <c r="DK76" s="4">
        <v>14.0</v>
      </c>
      <c r="DS76" s="4"/>
      <c r="DT76" s="4"/>
      <c r="DU76" s="4">
        <v>42.0</v>
      </c>
      <c r="EI76" s="4">
        <v>9.0</v>
      </c>
      <c r="EX76" s="4"/>
      <c r="EY76" s="4">
        <v>8.0</v>
      </c>
      <c r="FC76" s="4"/>
      <c r="FD76" s="4">
        <v>1.0</v>
      </c>
      <c r="FQ76" s="4">
        <v>27.0</v>
      </c>
      <c r="FS76" s="4">
        <v>1.0</v>
      </c>
      <c r="FX76" s="4">
        <v>1.0</v>
      </c>
      <c r="GE76" s="25">
        <f t="shared" si="1"/>
        <v>12</v>
      </c>
      <c r="GF76" s="25">
        <f t="shared" si="2"/>
        <v>9</v>
      </c>
      <c r="GG76" s="25">
        <f t="shared" si="3"/>
        <v>8</v>
      </c>
      <c r="GH76" s="25">
        <f t="shared" si="4"/>
        <v>0.8538750427</v>
      </c>
      <c r="GI76" s="25">
        <f t="shared" si="5"/>
        <v>203</v>
      </c>
      <c r="GJ76" s="25">
        <f t="shared" si="6"/>
        <v>300</v>
      </c>
      <c r="GK76" s="25">
        <f t="shared" si="7"/>
        <v>97</v>
      </c>
    </row>
    <row r="77">
      <c r="A77" s="23">
        <v>42791.0</v>
      </c>
      <c r="B77" s="4" t="s">
        <v>244</v>
      </c>
      <c r="C77" s="4">
        <v>21.310612</v>
      </c>
      <c r="D77" s="4">
        <v>-158.00441</v>
      </c>
      <c r="E77" s="4" t="s">
        <v>197</v>
      </c>
      <c r="F77" s="24">
        <v>0.4131944444444444</v>
      </c>
      <c r="G77" s="24">
        <v>0.4791666666666667</v>
      </c>
      <c r="H77" s="4">
        <v>9.0</v>
      </c>
      <c r="I77" s="4">
        <v>14.0</v>
      </c>
      <c r="J77" s="4" t="s">
        <v>318</v>
      </c>
      <c r="K77" s="4">
        <v>8.0</v>
      </c>
      <c r="L77" s="4">
        <v>54.0</v>
      </c>
      <c r="M77" s="4" t="s">
        <v>323</v>
      </c>
      <c r="O77" s="4">
        <v>54.0</v>
      </c>
      <c r="Q77" s="4">
        <v>147.0</v>
      </c>
      <c r="S77" s="4">
        <v>3.0</v>
      </c>
      <c r="T77" s="4"/>
      <c r="U77" s="4">
        <v>1.0</v>
      </c>
      <c r="Z77" s="4"/>
      <c r="AA77" s="4">
        <v>2.0</v>
      </c>
      <c r="AD77" s="4">
        <v>19.0</v>
      </c>
      <c r="AH77" s="4">
        <v>7.0</v>
      </c>
      <c r="AQ77" s="4">
        <v>6.0</v>
      </c>
      <c r="AR77" s="4">
        <v>3.0</v>
      </c>
      <c r="AZ77" s="4"/>
      <c r="BA77" s="4">
        <v>9.0</v>
      </c>
      <c r="BB77" s="4">
        <v>4.0</v>
      </c>
      <c r="BD77" s="4">
        <v>25.0</v>
      </c>
      <c r="BJ77" s="4">
        <v>1.0</v>
      </c>
      <c r="BL77" s="4">
        <v>62.0</v>
      </c>
      <c r="BM77" s="4">
        <v>10.0</v>
      </c>
      <c r="BP77" s="4">
        <v>6.0</v>
      </c>
      <c r="BT77" s="4">
        <v>8.0</v>
      </c>
      <c r="BU77" s="4">
        <v>31.0</v>
      </c>
      <c r="BX77" s="4">
        <v>2.0</v>
      </c>
      <c r="BY77" s="4">
        <v>32.0</v>
      </c>
      <c r="CF77" s="4"/>
      <c r="CG77" s="4">
        <v>4.0</v>
      </c>
      <c r="CR77" s="4">
        <v>6.0</v>
      </c>
      <c r="DE77" s="4"/>
      <c r="DF77" s="4">
        <v>65.0</v>
      </c>
      <c r="DI77" s="4">
        <v>11.0</v>
      </c>
      <c r="DL77" s="4">
        <v>40.0</v>
      </c>
      <c r="DN77" s="4">
        <v>7.0</v>
      </c>
      <c r="DP77" s="4">
        <v>2.0</v>
      </c>
      <c r="DS77" s="4"/>
      <c r="DT77" s="4"/>
      <c r="DU77" s="4">
        <v>30.0</v>
      </c>
      <c r="EB77" s="4">
        <v>1.0</v>
      </c>
      <c r="EI77" s="4">
        <v>293.0</v>
      </c>
      <c r="EN77" s="4">
        <v>4.0</v>
      </c>
      <c r="EX77" s="4">
        <v>1.0</v>
      </c>
      <c r="FA77" s="4">
        <v>5.0</v>
      </c>
      <c r="FO77" s="4">
        <v>1.0</v>
      </c>
      <c r="FQ77" s="4">
        <v>288.0</v>
      </c>
      <c r="FR77" s="4">
        <v>1.0</v>
      </c>
      <c r="GB77" s="4"/>
      <c r="GC77" s="4">
        <v>8.0</v>
      </c>
      <c r="GE77" s="25">
        <f t="shared" si="1"/>
        <v>36</v>
      </c>
      <c r="GF77" s="25">
        <f t="shared" si="2"/>
        <v>30</v>
      </c>
      <c r="GG77" s="25">
        <f t="shared" si="3"/>
        <v>22</v>
      </c>
      <c r="GH77" s="25">
        <f t="shared" si="4"/>
        <v>0.8446101933</v>
      </c>
      <c r="GI77" s="25">
        <f t="shared" si="5"/>
        <v>1145</v>
      </c>
      <c r="GJ77" s="25">
        <f t="shared" si="6"/>
        <v>1350</v>
      </c>
      <c r="GK77" s="25">
        <f t="shared" si="7"/>
        <v>205</v>
      </c>
    </row>
    <row r="78">
      <c r="A78" s="23">
        <v>42798.0</v>
      </c>
      <c r="B78" s="4" t="s">
        <v>230</v>
      </c>
      <c r="C78" s="4">
        <v>20.7537</v>
      </c>
      <c r="D78" s="4">
        <v>-156.460907</v>
      </c>
      <c r="E78" s="4" t="s">
        <v>197</v>
      </c>
      <c r="F78" s="24">
        <v>0.5902777777777778</v>
      </c>
      <c r="G78" s="24">
        <v>0.6770833333333334</v>
      </c>
      <c r="H78" s="4">
        <v>3.0</v>
      </c>
      <c r="I78" s="4">
        <v>21.0</v>
      </c>
      <c r="J78" s="4" t="s">
        <v>318</v>
      </c>
      <c r="K78" s="4">
        <v>16.0</v>
      </c>
      <c r="L78" s="4">
        <v>43.0</v>
      </c>
      <c r="M78" s="4" t="s">
        <v>324</v>
      </c>
      <c r="O78" s="4">
        <v>43.0</v>
      </c>
      <c r="Q78" s="4">
        <v>192.0</v>
      </c>
      <c r="AL78" s="4">
        <v>21.0</v>
      </c>
      <c r="BL78" s="4">
        <v>299.0</v>
      </c>
      <c r="CI78" s="4">
        <v>6.0</v>
      </c>
      <c r="DE78" s="4"/>
      <c r="DF78" s="4">
        <v>13.0</v>
      </c>
      <c r="DO78" s="4">
        <v>1.0</v>
      </c>
      <c r="DS78" s="4"/>
      <c r="DT78" s="4"/>
      <c r="DU78" s="4">
        <v>2.0</v>
      </c>
      <c r="EC78" s="4">
        <v>1.0</v>
      </c>
      <c r="EF78" s="4">
        <v>1.0</v>
      </c>
      <c r="EW78" s="4">
        <v>60.0</v>
      </c>
      <c r="FO78" s="4">
        <v>1.0</v>
      </c>
      <c r="FQ78" s="4">
        <v>58.0</v>
      </c>
      <c r="FR78" s="4">
        <v>6.0</v>
      </c>
      <c r="GA78" s="4">
        <v>1.0</v>
      </c>
      <c r="GB78" s="4"/>
      <c r="GC78" s="4">
        <v>1.0</v>
      </c>
      <c r="GE78" s="25">
        <f t="shared" si="1"/>
        <v>15</v>
      </c>
      <c r="GF78" s="25">
        <f t="shared" si="2"/>
        <v>9</v>
      </c>
      <c r="GG78" s="25">
        <f t="shared" si="3"/>
        <v>8</v>
      </c>
      <c r="GH78" s="25">
        <f t="shared" si="4"/>
        <v>0.6963860143</v>
      </c>
      <c r="GI78" s="25">
        <f t="shared" si="5"/>
        <v>663</v>
      </c>
      <c r="GJ78" s="25">
        <f t="shared" si="6"/>
        <v>1075</v>
      </c>
      <c r="GK78" s="25">
        <f t="shared" si="7"/>
        <v>412</v>
      </c>
    </row>
    <row r="79">
      <c r="A79" s="23">
        <v>42802.0</v>
      </c>
      <c r="B79" s="4" t="s">
        <v>244</v>
      </c>
      <c r="C79" s="4">
        <v>21.310612</v>
      </c>
      <c r="D79" s="4">
        <v>-158.00441</v>
      </c>
      <c r="E79" s="4" t="s">
        <v>278</v>
      </c>
      <c r="F79" s="24">
        <v>0.3854166666666667</v>
      </c>
      <c r="G79" s="24">
        <v>0.46875</v>
      </c>
      <c r="H79" s="4">
        <v>6.0</v>
      </c>
      <c r="I79" s="4">
        <v>10.0</v>
      </c>
      <c r="J79" s="4" t="s">
        <v>198</v>
      </c>
      <c r="K79" s="4">
        <v>5.0</v>
      </c>
      <c r="L79" s="4">
        <v>30.0</v>
      </c>
      <c r="N79" s="4" t="s">
        <v>282</v>
      </c>
      <c r="O79" s="4">
        <v>25.0</v>
      </c>
      <c r="Q79" s="4">
        <v>2.0</v>
      </c>
      <c r="Z79" s="4"/>
      <c r="AA79" s="4">
        <v>1.0</v>
      </c>
      <c r="AD79" s="4">
        <v>6.0</v>
      </c>
      <c r="AH79" s="4">
        <v>6.0</v>
      </c>
      <c r="AL79" s="4">
        <v>2.0</v>
      </c>
      <c r="AZ79" s="4"/>
      <c r="BA79" s="4">
        <v>2.0</v>
      </c>
      <c r="BD79" s="4">
        <v>4.0</v>
      </c>
      <c r="BJ79" s="4">
        <v>1.0</v>
      </c>
      <c r="BL79" s="4">
        <v>77.0</v>
      </c>
      <c r="BY79" s="4">
        <v>12.0</v>
      </c>
      <c r="CR79" s="4">
        <v>1.0</v>
      </c>
      <c r="CU79" s="4">
        <v>1.0</v>
      </c>
      <c r="DE79" s="4"/>
      <c r="DF79" s="4">
        <v>2.0</v>
      </c>
      <c r="DL79" s="4">
        <v>34.0</v>
      </c>
      <c r="DN79" s="4">
        <v>1.0</v>
      </c>
      <c r="DQ79" s="4"/>
      <c r="DR79" s="4">
        <v>13.0</v>
      </c>
      <c r="EI79" s="4">
        <v>159.0</v>
      </c>
      <c r="FA79" s="4">
        <v>16.0</v>
      </c>
      <c r="FQ79" s="4">
        <v>51.0</v>
      </c>
      <c r="FT79" s="4"/>
      <c r="FU79" s="4">
        <v>72.0</v>
      </c>
      <c r="GE79" s="25">
        <f t="shared" si="1"/>
        <v>20</v>
      </c>
      <c r="GF79" s="25">
        <f t="shared" si="2"/>
        <v>15</v>
      </c>
      <c r="GG79" s="25">
        <f t="shared" si="3"/>
        <v>10</v>
      </c>
      <c r="GH79" s="25">
        <f t="shared" si="4"/>
        <v>0.8112909409</v>
      </c>
      <c r="GI79" s="25">
        <f t="shared" si="5"/>
        <v>463</v>
      </c>
      <c r="GJ79" s="25">
        <f t="shared" si="6"/>
        <v>625</v>
      </c>
      <c r="GK79" s="25">
        <f t="shared" si="7"/>
        <v>162</v>
      </c>
    </row>
    <row r="80">
      <c r="A80" s="23">
        <v>42803.0</v>
      </c>
      <c r="B80" s="4" t="s">
        <v>244</v>
      </c>
      <c r="C80" s="4">
        <v>21.310612</v>
      </c>
      <c r="D80" s="4">
        <v>-158.00441</v>
      </c>
      <c r="E80" s="4" t="s">
        <v>326</v>
      </c>
      <c r="F80" s="24">
        <v>0.3958333333333333</v>
      </c>
      <c r="G80" s="24">
        <v>0.4791666666666667</v>
      </c>
      <c r="H80" s="4">
        <v>7.0</v>
      </c>
      <c r="I80" s="4">
        <v>14.0</v>
      </c>
      <c r="J80" s="4" t="s">
        <v>318</v>
      </c>
      <c r="K80" s="4">
        <v>5.0</v>
      </c>
      <c r="L80" s="4">
        <v>26.0</v>
      </c>
      <c r="M80" s="4" t="s">
        <v>327</v>
      </c>
      <c r="N80" s="4" t="s">
        <v>328</v>
      </c>
      <c r="O80" s="4">
        <v>17.0</v>
      </c>
      <c r="Q80" s="4">
        <v>15.0</v>
      </c>
      <c r="V80" s="4"/>
      <c r="W80" s="4">
        <v>21.0</v>
      </c>
      <c r="AB80" s="4">
        <v>6.0</v>
      </c>
      <c r="AD80" s="4">
        <v>2.0</v>
      </c>
      <c r="AH80" s="4">
        <v>20.0</v>
      </c>
      <c r="BD80" s="4">
        <v>10.0</v>
      </c>
      <c r="BM80" s="4">
        <v>16.0</v>
      </c>
      <c r="BU80" s="4">
        <v>13.0</v>
      </c>
      <c r="BY80" s="4">
        <v>9.0</v>
      </c>
      <c r="CF80" s="4"/>
      <c r="CG80" s="4">
        <v>2.0</v>
      </c>
      <c r="CR80" s="4">
        <v>8.0</v>
      </c>
      <c r="DE80" s="4"/>
      <c r="DF80" s="4">
        <v>2.0</v>
      </c>
      <c r="DL80" s="4">
        <v>3.0</v>
      </c>
      <c r="DN80" s="4">
        <v>5.0</v>
      </c>
      <c r="DS80" s="4"/>
      <c r="DT80" s="4"/>
      <c r="DU80" s="4">
        <v>18.0</v>
      </c>
      <c r="EB80" s="4">
        <v>3.0</v>
      </c>
      <c r="ED80" s="4"/>
      <c r="EE80" s="4">
        <v>2.0</v>
      </c>
      <c r="EI80" s="4">
        <v>79.0</v>
      </c>
      <c r="EV80" s="4">
        <v>1.0</v>
      </c>
      <c r="FH80" s="4">
        <v>1.0</v>
      </c>
      <c r="FP80" s="4">
        <v>3.0</v>
      </c>
      <c r="FQ80" s="4">
        <v>65.0</v>
      </c>
      <c r="FZ80" s="4">
        <v>4.0</v>
      </c>
      <c r="GA80" s="4">
        <v>13.0</v>
      </c>
      <c r="GE80" s="25">
        <f t="shared" si="1"/>
        <v>24</v>
      </c>
      <c r="GF80" s="25">
        <f t="shared" si="2"/>
        <v>22</v>
      </c>
      <c r="GG80" s="25">
        <f t="shared" si="3"/>
        <v>14</v>
      </c>
      <c r="GH80" s="25">
        <f t="shared" si="4"/>
        <v>0.8783489097</v>
      </c>
      <c r="GI80" s="25">
        <f t="shared" si="5"/>
        <v>321</v>
      </c>
      <c r="GJ80" s="25">
        <f t="shared" si="6"/>
        <v>425</v>
      </c>
      <c r="GK80" s="25">
        <f t="shared" si="7"/>
        <v>104</v>
      </c>
    </row>
    <row r="81">
      <c r="A81" s="23">
        <v>42804.0</v>
      </c>
      <c r="B81" s="4" t="s">
        <v>329</v>
      </c>
      <c r="C81" s="4">
        <v>21.1408</v>
      </c>
      <c r="D81" s="4">
        <v>-157.290115</v>
      </c>
      <c r="E81" s="4" t="s">
        <v>330</v>
      </c>
      <c r="F81" s="24">
        <v>0.4375</v>
      </c>
      <c r="G81" s="24">
        <v>0.4673611111111111</v>
      </c>
      <c r="H81" s="4">
        <v>6.0</v>
      </c>
      <c r="I81" s="4">
        <v>10.0</v>
      </c>
      <c r="J81" s="4" t="s">
        <v>318</v>
      </c>
      <c r="K81" s="4">
        <v>5.0</v>
      </c>
      <c r="L81" s="4">
        <v>27.0</v>
      </c>
      <c r="M81" s="4" t="s">
        <v>331</v>
      </c>
      <c r="N81" s="4" t="s">
        <v>282</v>
      </c>
      <c r="O81" s="4">
        <v>22.0</v>
      </c>
      <c r="AB81" s="4">
        <v>2.0</v>
      </c>
      <c r="BL81" s="4">
        <v>16.0</v>
      </c>
      <c r="CF81" s="4"/>
      <c r="CG81" s="4">
        <v>4.0</v>
      </c>
      <c r="DN81" s="4">
        <v>8.0</v>
      </c>
      <c r="EI81" s="4">
        <v>35.0</v>
      </c>
      <c r="FA81" s="4">
        <v>4.0</v>
      </c>
      <c r="FQ81" s="4">
        <v>46.0</v>
      </c>
      <c r="FS81" s="4">
        <v>5.0</v>
      </c>
      <c r="GE81" s="25">
        <f t="shared" si="1"/>
        <v>8</v>
      </c>
      <c r="GF81" s="25">
        <f t="shared" si="2"/>
        <v>8</v>
      </c>
      <c r="GG81" s="25">
        <f t="shared" si="3"/>
        <v>5</v>
      </c>
      <c r="GH81" s="25">
        <f t="shared" si="4"/>
        <v>0.7477591036</v>
      </c>
      <c r="GI81" s="25">
        <f t="shared" si="5"/>
        <v>120</v>
      </c>
      <c r="GJ81" s="25">
        <f t="shared" si="6"/>
        <v>550</v>
      </c>
      <c r="GK81" s="25">
        <f t="shared" si="7"/>
        <v>430</v>
      </c>
    </row>
    <row r="82">
      <c r="A82" s="23">
        <v>42804.0</v>
      </c>
      <c r="B82" s="4" t="s">
        <v>201</v>
      </c>
      <c r="C82" s="4">
        <v>21.25544</v>
      </c>
      <c r="D82" s="4">
        <v>-157.810303</v>
      </c>
      <c r="E82" s="4" t="s">
        <v>325</v>
      </c>
      <c r="F82" s="24">
        <v>0.4166666666666667</v>
      </c>
      <c r="G82" s="24">
        <v>0.4583333333333333</v>
      </c>
      <c r="H82" s="4">
        <v>6.0</v>
      </c>
      <c r="I82" s="4">
        <v>5.0</v>
      </c>
      <c r="J82" s="4" t="s">
        <v>318</v>
      </c>
      <c r="K82" s="4">
        <v>5.0</v>
      </c>
      <c r="L82" s="4">
        <v>24.0</v>
      </c>
      <c r="M82" s="4" t="s">
        <v>332</v>
      </c>
      <c r="N82" s="4" t="s">
        <v>288</v>
      </c>
      <c r="O82" s="4">
        <v>24.0</v>
      </c>
      <c r="BX82" s="4">
        <v>5.0</v>
      </c>
      <c r="BY82" s="4">
        <v>7.0</v>
      </c>
      <c r="CR82" s="4">
        <v>4.0</v>
      </c>
      <c r="DA82" s="4"/>
      <c r="DB82" s="4">
        <v>2.0</v>
      </c>
      <c r="DI82" s="4">
        <v>5.0</v>
      </c>
      <c r="DK82" s="4">
        <v>17.0</v>
      </c>
      <c r="DL82" s="4">
        <v>1.0</v>
      </c>
      <c r="DQ82" s="4"/>
      <c r="DR82" s="4">
        <v>2.0</v>
      </c>
      <c r="EI82" s="4">
        <v>273.0</v>
      </c>
      <c r="FA82" s="4">
        <v>3.0</v>
      </c>
      <c r="FH82" s="4">
        <v>3.0</v>
      </c>
      <c r="FP82" s="4">
        <v>63.0</v>
      </c>
      <c r="FQ82" s="4">
        <v>119.0</v>
      </c>
      <c r="GE82" s="25">
        <f t="shared" si="1"/>
        <v>13</v>
      </c>
      <c r="GF82" s="25">
        <f t="shared" si="2"/>
        <v>12</v>
      </c>
      <c r="GG82" s="25">
        <f t="shared" si="3"/>
        <v>7</v>
      </c>
      <c r="GH82" s="25">
        <f t="shared" si="4"/>
        <v>0.634786519</v>
      </c>
      <c r="GI82" s="25">
        <f t="shared" si="5"/>
        <v>504</v>
      </c>
      <c r="GJ82" s="25">
        <f t="shared" si="6"/>
        <v>600</v>
      </c>
      <c r="GK82" s="25">
        <f t="shared" si="7"/>
        <v>96</v>
      </c>
    </row>
    <row r="83">
      <c r="A83" s="23">
        <v>42804.0</v>
      </c>
      <c r="B83" s="4" t="s">
        <v>219</v>
      </c>
      <c r="C83" s="4">
        <v>21.295799</v>
      </c>
      <c r="D83" s="4">
        <v>-158.103699</v>
      </c>
      <c r="E83" s="4" t="s">
        <v>333</v>
      </c>
      <c r="F83" s="24">
        <v>0.3854166666666667</v>
      </c>
      <c r="G83" s="24">
        <v>0.4479166666666667</v>
      </c>
      <c r="H83" s="4">
        <v>7.0</v>
      </c>
      <c r="I83" s="4">
        <v>10.0</v>
      </c>
      <c r="J83" s="4" t="s">
        <v>318</v>
      </c>
      <c r="K83" s="4">
        <v>5.0</v>
      </c>
      <c r="L83" s="4">
        <v>31.0</v>
      </c>
      <c r="M83" s="4" t="s">
        <v>334</v>
      </c>
      <c r="N83" s="4" t="s">
        <v>335</v>
      </c>
      <c r="O83" s="4">
        <v>26.0</v>
      </c>
      <c r="Q83" s="4">
        <v>19.0</v>
      </c>
      <c r="R83" s="4">
        <v>1.0</v>
      </c>
      <c r="Z83" s="4"/>
      <c r="AA83" s="4">
        <v>3.0</v>
      </c>
      <c r="AC83" s="4">
        <v>1.0</v>
      </c>
      <c r="AD83" s="4">
        <v>2.0</v>
      </c>
      <c r="AH83" s="4">
        <v>1.0</v>
      </c>
      <c r="AS83" s="4">
        <v>1.0</v>
      </c>
      <c r="BB83" s="4">
        <v>1.0</v>
      </c>
      <c r="BD83" s="4">
        <v>4.0</v>
      </c>
      <c r="BG83" s="4">
        <v>1.0</v>
      </c>
      <c r="BL83" s="4">
        <v>10.0</v>
      </c>
      <c r="BM83" s="4">
        <v>2.0</v>
      </c>
      <c r="BP83" s="4">
        <v>30.0</v>
      </c>
      <c r="BU83" s="4">
        <v>12.0</v>
      </c>
      <c r="BY83" s="4">
        <v>23.0</v>
      </c>
      <c r="CR83" s="4">
        <v>27.0</v>
      </c>
      <c r="DC83" s="4">
        <v>4.0</v>
      </c>
      <c r="DE83" s="4"/>
      <c r="DF83" s="4">
        <v>7.0</v>
      </c>
      <c r="DL83" s="4">
        <v>23.0</v>
      </c>
      <c r="DQ83" s="4"/>
      <c r="DR83" s="4">
        <v>22.0</v>
      </c>
      <c r="DY83" s="4">
        <v>1.0</v>
      </c>
      <c r="EB83" s="4">
        <v>7.0</v>
      </c>
      <c r="EI83" s="4">
        <v>166.0</v>
      </c>
      <c r="EJ83" s="4">
        <v>3.0</v>
      </c>
      <c r="FA83" s="4">
        <v>43.0</v>
      </c>
      <c r="FE83" s="4">
        <v>9.0</v>
      </c>
      <c r="FH83" s="4">
        <v>9.0</v>
      </c>
      <c r="FP83" s="4">
        <v>4.0</v>
      </c>
      <c r="FQ83" s="4">
        <v>42.0</v>
      </c>
      <c r="GE83" s="25">
        <f t="shared" si="1"/>
        <v>29</v>
      </c>
      <c r="GF83" s="25">
        <f t="shared" si="2"/>
        <v>22</v>
      </c>
      <c r="GG83" s="25">
        <f t="shared" si="3"/>
        <v>15</v>
      </c>
      <c r="GH83" s="25">
        <f t="shared" si="4"/>
        <v>0.8473373508</v>
      </c>
      <c r="GI83" s="25">
        <f t="shared" si="5"/>
        <v>478</v>
      </c>
      <c r="GJ83" s="25">
        <f t="shared" si="6"/>
        <v>650</v>
      </c>
      <c r="GK83" s="25">
        <f t="shared" si="7"/>
        <v>172</v>
      </c>
    </row>
    <row r="84">
      <c r="A84" s="23">
        <v>42806.0</v>
      </c>
      <c r="B84" s="4" t="s">
        <v>293</v>
      </c>
      <c r="C84" s="4">
        <v>19.738602</v>
      </c>
      <c r="D84" s="4">
        <v>-155.038879</v>
      </c>
      <c r="E84" s="4" t="s">
        <v>197</v>
      </c>
      <c r="F84" s="24">
        <v>0.3993055555555556</v>
      </c>
      <c r="G84" s="24">
        <v>0.43333333333333335</v>
      </c>
      <c r="H84" s="4">
        <v>6.0</v>
      </c>
      <c r="I84" s="4">
        <v>12.0</v>
      </c>
      <c r="J84" s="4" t="s">
        <v>198</v>
      </c>
      <c r="K84" s="4">
        <v>7.0</v>
      </c>
      <c r="L84" s="4">
        <v>32.0</v>
      </c>
      <c r="M84" s="4" t="s">
        <v>336</v>
      </c>
      <c r="O84" s="4">
        <v>32.0</v>
      </c>
      <c r="Q84" s="4">
        <v>1.0</v>
      </c>
      <c r="Z84" s="4"/>
      <c r="AA84" s="4">
        <v>1.0</v>
      </c>
      <c r="AF84" s="4">
        <v>5.0</v>
      </c>
      <c r="AL84" s="4">
        <v>1.0</v>
      </c>
      <c r="BJ84" s="4">
        <v>2.0</v>
      </c>
      <c r="BL84" s="4">
        <v>26.0</v>
      </c>
      <c r="BQ84" s="4">
        <v>3.0</v>
      </c>
      <c r="BV84" s="4">
        <v>2.0</v>
      </c>
      <c r="CB84" s="4">
        <v>12.0</v>
      </c>
      <c r="CF84" s="4"/>
      <c r="CG84" s="4">
        <v>8.0</v>
      </c>
      <c r="CN84" s="4">
        <v>62.0</v>
      </c>
      <c r="DE84" s="4"/>
      <c r="DF84" s="4">
        <v>25.0</v>
      </c>
      <c r="DH84" s="4">
        <v>2.0</v>
      </c>
      <c r="EI84" s="4">
        <v>5.0</v>
      </c>
      <c r="EO84" s="4">
        <v>2.0</v>
      </c>
      <c r="EQ84" s="4">
        <v>13.0</v>
      </c>
      <c r="FL84" s="4">
        <v>26.0</v>
      </c>
      <c r="FQ84" s="4">
        <v>350.0</v>
      </c>
      <c r="FR84" s="4">
        <v>3.0</v>
      </c>
      <c r="GE84" s="25">
        <f t="shared" si="1"/>
        <v>19</v>
      </c>
      <c r="GF84" s="25">
        <f t="shared" si="2"/>
        <v>16</v>
      </c>
      <c r="GG84" s="25">
        <f t="shared" si="3"/>
        <v>10</v>
      </c>
      <c r="GH84" s="25">
        <f t="shared" si="4"/>
        <v>0.5737571962</v>
      </c>
      <c r="GI84" s="25">
        <f t="shared" si="5"/>
        <v>549</v>
      </c>
      <c r="GJ84" s="25">
        <f t="shared" si="6"/>
        <v>800</v>
      </c>
      <c r="GK84" s="25">
        <f t="shared" si="7"/>
        <v>251</v>
      </c>
    </row>
    <row r="85">
      <c r="A85" s="23">
        <v>42810.0</v>
      </c>
      <c r="B85" s="4" t="s">
        <v>337</v>
      </c>
      <c r="C85" s="4">
        <v>19.957188</v>
      </c>
      <c r="D85" s="4">
        <v>-155.859497</v>
      </c>
      <c r="E85" s="4" t="s">
        <v>313</v>
      </c>
      <c r="F85" s="24">
        <v>0.48055555555555557</v>
      </c>
      <c r="G85" s="24">
        <v>0.5520833333333334</v>
      </c>
      <c r="H85" s="4">
        <v>3.0</v>
      </c>
      <c r="I85" s="4">
        <v>10.0</v>
      </c>
      <c r="J85" s="4" t="s">
        <v>318</v>
      </c>
      <c r="K85" s="4">
        <v>10.0</v>
      </c>
      <c r="L85" s="4">
        <v>30.0</v>
      </c>
      <c r="O85" s="4">
        <v>30.0</v>
      </c>
      <c r="Z85" s="4"/>
      <c r="AA85" s="4">
        <v>133.0</v>
      </c>
      <c r="AK85" s="4">
        <v>5.0</v>
      </c>
      <c r="AL85" s="4">
        <v>7.0</v>
      </c>
      <c r="AM85" s="4">
        <v>3.0</v>
      </c>
      <c r="BG85" s="4">
        <v>20.0</v>
      </c>
      <c r="BL85" s="4">
        <v>64.0</v>
      </c>
      <c r="BX85" s="4">
        <v>5.0</v>
      </c>
      <c r="CB85" s="4">
        <v>44.0</v>
      </c>
      <c r="CC85" s="4">
        <v>7.0</v>
      </c>
      <c r="CJ85" s="4">
        <v>3.0</v>
      </c>
      <c r="CT85" s="4">
        <v>9.0</v>
      </c>
      <c r="DG85" s="4">
        <v>1.0</v>
      </c>
      <c r="DQ85" s="4"/>
      <c r="DR85" s="4">
        <v>4.0</v>
      </c>
      <c r="DZ85" s="4">
        <v>2.0</v>
      </c>
      <c r="EI85" s="4">
        <v>27.0</v>
      </c>
      <c r="EV85" s="4">
        <v>1.0</v>
      </c>
      <c r="FA85" s="4">
        <v>6.0</v>
      </c>
      <c r="FP85" s="4">
        <v>7.0</v>
      </c>
      <c r="FQ85" s="4">
        <v>310.0</v>
      </c>
      <c r="GE85" s="25">
        <f t="shared" si="1"/>
        <v>19</v>
      </c>
      <c r="GF85" s="25">
        <f t="shared" si="2"/>
        <v>17</v>
      </c>
      <c r="GG85" s="25">
        <f t="shared" si="3"/>
        <v>13</v>
      </c>
      <c r="GH85" s="25">
        <f t="shared" si="4"/>
        <v>0.7209245303</v>
      </c>
      <c r="GI85" s="25">
        <f t="shared" si="5"/>
        <v>658</v>
      </c>
      <c r="GJ85" s="25">
        <f t="shared" si="6"/>
        <v>750</v>
      </c>
      <c r="GK85" s="25">
        <f t="shared" si="7"/>
        <v>92</v>
      </c>
    </row>
    <row r="86">
      <c r="A86" s="23">
        <v>42823.0</v>
      </c>
      <c r="B86" s="4" t="s">
        <v>244</v>
      </c>
      <c r="C86" s="4">
        <v>21.310612</v>
      </c>
      <c r="D86" s="4">
        <v>-158.00441</v>
      </c>
      <c r="E86" s="4" t="s">
        <v>278</v>
      </c>
      <c r="F86" s="24">
        <v>0.3854166666666667</v>
      </c>
      <c r="G86" s="24">
        <v>0.46875</v>
      </c>
      <c r="H86" s="4">
        <v>6.0</v>
      </c>
      <c r="I86" s="4">
        <v>10.0</v>
      </c>
      <c r="J86" s="4" t="s">
        <v>198</v>
      </c>
      <c r="K86" s="4">
        <v>5.0</v>
      </c>
      <c r="L86" s="4">
        <v>26.0</v>
      </c>
      <c r="M86" s="4" t="s">
        <v>338</v>
      </c>
      <c r="O86" s="4">
        <v>26.0</v>
      </c>
      <c r="Q86" s="4">
        <v>8.0</v>
      </c>
      <c r="AH86" s="4">
        <v>14.0</v>
      </c>
      <c r="BL86" s="4">
        <v>2.0</v>
      </c>
      <c r="BU86" s="4">
        <v>16.0</v>
      </c>
      <c r="BY86" s="4">
        <v>42.0</v>
      </c>
      <c r="DE86" s="4"/>
      <c r="DF86" s="4">
        <v>40.0</v>
      </c>
      <c r="DL86" s="4">
        <v>40.0</v>
      </c>
      <c r="DQ86" s="4"/>
      <c r="DR86" s="4">
        <v>2.0</v>
      </c>
      <c r="EI86" s="4">
        <v>231.0</v>
      </c>
      <c r="FA86" s="4">
        <v>20.0</v>
      </c>
      <c r="FQ86" s="4">
        <v>47.0</v>
      </c>
      <c r="GE86" s="25">
        <f t="shared" si="1"/>
        <v>11</v>
      </c>
      <c r="GF86" s="25">
        <f t="shared" si="2"/>
        <v>11</v>
      </c>
      <c r="GG86" s="25">
        <f t="shared" si="3"/>
        <v>9</v>
      </c>
      <c r="GH86" s="25">
        <f t="shared" si="4"/>
        <v>0.7136096008</v>
      </c>
      <c r="GI86" s="25">
        <f t="shared" si="5"/>
        <v>462</v>
      </c>
      <c r="GJ86" s="25">
        <f t="shared" si="6"/>
        <v>650</v>
      </c>
      <c r="GK86" s="25">
        <f t="shared" si="7"/>
        <v>188</v>
      </c>
    </row>
    <row r="87">
      <c r="A87" s="23">
        <v>42826.0</v>
      </c>
      <c r="B87" s="4" t="s">
        <v>303</v>
      </c>
      <c r="C87" s="4">
        <v>20.99424</v>
      </c>
      <c r="D87" s="4">
        <v>-156.668259</v>
      </c>
      <c r="E87" s="4" t="s">
        <v>197</v>
      </c>
      <c r="F87" s="24">
        <v>0.4708333333333333</v>
      </c>
      <c r="G87" s="24">
        <v>0.5041666666666667</v>
      </c>
      <c r="H87" s="4">
        <v>3.0</v>
      </c>
      <c r="I87" s="4">
        <v>25.0</v>
      </c>
      <c r="J87" s="4" t="s">
        <v>198</v>
      </c>
      <c r="K87" s="4">
        <v>11.0</v>
      </c>
      <c r="L87" s="4">
        <v>20.0</v>
      </c>
      <c r="M87" s="4" t="s">
        <v>339</v>
      </c>
      <c r="O87" s="4">
        <v>20.0</v>
      </c>
      <c r="Z87" s="4"/>
      <c r="AA87" s="4">
        <v>12.0</v>
      </c>
      <c r="AL87" s="4">
        <v>30.0</v>
      </c>
      <c r="BJ87" s="4">
        <v>1.0</v>
      </c>
      <c r="BL87" s="4">
        <v>51.0</v>
      </c>
      <c r="BP87" s="4">
        <v>5.0</v>
      </c>
      <c r="CB87" s="4">
        <v>9.0</v>
      </c>
      <c r="CC87" s="4">
        <v>1.0</v>
      </c>
      <c r="CJ87" s="4">
        <v>12.0</v>
      </c>
      <c r="DG87" s="4">
        <v>22.0</v>
      </c>
      <c r="DO87" s="4">
        <v>2.0</v>
      </c>
      <c r="EC87" s="4">
        <v>7.0</v>
      </c>
      <c r="ES87" s="4"/>
      <c r="ET87" s="4"/>
      <c r="EU87" s="4">
        <v>11.0</v>
      </c>
      <c r="FB87" s="4">
        <v>2.0</v>
      </c>
      <c r="FQ87" s="4">
        <v>24.0</v>
      </c>
      <c r="FW87" s="4">
        <v>1.0</v>
      </c>
      <c r="GE87" s="25">
        <f t="shared" si="1"/>
        <v>15</v>
      </c>
      <c r="GF87" s="25">
        <f t="shared" si="2"/>
        <v>12</v>
      </c>
      <c r="GG87" s="25">
        <f t="shared" si="3"/>
        <v>10</v>
      </c>
      <c r="GH87" s="25">
        <f t="shared" si="4"/>
        <v>0.8622667781</v>
      </c>
      <c r="GI87" s="25">
        <f t="shared" si="5"/>
        <v>190</v>
      </c>
      <c r="GJ87" s="25">
        <f t="shared" si="6"/>
        <v>500</v>
      </c>
      <c r="GK87" s="25">
        <f t="shared" si="7"/>
        <v>310</v>
      </c>
    </row>
    <row r="88">
      <c r="A88" s="23">
        <v>42827.0</v>
      </c>
      <c r="B88" s="4" t="s">
        <v>340</v>
      </c>
      <c r="C88" s="4">
        <v>19.643276</v>
      </c>
      <c r="D88" s="4">
        <v>-156.010193</v>
      </c>
      <c r="E88" s="4" t="s">
        <v>197</v>
      </c>
      <c r="F88" s="24">
        <v>0.48680555555555555</v>
      </c>
      <c r="G88" s="24">
        <v>0.525</v>
      </c>
      <c r="H88" s="4">
        <v>3.0</v>
      </c>
      <c r="I88" s="4">
        <v>40.0</v>
      </c>
      <c r="J88" s="4" t="s">
        <v>198</v>
      </c>
      <c r="K88" s="4">
        <v>10.0</v>
      </c>
      <c r="L88" s="4">
        <v>28.0</v>
      </c>
      <c r="M88" s="4" t="s">
        <v>341</v>
      </c>
      <c r="O88" s="4">
        <v>28.0</v>
      </c>
      <c r="S88" s="4">
        <v>1.0</v>
      </c>
      <c r="AC88" s="4">
        <v>2.0</v>
      </c>
      <c r="AL88" s="4">
        <v>126.0</v>
      </c>
      <c r="BL88" s="4">
        <v>1.0</v>
      </c>
      <c r="BY88" s="4">
        <v>2.0</v>
      </c>
      <c r="CB88" s="4">
        <v>2.0</v>
      </c>
      <c r="CM88" s="4">
        <v>7.0</v>
      </c>
      <c r="EI88" s="4">
        <v>3.0</v>
      </c>
      <c r="FE88" s="4">
        <v>6.0</v>
      </c>
      <c r="FL88" s="4">
        <v>12.0</v>
      </c>
      <c r="FP88" s="4">
        <v>156.0</v>
      </c>
      <c r="FQ88" s="4">
        <v>283.0</v>
      </c>
      <c r="GE88" s="25">
        <f t="shared" si="1"/>
        <v>12</v>
      </c>
      <c r="GF88" s="25">
        <f t="shared" si="2"/>
        <v>10</v>
      </c>
      <c r="GG88" s="25">
        <f t="shared" si="3"/>
        <v>6</v>
      </c>
      <c r="GH88" s="25">
        <f t="shared" si="4"/>
        <v>0.6673544093</v>
      </c>
      <c r="GI88" s="25">
        <f t="shared" si="5"/>
        <v>601</v>
      </c>
      <c r="GJ88" s="25">
        <f t="shared" si="6"/>
        <v>700</v>
      </c>
      <c r="GK88" s="25">
        <f t="shared" si="7"/>
        <v>99</v>
      </c>
    </row>
    <row r="89">
      <c r="A89" s="23">
        <v>42831.0</v>
      </c>
      <c r="B89" s="4" t="s">
        <v>201</v>
      </c>
      <c r="C89" s="4">
        <v>21.25544</v>
      </c>
      <c r="D89" s="4">
        <v>-157.810303</v>
      </c>
      <c r="E89" s="4" t="s">
        <v>197</v>
      </c>
      <c r="F89" s="24">
        <v>0.0</v>
      </c>
      <c r="G89" s="24">
        <v>0.041666666666666664</v>
      </c>
      <c r="H89" s="4">
        <v>6.0</v>
      </c>
      <c r="I89" s="4">
        <v>11.0</v>
      </c>
      <c r="J89" s="4" t="s">
        <v>198</v>
      </c>
      <c r="K89" s="4">
        <v>12.0</v>
      </c>
      <c r="L89" s="4">
        <v>55.0</v>
      </c>
      <c r="M89" s="4" t="s">
        <v>342</v>
      </c>
      <c r="O89" s="4">
        <v>55.0</v>
      </c>
      <c r="Q89" s="4">
        <v>4.0</v>
      </c>
      <c r="Z89" s="4"/>
      <c r="AA89" s="4">
        <v>3.0</v>
      </c>
      <c r="AC89" s="4">
        <v>2.0</v>
      </c>
      <c r="AE89" s="4">
        <v>5.0</v>
      </c>
      <c r="BG89" s="4">
        <v>1.0</v>
      </c>
      <c r="BL89" s="4">
        <v>4.0</v>
      </c>
      <c r="BV89" s="4">
        <v>54.0</v>
      </c>
      <c r="BY89" s="4">
        <v>49.0</v>
      </c>
      <c r="CA89" s="4">
        <v>1.0</v>
      </c>
      <c r="CR89" s="4">
        <v>21.0</v>
      </c>
      <c r="DL89" s="4">
        <v>120.0</v>
      </c>
      <c r="DS89" s="4">
        <v>1.0</v>
      </c>
      <c r="EC89" s="4">
        <v>2.0</v>
      </c>
      <c r="EI89" s="4">
        <v>319.0</v>
      </c>
      <c r="FA89" s="4">
        <v>187.0</v>
      </c>
      <c r="FB89" s="4">
        <v>2.0</v>
      </c>
      <c r="FQ89" s="4">
        <v>74.0</v>
      </c>
      <c r="FS89" s="4">
        <v>7.0</v>
      </c>
      <c r="GB89" s="4">
        <v>1.0</v>
      </c>
      <c r="GC89" s="4">
        <v>27.0</v>
      </c>
      <c r="GE89" s="25">
        <f t="shared" si="1"/>
        <v>20</v>
      </c>
      <c r="GF89" s="25">
        <f t="shared" si="2"/>
        <v>16</v>
      </c>
      <c r="GG89" s="25">
        <f t="shared" si="3"/>
        <v>10</v>
      </c>
      <c r="GH89" s="25">
        <f t="shared" si="4"/>
        <v>0.7920243104</v>
      </c>
      <c r="GI89" s="25">
        <f t="shared" si="5"/>
        <v>884</v>
      </c>
      <c r="GJ89" s="25">
        <f t="shared" si="6"/>
        <v>1375</v>
      </c>
      <c r="GK89" s="25">
        <f t="shared" si="7"/>
        <v>491</v>
      </c>
    </row>
    <row r="90">
      <c r="A90" s="23">
        <v>42834.0</v>
      </c>
      <c r="B90" s="4" t="s">
        <v>301</v>
      </c>
      <c r="C90" s="4">
        <v>22.065599</v>
      </c>
      <c r="D90" s="4">
        <v>-159.317703</v>
      </c>
      <c r="E90" s="4" t="s">
        <v>344</v>
      </c>
      <c r="F90" s="24">
        <v>0.36875</v>
      </c>
      <c r="G90" s="24">
        <v>0.41041666666666665</v>
      </c>
      <c r="H90" s="4">
        <v>4.0</v>
      </c>
      <c r="I90" s="4">
        <v>15.0</v>
      </c>
      <c r="J90" s="4" t="s">
        <v>198</v>
      </c>
      <c r="K90" s="4">
        <v>8.0</v>
      </c>
      <c r="L90" s="4">
        <v>25.0</v>
      </c>
      <c r="M90" s="4" t="s">
        <v>345</v>
      </c>
      <c r="O90" s="4">
        <v>25.0</v>
      </c>
      <c r="Q90" s="4">
        <v>1.0</v>
      </c>
      <c r="Z90" s="4"/>
      <c r="AA90" s="4">
        <v>6.0</v>
      </c>
      <c r="AC90" s="4">
        <v>1.0</v>
      </c>
      <c r="AZ90" s="4"/>
      <c r="BA90" s="4">
        <v>1.0</v>
      </c>
      <c r="BM90" s="4">
        <v>70.0</v>
      </c>
      <c r="BU90" s="4">
        <v>10.0</v>
      </c>
      <c r="DL90" s="4">
        <v>28.0</v>
      </c>
      <c r="DM90" s="4">
        <v>1.0</v>
      </c>
      <c r="DQ90" s="4"/>
      <c r="DR90" s="4">
        <v>6.0</v>
      </c>
      <c r="EI90" s="4">
        <v>140.0</v>
      </c>
      <c r="FA90" s="4">
        <v>6.0</v>
      </c>
      <c r="FH90" s="4">
        <v>17.0</v>
      </c>
      <c r="FP90" s="4">
        <v>30.0</v>
      </c>
      <c r="FQ90" s="4">
        <v>108.0</v>
      </c>
      <c r="FY90" s="4">
        <v>53.0</v>
      </c>
      <c r="GE90" s="25">
        <f t="shared" si="1"/>
        <v>15</v>
      </c>
      <c r="GF90" s="25">
        <f t="shared" si="2"/>
        <v>11</v>
      </c>
      <c r="GG90" s="25">
        <f t="shared" si="3"/>
        <v>11</v>
      </c>
      <c r="GH90" s="25">
        <f t="shared" si="4"/>
        <v>0.8215836425</v>
      </c>
      <c r="GI90" s="25">
        <f t="shared" si="5"/>
        <v>478</v>
      </c>
      <c r="GJ90" s="25">
        <f t="shared" si="6"/>
        <v>625</v>
      </c>
      <c r="GK90" s="25">
        <f t="shared" si="7"/>
        <v>147</v>
      </c>
    </row>
    <row r="91">
      <c r="A91" s="23">
        <v>42835.0</v>
      </c>
      <c r="B91" s="4" t="s">
        <v>216</v>
      </c>
      <c r="C91" s="4">
        <v>21.3002</v>
      </c>
      <c r="D91" s="4">
        <v>-157.882599</v>
      </c>
      <c r="E91" s="4" t="s">
        <v>272</v>
      </c>
      <c r="F91" s="24">
        <v>0.3888888888888889</v>
      </c>
      <c r="G91" s="24">
        <v>0.4236111111111111</v>
      </c>
      <c r="H91" s="4">
        <v>7.0</v>
      </c>
      <c r="I91" s="4">
        <v>20.0</v>
      </c>
      <c r="J91" s="4" t="s">
        <v>198</v>
      </c>
      <c r="K91" s="4">
        <v>5.0</v>
      </c>
      <c r="L91" s="4">
        <v>33.0</v>
      </c>
      <c r="M91" s="4" t="s">
        <v>346</v>
      </c>
      <c r="O91" s="4">
        <v>33.0</v>
      </c>
      <c r="V91" s="4"/>
      <c r="W91" s="4">
        <v>1.0</v>
      </c>
      <c r="Z91" s="4"/>
      <c r="AA91" s="4">
        <v>17.0</v>
      </c>
      <c r="AB91" s="4">
        <v>2.0</v>
      </c>
      <c r="AH91" s="4">
        <v>2.0</v>
      </c>
      <c r="BL91" s="4">
        <v>20.0</v>
      </c>
      <c r="BU91" s="4">
        <v>3.0</v>
      </c>
      <c r="BY91" s="4">
        <v>1.0</v>
      </c>
      <c r="CB91" s="4">
        <v>2.0</v>
      </c>
      <c r="DE91" s="4"/>
      <c r="DF91" s="4">
        <v>1.0</v>
      </c>
      <c r="DG91" s="4">
        <v>15.0</v>
      </c>
      <c r="DN91" s="4">
        <v>2.0</v>
      </c>
      <c r="EB91" s="4">
        <v>4.0</v>
      </c>
      <c r="EG91" s="4">
        <v>1.0</v>
      </c>
      <c r="EI91" s="4">
        <v>10.0</v>
      </c>
      <c r="FH91" s="4">
        <v>56.0</v>
      </c>
      <c r="FQ91" s="4">
        <v>365.0</v>
      </c>
      <c r="GE91" s="25">
        <f t="shared" si="1"/>
        <v>16</v>
      </c>
      <c r="GF91" s="25">
        <f t="shared" si="2"/>
        <v>12</v>
      </c>
      <c r="GG91" s="25">
        <f t="shared" si="3"/>
        <v>6</v>
      </c>
      <c r="GH91" s="25">
        <f t="shared" si="4"/>
        <v>0.4555987626</v>
      </c>
      <c r="GI91" s="25">
        <f t="shared" si="5"/>
        <v>502</v>
      </c>
      <c r="GJ91" s="25">
        <f t="shared" si="6"/>
        <v>825</v>
      </c>
      <c r="GK91" s="25">
        <f t="shared" si="7"/>
        <v>323</v>
      </c>
    </row>
    <row r="92">
      <c r="A92" s="23">
        <v>42836.0</v>
      </c>
      <c r="B92" s="4" t="s">
        <v>301</v>
      </c>
      <c r="C92" s="4">
        <v>22.065599</v>
      </c>
      <c r="D92" s="4">
        <v>-159.317703</v>
      </c>
      <c r="E92" s="4" t="s">
        <v>347</v>
      </c>
      <c r="F92" s="24">
        <v>0.3958333333333333</v>
      </c>
      <c r="G92" s="24">
        <v>0.44375</v>
      </c>
      <c r="H92" s="4">
        <v>6.0</v>
      </c>
      <c r="I92" s="4">
        <v>15.0</v>
      </c>
      <c r="J92" s="4" t="s">
        <v>198</v>
      </c>
      <c r="K92" s="4">
        <v>7.0</v>
      </c>
      <c r="L92" s="4">
        <v>33.0</v>
      </c>
      <c r="M92" s="4" t="s">
        <v>348</v>
      </c>
      <c r="O92" s="4">
        <v>33.0</v>
      </c>
      <c r="V92" s="4"/>
      <c r="W92" s="4">
        <v>1.0</v>
      </c>
      <c r="Z92" s="4"/>
      <c r="AA92" s="4">
        <v>5.0</v>
      </c>
      <c r="AM92" s="4">
        <v>1.0</v>
      </c>
      <c r="AT92" s="4">
        <v>2.0</v>
      </c>
      <c r="AV92" s="4"/>
      <c r="AW92" s="4">
        <v>13.0</v>
      </c>
      <c r="AY92" s="4">
        <v>1.0</v>
      </c>
      <c r="AZ92" s="4"/>
      <c r="BA92" s="4">
        <v>4.0</v>
      </c>
      <c r="BL92" s="4">
        <v>3.0</v>
      </c>
      <c r="BM92" s="4">
        <v>62.0</v>
      </c>
      <c r="BT92" s="4">
        <v>7.0</v>
      </c>
      <c r="BU92" s="4">
        <v>36.0</v>
      </c>
      <c r="BY92" s="4">
        <v>1.0</v>
      </c>
      <c r="CR92" s="4">
        <v>1.0</v>
      </c>
      <c r="CU92" s="4">
        <v>2.0</v>
      </c>
      <c r="DI92" s="4">
        <v>22.0</v>
      </c>
      <c r="DK92" s="4">
        <v>14.0</v>
      </c>
      <c r="DL92" s="4">
        <v>5.0</v>
      </c>
      <c r="DQ92" s="4"/>
      <c r="DR92" s="4">
        <v>11.0</v>
      </c>
      <c r="DT92" s="4"/>
      <c r="DU92" s="4">
        <v>1.0</v>
      </c>
      <c r="DY92" s="4">
        <v>1.0</v>
      </c>
      <c r="EI92" s="4">
        <v>159.0</v>
      </c>
      <c r="ES92" s="4"/>
      <c r="ET92" s="4"/>
      <c r="EU92" s="4">
        <v>3.0</v>
      </c>
      <c r="FA92" s="4">
        <v>2.0</v>
      </c>
      <c r="FE92" s="4">
        <v>18.0</v>
      </c>
      <c r="FH92" s="4">
        <v>20.0</v>
      </c>
      <c r="FQ92" s="4">
        <v>159.0</v>
      </c>
      <c r="FY92" s="4">
        <v>1.0</v>
      </c>
      <c r="GE92" s="25">
        <f t="shared" si="1"/>
        <v>27</v>
      </c>
      <c r="GF92" s="25">
        <f t="shared" si="2"/>
        <v>19</v>
      </c>
      <c r="GG92" s="25">
        <f t="shared" si="3"/>
        <v>13</v>
      </c>
      <c r="GH92" s="25">
        <f t="shared" si="4"/>
        <v>0.8146355742</v>
      </c>
      <c r="GI92" s="25">
        <f t="shared" si="5"/>
        <v>555</v>
      </c>
      <c r="GJ92" s="25">
        <f t="shared" si="6"/>
        <v>825</v>
      </c>
      <c r="GK92" s="25">
        <f t="shared" si="7"/>
        <v>270</v>
      </c>
    </row>
    <row r="93">
      <c r="A93" s="23">
        <v>42836.0</v>
      </c>
      <c r="B93" s="4" t="s">
        <v>266</v>
      </c>
      <c r="C93" s="4">
        <v>22.060684</v>
      </c>
      <c r="D93" s="4">
        <v>-159.318512</v>
      </c>
      <c r="E93" s="4" t="s">
        <v>297</v>
      </c>
      <c r="F93" s="24">
        <v>0.4041666666666667</v>
      </c>
      <c r="G93" s="24">
        <v>0.4409722222222222</v>
      </c>
      <c r="H93" s="4">
        <v>6.0</v>
      </c>
      <c r="I93" s="4">
        <v>14.0</v>
      </c>
      <c r="J93" s="4" t="s">
        <v>198</v>
      </c>
      <c r="K93" s="4">
        <v>8.0</v>
      </c>
      <c r="L93" s="4">
        <v>37.0</v>
      </c>
      <c r="M93" s="4" t="s">
        <v>349</v>
      </c>
      <c r="O93" s="4">
        <v>37.0</v>
      </c>
      <c r="S93" s="4">
        <v>1.0</v>
      </c>
      <c r="Z93" s="4">
        <v>3.0</v>
      </c>
      <c r="AU93" s="4">
        <v>1.0</v>
      </c>
      <c r="AZ93" s="4"/>
      <c r="BA93" s="4">
        <v>1.0</v>
      </c>
      <c r="BM93" s="4">
        <v>139.0</v>
      </c>
      <c r="BU93" s="4">
        <v>10.0</v>
      </c>
      <c r="CV93" s="4"/>
      <c r="CW93" s="4"/>
      <c r="CX93" s="4"/>
      <c r="CY93" s="4">
        <v>1.0</v>
      </c>
      <c r="DL93" s="4">
        <v>1.0</v>
      </c>
      <c r="DQ93" s="4"/>
      <c r="DR93" s="4">
        <v>154.0</v>
      </c>
      <c r="DT93" s="4"/>
      <c r="DU93" s="4">
        <v>8.0</v>
      </c>
      <c r="EI93" s="4">
        <v>181.0</v>
      </c>
      <c r="FA93" s="4">
        <v>6.0</v>
      </c>
      <c r="FB93" s="4">
        <v>2.0</v>
      </c>
      <c r="FE93" s="4">
        <v>28.0</v>
      </c>
      <c r="FH93" s="4">
        <v>4.0</v>
      </c>
      <c r="FP93" s="4">
        <v>21.0</v>
      </c>
      <c r="FQ93" s="4">
        <v>72.0</v>
      </c>
      <c r="FS93" s="4">
        <v>1.0</v>
      </c>
      <c r="GE93" s="25">
        <f t="shared" si="1"/>
        <v>18</v>
      </c>
      <c r="GF93" s="25">
        <f t="shared" si="2"/>
        <v>12</v>
      </c>
      <c r="GG93" s="25">
        <f t="shared" si="3"/>
        <v>9</v>
      </c>
      <c r="GH93" s="25">
        <f t="shared" si="4"/>
        <v>0.796153712</v>
      </c>
      <c r="GI93" s="25">
        <f t="shared" si="5"/>
        <v>634</v>
      </c>
      <c r="GJ93" s="25">
        <f t="shared" si="6"/>
        <v>925</v>
      </c>
      <c r="GK93" s="25">
        <f t="shared" si="7"/>
        <v>291</v>
      </c>
    </row>
    <row r="94">
      <c r="A94" s="23">
        <v>42837.0</v>
      </c>
      <c r="B94" s="4" t="s">
        <v>266</v>
      </c>
      <c r="C94" s="4">
        <v>22.060684</v>
      </c>
      <c r="D94" s="4">
        <v>-159.318512</v>
      </c>
      <c r="E94" s="4" t="s">
        <v>350</v>
      </c>
      <c r="F94" s="24">
        <v>0.3611111111111111</v>
      </c>
      <c r="G94" s="24">
        <v>0.4409722222222222</v>
      </c>
      <c r="H94" s="4">
        <v>6.0</v>
      </c>
      <c r="I94" s="4">
        <v>13.0</v>
      </c>
      <c r="J94" s="4" t="s">
        <v>198</v>
      </c>
      <c r="K94" s="4">
        <v>5.0</v>
      </c>
      <c r="L94" s="4">
        <v>28.0</v>
      </c>
      <c r="M94" s="4" t="s">
        <v>351</v>
      </c>
      <c r="O94" s="4">
        <v>28.0</v>
      </c>
      <c r="AM94" s="4">
        <v>1.0</v>
      </c>
      <c r="AY94" s="4">
        <v>5.0</v>
      </c>
      <c r="BM94" s="4">
        <v>215.0</v>
      </c>
      <c r="BU94" s="4">
        <v>5.0</v>
      </c>
      <c r="DC94" s="4">
        <v>1.0</v>
      </c>
      <c r="DL94" s="4">
        <v>77.0</v>
      </c>
      <c r="DT94" s="4"/>
      <c r="DU94" s="4">
        <v>10.0</v>
      </c>
      <c r="EI94" s="4">
        <v>144.0</v>
      </c>
      <c r="FP94" s="4">
        <v>5.0</v>
      </c>
      <c r="FQ94" s="4">
        <v>47.0</v>
      </c>
      <c r="GE94" s="25">
        <f t="shared" si="1"/>
        <v>10</v>
      </c>
      <c r="GF94" s="25">
        <f t="shared" si="2"/>
        <v>8</v>
      </c>
      <c r="GG94" s="25">
        <f t="shared" si="3"/>
        <v>8</v>
      </c>
      <c r="GH94" s="25">
        <f t="shared" si="4"/>
        <v>0.7119842829</v>
      </c>
      <c r="GI94" s="25">
        <f t="shared" si="5"/>
        <v>510</v>
      </c>
      <c r="GJ94" s="25">
        <f t="shared" si="6"/>
        <v>700</v>
      </c>
      <c r="GK94" s="25">
        <f t="shared" si="7"/>
        <v>190</v>
      </c>
    </row>
    <row r="95">
      <c r="A95" s="23">
        <v>42837.0</v>
      </c>
      <c r="B95" s="4" t="s">
        <v>355</v>
      </c>
      <c r="C95" s="4">
        <v>21.2843</v>
      </c>
      <c r="D95" s="4">
        <v>-157.675293</v>
      </c>
      <c r="E95" s="4" t="s">
        <v>356</v>
      </c>
      <c r="F95" s="24">
        <v>0.39791666666666664</v>
      </c>
      <c r="G95" s="24">
        <v>0.4409722222222222</v>
      </c>
      <c r="H95" s="4">
        <v>7.0</v>
      </c>
      <c r="I95" s="4">
        <v>25.0</v>
      </c>
      <c r="J95" s="4" t="s">
        <v>198</v>
      </c>
      <c r="K95" s="4">
        <v>4.0</v>
      </c>
      <c r="L95" s="4">
        <v>23.0</v>
      </c>
      <c r="M95" s="4" t="s">
        <v>357</v>
      </c>
      <c r="O95" s="4">
        <v>23.0</v>
      </c>
      <c r="AA95" s="4">
        <v>5.0</v>
      </c>
      <c r="AB95" s="4">
        <v>1.0</v>
      </c>
      <c r="AC95" s="4">
        <v>6.0</v>
      </c>
      <c r="AF95" s="4">
        <v>11.0</v>
      </c>
      <c r="BJ95" s="4">
        <v>2.0</v>
      </c>
      <c r="BL95" s="4">
        <v>22.0</v>
      </c>
      <c r="BY95" s="4">
        <v>2.0</v>
      </c>
      <c r="CF95" s="4"/>
      <c r="CG95" s="4">
        <v>24.0</v>
      </c>
      <c r="EI95" s="4">
        <v>18.0</v>
      </c>
      <c r="EJ95" s="4">
        <v>1.0</v>
      </c>
      <c r="FA95" s="4">
        <v>4.0</v>
      </c>
      <c r="FE95" s="4">
        <v>16.0</v>
      </c>
      <c r="FP95" s="4">
        <v>3.0</v>
      </c>
      <c r="FQ95" s="4">
        <v>157.0</v>
      </c>
      <c r="FS95" s="4">
        <v>3.0</v>
      </c>
      <c r="GE95" s="25">
        <f t="shared" si="1"/>
        <v>15</v>
      </c>
      <c r="GF95" s="25">
        <f t="shared" si="2"/>
        <v>13</v>
      </c>
      <c r="GG95" s="25">
        <f t="shared" si="3"/>
        <v>8</v>
      </c>
      <c r="GH95" s="25">
        <f t="shared" si="4"/>
        <v>0.6517584605</v>
      </c>
      <c r="GI95" s="25">
        <f t="shared" si="5"/>
        <v>275</v>
      </c>
      <c r="GJ95" s="25">
        <f t="shared" si="6"/>
        <v>575</v>
      </c>
      <c r="GK95" s="25">
        <f t="shared" si="7"/>
        <v>300</v>
      </c>
    </row>
    <row r="96">
      <c r="A96" s="23">
        <v>42838.0</v>
      </c>
      <c r="B96" s="4" t="s">
        <v>259</v>
      </c>
      <c r="C96" s="4">
        <v>19.737894</v>
      </c>
      <c r="D96" s="4">
        <v>-155.034058</v>
      </c>
      <c r="E96" s="4" t="s">
        <v>358</v>
      </c>
      <c r="F96" s="24">
        <v>0.4027777777777778</v>
      </c>
      <c r="G96" s="24">
        <v>0.47847222222222224</v>
      </c>
      <c r="H96" s="4">
        <v>4.0</v>
      </c>
      <c r="I96" s="4">
        <v>60.0</v>
      </c>
      <c r="J96" s="4" t="s">
        <v>360</v>
      </c>
      <c r="K96" s="4">
        <v>10.0</v>
      </c>
      <c r="L96" s="4">
        <v>27.0</v>
      </c>
      <c r="M96" s="4" t="s">
        <v>361</v>
      </c>
      <c r="O96" s="4">
        <v>27.0</v>
      </c>
      <c r="AB96" s="4">
        <v>27.0</v>
      </c>
      <c r="AE96" s="4">
        <v>2.0</v>
      </c>
      <c r="AH96" s="4">
        <v>1.0</v>
      </c>
      <c r="BJ96" s="4">
        <v>11.0</v>
      </c>
      <c r="BL96" s="4">
        <v>31.0</v>
      </c>
      <c r="BM96" s="4">
        <v>21.0</v>
      </c>
      <c r="BP96" s="4">
        <v>3.0</v>
      </c>
      <c r="CF96" s="4"/>
      <c r="CG96" s="4">
        <v>1.0</v>
      </c>
      <c r="CN96" s="4">
        <v>5.0</v>
      </c>
      <c r="EC96" s="4">
        <v>18.0</v>
      </c>
      <c r="FA96" s="4">
        <v>7.0</v>
      </c>
      <c r="FE96" s="4">
        <v>2.0</v>
      </c>
      <c r="FQ96" s="4">
        <v>230.0</v>
      </c>
      <c r="FS96" s="4">
        <v>3.0</v>
      </c>
      <c r="FT96" s="4"/>
      <c r="FU96" s="4">
        <v>35.0</v>
      </c>
      <c r="GE96" s="25">
        <f t="shared" si="1"/>
        <v>15</v>
      </c>
      <c r="GF96" s="25">
        <f t="shared" si="2"/>
        <v>13</v>
      </c>
      <c r="GG96" s="25">
        <f t="shared" si="3"/>
        <v>9</v>
      </c>
      <c r="GH96" s="25">
        <f t="shared" si="4"/>
        <v>0.6412105946</v>
      </c>
      <c r="GI96" s="25">
        <f t="shared" si="5"/>
        <v>397</v>
      </c>
      <c r="GJ96" s="25">
        <f t="shared" si="6"/>
        <v>675</v>
      </c>
      <c r="GK96" s="25">
        <f t="shared" si="7"/>
        <v>278</v>
      </c>
    </row>
    <row r="97">
      <c r="A97" s="23">
        <v>42838.0</v>
      </c>
      <c r="B97" s="4" t="s">
        <v>352</v>
      </c>
      <c r="C97" s="4">
        <v>21.7057</v>
      </c>
      <c r="D97" s="4">
        <v>-157.995697</v>
      </c>
      <c r="E97" s="4" t="s">
        <v>353</v>
      </c>
      <c r="F97" s="24">
        <v>0.4375</v>
      </c>
      <c r="G97" s="24">
        <v>0.4791666666666667</v>
      </c>
      <c r="H97" s="4">
        <v>9.0</v>
      </c>
      <c r="I97" s="4">
        <v>16.0</v>
      </c>
      <c r="J97" s="4" t="s">
        <v>198</v>
      </c>
      <c r="K97" s="4">
        <v>10.0</v>
      </c>
      <c r="L97" s="4">
        <v>40.0</v>
      </c>
      <c r="M97" s="4" t="s">
        <v>363</v>
      </c>
      <c r="N97" s="4" t="s">
        <v>364</v>
      </c>
      <c r="O97" s="4">
        <v>40.0</v>
      </c>
      <c r="AH97" s="4">
        <v>1.0</v>
      </c>
      <c r="AM97" s="4">
        <v>1.0</v>
      </c>
      <c r="AT97" s="4">
        <v>1.0</v>
      </c>
      <c r="BL97" s="4">
        <v>4.0</v>
      </c>
      <c r="BM97" s="4">
        <v>2.0</v>
      </c>
      <c r="BU97" s="4">
        <v>1.0</v>
      </c>
      <c r="CB97" s="4">
        <v>8.0</v>
      </c>
      <c r="CC97" s="4">
        <v>3.0</v>
      </c>
      <c r="CR97" s="4">
        <v>7.0</v>
      </c>
      <c r="DL97" s="4">
        <v>9.0</v>
      </c>
      <c r="DT97" s="4"/>
      <c r="DU97" s="4">
        <v>6.0</v>
      </c>
      <c r="DY97" s="4">
        <v>2.0</v>
      </c>
      <c r="EI97" s="4">
        <v>344.0</v>
      </c>
      <c r="FA97" s="4">
        <v>2.0</v>
      </c>
      <c r="FG97" s="4">
        <v>2.0</v>
      </c>
      <c r="FP97" s="4">
        <v>25.0</v>
      </c>
      <c r="FQ97" s="4">
        <v>133.0</v>
      </c>
      <c r="FZ97" s="4">
        <v>3.0</v>
      </c>
      <c r="GE97" s="25">
        <f t="shared" si="1"/>
        <v>18</v>
      </c>
      <c r="GF97" s="25">
        <f t="shared" si="2"/>
        <v>14</v>
      </c>
      <c r="GG97" s="25">
        <f t="shared" si="3"/>
        <v>7</v>
      </c>
      <c r="GH97" s="25">
        <f t="shared" si="4"/>
        <v>0.5548403523</v>
      </c>
      <c r="GI97" s="25">
        <f t="shared" si="5"/>
        <v>554</v>
      </c>
      <c r="GJ97" s="25">
        <f t="shared" si="6"/>
        <v>1000</v>
      </c>
      <c r="GK97" s="25">
        <f t="shared" si="7"/>
        <v>446</v>
      </c>
    </row>
    <row r="98">
      <c r="A98" s="23">
        <v>42844.0</v>
      </c>
      <c r="B98" s="4" t="s">
        <v>244</v>
      </c>
      <c r="C98" s="4">
        <v>21.310612</v>
      </c>
      <c r="D98" s="4">
        <v>-158.00441</v>
      </c>
      <c r="E98" s="4" t="s">
        <v>278</v>
      </c>
      <c r="F98" s="24">
        <v>0.3854166666666667</v>
      </c>
      <c r="G98" s="24">
        <v>0.46875</v>
      </c>
      <c r="H98" s="4">
        <v>6.0</v>
      </c>
      <c r="I98" s="4">
        <v>6.0</v>
      </c>
      <c r="J98" s="4" t="s">
        <v>198</v>
      </c>
      <c r="K98" s="4">
        <v>5.0</v>
      </c>
      <c r="L98" s="4">
        <v>24.0</v>
      </c>
      <c r="M98" s="4" t="s">
        <v>365</v>
      </c>
      <c r="N98" s="4" t="s">
        <v>295</v>
      </c>
      <c r="O98" s="4">
        <v>24.0</v>
      </c>
      <c r="Q98" s="4">
        <v>9.0</v>
      </c>
      <c r="AD98" s="4">
        <v>2.0</v>
      </c>
      <c r="AH98" s="4">
        <v>8.0</v>
      </c>
      <c r="AV98" s="4">
        <v>2.0</v>
      </c>
      <c r="AZ98" s="4"/>
      <c r="BA98" s="4">
        <v>1.0</v>
      </c>
      <c r="BL98" s="4">
        <v>2.0</v>
      </c>
      <c r="BU98" s="4">
        <v>3.0</v>
      </c>
      <c r="BY98" s="4">
        <v>95.0</v>
      </c>
      <c r="DE98" s="4"/>
      <c r="DF98" s="4">
        <v>4.0</v>
      </c>
      <c r="DL98" s="4">
        <v>30.0</v>
      </c>
      <c r="DQ98" s="4"/>
      <c r="DR98" s="4">
        <v>1.0</v>
      </c>
      <c r="EB98" s="4">
        <v>3.0</v>
      </c>
      <c r="EI98" s="4">
        <v>288.0</v>
      </c>
      <c r="EW98" s="4">
        <v>1.0</v>
      </c>
      <c r="FE98" s="4">
        <v>1.0</v>
      </c>
      <c r="FH98" s="4">
        <v>33.0</v>
      </c>
      <c r="FQ98" s="4">
        <v>20.0</v>
      </c>
      <c r="FT98" s="4"/>
      <c r="FU98" s="4">
        <v>1.0</v>
      </c>
      <c r="GE98" s="25">
        <f t="shared" si="1"/>
        <v>18</v>
      </c>
      <c r="GF98" s="25">
        <f t="shared" si="2"/>
        <v>13</v>
      </c>
      <c r="GG98" s="25">
        <f t="shared" si="3"/>
        <v>7</v>
      </c>
      <c r="GH98" s="25">
        <f t="shared" si="4"/>
        <v>0.6290116444</v>
      </c>
      <c r="GI98" s="25">
        <f t="shared" si="5"/>
        <v>504</v>
      </c>
      <c r="GJ98" s="25">
        <f t="shared" si="6"/>
        <v>600</v>
      </c>
      <c r="GK98" s="25">
        <f t="shared" si="7"/>
        <v>96</v>
      </c>
    </row>
    <row r="99">
      <c r="A99" s="23">
        <v>42844.0</v>
      </c>
      <c r="B99" s="4" t="s">
        <v>369</v>
      </c>
      <c r="C99" s="4">
        <v>21.888725</v>
      </c>
      <c r="D99" s="4">
        <v>-159.416412</v>
      </c>
      <c r="E99" s="4" t="s">
        <v>321</v>
      </c>
      <c r="F99" s="24">
        <v>0.3541666666666667</v>
      </c>
      <c r="G99" s="24">
        <v>0.5</v>
      </c>
      <c r="H99" s="4">
        <v>5.0</v>
      </c>
      <c r="I99" s="4">
        <v>18.0</v>
      </c>
      <c r="J99" s="4" t="s">
        <v>217</v>
      </c>
      <c r="K99" s="4">
        <v>5.0</v>
      </c>
      <c r="L99" s="4">
        <v>19.0</v>
      </c>
      <c r="M99" s="4" t="s">
        <v>370</v>
      </c>
      <c r="O99" s="4">
        <v>19.0</v>
      </c>
      <c r="AA99" s="4">
        <v>26.0</v>
      </c>
      <c r="AH99" s="4">
        <v>1.0</v>
      </c>
      <c r="AM99" s="4">
        <v>5.0</v>
      </c>
      <c r="BG99" s="4">
        <v>12.0</v>
      </c>
      <c r="BN99" s="4"/>
      <c r="BO99" s="4">
        <v>2.0</v>
      </c>
      <c r="BU99" s="4">
        <v>4.0</v>
      </c>
      <c r="BY99" s="4">
        <v>28.0</v>
      </c>
      <c r="CR99" s="4">
        <v>1.0</v>
      </c>
      <c r="DQ99" s="4"/>
      <c r="DR99" s="4">
        <v>30.0</v>
      </c>
      <c r="DT99" s="4"/>
      <c r="DU99" s="4">
        <v>45.0</v>
      </c>
      <c r="EI99" s="4">
        <v>73.0</v>
      </c>
      <c r="FH99" s="4">
        <v>7.0</v>
      </c>
      <c r="FQ99" s="4">
        <v>150.0</v>
      </c>
      <c r="GE99" s="25">
        <f t="shared" si="1"/>
        <v>13</v>
      </c>
      <c r="GF99" s="25">
        <f t="shared" si="2"/>
        <v>11</v>
      </c>
      <c r="GG99" s="25">
        <f t="shared" si="3"/>
        <v>9</v>
      </c>
      <c r="GH99" s="25">
        <f t="shared" si="4"/>
        <v>0.7819435379</v>
      </c>
      <c r="GI99" s="25">
        <f t="shared" si="5"/>
        <v>384</v>
      </c>
      <c r="GJ99" s="25">
        <f t="shared" si="6"/>
        <v>475</v>
      </c>
      <c r="GK99" s="25">
        <f t="shared" si="7"/>
        <v>91</v>
      </c>
    </row>
    <row r="100">
      <c r="A100" s="23">
        <v>42850.0</v>
      </c>
      <c r="B100" s="4" t="s">
        <v>244</v>
      </c>
      <c r="C100" s="4">
        <v>21.310612</v>
      </c>
      <c r="D100" s="4">
        <v>-158.00441</v>
      </c>
      <c r="E100" s="4" t="s">
        <v>326</v>
      </c>
      <c r="F100" s="24">
        <v>0.3958333333333333</v>
      </c>
      <c r="G100" s="24">
        <v>0.4583333333333333</v>
      </c>
      <c r="H100" s="4">
        <v>7.0</v>
      </c>
      <c r="I100" s="4">
        <v>10.0</v>
      </c>
      <c r="J100" s="4" t="s">
        <v>318</v>
      </c>
      <c r="K100" s="4">
        <v>5.0</v>
      </c>
      <c r="L100" s="4">
        <v>34.0</v>
      </c>
      <c r="M100" s="4" t="s">
        <v>371</v>
      </c>
      <c r="O100" s="4">
        <v>34.0</v>
      </c>
      <c r="Q100" s="4">
        <v>14.0</v>
      </c>
      <c r="AA100" s="4">
        <v>1.0</v>
      </c>
      <c r="AB100" s="4">
        <v>14.0</v>
      </c>
      <c r="AD100" s="4">
        <v>7.0</v>
      </c>
      <c r="AH100" s="4">
        <v>1.0</v>
      </c>
      <c r="AL100" s="4">
        <v>2.0</v>
      </c>
      <c r="AM100" s="4">
        <v>11.0</v>
      </c>
      <c r="AS100" s="4">
        <v>1.0</v>
      </c>
      <c r="AZ100" s="4"/>
      <c r="BA100" s="4">
        <v>3.0</v>
      </c>
      <c r="BL100" s="4">
        <v>1.0</v>
      </c>
      <c r="BU100" s="4">
        <v>60.0</v>
      </c>
      <c r="BY100" s="4">
        <v>53.0</v>
      </c>
      <c r="CO100" s="4"/>
      <c r="CP100" s="4"/>
      <c r="CQ100" s="4">
        <v>4.0</v>
      </c>
      <c r="CV100" s="4"/>
      <c r="CW100" s="4"/>
      <c r="CX100" s="4">
        <v>2.0</v>
      </c>
      <c r="DE100" s="4"/>
      <c r="DF100" s="4">
        <v>12.0</v>
      </c>
      <c r="DL100" s="4">
        <v>22.0</v>
      </c>
      <c r="DN100" s="4">
        <v>2.0</v>
      </c>
      <c r="DT100" s="4"/>
      <c r="DU100" s="4">
        <v>9.0</v>
      </c>
      <c r="EI100" s="4">
        <v>293.0</v>
      </c>
      <c r="EJ100" s="4">
        <v>28.0</v>
      </c>
      <c r="EN100" s="4">
        <v>14.0</v>
      </c>
      <c r="FA100" s="4">
        <v>10.0</v>
      </c>
      <c r="FQ100" s="4">
        <v>87.0</v>
      </c>
      <c r="FT100" s="4"/>
      <c r="FU100" s="4">
        <v>1.0</v>
      </c>
      <c r="GE100" s="25">
        <f t="shared" si="1"/>
        <v>24</v>
      </c>
      <c r="GF100" s="25">
        <f t="shared" si="2"/>
        <v>19</v>
      </c>
      <c r="GG100" s="25">
        <f t="shared" si="3"/>
        <v>14</v>
      </c>
      <c r="GH100" s="25">
        <f t="shared" si="4"/>
        <v>0.7607079246</v>
      </c>
      <c r="GI100" s="25">
        <f t="shared" si="5"/>
        <v>652</v>
      </c>
      <c r="GJ100" s="25">
        <f t="shared" si="6"/>
        <v>850</v>
      </c>
      <c r="GK100" s="25">
        <f t="shared" si="7"/>
        <v>198</v>
      </c>
    </row>
    <row r="101">
      <c r="A101" s="23">
        <v>42850.0</v>
      </c>
      <c r="B101" s="4" t="s">
        <v>250</v>
      </c>
      <c r="C101" s="4">
        <v>21.4104</v>
      </c>
      <c r="D101" s="4">
        <v>-158.177704</v>
      </c>
      <c r="E101" s="4" t="s">
        <v>372</v>
      </c>
      <c r="F101" s="24">
        <v>0.3888888888888889</v>
      </c>
      <c r="G101" s="24">
        <v>0.4791666666666667</v>
      </c>
      <c r="H101" s="4">
        <v>6.0</v>
      </c>
      <c r="I101" s="4">
        <v>20.0</v>
      </c>
      <c r="J101" s="4" t="s">
        <v>198</v>
      </c>
      <c r="K101" s="4">
        <v>5.0</v>
      </c>
      <c r="L101" s="4">
        <v>23.0</v>
      </c>
      <c r="M101" s="4" t="s">
        <v>373</v>
      </c>
      <c r="O101" s="4">
        <v>23.0</v>
      </c>
      <c r="Q101" s="4">
        <v>104.0</v>
      </c>
      <c r="AB101" s="4">
        <v>1.0</v>
      </c>
      <c r="BR101" s="4">
        <v>3.0</v>
      </c>
      <c r="BY101" s="4">
        <v>42.0</v>
      </c>
      <c r="CB101" s="4">
        <v>2.0</v>
      </c>
      <c r="CJ101" s="4">
        <v>96.0</v>
      </c>
      <c r="CM101" s="4">
        <v>6.0</v>
      </c>
      <c r="CN101" s="4">
        <v>5.0</v>
      </c>
      <c r="DE101" s="4"/>
      <c r="DF101" s="4">
        <v>12.0</v>
      </c>
      <c r="DI101" s="4">
        <v>3.0</v>
      </c>
      <c r="DK101" s="4">
        <v>1.0</v>
      </c>
      <c r="DL101" s="4">
        <v>33.0</v>
      </c>
      <c r="DQ101" s="4"/>
      <c r="DR101" s="4">
        <v>5.0</v>
      </c>
      <c r="EJ101" s="4">
        <v>13.0</v>
      </c>
      <c r="EW101" s="4">
        <v>55.0</v>
      </c>
      <c r="EX101" s="4">
        <v>1.0</v>
      </c>
      <c r="FP101" s="4">
        <v>1.0</v>
      </c>
      <c r="FQ101" s="4">
        <v>160.0</v>
      </c>
      <c r="FZ101" s="4">
        <v>1.0</v>
      </c>
      <c r="GC101" s="4">
        <v>2.0</v>
      </c>
      <c r="GE101" s="25">
        <f t="shared" si="1"/>
        <v>20</v>
      </c>
      <c r="GF101" s="25">
        <f t="shared" si="2"/>
        <v>15</v>
      </c>
      <c r="GG101" s="25">
        <f t="shared" si="3"/>
        <v>11</v>
      </c>
      <c r="GH101" s="25">
        <f t="shared" si="4"/>
        <v>0.827287697</v>
      </c>
      <c r="GI101" s="25">
        <f t="shared" si="5"/>
        <v>546</v>
      </c>
      <c r="GJ101" s="25">
        <f t="shared" si="6"/>
        <v>575</v>
      </c>
      <c r="GK101" s="25">
        <f t="shared" si="7"/>
        <v>29</v>
      </c>
    </row>
    <row r="102">
      <c r="A102" s="23">
        <v>42850.0</v>
      </c>
      <c r="B102" s="4" t="s">
        <v>374</v>
      </c>
      <c r="C102" s="4">
        <v>20.738001</v>
      </c>
      <c r="D102" s="4">
        <v>-156.895004</v>
      </c>
      <c r="E102" s="4" t="s">
        <v>375</v>
      </c>
      <c r="F102" s="24">
        <v>0.40625</v>
      </c>
      <c r="G102" s="24">
        <v>0.46875</v>
      </c>
      <c r="H102" s="4">
        <v>5.0</v>
      </c>
      <c r="I102" s="4">
        <v>20.0</v>
      </c>
      <c r="J102" s="4" t="s">
        <v>318</v>
      </c>
      <c r="K102" s="4">
        <v>5.0</v>
      </c>
      <c r="L102" s="4">
        <v>20.0</v>
      </c>
      <c r="M102" s="4" t="s">
        <v>376</v>
      </c>
      <c r="O102" s="4">
        <v>20.0</v>
      </c>
      <c r="Q102" s="4">
        <v>7.0</v>
      </c>
      <c r="R102" s="4">
        <v>3.0</v>
      </c>
      <c r="AA102" s="4">
        <v>19.0</v>
      </c>
      <c r="AC102" s="4">
        <v>1.0</v>
      </c>
      <c r="AG102" s="4">
        <v>10.0</v>
      </c>
      <c r="AL102" s="4">
        <v>7.0</v>
      </c>
      <c r="AY102" s="4">
        <v>6.0</v>
      </c>
      <c r="BD102" s="4">
        <v>5.0</v>
      </c>
      <c r="BL102" s="4">
        <v>35.0</v>
      </c>
      <c r="BU102" s="4">
        <v>2.0</v>
      </c>
      <c r="BV102" s="4">
        <v>2.0</v>
      </c>
      <c r="BX102" s="4">
        <v>3.0</v>
      </c>
      <c r="BY102" s="4">
        <v>10.0</v>
      </c>
      <c r="CB102" s="4">
        <v>20.0</v>
      </c>
      <c r="CO102" s="4">
        <v>1.0</v>
      </c>
      <c r="CY102" s="4">
        <v>15.0</v>
      </c>
      <c r="DA102" s="4">
        <v>3.0</v>
      </c>
      <c r="DE102" s="4"/>
      <c r="DF102" s="4">
        <v>5.0</v>
      </c>
      <c r="DI102" s="4">
        <v>5.0</v>
      </c>
      <c r="DO102" s="4">
        <v>5.0</v>
      </c>
      <c r="DV102" s="4">
        <v>2.0</v>
      </c>
      <c r="EC102" s="4">
        <v>23.0</v>
      </c>
      <c r="EI102" s="4">
        <v>21.0</v>
      </c>
      <c r="EY102" s="4">
        <v>4.0</v>
      </c>
      <c r="FA102" s="4">
        <v>18.0</v>
      </c>
      <c r="FE102" s="4">
        <v>1.0</v>
      </c>
      <c r="FP102" s="4">
        <v>1.0</v>
      </c>
      <c r="FQ102" s="4">
        <v>55.0</v>
      </c>
      <c r="GE102" s="25">
        <f t="shared" si="1"/>
        <v>28</v>
      </c>
      <c r="GF102" s="25">
        <f t="shared" si="2"/>
        <v>24</v>
      </c>
      <c r="GG102" s="25">
        <f t="shared" si="3"/>
        <v>17</v>
      </c>
      <c r="GH102" s="25">
        <f t="shared" si="4"/>
        <v>0.9190936178</v>
      </c>
      <c r="GI102" s="25">
        <f t="shared" si="5"/>
        <v>289</v>
      </c>
      <c r="GJ102" s="25">
        <f t="shared" si="6"/>
        <v>500</v>
      </c>
      <c r="GK102" s="25">
        <f t="shared" si="7"/>
        <v>211</v>
      </c>
    </row>
    <row r="103">
      <c r="A103" s="23">
        <v>42851.0</v>
      </c>
      <c r="B103" s="4" t="s">
        <v>369</v>
      </c>
      <c r="C103" s="4">
        <v>21.888725</v>
      </c>
      <c r="D103" s="4">
        <v>-159.416412</v>
      </c>
      <c r="E103" s="4" t="s">
        <v>321</v>
      </c>
      <c r="F103" s="24">
        <v>0.375</v>
      </c>
      <c r="G103" s="24">
        <v>0.5625</v>
      </c>
      <c r="H103" s="4">
        <v>5.0</v>
      </c>
      <c r="I103" s="4">
        <v>10.0</v>
      </c>
      <c r="J103" s="4" t="s">
        <v>217</v>
      </c>
      <c r="K103" s="4">
        <v>5.0</v>
      </c>
      <c r="L103" s="4">
        <v>23.0</v>
      </c>
      <c r="M103" s="4" t="s">
        <v>380</v>
      </c>
      <c r="O103" s="4">
        <v>23.0</v>
      </c>
      <c r="AA103" s="4">
        <v>78.0</v>
      </c>
      <c r="AB103" s="4">
        <v>1.0</v>
      </c>
      <c r="AG103" s="4">
        <v>1.0</v>
      </c>
      <c r="AH103" s="4">
        <v>5.0</v>
      </c>
      <c r="AZ103" s="4"/>
      <c r="BA103" s="4">
        <v>4.0</v>
      </c>
      <c r="BG103" s="4">
        <v>5.0</v>
      </c>
      <c r="BL103" s="4">
        <v>28.0</v>
      </c>
      <c r="BN103" s="4"/>
      <c r="BO103" s="4">
        <v>1.0</v>
      </c>
      <c r="BU103" s="4">
        <v>10.0</v>
      </c>
      <c r="BY103" s="4">
        <v>6.0</v>
      </c>
      <c r="CR103" s="4">
        <v>9.0</v>
      </c>
      <c r="DE103" s="4"/>
      <c r="DF103" s="4">
        <v>5.0</v>
      </c>
      <c r="DL103" s="4">
        <v>27.0</v>
      </c>
      <c r="DQ103" s="4"/>
      <c r="DR103" s="4">
        <v>33.0</v>
      </c>
      <c r="DT103" s="4"/>
      <c r="DU103" s="4">
        <v>52.0</v>
      </c>
      <c r="EI103" s="4">
        <v>50.0</v>
      </c>
      <c r="FA103" s="4">
        <v>9.0</v>
      </c>
      <c r="FH103" s="4">
        <v>1.0</v>
      </c>
      <c r="FQ103" s="4">
        <v>112.0</v>
      </c>
      <c r="GE103" s="25">
        <f t="shared" si="1"/>
        <v>19</v>
      </c>
      <c r="GF103" s="25">
        <f t="shared" si="2"/>
        <v>15</v>
      </c>
      <c r="GG103" s="25">
        <f t="shared" si="3"/>
        <v>14</v>
      </c>
      <c r="GH103" s="25">
        <f t="shared" si="4"/>
        <v>0.8614930825</v>
      </c>
      <c r="GI103" s="25">
        <f t="shared" si="5"/>
        <v>437</v>
      </c>
      <c r="GJ103" s="25">
        <f t="shared" si="6"/>
        <v>575</v>
      </c>
      <c r="GK103" s="25">
        <f t="shared" si="7"/>
        <v>138</v>
      </c>
    </row>
    <row r="104">
      <c r="A104" s="23">
        <v>42851.0</v>
      </c>
      <c r="B104" s="4" t="s">
        <v>340</v>
      </c>
      <c r="C104" s="4">
        <v>19.643276</v>
      </c>
      <c r="D104" s="4">
        <v>-156.010193</v>
      </c>
      <c r="E104" s="4" t="s">
        <v>381</v>
      </c>
      <c r="F104" s="24">
        <v>0.3854166666666667</v>
      </c>
      <c r="G104" s="24">
        <v>0.4583333333333333</v>
      </c>
      <c r="H104" s="4">
        <v>7.0</v>
      </c>
      <c r="I104" s="4">
        <v>21.0</v>
      </c>
      <c r="J104" s="4" t="s">
        <v>198</v>
      </c>
      <c r="K104" s="4">
        <v>11.0</v>
      </c>
      <c r="L104" s="4">
        <v>75.0</v>
      </c>
      <c r="M104" s="4" t="s">
        <v>382</v>
      </c>
      <c r="O104" s="4">
        <v>75.0</v>
      </c>
      <c r="S104" s="4">
        <v>1.0</v>
      </c>
      <c r="AF104" s="4">
        <v>1.0</v>
      </c>
      <c r="AL104" s="4">
        <v>12.0</v>
      </c>
      <c r="BL104" s="4">
        <v>25.0</v>
      </c>
      <c r="BQ104" s="4">
        <v>1.0</v>
      </c>
      <c r="CB104" s="4">
        <v>16.0</v>
      </c>
      <c r="EI104" s="4">
        <v>11.0</v>
      </c>
      <c r="EY104" s="4">
        <v>3.0</v>
      </c>
      <c r="FE104" s="4">
        <v>1.0</v>
      </c>
      <c r="FL104" s="4">
        <v>5.0</v>
      </c>
      <c r="FP104" s="4">
        <v>680.0</v>
      </c>
      <c r="FQ104" s="4">
        <v>920.0</v>
      </c>
      <c r="FZ104" s="4">
        <v>1.0</v>
      </c>
      <c r="GE104" s="25">
        <f t="shared" si="1"/>
        <v>13</v>
      </c>
      <c r="GF104" s="25">
        <f t="shared" si="2"/>
        <v>8</v>
      </c>
      <c r="GG104" s="25">
        <f t="shared" si="3"/>
        <v>7</v>
      </c>
      <c r="GH104" s="25">
        <f t="shared" si="4"/>
        <v>0.5345179695</v>
      </c>
      <c r="GI104" s="25">
        <f t="shared" si="5"/>
        <v>1677</v>
      </c>
      <c r="GJ104" s="25">
        <f t="shared" si="6"/>
        <v>1875</v>
      </c>
      <c r="GK104" s="25">
        <f t="shared" si="7"/>
        <v>198</v>
      </c>
    </row>
    <row r="105">
      <c r="A105" s="23">
        <v>42851.0</v>
      </c>
      <c r="B105" s="4" t="s">
        <v>293</v>
      </c>
      <c r="C105" s="4">
        <v>19.738602</v>
      </c>
      <c r="D105" s="4">
        <v>-155.038879</v>
      </c>
      <c r="E105" s="4" t="s">
        <v>383</v>
      </c>
      <c r="F105" s="24">
        <v>0.3993055555555556</v>
      </c>
      <c r="G105" s="24">
        <v>0.4548611111111111</v>
      </c>
      <c r="H105" s="4">
        <v>5.0</v>
      </c>
      <c r="I105" s="4">
        <v>22.0</v>
      </c>
      <c r="J105" s="4" t="s">
        <v>198</v>
      </c>
      <c r="K105" s="4">
        <v>6.0</v>
      </c>
      <c r="L105" s="4">
        <v>28.0</v>
      </c>
      <c r="M105" s="4" t="s">
        <v>384</v>
      </c>
      <c r="O105" s="4">
        <v>28.0</v>
      </c>
      <c r="BJ105" s="4">
        <v>12.0</v>
      </c>
      <c r="BL105" s="4">
        <v>222.0</v>
      </c>
      <c r="CB105" s="4">
        <v>5.0</v>
      </c>
      <c r="CN105" s="4">
        <v>2.0</v>
      </c>
      <c r="EI105" s="4">
        <v>4.0</v>
      </c>
      <c r="EO105" s="4">
        <v>1.0</v>
      </c>
      <c r="FQ105" s="4">
        <v>377.0</v>
      </c>
      <c r="FR105" s="4">
        <v>5.0</v>
      </c>
      <c r="GE105" s="25">
        <f t="shared" si="1"/>
        <v>8</v>
      </c>
      <c r="GF105" s="25">
        <f t="shared" si="2"/>
        <v>7</v>
      </c>
      <c r="GG105" s="25">
        <f t="shared" si="3"/>
        <v>5</v>
      </c>
      <c r="GH105" s="25">
        <f t="shared" si="4"/>
        <v>0.5149280265</v>
      </c>
      <c r="GI105" s="25">
        <f t="shared" si="5"/>
        <v>628</v>
      </c>
      <c r="GJ105" s="25">
        <f t="shared" si="6"/>
        <v>700</v>
      </c>
      <c r="GK105" s="25">
        <f t="shared" si="7"/>
        <v>72</v>
      </c>
    </row>
    <row r="106">
      <c r="A106" s="23">
        <v>42851.0</v>
      </c>
      <c r="B106" s="4" t="s">
        <v>216</v>
      </c>
      <c r="C106" s="4">
        <v>21.3002</v>
      </c>
      <c r="D106" s="4">
        <v>-157.882599</v>
      </c>
      <c r="E106" s="4" t="s">
        <v>385</v>
      </c>
      <c r="F106" s="24">
        <v>0.4027777777777778</v>
      </c>
      <c r="G106" s="24">
        <v>0.4479166666666667</v>
      </c>
      <c r="H106" s="4">
        <v>7.0</v>
      </c>
      <c r="I106" s="4">
        <v>16.0</v>
      </c>
      <c r="J106" s="4" t="s">
        <v>217</v>
      </c>
      <c r="K106" s="4">
        <v>5.0</v>
      </c>
      <c r="L106" s="4">
        <v>28.0</v>
      </c>
      <c r="M106" s="4" t="s">
        <v>386</v>
      </c>
      <c r="N106" s="4" t="s">
        <v>387</v>
      </c>
      <c r="O106" s="4">
        <v>28.0</v>
      </c>
      <c r="AA106" s="4">
        <v>2.0</v>
      </c>
      <c r="AL106" s="4">
        <v>39.0</v>
      </c>
      <c r="BL106" s="4">
        <v>28.0</v>
      </c>
      <c r="BV106" s="4">
        <v>2.0</v>
      </c>
      <c r="CB106" s="4">
        <v>15.0</v>
      </c>
      <c r="CC106" s="4">
        <v>7.0</v>
      </c>
      <c r="DH106" s="4">
        <v>1.0</v>
      </c>
      <c r="DN106" s="4">
        <v>4.0</v>
      </c>
      <c r="DQ106" s="4"/>
      <c r="DR106" s="4">
        <v>2.0</v>
      </c>
      <c r="EB106" s="4">
        <v>2.0</v>
      </c>
      <c r="EI106" s="4">
        <v>17.0</v>
      </c>
      <c r="FH106" s="4">
        <v>5.0</v>
      </c>
      <c r="FQ106" s="4">
        <v>285.0</v>
      </c>
      <c r="GE106" s="25">
        <f t="shared" si="1"/>
        <v>13</v>
      </c>
      <c r="GF106" s="25">
        <f t="shared" si="2"/>
        <v>12</v>
      </c>
      <c r="GG106" s="25">
        <f t="shared" si="3"/>
        <v>7</v>
      </c>
      <c r="GH106" s="25">
        <f t="shared" si="4"/>
        <v>0.4981662592</v>
      </c>
      <c r="GI106" s="25">
        <f t="shared" si="5"/>
        <v>409</v>
      </c>
      <c r="GJ106" s="25">
        <f t="shared" si="6"/>
        <v>700</v>
      </c>
      <c r="GK106" s="25">
        <f t="shared" si="7"/>
        <v>291</v>
      </c>
    </row>
    <row r="107">
      <c r="A107" s="23">
        <v>42852.0</v>
      </c>
      <c r="B107" s="4" t="s">
        <v>293</v>
      </c>
      <c r="C107" s="4">
        <v>19.738602</v>
      </c>
      <c r="D107" s="4">
        <v>-155.038879</v>
      </c>
      <c r="F107" s="24">
        <v>0.3611111111111111</v>
      </c>
      <c r="G107" s="24">
        <v>0.4583333333333333</v>
      </c>
      <c r="H107" s="4">
        <v>3.0</v>
      </c>
      <c r="I107" s="4">
        <v>10.0</v>
      </c>
      <c r="J107" s="4" t="s">
        <v>198</v>
      </c>
      <c r="K107" s="4">
        <v>5.0</v>
      </c>
      <c r="L107" s="4">
        <v>8.0</v>
      </c>
      <c r="M107" s="4" t="s">
        <v>388</v>
      </c>
      <c r="N107" s="4" t="s">
        <v>295</v>
      </c>
      <c r="O107" s="4">
        <v>8.0</v>
      </c>
      <c r="BJ107" s="4">
        <v>3.0</v>
      </c>
      <c r="BL107" s="4">
        <v>3.0</v>
      </c>
      <c r="CB107" s="4">
        <v>3.0</v>
      </c>
      <c r="CN107" s="4">
        <v>6.0</v>
      </c>
      <c r="DL107" s="4">
        <v>5.0</v>
      </c>
      <c r="DQ107" s="4">
        <v>4.0</v>
      </c>
      <c r="ES107" s="4"/>
      <c r="ET107" s="4"/>
      <c r="EU107" s="4">
        <v>5.0</v>
      </c>
      <c r="FA107" s="4">
        <v>10.0</v>
      </c>
      <c r="FQ107" s="4">
        <v>60.0</v>
      </c>
      <c r="FT107" s="4"/>
      <c r="FU107" s="4">
        <v>15.0</v>
      </c>
      <c r="GE107" s="25">
        <f t="shared" si="1"/>
        <v>10</v>
      </c>
      <c r="GF107" s="25">
        <f t="shared" si="2"/>
        <v>10</v>
      </c>
      <c r="GG107" s="25">
        <f t="shared" si="3"/>
        <v>6</v>
      </c>
      <c r="GH107" s="25">
        <f t="shared" si="4"/>
        <v>0.6941468716</v>
      </c>
      <c r="GI107" s="25">
        <f t="shared" si="5"/>
        <v>114</v>
      </c>
      <c r="GJ107" s="25">
        <f t="shared" si="6"/>
        <v>200</v>
      </c>
      <c r="GK107" s="25">
        <f t="shared" si="7"/>
        <v>86</v>
      </c>
    </row>
    <row r="108">
      <c r="A108" s="23">
        <v>42852.0</v>
      </c>
      <c r="B108" s="4" t="s">
        <v>201</v>
      </c>
      <c r="C108" s="4">
        <v>21.25544</v>
      </c>
      <c r="D108" s="4">
        <v>-157.810303</v>
      </c>
      <c r="E108" s="4" t="s">
        <v>389</v>
      </c>
      <c r="F108" s="24">
        <v>0.3784722222222222</v>
      </c>
      <c r="G108" s="24">
        <v>0.4236111111111111</v>
      </c>
      <c r="H108" s="4">
        <v>7.0</v>
      </c>
      <c r="I108" s="4">
        <v>12.0</v>
      </c>
      <c r="J108" s="4" t="s">
        <v>198</v>
      </c>
      <c r="K108" s="4">
        <v>6.0</v>
      </c>
      <c r="L108" s="4">
        <v>31.0</v>
      </c>
      <c r="M108" s="4" t="s">
        <v>390</v>
      </c>
      <c r="O108" s="4">
        <v>31.0</v>
      </c>
      <c r="AE108" s="4">
        <v>1.0</v>
      </c>
      <c r="AY108" s="4">
        <v>15.0</v>
      </c>
      <c r="BU108" s="4">
        <v>5.0</v>
      </c>
      <c r="BY108" s="4">
        <v>6.0</v>
      </c>
      <c r="DE108" s="4"/>
      <c r="DF108" s="4">
        <v>9.0</v>
      </c>
      <c r="DR108" s="4">
        <v>27.0</v>
      </c>
      <c r="EI108" s="4">
        <v>252.0</v>
      </c>
      <c r="FA108" s="4">
        <v>26.0</v>
      </c>
      <c r="FC108" s="4"/>
      <c r="FD108" s="4">
        <v>2.0</v>
      </c>
      <c r="FP108" s="4">
        <v>53.0</v>
      </c>
      <c r="FQ108" s="4">
        <v>178.0</v>
      </c>
      <c r="GE108" s="25">
        <f t="shared" si="1"/>
        <v>11</v>
      </c>
      <c r="GF108" s="25">
        <f t="shared" si="2"/>
        <v>10</v>
      </c>
      <c r="GG108" s="25">
        <f t="shared" si="3"/>
        <v>9</v>
      </c>
      <c r="GH108" s="25">
        <f t="shared" si="4"/>
        <v>0.698390402</v>
      </c>
      <c r="GI108" s="25">
        <f t="shared" si="5"/>
        <v>574</v>
      </c>
      <c r="GJ108" s="25">
        <f t="shared" si="6"/>
        <v>775</v>
      </c>
      <c r="GK108" s="25">
        <f t="shared" si="7"/>
        <v>201</v>
      </c>
    </row>
    <row r="109">
      <c r="A109" s="23">
        <v>42853.0</v>
      </c>
      <c r="B109" s="4" t="s">
        <v>374</v>
      </c>
      <c r="C109" s="4">
        <v>20.738001</v>
      </c>
      <c r="D109" s="4">
        <v>-156.895004</v>
      </c>
      <c r="E109" s="4" t="s">
        <v>391</v>
      </c>
      <c r="F109" s="24">
        <v>0.4708333333333333</v>
      </c>
      <c r="G109" s="24">
        <v>0.4986111111111111</v>
      </c>
      <c r="H109" s="4">
        <v>2.0</v>
      </c>
      <c r="I109" s="4">
        <v>25.0</v>
      </c>
      <c r="J109" s="4" t="s">
        <v>198</v>
      </c>
      <c r="K109" s="4">
        <v>13.0</v>
      </c>
      <c r="L109" s="4">
        <v>11.0</v>
      </c>
      <c r="M109" s="4" t="s">
        <v>392</v>
      </c>
      <c r="O109" s="4">
        <v>11.0</v>
      </c>
      <c r="BL109" s="4">
        <v>60.0</v>
      </c>
      <c r="CF109" s="4"/>
      <c r="CG109" s="4">
        <v>7.0</v>
      </c>
      <c r="CT109" s="4">
        <v>1.0</v>
      </c>
      <c r="EI109" s="4">
        <v>8.0</v>
      </c>
      <c r="FL109" s="4">
        <v>2.0</v>
      </c>
      <c r="FQ109" s="4">
        <v>73.0</v>
      </c>
      <c r="FS109" s="4">
        <v>16.0</v>
      </c>
      <c r="GE109" s="25">
        <f t="shared" si="1"/>
        <v>7</v>
      </c>
      <c r="GF109" s="25">
        <f t="shared" si="2"/>
        <v>6</v>
      </c>
      <c r="GG109" s="25">
        <f t="shared" si="3"/>
        <v>5</v>
      </c>
      <c r="GH109" s="25">
        <f t="shared" si="4"/>
        <v>0.670442248</v>
      </c>
      <c r="GI109" s="25">
        <f t="shared" si="5"/>
        <v>167</v>
      </c>
      <c r="GJ109" s="25">
        <f t="shared" si="6"/>
        <v>275</v>
      </c>
      <c r="GK109" s="25">
        <f t="shared" si="7"/>
        <v>108</v>
      </c>
    </row>
    <row r="110">
      <c r="A110" s="23">
        <v>42860.0</v>
      </c>
      <c r="B110" s="4" t="s">
        <v>244</v>
      </c>
      <c r="C110" s="4">
        <v>21.310612</v>
      </c>
      <c r="D110" s="4">
        <v>-158.00441</v>
      </c>
      <c r="E110" s="4" t="s">
        <v>278</v>
      </c>
      <c r="F110" s="24">
        <v>0.3854166666666667</v>
      </c>
      <c r="G110" s="24">
        <v>0.4583333333333333</v>
      </c>
      <c r="H110" s="4">
        <v>6.0</v>
      </c>
      <c r="I110" s="4">
        <v>12.0</v>
      </c>
      <c r="J110" s="4" t="s">
        <v>198</v>
      </c>
      <c r="K110" s="4">
        <v>5.0</v>
      </c>
      <c r="L110" s="4">
        <v>25.0</v>
      </c>
      <c r="M110" s="4" t="s">
        <v>393</v>
      </c>
      <c r="O110" s="4">
        <v>25.0</v>
      </c>
      <c r="Q110" s="4">
        <v>2.0</v>
      </c>
      <c r="AA110" s="4">
        <v>2.0</v>
      </c>
      <c r="AB110" s="4">
        <v>4.0</v>
      </c>
      <c r="AD110" s="4">
        <v>4.0</v>
      </c>
      <c r="AH110" s="4">
        <v>1.0</v>
      </c>
      <c r="AZ110" s="4"/>
      <c r="BA110" s="4">
        <v>1.0</v>
      </c>
      <c r="BD110" s="4">
        <v>1.0</v>
      </c>
      <c r="BE110" s="4">
        <v>1.0</v>
      </c>
      <c r="BL110" s="4">
        <v>30.0</v>
      </c>
      <c r="BR110" s="4">
        <v>3.0</v>
      </c>
      <c r="BU110" s="4">
        <v>2.0</v>
      </c>
      <c r="BY110" s="4">
        <v>54.0</v>
      </c>
      <c r="CR110" s="4">
        <v>5.0</v>
      </c>
      <c r="DE110" s="4"/>
      <c r="DF110" s="4">
        <v>3.0</v>
      </c>
      <c r="DL110" s="4">
        <v>27.0</v>
      </c>
      <c r="DN110" s="4">
        <v>5.0</v>
      </c>
      <c r="DT110" s="4"/>
      <c r="DU110" s="4">
        <v>1.0</v>
      </c>
      <c r="EI110" s="4">
        <v>305.0</v>
      </c>
      <c r="FH110" s="4">
        <v>24.0</v>
      </c>
      <c r="FM110" s="4">
        <v>1.0</v>
      </c>
      <c r="FQ110" s="4">
        <v>40.0</v>
      </c>
      <c r="GE110" s="25">
        <f t="shared" si="1"/>
        <v>21</v>
      </c>
      <c r="GF110" s="25">
        <f t="shared" si="2"/>
        <v>15</v>
      </c>
      <c r="GG110" s="25">
        <f t="shared" si="3"/>
        <v>8</v>
      </c>
      <c r="GH110" s="25">
        <f t="shared" si="4"/>
        <v>0.6261458569</v>
      </c>
      <c r="GI110" s="25">
        <f t="shared" si="5"/>
        <v>516</v>
      </c>
      <c r="GJ110" s="25">
        <f t="shared" si="6"/>
        <v>625</v>
      </c>
      <c r="GK110" s="25">
        <f t="shared" si="7"/>
        <v>109</v>
      </c>
    </row>
    <row r="111">
      <c r="A111" s="23">
        <v>42860.0</v>
      </c>
      <c r="B111" s="4" t="s">
        <v>394</v>
      </c>
      <c r="C111" s="4">
        <v>19.637501</v>
      </c>
      <c r="D111" s="4">
        <v>-155.993896</v>
      </c>
      <c r="E111" s="4" t="s">
        <v>367</v>
      </c>
      <c r="F111" s="24">
        <v>0.5104166666666666</v>
      </c>
      <c r="G111" s="24">
        <v>0.5104166666666666</v>
      </c>
      <c r="H111" s="4">
        <v>5.0</v>
      </c>
      <c r="I111" s="4">
        <v>25.0</v>
      </c>
      <c r="J111" s="4" t="s">
        <v>198</v>
      </c>
      <c r="K111" s="4">
        <v>10.0</v>
      </c>
      <c r="L111" s="4">
        <v>44.0</v>
      </c>
      <c r="M111" s="4" t="s">
        <v>395</v>
      </c>
      <c r="O111" s="4">
        <v>44.0</v>
      </c>
      <c r="R111" s="4">
        <v>6.0</v>
      </c>
      <c r="AL111" s="4">
        <v>61.0</v>
      </c>
      <c r="AW111" s="4">
        <v>51.0</v>
      </c>
      <c r="AZ111" s="4"/>
      <c r="BA111" s="4">
        <v>3.0</v>
      </c>
      <c r="BL111" s="4">
        <v>11.0</v>
      </c>
      <c r="BQ111" s="4">
        <v>12.0</v>
      </c>
      <c r="CB111" s="4">
        <v>24.0</v>
      </c>
      <c r="CC111" s="4">
        <v>7.0</v>
      </c>
      <c r="CR111" s="4">
        <v>6.0</v>
      </c>
      <c r="EI111" s="4">
        <v>10.0</v>
      </c>
      <c r="EW111" s="4">
        <v>5.0</v>
      </c>
      <c r="EY111" s="4">
        <v>5.0</v>
      </c>
      <c r="FA111" s="4">
        <v>35.0</v>
      </c>
      <c r="FQ111" s="4">
        <v>495.0</v>
      </c>
      <c r="FT111" s="4"/>
      <c r="FU111" s="4">
        <v>55.0</v>
      </c>
      <c r="FX111" s="4">
        <v>1.0</v>
      </c>
      <c r="GA111" s="4">
        <v>4.0</v>
      </c>
      <c r="GE111" s="25">
        <f t="shared" si="1"/>
        <v>17</v>
      </c>
      <c r="GF111" s="25">
        <f t="shared" si="2"/>
        <v>16</v>
      </c>
      <c r="GG111" s="25">
        <f t="shared" si="3"/>
        <v>14</v>
      </c>
      <c r="GH111" s="25">
        <f t="shared" si="4"/>
        <v>0.5904175135</v>
      </c>
      <c r="GI111" s="25">
        <f t="shared" si="5"/>
        <v>791</v>
      </c>
      <c r="GJ111" s="25">
        <f t="shared" si="6"/>
        <v>1100</v>
      </c>
      <c r="GK111" s="25">
        <f t="shared" si="7"/>
        <v>309</v>
      </c>
    </row>
    <row r="112">
      <c r="A112" s="23">
        <v>42865.0</v>
      </c>
      <c r="B112" s="4" t="s">
        <v>230</v>
      </c>
      <c r="C112" s="4">
        <v>20.7537</v>
      </c>
      <c r="D112" s="4">
        <v>-156.460907</v>
      </c>
      <c r="E112" s="4" t="s">
        <v>397</v>
      </c>
      <c r="F112" s="24">
        <v>0.3958333333333333</v>
      </c>
      <c r="G112" s="24">
        <v>0.4652777777777778</v>
      </c>
      <c r="H112" s="4">
        <v>4.0</v>
      </c>
      <c r="I112" s="4">
        <v>15.0</v>
      </c>
      <c r="J112" s="4" t="s">
        <v>398</v>
      </c>
      <c r="K112" s="4">
        <v>7.0</v>
      </c>
      <c r="L112" s="4">
        <v>24.0</v>
      </c>
      <c r="M112" s="4" t="s">
        <v>399</v>
      </c>
      <c r="O112" s="4">
        <v>24.0</v>
      </c>
      <c r="Q112" s="4">
        <v>170.0</v>
      </c>
      <c r="BL112" s="4">
        <v>148.0</v>
      </c>
      <c r="CT112" s="4">
        <v>1.0</v>
      </c>
      <c r="DE112" s="4">
        <v>3.0</v>
      </c>
      <c r="DF112" s="4">
        <v>4.0</v>
      </c>
      <c r="DN112" s="4">
        <v>1.0</v>
      </c>
      <c r="ES112" s="4"/>
      <c r="ET112" s="4"/>
      <c r="EU112" s="4">
        <v>4.0</v>
      </c>
      <c r="FQ112" s="4">
        <v>17.0</v>
      </c>
      <c r="FT112" s="4"/>
      <c r="FU112" s="4">
        <v>1.0</v>
      </c>
      <c r="GE112" s="25">
        <f t="shared" si="1"/>
        <v>9</v>
      </c>
      <c r="GF112" s="25">
        <f t="shared" si="2"/>
        <v>6</v>
      </c>
      <c r="GG112" s="25">
        <f t="shared" si="3"/>
        <v>3</v>
      </c>
      <c r="GH112" s="25">
        <f t="shared" si="4"/>
        <v>0.5818265652</v>
      </c>
      <c r="GI112" s="25">
        <f t="shared" si="5"/>
        <v>349</v>
      </c>
      <c r="GJ112" s="25">
        <f t="shared" si="6"/>
        <v>600</v>
      </c>
      <c r="GK112" s="25">
        <f t="shared" si="7"/>
        <v>251</v>
      </c>
    </row>
    <row r="113">
      <c r="A113" s="23">
        <v>42866.0</v>
      </c>
      <c r="B113" s="4" t="s">
        <v>400</v>
      </c>
      <c r="C113" s="4">
        <v>21.900562</v>
      </c>
      <c r="D113" s="4">
        <v>-159.609818</v>
      </c>
      <c r="E113" s="4" t="s">
        <v>401</v>
      </c>
      <c r="F113" s="24">
        <v>0.3680555555555556</v>
      </c>
      <c r="G113" s="24">
        <v>0.4131944444444444</v>
      </c>
      <c r="H113" s="4">
        <v>6.0</v>
      </c>
      <c r="I113" s="4">
        <v>15.0</v>
      </c>
      <c r="J113" s="4" t="s">
        <v>198</v>
      </c>
      <c r="K113" s="4">
        <v>5.0</v>
      </c>
      <c r="L113" s="4">
        <v>25.0</v>
      </c>
      <c r="M113" s="4" t="s">
        <v>402</v>
      </c>
      <c r="O113" s="4">
        <v>25.0</v>
      </c>
      <c r="AA113" s="4">
        <v>2.0</v>
      </c>
      <c r="AB113" s="4">
        <v>1.0</v>
      </c>
      <c r="BL113" s="4">
        <v>1.0</v>
      </c>
      <c r="BU113" s="4">
        <v>16.0</v>
      </c>
      <c r="BV113" s="4">
        <v>38.0</v>
      </c>
      <c r="CJ113" s="4">
        <v>5.0</v>
      </c>
      <c r="DD113" s="4">
        <v>1.0</v>
      </c>
      <c r="DI113" s="4">
        <v>3.0</v>
      </c>
      <c r="DM113" s="4">
        <v>2.0</v>
      </c>
      <c r="DR113" s="4">
        <v>2.0</v>
      </c>
      <c r="EI113" s="4">
        <v>69.0</v>
      </c>
      <c r="FA113" s="4">
        <v>2.0</v>
      </c>
      <c r="FB113" s="4">
        <v>1.0</v>
      </c>
      <c r="FQ113" s="4">
        <v>112.0</v>
      </c>
      <c r="FS113" s="4">
        <v>1.0</v>
      </c>
      <c r="GE113" s="25">
        <f t="shared" si="1"/>
        <v>15</v>
      </c>
      <c r="GF113" s="25">
        <f t="shared" si="2"/>
        <v>10</v>
      </c>
      <c r="GG113" s="25">
        <f t="shared" si="3"/>
        <v>5</v>
      </c>
      <c r="GH113" s="25">
        <f t="shared" si="4"/>
        <v>0.7119485294</v>
      </c>
      <c r="GI113" s="25">
        <f t="shared" si="5"/>
        <v>256</v>
      </c>
      <c r="GJ113" s="25">
        <f t="shared" si="6"/>
        <v>625</v>
      </c>
      <c r="GK113" s="25">
        <f t="shared" si="7"/>
        <v>369</v>
      </c>
    </row>
    <row r="114">
      <c r="A114" s="23">
        <v>42866.0</v>
      </c>
      <c r="B114" s="4" t="s">
        <v>244</v>
      </c>
      <c r="C114" s="4">
        <v>21.310612</v>
      </c>
      <c r="D114" s="4">
        <v>-158.00441</v>
      </c>
      <c r="E114" s="4" t="s">
        <v>278</v>
      </c>
      <c r="F114" s="24">
        <v>0.3854166666666667</v>
      </c>
      <c r="G114" s="24">
        <v>0.4583333333333333</v>
      </c>
      <c r="H114" s="4">
        <v>6.0</v>
      </c>
      <c r="I114" s="4">
        <v>11.0</v>
      </c>
      <c r="J114" s="4" t="s">
        <v>198</v>
      </c>
      <c r="K114" s="4">
        <v>5.0</v>
      </c>
      <c r="L114" s="4">
        <v>24.0</v>
      </c>
      <c r="M114" s="4" t="s">
        <v>403</v>
      </c>
      <c r="O114" s="4">
        <v>24.0</v>
      </c>
      <c r="Q114" s="4">
        <v>35.0</v>
      </c>
      <c r="AA114" s="4">
        <v>10.0</v>
      </c>
      <c r="AD114" s="4">
        <v>5.0</v>
      </c>
      <c r="AH114" s="4">
        <v>9.0</v>
      </c>
      <c r="AM114" s="4">
        <v>1.0</v>
      </c>
      <c r="AZ114" s="4"/>
      <c r="BA114" s="4">
        <v>5.0</v>
      </c>
      <c r="BD114" s="4">
        <v>5.0</v>
      </c>
      <c r="BL114" s="4">
        <v>1.0</v>
      </c>
      <c r="BN114" s="4"/>
      <c r="BO114" s="4">
        <v>1.0</v>
      </c>
      <c r="BP114" s="4">
        <v>1.0</v>
      </c>
      <c r="BU114" s="4">
        <v>11.0</v>
      </c>
      <c r="BY114" s="4">
        <v>2.0</v>
      </c>
      <c r="CJ114" s="4">
        <v>1.0</v>
      </c>
      <c r="CN114" s="4">
        <v>7.0</v>
      </c>
      <c r="DF114" s="4">
        <v>12.0</v>
      </c>
      <c r="DL114" s="4">
        <v>32.0</v>
      </c>
      <c r="DN114" s="4">
        <v>4.0</v>
      </c>
      <c r="DT114" s="4"/>
      <c r="DU114" s="4">
        <v>6.0</v>
      </c>
      <c r="EB114" s="4">
        <v>4.0</v>
      </c>
      <c r="EI114" s="4">
        <v>122.0</v>
      </c>
      <c r="EW114" s="4">
        <v>9.0</v>
      </c>
      <c r="FA114" s="4">
        <v>13.0</v>
      </c>
      <c r="FG114" s="4">
        <v>1.0</v>
      </c>
      <c r="FH114" s="4">
        <v>10.0</v>
      </c>
      <c r="FQ114" s="4">
        <v>32.0</v>
      </c>
      <c r="FT114" s="4"/>
      <c r="FU114" s="4">
        <v>6.0</v>
      </c>
      <c r="GD114" s="4">
        <v>35.0</v>
      </c>
      <c r="GE114" s="25">
        <f t="shared" si="1"/>
        <v>27</v>
      </c>
      <c r="GF114" s="25">
        <f t="shared" si="2"/>
        <v>21</v>
      </c>
      <c r="GG114" s="25">
        <f t="shared" si="3"/>
        <v>18</v>
      </c>
      <c r="GH114" s="25">
        <f t="shared" si="4"/>
        <v>0.8608804333</v>
      </c>
      <c r="GI114" s="25">
        <f t="shared" si="5"/>
        <v>380</v>
      </c>
      <c r="GJ114" s="25">
        <f t="shared" si="6"/>
        <v>600</v>
      </c>
      <c r="GK114" s="25">
        <f t="shared" si="7"/>
        <v>220</v>
      </c>
    </row>
    <row r="115">
      <c r="A115" s="23">
        <v>42867.0</v>
      </c>
      <c r="B115" s="4" t="s">
        <v>216</v>
      </c>
      <c r="C115" s="4">
        <v>21.3002</v>
      </c>
      <c r="D115" s="4">
        <v>-157.882599</v>
      </c>
      <c r="E115" s="4" t="s">
        <v>299</v>
      </c>
      <c r="F115" s="24">
        <v>0.4583333333333333</v>
      </c>
      <c r="G115" s="24">
        <v>0.5104166666666666</v>
      </c>
      <c r="H115" s="4">
        <v>4.0</v>
      </c>
      <c r="I115" s="4">
        <v>20.0</v>
      </c>
      <c r="J115" s="4" t="s">
        <v>217</v>
      </c>
      <c r="K115" s="4">
        <v>10.0</v>
      </c>
      <c r="L115" s="4">
        <v>32.0</v>
      </c>
      <c r="M115" s="4" t="s">
        <v>404</v>
      </c>
      <c r="O115" s="4">
        <v>32.0</v>
      </c>
      <c r="R115" s="4">
        <v>2.0</v>
      </c>
      <c r="AH115" s="4">
        <v>1.0</v>
      </c>
      <c r="AL115" s="4">
        <v>6.0</v>
      </c>
      <c r="BL115" s="4">
        <v>45.0</v>
      </c>
      <c r="BM115" s="4">
        <v>16.0</v>
      </c>
      <c r="BP115" s="4">
        <v>7.0</v>
      </c>
      <c r="CB115" s="4">
        <v>2.0</v>
      </c>
      <c r="DR115" s="4">
        <v>6.0</v>
      </c>
      <c r="EB115" s="4">
        <v>17.0</v>
      </c>
      <c r="EI115" s="4">
        <v>2.0</v>
      </c>
      <c r="FI115" s="4"/>
      <c r="FJ115" s="4"/>
      <c r="FK115" s="4">
        <v>1.0</v>
      </c>
      <c r="FP115" s="4">
        <v>4.0</v>
      </c>
      <c r="FQ115" s="4">
        <v>455.0</v>
      </c>
      <c r="GE115" s="25">
        <f t="shared" si="1"/>
        <v>13</v>
      </c>
      <c r="GF115" s="25">
        <f t="shared" si="2"/>
        <v>11</v>
      </c>
      <c r="GG115" s="25">
        <f t="shared" si="3"/>
        <v>7</v>
      </c>
      <c r="GH115" s="25">
        <f t="shared" si="4"/>
        <v>0.3412254513</v>
      </c>
      <c r="GI115" s="25">
        <f t="shared" si="5"/>
        <v>564</v>
      </c>
      <c r="GJ115" s="25">
        <f t="shared" si="6"/>
        <v>800</v>
      </c>
      <c r="GK115" s="25">
        <f t="shared" si="7"/>
        <v>236</v>
      </c>
    </row>
    <row r="116">
      <c r="A116" s="23">
        <v>42879.0</v>
      </c>
      <c r="B116" s="4" t="s">
        <v>247</v>
      </c>
      <c r="C116" s="4">
        <v>19.488199</v>
      </c>
      <c r="D116" s="4">
        <v>-154.819305</v>
      </c>
      <c r="E116" s="4" t="s">
        <v>289</v>
      </c>
      <c r="F116" s="24">
        <v>0.3854166666666667</v>
      </c>
      <c r="G116" s="24">
        <v>0.46875</v>
      </c>
      <c r="H116" s="4">
        <v>5.0</v>
      </c>
      <c r="I116" s="4">
        <v>20.0</v>
      </c>
      <c r="J116" s="4" t="s">
        <v>198</v>
      </c>
      <c r="K116" s="4">
        <v>5.0</v>
      </c>
      <c r="L116" s="4">
        <v>25.0</v>
      </c>
      <c r="O116" s="4">
        <v>25.0</v>
      </c>
      <c r="AE116" s="4">
        <v>3.0</v>
      </c>
      <c r="AH116" s="4">
        <v>1.0</v>
      </c>
      <c r="AL116" s="4">
        <v>22.0</v>
      </c>
      <c r="BL116" s="4">
        <v>22.0</v>
      </c>
      <c r="BM116" s="4">
        <v>3.0</v>
      </c>
      <c r="CB116" s="4">
        <v>3.0</v>
      </c>
      <c r="EJ116" s="4">
        <v>2.0</v>
      </c>
      <c r="EO116" s="4">
        <v>2.0</v>
      </c>
      <c r="EQ116" s="4">
        <v>4.0</v>
      </c>
      <c r="FE116" s="4">
        <v>1.0</v>
      </c>
      <c r="FH116" s="4">
        <v>1.0</v>
      </c>
      <c r="FL116" s="4">
        <v>15.0</v>
      </c>
      <c r="FQ116" s="4">
        <v>514.0</v>
      </c>
      <c r="GE116" s="25">
        <f t="shared" si="1"/>
        <v>13</v>
      </c>
      <c r="GF116" s="25">
        <f t="shared" si="2"/>
        <v>10</v>
      </c>
      <c r="GG116" s="25">
        <f t="shared" si="3"/>
        <v>4</v>
      </c>
      <c r="GH116" s="25">
        <f t="shared" si="4"/>
        <v>0.2455619616</v>
      </c>
      <c r="GI116" s="25">
        <f t="shared" si="5"/>
        <v>593</v>
      </c>
      <c r="GJ116" s="25">
        <f t="shared" si="6"/>
        <v>625</v>
      </c>
      <c r="GK116" s="25">
        <f t="shared" si="7"/>
        <v>32</v>
      </c>
    </row>
    <row r="117">
      <c r="A117" s="23">
        <v>42908.0</v>
      </c>
      <c r="B117" s="4" t="s">
        <v>246</v>
      </c>
      <c r="C117" s="4">
        <v>21.2882</v>
      </c>
      <c r="D117" s="4">
        <v>-157.667999</v>
      </c>
      <c r="E117" s="4" t="s">
        <v>197</v>
      </c>
      <c r="F117" s="24">
        <v>0.3194444444444444</v>
      </c>
      <c r="G117" s="24">
        <v>0.3958333333333333</v>
      </c>
      <c r="H117" s="4">
        <v>3.0</v>
      </c>
      <c r="I117" s="4">
        <v>20.0</v>
      </c>
      <c r="J117" s="4" t="s">
        <v>217</v>
      </c>
      <c r="K117" s="4">
        <v>10.0</v>
      </c>
      <c r="L117" s="4">
        <v>26.0</v>
      </c>
      <c r="M117" s="4" t="s">
        <v>405</v>
      </c>
      <c r="O117" s="4">
        <v>26.0</v>
      </c>
      <c r="T117" s="4">
        <v>1.0</v>
      </c>
      <c r="V117" s="4"/>
      <c r="W117" s="4">
        <v>1.0</v>
      </c>
      <c r="AA117" s="4">
        <v>111.0</v>
      </c>
      <c r="AG117" s="4">
        <v>3.0</v>
      </c>
      <c r="AL117" s="4">
        <v>4.0</v>
      </c>
      <c r="AV117" s="4">
        <v>10.0</v>
      </c>
      <c r="AZ117" s="4"/>
      <c r="BA117" s="4">
        <v>1.0</v>
      </c>
      <c r="BC117" s="4">
        <v>3.0</v>
      </c>
      <c r="BE117" s="4">
        <v>9.0</v>
      </c>
      <c r="BJ117" s="4">
        <v>16.0</v>
      </c>
      <c r="BL117" s="4">
        <v>7.0</v>
      </c>
      <c r="BM117" s="4">
        <v>18.0</v>
      </c>
      <c r="BP117" s="4">
        <v>4.0</v>
      </c>
      <c r="BY117" s="4">
        <v>22.0</v>
      </c>
      <c r="CB117" s="4">
        <v>1.0</v>
      </c>
      <c r="CF117" s="4"/>
      <c r="CG117" s="4">
        <v>4.0</v>
      </c>
      <c r="CJ117" s="4">
        <v>42.0</v>
      </c>
      <c r="CK117" s="4">
        <v>3.0</v>
      </c>
      <c r="CP117" s="4"/>
      <c r="CQ117" s="4">
        <v>3.0</v>
      </c>
      <c r="CT117" s="4">
        <v>2.0</v>
      </c>
      <c r="DD117" s="4">
        <v>2.0</v>
      </c>
      <c r="DF117" s="4">
        <v>1.0</v>
      </c>
      <c r="DL117" s="4">
        <v>8.0</v>
      </c>
      <c r="DM117" s="4">
        <v>3.0</v>
      </c>
      <c r="DN117" s="4">
        <v>3.0</v>
      </c>
      <c r="DT117" s="4"/>
      <c r="DU117" s="4">
        <v>27.0</v>
      </c>
      <c r="EI117" s="4">
        <v>1.0</v>
      </c>
      <c r="EJ117" s="4">
        <v>3.0</v>
      </c>
      <c r="EK117" s="4"/>
      <c r="EL117" s="4">
        <v>1.0</v>
      </c>
      <c r="ES117" s="4"/>
      <c r="ET117" s="4"/>
      <c r="EU117" s="4">
        <v>52.0</v>
      </c>
      <c r="FC117" s="4"/>
      <c r="FD117" s="4">
        <v>1.0</v>
      </c>
      <c r="FE117" s="4">
        <v>3.0</v>
      </c>
      <c r="FL117" s="4">
        <v>7.0</v>
      </c>
      <c r="FP117" s="4">
        <v>3.0</v>
      </c>
      <c r="FQ117" s="4">
        <v>218.0</v>
      </c>
      <c r="FV117" s="4">
        <v>1.0</v>
      </c>
      <c r="GB117" s="4">
        <v>6.0</v>
      </c>
      <c r="GE117" s="25">
        <f t="shared" si="1"/>
        <v>37</v>
      </c>
      <c r="GF117" s="25">
        <f t="shared" si="2"/>
        <v>28</v>
      </c>
      <c r="GG117" s="25">
        <f t="shared" si="3"/>
        <v>14</v>
      </c>
      <c r="GH117" s="25">
        <f t="shared" si="4"/>
        <v>0.8193147611</v>
      </c>
      <c r="GI117" s="25">
        <f t="shared" si="5"/>
        <v>605</v>
      </c>
      <c r="GJ117" s="25">
        <f t="shared" si="6"/>
        <v>650</v>
      </c>
      <c r="GK117" s="25">
        <f t="shared" si="7"/>
        <v>45</v>
      </c>
    </row>
    <row r="118">
      <c r="A118" s="23">
        <v>42910.0</v>
      </c>
      <c r="B118" s="4" t="s">
        <v>219</v>
      </c>
      <c r="C118" s="4">
        <v>21.295799</v>
      </c>
      <c r="D118" s="4">
        <v>-158.103699</v>
      </c>
      <c r="E118" s="4" t="s">
        <v>197</v>
      </c>
      <c r="F118" s="24">
        <v>0.3472222222222222</v>
      </c>
      <c r="G118" s="24">
        <v>0.4583333333333333</v>
      </c>
      <c r="H118" s="4">
        <v>4.0</v>
      </c>
      <c r="I118" s="4">
        <v>24.0</v>
      </c>
      <c r="J118" s="4" t="s">
        <v>227</v>
      </c>
      <c r="K118" s="4">
        <v>8.0</v>
      </c>
      <c r="L118" s="4">
        <v>27.0</v>
      </c>
      <c r="M118" s="4" t="s">
        <v>406</v>
      </c>
      <c r="O118" s="4">
        <v>27.0</v>
      </c>
      <c r="Q118" s="4">
        <v>6.0</v>
      </c>
      <c r="V118" s="4"/>
      <c r="W118" s="4">
        <v>3.0</v>
      </c>
      <c r="AA118" s="4">
        <v>27.0</v>
      </c>
      <c r="AD118" s="4">
        <v>1.0</v>
      </c>
      <c r="AH118" s="4">
        <v>8.0</v>
      </c>
      <c r="AL118" s="4">
        <v>10.0</v>
      </c>
      <c r="AV118" s="4">
        <v>3.0</v>
      </c>
      <c r="AZ118" s="4">
        <v>7.0</v>
      </c>
      <c r="BA118" s="4">
        <v>42.0</v>
      </c>
      <c r="BB118" s="4">
        <v>3.0</v>
      </c>
      <c r="BC118" s="4">
        <v>5.0</v>
      </c>
      <c r="BD118" s="4">
        <v>2.0</v>
      </c>
      <c r="BG118" s="4">
        <v>2.0</v>
      </c>
      <c r="BL118" s="4">
        <v>7.0</v>
      </c>
      <c r="BM118" s="4">
        <v>4.0</v>
      </c>
      <c r="BP118" s="4">
        <v>6.0</v>
      </c>
      <c r="BU118" s="4">
        <v>8.0</v>
      </c>
      <c r="BV118" s="4">
        <v>10.0</v>
      </c>
      <c r="BW118" s="4">
        <v>3.0</v>
      </c>
      <c r="BX118" s="4">
        <v>4.0</v>
      </c>
      <c r="BY118" s="4">
        <v>34.0</v>
      </c>
      <c r="CP118" s="4"/>
      <c r="CQ118" s="4">
        <v>6.0</v>
      </c>
      <c r="CR118" s="4">
        <v>29.0</v>
      </c>
      <c r="CZ118" s="4">
        <v>1.0</v>
      </c>
      <c r="DC118" s="4">
        <v>4.0</v>
      </c>
      <c r="DD118" s="4">
        <v>6.0</v>
      </c>
      <c r="DF118" s="4">
        <v>20.0</v>
      </c>
      <c r="DI118" s="4">
        <v>1.0</v>
      </c>
      <c r="DJ118" s="4">
        <v>6.0</v>
      </c>
      <c r="DK118" s="4">
        <v>28.0</v>
      </c>
      <c r="DL118" s="4">
        <v>105.0</v>
      </c>
      <c r="DN118" s="4">
        <v>2.0</v>
      </c>
      <c r="DP118" s="4">
        <v>5.0</v>
      </c>
      <c r="DR118" s="4">
        <v>1.0</v>
      </c>
      <c r="DT118" s="4"/>
      <c r="DU118" s="4">
        <v>2.0</v>
      </c>
      <c r="EB118" s="4">
        <v>3.0</v>
      </c>
      <c r="EI118" s="4">
        <v>61.0</v>
      </c>
      <c r="EJ118" s="4">
        <v>23.0</v>
      </c>
      <c r="EK118" s="4">
        <v>4.0</v>
      </c>
      <c r="ES118" s="4">
        <v>2.0</v>
      </c>
      <c r="EZ118" s="4">
        <v>9.0</v>
      </c>
      <c r="FA118" s="4">
        <v>38.0</v>
      </c>
      <c r="FC118" s="4"/>
      <c r="FD118" s="4">
        <v>1.0</v>
      </c>
      <c r="FE118" s="4">
        <v>21.0</v>
      </c>
      <c r="FH118" s="4">
        <v>9.0</v>
      </c>
      <c r="FL118" s="4">
        <v>3.0</v>
      </c>
      <c r="FP118" s="4">
        <v>2.0</v>
      </c>
      <c r="FQ118" s="4">
        <v>18.0</v>
      </c>
      <c r="FV118" s="4">
        <v>7.0</v>
      </c>
      <c r="GE118" s="25">
        <f t="shared" si="1"/>
        <v>49</v>
      </c>
      <c r="GF118" s="25">
        <f t="shared" si="2"/>
        <v>44</v>
      </c>
      <c r="GG118" s="25">
        <f t="shared" si="3"/>
        <v>28</v>
      </c>
      <c r="GH118" s="25">
        <f t="shared" si="4"/>
        <v>0.9369938919</v>
      </c>
      <c r="GI118" s="25">
        <f t="shared" si="5"/>
        <v>612</v>
      </c>
      <c r="GJ118" s="25">
        <f t="shared" si="6"/>
        <v>675</v>
      </c>
      <c r="GK118" s="25">
        <f t="shared" si="7"/>
        <v>63</v>
      </c>
    </row>
    <row r="119">
      <c r="A119" s="23">
        <v>42911.0</v>
      </c>
      <c r="B119" s="4" t="s">
        <v>250</v>
      </c>
      <c r="C119" s="4">
        <v>21.4104</v>
      </c>
      <c r="D119" s="4">
        <v>-158.177704</v>
      </c>
      <c r="E119" s="4" t="s">
        <v>197</v>
      </c>
      <c r="F119" s="24">
        <v>0.375</v>
      </c>
      <c r="G119" s="24">
        <v>0.4583333333333333</v>
      </c>
      <c r="H119" s="4">
        <v>3.0</v>
      </c>
      <c r="I119" s="4">
        <v>33.0</v>
      </c>
      <c r="J119" s="4" t="s">
        <v>227</v>
      </c>
      <c r="K119" s="4">
        <v>12.0</v>
      </c>
      <c r="L119" s="4">
        <v>26.0</v>
      </c>
      <c r="M119" s="4" t="s">
        <v>407</v>
      </c>
      <c r="O119" s="4">
        <v>26.0</v>
      </c>
      <c r="Q119" s="4">
        <v>159.0</v>
      </c>
      <c r="AA119" s="4">
        <v>5.0</v>
      </c>
      <c r="AC119" s="4">
        <v>7.0</v>
      </c>
      <c r="AL119" s="4">
        <v>1.0</v>
      </c>
      <c r="AV119" s="4">
        <v>2.0</v>
      </c>
      <c r="AX119" s="4">
        <v>1.0</v>
      </c>
      <c r="BA119" s="4">
        <v>5.0</v>
      </c>
      <c r="BJ119" s="4">
        <v>2.0</v>
      </c>
      <c r="BL119" s="4">
        <v>8.0</v>
      </c>
      <c r="BM119" s="4">
        <v>7.0</v>
      </c>
      <c r="BP119" s="4">
        <v>6.0</v>
      </c>
      <c r="BY119" s="4">
        <v>42.0</v>
      </c>
      <c r="CB119" s="4">
        <v>2.0</v>
      </c>
      <c r="CC119" s="4">
        <v>1.0</v>
      </c>
      <c r="CI119" s="4">
        <v>10.0</v>
      </c>
      <c r="CJ119" s="4">
        <v>64.0</v>
      </c>
      <c r="CK119" s="4">
        <v>11.0</v>
      </c>
      <c r="CM119" s="4">
        <v>6.0</v>
      </c>
      <c r="CN119" s="4">
        <v>29.0</v>
      </c>
      <c r="CP119" s="4">
        <v>1.0</v>
      </c>
      <c r="CZ119" s="4">
        <v>1.0</v>
      </c>
      <c r="DD119" s="4">
        <v>1.0</v>
      </c>
      <c r="DE119" s="4">
        <v>8.0</v>
      </c>
      <c r="DF119" s="4">
        <v>30.0</v>
      </c>
      <c r="DL119" s="4">
        <v>34.0</v>
      </c>
      <c r="EJ119" s="4">
        <v>1.0</v>
      </c>
      <c r="EK119" s="4">
        <v>1.0</v>
      </c>
      <c r="ET119" s="4"/>
      <c r="EU119" s="4">
        <v>25.0</v>
      </c>
      <c r="EW119" s="4">
        <v>150.0</v>
      </c>
      <c r="FI119" s="4"/>
      <c r="FJ119" s="4"/>
      <c r="FK119" s="4">
        <v>1.0</v>
      </c>
      <c r="FQ119" s="4">
        <v>13.0</v>
      </c>
      <c r="FR119" s="4">
        <v>2.0</v>
      </c>
      <c r="GE119" s="25">
        <f t="shared" si="1"/>
        <v>32</v>
      </c>
      <c r="GF119" s="25">
        <f t="shared" si="2"/>
        <v>23</v>
      </c>
      <c r="GG119" s="25">
        <f t="shared" si="3"/>
        <v>19</v>
      </c>
      <c r="GH119" s="25">
        <f t="shared" si="4"/>
        <v>0.8581439113</v>
      </c>
      <c r="GI119" s="25">
        <f t="shared" si="5"/>
        <v>636</v>
      </c>
      <c r="GJ119" s="25">
        <f t="shared" si="6"/>
        <v>650</v>
      </c>
      <c r="GK119" s="25">
        <f t="shared" si="7"/>
        <v>14</v>
      </c>
    </row>
    <row r="120">
      <c r="A120" s="23">
        <v>43134.0</v>
      </c>
      <c r="B120" s="4" t="s">
        <v>201</v>
      </c>
      <c r="C120" s="4">
        <v>21.25544</v>
      </c>
      <c r="D120" s="4">
        <v>-157.810303</v>
      </c>
      <c r="E120" s="4" t="s">
        <v>197</v>
      </c>
      <c r="F120" s="24">
        <v>0.4895833333333333</v>
      </c>
      <c r="G120" s="24">
        <v>0.5625</v>
      </c>
      <c r="H120" s="4">
        <v>3.0</v>
      </c>
      <c r="I120" s="4">
        <v>13.0</v>
      </c>
      <c r="J120" s="4" t="s">
        <v>198</v>
      </c>
      <c r="K120" s="4">
        <v>13.0</v>
      </c>
      <c r="L120" s="4">
        <v>35.0</v>
      </c>
      <c r="M120" s="4" t="s">
        <v>408</v>
      </c>
      <c r="O120" s="4">
        <v>35.0</v>
      </c>
      <c r="Q120" s="4">
        <v>11.0</v>
      </c>
      <c r="AD120" s="4">
        <v>1.0</v>
      </c>
      <c r="AE120" s="4">
        <v>1.0</v>
      </c>
      <c r="AH120" s="4">
        <v>4.0</v>
      </c>
      <c r="BD120" s="4">
        <v>3.0</v>
      </c>
      <c r="BL120" s="4">
        <v>29.0</v>
      </c>
      <c r="BP120" s="4">
        <v>8.0</v>
      </c>
      <c r="BU120" s="4">
        <v>6.0</v>
      </c>
      <c r="BX120" s="4">
        <v>10.0</v>
      </c>
      <c r="BY120" s="4">
        <v>6.0</v>
      </c>
      <c r="CO120" s="4"/>
      <c r="CP120" s="4"/>
      <c r="CQ120" s="4"/>
      <c r="CR120" s="4">
        <v>4.0</v>
      </c>
      <c r="DE120" s="4"/>
      <c r="DF120" s="4">
        <v>1.0</v>
      </c>
      <c r="DL120" s="4">
        <v>58.0</v>
      </c>
      <c r="DQ120" s="4"/>
      <c r="DR120" s="4">
        <v>28.0</v>
      </c>
      <c r="DS120" s="4"/>
      <c r="DT120" s="4"/>
      <c r="DU120" s="4">
        <v>9.0</v>
      </c>
      <c r="DZ120" s="4">
        <v>1.0</v>
      </c>
      <c r="EB120" s="4">
        <v>3.0</v>
      </c>
      <c r="ED120" s="4"/>
      <c r="EE120" s="4"/>
      <c r="EF120" s="4"/>
      <c r="EG120" s="4"/>
      <c r="EH120" s="4"/>
      <c r="EI120" s="4">
        <v>145.0</v>
      </c>
      <c r="EK120" s="4"/>
      <c r="EL120" s="4"/>
      <c r="EM120" s="4">
        <v>4.0</v>
      </c>
      <c r="FA120" s="4">
        <v>47.0</v>
      </c>
      <c r="FB120" s="4">
        <v>2.0</v>
      </c>
      <c r="FH120" s="4">
        <v>5.0</v>
      </c>
      <c r="FP120" s="4">
        <v>84.0</v>
      </c>
      <c r="FQ120" s="4">
        <v>139.0</v>
      </c>
      <c r="GD120" s="4">
        <v>1.0</v>
      </c>
      <c r="GE120" s="25">
        <f t="shared" si="1"/>
        <v>25</v>
      </c>
      <c r="GF120" s="25">
        <f t="shared" si="2"/>
        <v>20</v>
      </c>
      <c r="GG120" s="25">
        <f t="shared" si="3"/>
        <v>14</v>
      </c>
      <c r="GH120" s="25">
        <f t="shared" si="4"/>
        <v>0.8532181216</v>
      </c>
      <c r="GI120" s="25">
        <f t="shared" si="5"/>
        <v>610</v>
      </c>
      <c r="GJ120" s="25">
        <f t="shared" si="6"/>
        <v>875</v>
      </c>
      <c r="GK120" s="25">
        <f t="shared" si="7"/>
        <v>265</v>
      </c>
    </row>
    <row r="121">
      <c r="A121" s="23">
        <v>43148.0</v>
      </c>
      <c r="B121" s="4" t="s">
        <v>244</v>
      </c>
      <c r="C121" s="4">
        <v>21.310612</v>
      </c>
      <c r="D121" s="4">
        <v>-158.00441</v>
      </c>
      <c r="E121" s="4" t="s">
        <v>197</v>
      </c>
      <c r="F121" s="24">
        <v>0.4986111111111111</v>
      </c>
      <c r="G121" s="24">
        <v>0.56875</v>
      </c>
      <c r="H121" s="4">
        <v>3.0</v>
      </c>
      <c r="I121" s="4">
        <v>11.0</v>
      </c>
      <c r="J121" s="4" t="s">
        <v>198</v>
      </c>
      <c r="K121" s="4">
        <v>11.0</v>
      </c>
      <c r="L121" s="4">
        <v>29.0</v>
      </c>
      <c r="M121" s="4" t="s">
        <v>409</v>
      </c>
      <c r="O121" s="4">
        <v>29.0</v>
      </c>
      <c r="Q121" s="4">
        <v>7.0</v>
      </c>
      <c r="X121" s="4"/>
      <c r="Y121" s="4"/>
      <c r="Z121" s="4"/>
      <c r="AA121" s="4">
        <v>1.0</v>
      </c>
      <c r="AD121" s="4">
        <v>19.0</v>
      </c>
      <c r="AH121" s="4">
        <v>13.0</v>
      </c>
      <c r="AI121" s="4"/>
      <c r="AJ121" s="4"/>
      <c r="AK121" s="4"/>
      <c r="AL121" s="4">
        <v>7.0</v>
      </c>
      <c r="AP121" s="4"/>
      <c r="AQ121" s="4">
        <v>2.0</v>
      </c>
      <c r="AR121" s="4">
        <v>4.0</v>
      </c>
      <c r="AZ121" s="4"/>
      <c r="BA121" s="4">
        <v>5.0</v>
      </c>
      <c r="BB121" s="4">
        <v>2.0</v>
      </c>
      <c r="BD121" s="4">
        <v>1.0</v>
      </c>
      <c r="BL121" s="4">
        <v>30.0</v>
      </c>
      <c r="BP121" s="4">
        <v>6.0</v>
      </c>
      <c r="BT121" s="4">
        <v>4.0</v>
      </c>
      <c r="BU121" s="4">
        <v>10.0</v>
      </c>
      <c r="BV121" s="4">
        <v>8.0</v>
      </c>
      <c r="BW121" s="4">
        <v>7.0</v>
      </c>
      <c r="BX121" s="4">
        <v>13.0</v>
      </c>
      <c r="BY121" s="4">
        <v>36.0</v>
      </c>
      <c r="CO121" s="4"/>
      <c r="CP121" s="4"/>
      <c r="CQ121" s="4">
        <v>5.0</v>
      </c>
      <c r="CR121" s="4">
        <v>2.0</v>
      </c>
      <c r="CS121" s="4">
        <v>3.0</v>
      </c>
      <c r="CU121" s="4">
        <v>1.0</v>
      </c>
      <c r="DC121" s="4">
        <v>5.0</v>
      </c>
      <c r="DE121" s="4"/>
      <c r="DF121" s="4">
        <v>1.0</v>
      </c>
      <c r="DJ121" s="4"/>
      <c r="DK121" s="4">
        <v>2.0</v>
      </c>
      <c r="DL121" s="4">
        <v>7.0</v>
      </c>
      <c r="DN121" s="4">
        <v>6.0</v>
      </c>
      <c r="DS121" s="4"/>
      <c r="DT121" s="4"/>
      <c r="DU121" s="4">
        <v>18.0</v>
      </c>
      <c r="EB121" s="4">
        <v>4.0</v>
      </c>
      <c r="ED121" s="4"/>
      <c r="EE121" s="4"/>
      <c r="EF121" s="4"/>
      <c r="EG121" s="4"/>
      <c r="EH121" s="4"/>
      <c r="EI121" s="4">
        <v>161.0</v>
      </c>
      <c r="EN121" s="4">
        <v>8.0</v>
      </c>
      <c r="FQ121" s="4">
        <v>154.0</v>
      </c>
      <c r="FT121" s="4"/>
      <c r="FU121" s="4">
        <v>1.0</v>
      </c>
      <c r="GE121" s="25">
        <f t="shared" si="1"/>
        <v>33</v>
      </c>
      <c r="GF121" s="25">
        <f t="shared" si="2"/>
        <v>28</v>
      </c>
      <c r="GG121" s="25">
        <f t="shared" si="3"/>
        <v>20</v>
      </c>
      <c r="GH121" s="25">
        <f t="shared" si="4"/>
        <v>0.8265324842</v>
      </c>
      <c r="GI121" s="25">
        <f t="shared" si="5"/>
        <v>553</v>
      </c>
      <c r="GJ121" s="25">
        <f t="shared" si="6"/>
        <v>725</v>
      </c>
      <c r="GK121" s="25">
        <f t="shared" si="7"/>
        <v>172</v>
      </c>
    </row>
    <row r="122">
      <c r="A122" s="23">
        <v>43160.0</v>
      </c>
      <c r="B122" s="4" t="s">
        <v>219</v>
      </c>
      <c r="C122" s="4">
        <v>21.295799</v>
      </c>
      <c r="D122" s="4">
        <v>-158.103699</v>
      </c>
      <c r="E122" s="4" t="s">
        <v>333</v>
      </c>
      <c r="F122" s="24">
        <v>0.375</v>
      </c>
      <c r="G122" s="24">
        <v>0.4513888888888889</v>
      </c>
      <c r="H122" s="4">
        <v>10.0</v>
      </c>
      <c r="I122" s="4">
        <v>10.0</v>
      </c>
      <c r="J122" s="4" t="s">
        <v>318</v>
      </c>
      <c r="K122" s="4">
        <v>5.0</v>
      </c>
      <c r="L122" s="4">
        <v>46.0</v>
      </c>
      <c r="M122" s="4" t="s">
        <v>410</v>
      </c>
      <c r="N122" s="4" t="s">
        <v>411</v>
      </c>
      <c r="O122" s="4">
        <v>39.0</v>
      </c>
      <c r="Q122" s="4">
        <v>4.0</v>
      </c>
      <c r="T122" s="4"/>
      <c r="U122" s="4"/>
      <c r="V122" s="4"/>
      <c r="W122" s="4">
        <v>4.0</v>
      </c>
      <c r="X122" s="4"/>
      <c r="Y122" s="4">
        <v>12.0</v>
      </c>
      <c r="Z122" s="4"/>
      <c r="AA122" s="4">
        <v>10.0</v>
      </c>
      <c r="AB122" s="4">
        <v>20.0</v>
      </c>
      <c r="AD122" s="4">
        <v>5.0</v>
      </c>
      <c r="AH122" s="4">
        <v>10.0</v>
      </c>
      <c r="AM122" s="4">
        <v>6.0</v>
      </c>
      <c r="BB122" s="4">
        <v>8.0</v>
      </c>
      <c r="BC122" s="4">
        <v>8.0</v>
      </c>
      <c r="BD122" s="4">
        <v>6.0</v>
      </c>
      <c r="BL122" s="4">
        <v>14.0</v>
      </c>
      <c r="BM122" s="4">
        <v>27.0</v>
      </c>
      <c r="BP122" s="4">
        <v>40.0</v>
      </c>
      <c r="BU122" s="4">
        <v>44.0</v>
      </c>
      <c r="BY122" s="4">
        <v>25.0</v>
      </c>
      <c r="CR122" s="4">
        <v>31.0</v>
      </c>
      <c r="CT122" s="4">
        <v>1.0</v>
      </c>
      <c r="DC122" s="4">
        <v>3.0</v>
      </c>
      <c r="DE122" s="4"/>
      <c r="DF122" s="4">
        <v>1.0</v>
      </c>
      <c r="DL122" s="4">
        <v>23.0</v>
      </c>
      <c r="DM122" s="4">
        <v>1.0</v>
      </c>
      <c r="DN122" s="4">
        <v>1.0</v>
      </c>
      <c r="DO122" s="4">
        <v>1.0</v>
      </c>
      <c r="DQ122" s="4"/>
      <c r="DR122" s="4">
        <v>5.0</v>
      </c>
      <c r="DS122" s="4"/>
      <c r="DT122" s="4"/>
      <c r="DU122" s="4">
        <v>4.0</v>
      </c>
      <c r="EB122" s="4">
        <v>40.0</v>
      </c>
      <c r="ED122" s="4"/>
      <c r="EE122" s="4"/>
      <c r="EF122" s="4"/>
      <c r="EG122" s="4"/>
      <c r="EH122" s="4"/>
      <c r="EI122" s="4">
        <v>272.0</v>
      </c>
      <c r="FA122" s="4">
        <v>15.0</v>
      </c>
      <c r="FE122" s="4">
        <v>3.0</v>
      </c>
      <c r="FH122" s="4">
        <v>15.0</v>
      </c>
      <c r="FQ122" s="4">
        <v>75.0</v>
      </c>
      <c r="GD122" s="4">
        <v>1.0</v>
      </c>
      <c r="GE122" s="25">
        <f t="shared" si="1"/>
        <v>33</v>
      </c>
      <c r="GF122" s="25">
        <f t="shared" si="2"/>
        <v>27</v>
      </c>
      <c r="GG122" s="25">
        <f t="shared" si="3"/>
        <v>22</v>
      </c>
      <c r="GH122" s="25">
        <f t="shared" si="4"/>
        <v>0.8358338431</v>
      </c>
      <c r="GI122" s="25">
        <f t="shared" si="5"/>
        <v>735</v>
      </c>
      <c r="GJ122" s="25">
        <f t="shared" si="6"/>
        <v>975</v>
      </c>
      <c r="GK122" s="25">
        <f t="shared" si="7"/>
        <v>240</v>
      </c>
    </row>
    <row r="123">
      <c r="A123" s="23">
        <v>43160.0</v>
      </c>
      <c r="B123" s="4" t="s">
        <v>233</v>
      </c>
      <c r="C123" s="36">
        <v>21.066799</v>
      </c>
      <c r="D123" s="36">
        <v>-156.804993</v>
      </c>
      <c r="E123" s="4" t="s">
        <v>286</v>
      </c>
      <c r="F123" s="24">
        <v>0.3958333333333333</v>
      </c>
      <c r="G123" s="24">
        <v>0.4388888888888889</v>
      </c>
      <c r="H123" s="4">
        <v>4.0</v>
      </c>
      <c r="I123" s="4">
        <v>9.0</v>
      </c>
      <c r="J123" s="4" t="s">
        <v>198</v>
      </c>
      <c r="K123" s="4">
        <v>9.0</v>
      </c>
      <c r="L123" s="4">
        <v>28.0</v>
      </c>
      <c r="M123" s="4" t="s">
        <v>412</v>
      </c>
      <c r="O123" s="4">
        <v>28.0</v>
      </c>
      <c r="X123" s="4"/>
      <c r="Y123" s="4">
        <v>7.0</v>
      </c>
      <c r="AP123" s="4"/>
      <c r="AZ123" s="4"/>
      <c r="BA123" s="4">
        <v>15.0</v>
      </c>
      <c r="BH123" s="4"/>
      <c r="BI123" s="4"/>
      <c r="BJ123" s="4"/>
      <c r="BL123" s="4">
        <v>70.0</v>
      </c>
      <c r="BU123" s="4"/>
      <c r="BY123" s="4">
        <v>1.0</v>
      </c>
      <c r="CB123" s="4"/>
      <c r="CC123" s="4"/>
      <c r="CD123" s="4"/>
      <c r="CE123" s="4"/>
      <c r="CH123" s="4"/>
      <c r="CN123" s="4">
        <v>5.0</v>
      </c>
      <c r="DL123" s="4">
        <v>25.0</v>
      </c>
      <c r="DW123" s="4"/>
      <c r="ED123" s="4"/>
      <c r="EE123" s="4"/>
      <c r="EI123" s="4">
        <v>101.0</v>
      </c>
      <c r="EO123" s="4"/>
      <c r="ER123" s="4"/>
      <c r="FA123" s="4">
        <v>4.0</v>
      </c>
      <c r="FE123" s="4">
        <v>11.0</v>
      </c>
      <c r="FF123" s="4"/>
      <c r="FG123" s="4">
        <v>1.0</v>
      </c>
      <c r="FL123" s="4"/>
      <c r="FQ123" s="4">
        <v>6.0</v>
      </c>
      <c r="GE123" s="25">
        <f t="shared" si="1"/>
        <v>11</v>
      </c>
      <c r="GF123" s="25">
        <f t="shared" si="2"/>
        <v>9</v>
      </c>
      <c r="GG123" s="25">
        <f t="shared" si="3"/>
        <v>8</v>
      </c>
      <c r="GH123" s="25">
        <f t="shared" si="4"/>
        <v>0.7352911896</v>
      </c>
      <c r="GI123" s="25">
        <f t="shared" si="5"/>
        <v>246</v>
      </c>
      <c r="GJ123" s="25">
        <f t="shared" si="6"/>
        <v>700</v>
      </c>
      <c r="GK123" s="25">
        <f t="shared" si="7"/>
        <v>454</v>
      </c>
    </row>
    <row r="124">
      <c r="A124" s="23">
        <v>43163.0</v>
      </c>
      <c r="B124" s="4" t="s">
        <v>293</v>
      </c>
      <c r="C124" s="4">
        <v>19.738602</v>
      </c>
      <c r="D124" s="4">
        <v>-155.038879</v>
      </c>
      <c r="E124" s="4" t="s">
        <v>197</v>
      </c>
      <c r="F124" s="24">
        <v>0.4270833333333333</v>
      </c>
      <c r="G124" s="24">
        <v>0.53125</v>
      </c>
      <c r="H124" s="4">
        <v>3.0</v>
      </c>
      <c r="I124" s="4">
        <v>21.0</v>
      </c>
      <c r="J124" s="4" t="s">
        <v>415</v>
      </c>
      <c r="K124" s="4">
        <v>14.0</v>
      </c>
      <c r="L124" s="4">
        <v>25.0</v>
      </c>
      <c r="M124" s="4" t="s">
        <v>416</v>
      </c>
      <c r="O124" s="4">
        <v>25.0</v>
      </c>
      <c r="AP124" s="4">
        <v>1.0</v>
      </c>
      <c r="BH124" s="4"/>
      <c r="BI124" s="4"/>
      <c r="BJ124" s="4">
        <v>2.0</v>
      </c>
      <c r="BL124" s="4">
        <v>79.0</v>
      </c>
      <c r="BU124" s="4">
        <v>2.0</v>
      </c>
      <c r="CB124" s="4">
        <v>9.0</v>
      </c>
      <c r="CC124" s="4">
        <v>2.0</v>
      </c>
      <c r="CD124" s="4">
        <v>2.0</v>
      </c>
      <c r="CE124" s="4">
        <v>1.0</v>
      </c>
      <c r="CH124" s="4">
        <v>1.0</v>
      </c>
      <c r="CN124" s="4">
        <v>8.0</v>
      </c>
      <c r="DW124" s="4">
        <v>6.0</v>
      </c>
      <c r="ED124" s="4"/>
      <c r="EE124" s="4">
        <v>2.0</v>
      </c>
      <c r="EO124" s="4">
        <v>1.0</v>
      </c>
      <c r="ER124" s="4">
        <v>5.0</v>
      </c>
      <c r="FF124" s="4">
        <v>1.0</v>
      </c>
      <c r="FL124" s="4">
        <v>65.0</v>
      </c>
      <c r="FQ124" s="4">
        <v>236.0</v>
      </c>
      <c r="GE124" s="25">
        <f t="shared" si="1"/>
        <v>17</v>
      </c>
      <c r="GF124" s="25">
        <f t="shared" si="2"/>
        <v>12</v>
      </c>
      <c r="GG124" s="25">
        <f t="shared" si="3"/>
        <v>7</v>
      </c>
      <c r="GH124" s="25">
        <f t="shared" si="4"/>
        <v>0.6304325905</v>
      </c>
      <c r="GI124" s="25">
        <f t="shared" si="5"/>
        <v>423</v>
      </c>
      <c r="GJ124" s="25">
        <f t="shared" si="6"/>
        <v>625</v>
      </c>
      <c r="GK124" s="25">
        <f t="shared" si="7"/>
        <v>202</v>
      </c>
    </row>
    <row r="125">
      <c r="A125" s="23">
        <v>43207.0</v>
      </c>
      <c r="B125" s="4" t="s">
        <v>244</v>
      </c>
      <c r="C125" s="4">
        <v>21.310612</v>
      </c>
      <c r="D125" s="4">
        <v>-158.00441</v>
      </c>
      <c r="E125" s="4" t="s">
        <v>326</v>
      </c>
      <c r="F125" s="24">
        <v>0.3854166666666667</v>
      </c>
      <c r="G125" s="24">
        <v>0.4444444444444444</v>
      </c>
      <c r="H125" s="4">
        <v>9.0</v>
      </c>
      <c r="I125" s="4">
        <v>8.0</v>
      </c>
      <c r="J125" s="4" t="s">
        <v>198</v>
      </c>
      <c r="K125" s="4">
        <v>5.0</v>
      </c>
      <c r="L125" s="4">
        <v>30.0</v>
      </c>
      <c r="M125" s="4" t="s">
        <v>417</v>
      </c>
      <c r="N125" s="4" t="s">
        <v>396</v>
      </c>
      <c r="O125" s="4">
        <v>30.0</v>
      </c>
      <c r="T125" s="4"/>
      <c r="U125" s="4"/>
      <c r="V125" s="4"/>
      <c r="W125" s="4">
        <v>2.0</v>
      </c>
      <c r="Z125" s="4"/>
      <c r="AA125" s="4">
        <v>22.0</v>
      </c>
      <c r="AD125" s="4">
        <v>6.0</v>
      </c>
      <c r="AH125" s="4">
        <v>7.0</v>
      </c>
      <c r="BB125" s="4">
        <v>2.0</v>
      </c>
      <c r="BD125" s="4">
        <v>24.0</v>
      </c>
      <c r="BL125" s="4">
        <v>27.0</v>
      </c>
      <c r="BU125" s="4">
        <v>9.0</v>
      </c>
      <c r="BY125" s="4">
        <v>10.0</v>
      </c>
      <c r="CI125" s="4"/>
      <c r="CJ125" s="4">
        <v>19.0</v>
      </c>
      <c r="CR125" s="4">
        <v>1.0</v>
      </c>
      <c r="DL125" s="4">
        <v>7.0</v>
      </c>
      <c r="DN125" s="4">
        <v>1.0</v>
      </c>
      <c r="DS125" s="4"/>
      <c r="DT125" s="4"/>
      <c r="DU125" s="4">
        <v>21.0</v>
      </c>
      <c r="DY125" s="4">
        <v>1.0</v>
      </c>
      <c r="EB125" s="4">
        <v>5.0</v>
      </c>
      <c r="EF125" s="4"/>
      <c r="EG125" s="4"/>
      <c r="EH125" s="4"/>
      <c r="EI125" s="4">
        <v>306.0</v>
      </c>
      <c r="FA125" s="4">
        <v>11.0</v>
      </c>
      <c r="FH125" s="4">
        <v>1.0</v>
      </c>
      <c r="FQ125" s="4">
        <v>90.0</v>
      </c>
      <c r="FT125" s="4"/>
      <c r="FU125" s="4">
        <v>4.0</v>
      </c>
      <c r="GE125" s="25">
        <f t="shared" si="1"/>
        <v>21</v>
      </c>
      <c r="GF125" s="25">
        <f t="shared" si="2"/>
        <v>17</v>
      </c>
      <c r="GG125" s="25">
        <f t="shared" si="3"/>
        <v>14</v>
      </c>
      <c r="GH125" s="25">
        <f t="shared" si="4"/>
        <v>0.6852657005</v>
      </c>
      <c r="GI125" s="25">
        <f t="shared" si="5"/>
        <v>576</v>
      </c>
      <c r="GJ125" s="25">
        <f t="shared" si="6"/>
        <v>750</v>
      </c>
      <c r="GK125" s="25">
        <f t="shared" si="7"/>
        <v>174</v>
      </c>
    </row>
    <row r="126">
      <c r="A126" s="23">
        <v>43212.0</v>
      </c>
      <c r="B126" s="4" t="s">
        <v>293</v>
      </c>
      <c r="C126" s="4">
        <v>19.738602</v>
      </c>
      <c r="D126" s="4">
        <v>-155.038879</v>
      </c>
      <c r="E126" s="4" t="s">
        <v>418</v>
      </c>
      <c r="F126" s="24">
        <v>0.5541666666666667</v>
      </c>
      <c r="G126" s="24">
        <v>0.6458333333333334</v>
      </c>
      <c r="H126" s="4">
        <v>3.0</v>
      </c>
      <c r="I126" s="4">
        <v>18.0</v>
      </c>
      <c r="J126" s="4" t="s">
        <v>415</v>
      </c>
      <c r="K126" s="4">
        <v>10.0</v>
      </c>
      <c r="L126" s="4">
        <v>23.0</v>
      </c>
      <c r="M126" s="4" t="s">
        <v>419</v>
      </c>
      <c r="O126" s="4">
        <v>23.0</v>
      </c>
      <c r="BH126" s="4"/>
      <c r="BI126" s="4"/>
      <c r="BJ126" s="4">
        <v>10.0</v>
      </c>
      <c r="BL126" s="4">
        <v>1.0</v>
      </c>
      <c r="CB126" s="4">
        <v>11.0</v>
      </c>
      <c r="CC126" s="4">
        <v>13.0</v>
      </c>
      <c r="CU126" s="4">
        <v>2.0</v>
      </c>
      <c r="FL126" s="4">
        <v>24.0</v>
      </c>
      <c r="FM126" s="4"/>
      <c r="FN126" s="4">
        <v>1.0</v>
      </c>
      <c r="FQ126" s="4">
        <v>363.0</v>
      </c>
      <c r="GE126" s="25">
        <f t="shared" si="1"/>
        <v>8</v>
      </c>
      <c r="GF126" s="25">
        <f t="shared" si="2"/>
        <v>6</v>
      </c>
      <c r="GG126" s="25">
        <f t="shared" si="3"/>
        <v>5</v>
      </c>
      <c r="GH126" s="25">
        <f t="shared" si="4"/>
        <v>0.26572697</v>
      </c>
      <c r="GI126" s="25">
        <f t="shared" si="5"/>
        <v>425</v>
      </c>
      <c r="GJ126" s="25">
        <f t="shared" si="6"/>
        <v>575</v>
      </c>
      <c r="GK126" s="25">
        <f t="shared" si="7"/>
        <v>150</v>
      </c>
    </row>
    <row r="127">
      <c r="A127" s="23">
        <v>43214.0</v>
      </c>
      <c r="B127" s="4" t="s">
        <v>244</v>
      </c>
      <c r="C127" s="4">
        <v>21.310612</v>
      </c>
      <c r="D127" s="4">
        <v>-158.00441</v>
      </c>
      <c r="E127" s="4" t="s">
        <v>326</v>
      </c>
      <c r="F127" s="24">
        <v>0.375</v>
      </c>
      <c r="G127" s="24">
        <v>0.4444444444444444</v>
      </c>
      <c r="H127" s="4">
        <v>6.0</v>
      </c>
      <c r="I127" s="4">
        <v>8.0</v>
      </c>
      <c r="J127" s="4" t="s">
        <v>217</v>
      </c>
      <c r="K127" s="4">
        <v>4.0</v>
      </c>
      <c r="L127" s="4">
        <v>20.0</v>
      </c>
      <c r="M127" s="4" t="s">
        <v>421</v>
      </c>
      <c r="O127" s="4">
        <v>20.0</v>
      </c>
      <c r="Q127" s="4">
        <v>1.0</v>
      </c>
      <c r="Z127" s="4"/>
      <c r="AA127" s="4">
        <v>4.0</v>
      </c>
      <c r="AB127" s="4">
        <v>1.0</v>
      </c>
      <c r="AD127" s="4">
        <v>3.0</v>
      </c>
      <c r="AH127" s="4">
        <v>2.0</v>
      </c>
      <c r="BD127" s="4">
        <v>13.0</v>
      </c>
      <c r="BU127" s="4">
        <v>13.0</v>
      </c>
      <c r="BY127" s="4">
        <v>35.0</v>
      </c>
      <c r="CN127" s="4">
        <v>1.0</v>
      </c>
      <c r="CR127" s="4">
        <v>2.0</v>
      </c>
      <c r="DE127" s="4"/>
      <c r="DF127" s="4">
        <v>4.0</v>
      </c>
      <c r="DL127" s="4">
        <v>2.0</v>
      </c>
      <c r="DN127" s="4">
        <v>1.0</v>
      </c>
      <c r="DS127" s="4"/>
      <c r="DT127" s="4"/>
      <c r="DU127" s="4">
        <v>5.0</v>
      </c>
      <c r="EB127" s="4">
        <v>3.0</v>
      </c>
      <c r="EF127" s="4"/>
      <c r="EG127" s="4"/>
      <c r="EH127" s="4">
        <v>25.0</v>
      </c>
      <c r="EI127" s="4">
        <v>208.0</v>
      </c>
      <c r="ES127" s="4"/>
      <c r="ET127" s="4"/>
      <c r="EU127" s="4">
        <v>4.0</v>
      </c>
      <c r="EV127" s="4">
        <v>1.0</v>
      </c>
      <c r="FA127" s="4">
        <v>28.0</v>
      </c>
      <c r="FE127" s="4">
        <v>22.0</v>
      </c>
      <c r="FP127" s="4">
        <v>3.0</v>
      </c>
      <c r="FQ127" s="4">
        <v>11.0</v>
      </c>
      <c r="GD127" s="4">
        <v>9.0</v>
      </c>
      <c r="GE127" s="25">
        <f t="shared" si="1"/>
        <v>24</v>
      </c>
      <c r="GF127" s="25">
        <f t="shared" si="2"/>
        <v>19</v>
      </c>
      <c r="GG127" s="25">
        <f t="shared" si="3"/>
        <v>10</v>
      </c>
      <c r="GH127" s="25">
        <f t="shared" si="4"/>
        <v>0.7092394015</v>
      </c>
      <c r="GI127" s="25">
        <f t="shared" si="5"/>
        <v>401</v>
      </c>
      <c r="GJ127" s="25">
        <f t="shared" si="6"/>
        <v>500</v>
      </c>
      <c r="GK127" s="25">
        <f t="shared" si="7"/>
        <v>99</v>
      </c>
    </row>
    <row r="128">
      <c r="A128" s="23">
        <v>43214.0</v>
      </c>
      <c r="B128" s="4" t="s">
        <v>201</v>
      </c>
      <c r="C128" s="4">
        <v>21.25544</v>
      </c>
      <c r="D128" s="4">
        <v>-157.810303</v>
      </c>
      <c r="E128" s="4" t="s">
        <v>422</v>
      </c>
      <c r="F128" s="24">
        <v>0.3854166666666667</v>
      </c>
      <c r="G128" s="24">
        <v>0.4097222222222222</v>
      </c>
      <c r="H128" s="4">
        <v>7.0</v>
      </c>
      <c r="I128" s="4">
        <v>12.0</v>
      </c>
      <c r="J128" s="4" t="s">
        <v>198</v>
      </c>
      <c r="K128" s="4">
        <v>5.0</v>
      </c>
      <c r="L128" s="4">
        <v>25.0</v>
      </c>
      <c r="M128" s="4" t="s">
        <v>523</v>
      </c>
      <c r="N128" s="4" t="s">
        <v>424</v>
      </c>
      <c r="O128" s="4">
        <v>25.0</v>
      </c>
      <c r="AD128" s="4">
        <v>4.0</v>
      </c>
      <c r="AH128" s="4">
        <v>2.0</v>
      </c>
      <c r="AU128" s="4">
        <v>1.0</v>
      </c>
      <c r="AZ128" s="4"/>
      <c r="BA128" s="4">
        <v>3.0</v>
      </c>
      <c r="BD128" s="4">
        <v>1.0</v>
      </c>
      <c r="BE128" s="4">
        <v>3.0</v>
      </c>
      <c r="BL128" s="4">
        <v>4.0</v>
      </c>
      <c r="BP128" s="4">
        <v>46.0</v>
      </c>
      <c r="BU128" s="4">
        <v>2.0</v>
      </c>
      <c r="BY128" s="4">
        <v>11.0</v>
      </c>
      <c r="CD128" s="4">
        <v>1.0</v>
      </c>
      <c r="DL128" s="4">
        <v>5.0</v>
      </c>
      <c r="DQ128" s="4"/>
      <c r="DR128" s="4">
        <v>5.0</v>
      </c>
      <c r="EI128" s="4">
        <v>315.0</v>
      </c>
      <c r="FA128" s="4">
        <v>5.0</v>
      </c>
      <c r="FE128" s="4">
        <v>5.0</v>
      </c>
      <c r="FP128" s="4">
        <v>34.0</v>
      </c>
      <c r="FQ128" s="4">
        <v>23.0</v>
      </c>
      <c r="FT128" s="4"/>
      <c r="FU128" s="4">
        <v>4.0</v>
      </c>
      <c r="FY128" s="4"/>
      <c r="FZ128" s="4">
        <v>2.0</v>
      </c>
      <c r="GD128" s="4">
        <v>2.0</v>
      </c>
      <c r="GE128" s="25">
        <f t="shared" si="1"/>
        <v>21</v>
      </c>
      <c r="GF128" s="25">
        <f t="shared" si="2"/>
        <v>18</v>
      </c>
      <c r="GG128" s="25">
        <f t="shared" si="3"/>
        <v>9</v>
      </c>
      <c r="GH128" s="25">
        <f t="shared" si="4"/>
        <v>0.548897836</v>
      </c>
      <c r="GI128" s="25">
        <f t="shared" si="5"/>
        <v>478</v>
      </c>
      <c r="GJ128" s="25">
        <f t="shared" si="6"/>
        <v>625</v>
      </c>
      <c r="GK128" s="25">
        <f t="shared" si="7"/>
        <v>147</v>
      </c>
    </row>
    <row r="129">
      <c r="A129" s="23">
        <v>43215.0</v>
      </c>
      <c r="B129" s="4" t="s">
        <v>340</v>
      </c>
      <c r="C129" s="4">
        <v>19.643276</v>
      </c>
      <c r="D129" s="4">
        <v>-156.010193</v>
      </c>
      <c r="E129" s="4" t="s">
        <v>381</v>
      </c>
      <c r="F129" s="24">
        <v>0.3159722222222222</v>
      </c>
      <c r="G129" s="24">
        <v>0.34375</v>
      </c>
      <c r="H129" s="4">
        <v>5.0</v>
      </c>
      <c r="I129" s="4">
        <v>21.0</v>
      </c>
      <c r="J129" s="4" t="s">
        <v>198</v>
      </c>
      <c r="K129" s="4">
        <v>11.0</v>
      </c>
      <c r="L129" s="4">
        <v>50.0</v>
      </c>
      <c r="M129" s="4" t="s">
        <v>425</v>
      </c>
      <c r="O129" s="4">
        <v>50.0</v>
      </c>
      <c r="R129" s="4">
        <v>7.0</v>
      </c>
      <c r="AI129" s="4"/>
      <c r="AJ129" s="4"/>
      <c r="AK129" s="4"/>
      <c r="AL129" s="4">
        <v>371.0</v>
      </c>
      <c r="BL129" s="4">
        <v>8.0</v>
      </c>
      <c r="CB129" s="4">
        <v>23.0</v>
      </c>
      <c r="CC129" s="4">
        <v>7.0</v>
      </c>
      <c r="EA129" s="4">
        <v>1.0</v>
      </c>
      <c r="FE129" s="4">
        <v>12.0</v>
      </c>
      <c r="FL129" s="4">
        <v>7.0</v>
      </c>
      <c r="FP129" s="4">
        <v>1.0</v>
      </c>
      <c r="FQ129" s="4">
        <v>398.0</v>
      </c>
      <c r="FR129" s="4">
        <v>6.0</v>
      </c>
      <c r="GE129" s="25">
        <f t="shared" si="1"/>
        <v>11</v>
      </c>
      <c r="GF129" s="25">
        <f t="shared" si="2"/>
        <v>9</v>
      </c>
      <c r="GG129" s="25">
        <f t="shared" si="3"/>
        <v>9</v>
      </c>
      <c r="GH129" s="25">
        <f t="shared" si="4"/>
        <v>0.5808193194</v>
      </c>
      <c r="GI129" s="25">
        <f t="shared" si="5"/>
        <v>841</v>
      </c>
      <c r="GJ129" s="25">
        <f t="shared" si="6"/>
        <v>1250</v>
      </c>
      <c r="GK129" s="25">
        <f t="shared" si="7"/>
        <v>409</v>
      </c>
    </row>
    <row r="130">
      <c r="A130" s="23">
        <v>43216.0</v>
      </c>
      <c r="B130" s="4" t="s">
        <v>329</v>
      </c>
      <c r="C130" s="4">
        <v>21.1408</v>
      </c>
      <c r="D130" s="4">
        <v>-157.290115</v>
      </c>
      <c r="E130" s="4" t="s">
        <v>330</v>
      </c>
      <c r="F130" s="24">
        <v>0.3958333333333333</v>
      </c>
      <c r="G130" s="24">
        <v>0.4236111111111111</v>
      </c>
      <c r="H130" s="4">
        <v>5.0</v>
      </c>
      <c r="I130" s="4">
        <v>9.5</v>
      </c>
      <c r="J130" s="4" t="s">
        <v>318</v>
      </c>
      <c r="K130" s="4">
        <v>5.0</v>
      </c>
      <c r="L130" s="4">
        <v>23.0</v>
      </c>
      <c r="M130" s="4" t="s">
        <v>426</v>
      </c>
      <c r="O130" s="4">
        <v>23.0</v>
      </c>
      <c r="R130" s="4">
        <v>4.0</v>
      </c>
      <c r="BD130" s="4">
        <v>8.0</v>
      </c>
      <c r="BY130" s="4">
        <v>9.0</v>
      </c>
      <c r="CR130" s="4">
        <v>24.0</v>
      </c>
      <c r="DL130" s="4">
        <v>4.0</v>
      </c>
      <c r="DN130" s="4">
        <v>10.0</v>
      </c>
      <c r="EI130" s="4">
        <v>34.0</v>
      </c>
      <c r="FC130" s="4"/>
      <c r="FD130" s="4">
        <v>6.0</v>
      </c>
      <c r="FO130" s="4">
        <v>10.0</v>
      </c>
      <c r="FQ130" s="4">
        <v>128.0</v>
      </c>
      <c r="GE130" s="25">
        <f t="shared" si="1"/>
        <v>10</v>
      </c>
      <c r="GF130" s="25">
        <f t="shared" si="2"/>
        <v>10</v>
      </c>
      <c r="GG130" s="25">
        <f t="shared" si="3"/>
        <v>8</v>
      </c>
      <c r="GH130" s="25">
        <f t="shared" si="4"/>
        <v>0.6729600229</v>
      </c>
      <c r="GI130" s="25">
        <f t="shared" si="5"/>
        <v>237</v>
      </c>
      <c r="GJ130" s="25">
        <f t="shared" si="6"/>
        <v>575</v>
      </c>
      <c r="GK130" s="25">
        <f t="shared" si="7"/>
        <v>338</v>
      </c>
    </row>
    <row r="131">
      <c r="A131" s="23">
        <v>43230.0</v>
      </c>
      <c r="B131" s="4" t="s">
        <v>201</v>
      </c>
      <c r="C131" s="4">
        <v>21.25544</v>
      </c>
      <c r="D131" s="4">
        <v>-157.810303</v>
      </c>
      <c r="E131" s="4" t="s">
        <v>299</v>
      </c>
      <c r="F131" s="24">
        <v>0.3611111111111111</v>
      </c>
      <c r="G131" s="24">
        <v>0.4027777777777778</v>
      </c>
      <c r="H131" s="4">
        <v>5.0</v>
      </c>
      <c r="I131" s="4">
        <v>16.0</v>
      </c>
      <c r="J131" s="4" t="s">
        <v>217</v>
      </c>
      <c r="K131" s="4">
        <v>8.0</v>
      </c>
      <c r="L131" s="4">
        <v>25.0</v>
      </c>
      <c r="M131" s="4" t="s">
        <v>427</v>
      </c>
      <c r="O131" s="4">
        <v>25.0</v>
      </c>
      <c r="R131" s="4">
        <v>1.0</v>
      </c>
      <c r="AZ131" s="4"/>
      <c r="BA131" s="4">
        <v>6.0</v>
      </c>
      <c r="BM131" s="4">
        <v>5.0</v>
      </c>
      <c r="BP131" s="4">
        <v>8.0</v>
      </c>
      <c r="BY131" s="4">
        <v>13.0</v>
      </c>
      <c r="DE131" s="4"/>
      <c r="DF131" s="4">
        <v>6.0</v>
      </c>
      <c r="DL131" s="4">
        <v>8.0</v>
      </c>
      <c r="DO131" s="4">
        <v>3.0</v>
      </c>
      <c r="DS131" s="4"/>
      <c r="DT131" s="4"/>
      <c r="DU131" s="4">
        <v>2.0</v>
      </c>
      <c r="ED131" s="4"/>
      <c r="EE131" s="4">
        <v>7.0</v>
      </c>
      <c r="EI131" s="4">
        <v>208.0</v>
      </c>
      <c r="EX131" s="4"/>
      <c r="EY131" s="4">
        <v>1.0</v>
      </c>
      <c r="FA131" s="4">
        <v>51.0</v>
      </c>
      <c r="FP131" s="4">
        <v>38.0</v>
      </c>
      <c r="FQ131" s="4">
        <v>51.0</v>
      </c>
      <c r="GE131" s="25">
        <f t="shared" si="1"/>
        <v>15</v>
      </c>
      <c r="GF131" s="25">
        <f t="shared" si="2"/>
        <v>13</v>
      </c>
      <c r="GG131" s="25">
        <f t="shared" si="3"/>
        <v>11</v>
      </c>
      <c r="GH131" s="25">
        <f t="shared" si="4"/>
        <v>0.6991376403</v>
      </c>
      <c r="GI131" s="25">
        <f t="shared" si="5"/>
        <v>408</v>
      </c>
      <c r="GJ131" s="25">
        <f t="shared" si="6"/>
        <v>625</v>
      </c>
      <c r="GK131" s="25">
        <f t="shared" si="7"/>
        <v>217</v>
      </c>
    </row>
    <row r="132">
      <c r="A132" s="23">
        <v>43231.0</v>
      </c>
      <c r="B132" s="4" t="s">
        <v>201</v>
      </c>
      <c r="C132" s="4">
        <v>21.25544</v>
      </c>
      <c r="D132" s="4">
        <v>-157.810303</v>
      </c>
      <c r="E132" s="4" t="s">
        <v>299</v>
      </c>
      <c r="F132" s="24">
        <v>0.375</v>
      </c>
      <c r="G132" s="24">
        <v>0.4097222222222222</v>
      </c>
      <c r="H132" s="4">
        <v>5.0</v>
      </c>
      <c r="I132" s="4">
        <v>16.0</v>
      </c>
      <c r="J132" s="4" t="s">
        <v>198</v>
      </c>
      <c r="K132" s="4">
        <v>7.0</v>
      </c>
      <c r="L132" s="4">
        <v>26.0</v>
      </c>
      <c r="M132" s="4" t="s">
        <v>430</v>
      </c>
      <c r="O132" s="4">
        <v>26.0</v>
      </c>
      <c r="Q132" s="4">
        <v>3.0</v>
      </c>
      <c r="Z132" s="4"/>
      <c r="AA132" s="4">
        <v>6.0</v>
      </c>
      <c r="AH132" s="4">
        <v>6.0</v>
      </c>
      <c r="AI132" s="4"/>
      <c r="AJ132" s="4">
        <v>1.0</v>
      </c>
      <c r="AT132" s="4">
        <v>1.0</v>
      </c>
      <c r="BH132" s="4"/>
      <c r="BI132" s="4"/>
      <c r="BJ132" s="4">
        <v>1.0</v>
      </c>
      <c r="BL132" s="4">
        <v>29.0</v>
      </c>
      <c r="BP132" s="4">
        <v>12.0</v>
      </c>
      <c r="BU132" s="4">
        <v>1.0</v>
      </c>
      <c r="BY132" s="4">
        <v>3.0</v>
      </c>
      <c r="DD132" s="4">
        <v>2.0</v>
      </c>
      <c r="DJ132" s="4">
        <v>2.0</v>
      </c>
      <c r="DL132" s="4">
        <v>11.0</v>
      </c>
      <c r="DN132" s="4">
        <v>3.0</v>
      </c>
      <c r="DQ132" s="4"/>
      <c r="DR132" s="4">
        <v>1.0</v>
      </c>
      <c r="EB132" s="4">
        <v>2.0</v>
      </c>
      <c r="ED132" s="4"/>
      <c r="EE132" s="4">
        <v>3.0</v>
      </c>
      <c r="EI132" s="4">
        <v>143.0</v>
      </c>
      <c r="EX132" s="4"/>
      <c r="EY132" s="4">
        <v>2.0</v>
      </c>
      <c r="FA132" s="4">
        <v>51.0</v>
      </c>
      <c r="FP132" s="4">
        <v>42.0</v>
      </c>
      <c r="FQ132" s="4">
        <v>121.0</v>
      </c>
      <c r="FT132" s="4"/>
      <c r="FU132" s="4">
        <v>3.0</v>
      </c>
      <c r="FY132" s="4">
        <v>8.0</v>
      </c>
      <c r="GE132" s="25">
        <f t="shared" si="1"/>
        <v>24</v>
      </c>
      <c r="GF132" s="25">
        <f t="shared" si="2"/>
        <v>19</v>
      </c>
      <c r="GG132" s="25">
        <f t="shared" si="3"/>
        <v>10</v>
      </c>
      <c r="GH132" s="25">
        <f t="shared" si="4"/>
        <v>0.8065856655</v>
      </c>
      <c r="GI132" s="25">
        <f t="shared" si="5"/>
        <v>457</v>
      </c>
      <c r="GJ132" s="25">
        <f t="shared" si="6"/>
        <v>650</v>
      </c>
      <c r="GK132" s="25">
        <f t="shared" si="7"/>
        <v>193</v>
      </c>
    </row>
    <row r="133">
      <c r="A133" s="23">
        <v>43234.0</v>
      </c>
      <c r="B133" s="4" t="s">
        <v>216</v>
      </c>
      <c r="C133" s="4">
        <v>21.3002</v>
      </c>
      <c r="D133" s="4">
        <v>-157.882599</v>
      </c>
      <c r="E133" s="4" t="s">
        <v>272</v>
      </c>
      <c r="F133" s="24">
        <v>0.38263888888888886</v>
      </c>
      <c r="G133" s="24">
        <v>0.41944444444444445</v>
      </c>
      <c r="H133" s="4">
        <v>6.0</v>
      </c>
      <c r="I133" s="4">
        <v>26.0</v>
      </c>
      <c r="J133" s="4" t="s">
        <v>198</v>
      </c>
      <c r="K133" s="4">
        <v>5.0</v>
      </c>
      <c r="L133" s="4">
        <v>27.0</v>
      </c>
      <c r="M133" s="4" t="s">
        <v>431</v>
      </c>
      <c r="N133" s="4" t="s">
        <v>432</v>
      </c>
      <c r="O133" s="4">
        <v>25.0</v>
      </c>
      <c r="BD133" s="4">
        <v>1.0</v>
      </c>
      <c r="BG133" s="4">
        <v>1.0</v>
      </c>
      <c r="BH133" s="4"/>
      <c r="BI133" s="4">
        <v>1.0</v>
      </c>
      <c r="BK133" s="4">
        <v>1.0</v>
      </c>
      <c r="BL133" s="4">
        <v>10.0</v>
      </c>
      <c r="BP133" s="4">
        <v>8.0</v>
      </c>
      <c r="BU133" s="4">
        <v>2.0</v>
      </c>
      <c r="CD133" s="4">
        <v>1.0</v>
      </c>
      <c r="EB133" s="4">
        <v>3.0</v>
      </c>
      <c r="EI133" s="4">
        <v>2.0</v>
      </c>
      <c r="EW133" s="4">
        <v>1.0</v>
      </c>
      <c r="FQ133" s="4">
        <v>508.0</v>
      </c>
      <c r="GE133" s="25">
        <f t="shared" si="1"/>
        <v>12</v>
      </c>
      <c r="GF133" s="25">
        <f t="shared" si="2"/>
        <v>6</v>
      </c>
      <c r="GG133" s="25">
        <f t="shared" si="3"/>
        <v>3</v>
      </c>
      <c r="GH133" s="25">
        <f t="shared" si="4"/>
        <v>0.1112827693</v>
      </c>
      <c r="GI133" s="25">
        <f t="shared" si="5"/>
        <v>539</v>
      </c>
      <c r="GJ133" s="25">
        <f t="shared" si="6"/>
        <v>625</v>
      </c>
      <c r="GK133" s="25">
        <f t="shared" si="7"/>
        <v>86</v>
      </c>
    </row>
    <row r="134">
      <c r="A134" s="23">
        <v>43236.0</v>
      </c>
      <c r="B134" s="4" t="s">
        <v>266</v>
      </c>
      <c r="C134" s="4">
        <v>22.060684</v>
      </c>
      <c r="D134" s="4">
        <v>-159.318512</v>
      </c>
      <c r="E134" s="4" t="s">
        <v>347</v>
      </c>
      <c r="F134" s="24">
        <v>0.40625</v>
      </c>
      <c r="G134" s="24">
        <v>0.45555555555555555</v>
      </c>
      <c r="H134" s="4">
        <v>10.0</v>
      </c>
      <c r="I134" s="4">
        <v>7.0</v>
      </c>
      <c r="J134" s="4" t="s">
        <v>198</v>
      </c>
      <c r="K134" s="4">
        <v>10.0</v>
      </c>
      <c r="L134" s="4">
        <v>69.0</v>
      </c>
      <c r="M134" s="4" t="s">
        <v>433</v>
      </c>
      <c r="O134" s="4">
        <v>69.0</v>
      </c>
      <c r="T134" s="4"/>
      <c r="U134" s="4"/>
      <c r="V134" s="4"/>
      <c r="W134" s="4">
        <v>1.0</v>
      </c>
      <c r="Z134" s="4"/>
      <c r="AA134" s="4">
        <v>3.0</v>
      </c>
      <c r="AB134" s="4">
        <v>1.0</v>
      </c>
      <c r="AC134" s="4">
        <v>11.0</v>
      </c>
      <c r="AH134" s="4">
        <v>1.0</v>
      </c>
      <c r="AK134" s="4"/>
      <c r="AL134" s="4">
        <v>52.0</v>
      </c>
      <c r="AM134" s="4">
        <v>1.0</v>
      </c>
      <c r="AS134" s="4">
        <v>2.0</v>
      </c>
      <c r="AZ134" s="4"/>
      <c r="BA134" s="4">
        <v>3.0</v>
      </c>
      <c r="BD134" s="4">
        <v>5.0</v>
      </c>
      <c r="BJ134" s="4">
        <v>15.0</v>
      </c>
      <c r="BM134" s="4">
        <v>21.0</v>
      </c>
      <c r="BS134" s="4">
        <v>7.0</v>
      </c>
      <c r="BU134" s="4">
        <v>43.0</v>
      </c>
      <c r="BV134" s="4">
        <v>4.0</v>
      </c>
      <c r="BY134" s="4">
        <v>4.0</v>
      </c>
      <c r="CC134" s="4">
        <v>7.0</v>
      </c>
      <c r="CE134" s="4">
        <v>3.0</v>
      </c>
      <c r="CI134" s="4"/>
      <c r="CJ134" s="4">
        <v>2.0</v>
      </c>
      <c r="CR134" s="4">
        <v>5.0</v>
      </c>
      <c r="DC134" s="4">
        <v>1.0</v>
      </c>
      <c r="DE134" s="4"/>
      <c r="DF134" s="4">
        <v>2.0</v>
      </c>
      <c r="DL134" s="4">
        <v>16.0</v>
      </c>
      <c r="DQ134" s="4"/>
      <c r="DR134" s="4">
        <v>71.0</v>
      </c>
      <c r="DS134" s="4"/>
      <c r="DT134" s="4"/>
      <c r="DU134" s="4">
        <v>37.0</v>
      </c>
      <c r="DZ134" s="4">
        <v>3.0</v>
      </c>
      <c r="EI134" s="4">
        <v>193.0</v>
      </c>
      <c r="ES134" s="4"/>
      <c r="ET134" s="4"/>
      <c r="EU134" s="4">
        <v>1.0</v>
      </c>
      <c r="FA134" s="4">
        <v>6.0</v>
      </c>
      <c r="FE134" s="4">
        <v>19.0</v>
      </c>
      <c r="FP134" s="4">
        <v>26.0</v>
      </c>
      <c r="FQ134" s="4">
        <v>649.0</v>
      </c>
      <c r="FX134" s="4">
        <v>5.0</v>
      </c>
      <c r="GB134" s="4"/>
      <c r="GC134" s="4">
        <v>1.0</v>
      </c>
      <c r="GD134" s="4">
        <v>4.0</v>
      </c>
      <c r="GE134" s="25">
        <f t="shared" si="1"/>
        <v>35</v>
      </c>
      <c r="GF134" s="25">
        <f t="shared" si="2"/>
        <v>28</v>
      </c>
      <c r="GG134" s="25">
        <f t="shared" si="3"/>
        <v>18</v>
      </c>
      <c r="GH134" s="25">
        <f t="shared" si="4"/>
        <v>0.6861544618</v>
      </c>
      <c r="GI134" s="25">
        <f t="shared" si="5"/>
        <v>1225</v>
      </c>
      <c r="GJ134" s="25">
        <f t="shared" si="6"/>
        <v>1725</v>
      </c>
      <c r="GK134" s="25">
        <f t="shared" si="7"/>
        <v>500</v>
      </c>
    </row>
    <row r="135">
      <c r="A135" s="23">
        <v>43238.0</v>
      </c>
      <c r="B135" s="4" t="s">
        <v>201</v>
      </c>
      <c r="C135" s="4">
        <v>21.25544</v>
      </c>
      <c r="D135" s="4">
        <v>-157.810303</v>
      </c>
      <c r="E135" s="4" t="s">
        <v>325</v>
      </c>
      <c r="F135" s="24">
        <v>0.4270833333333333</v>
      </c>
      <c r="G135" s="24">
        <v>0.4673611111111111</v>
      </c>
      <c r="H135" s="4">
        <v>5.0</v>
      </c>
      <c r="I135" s="4">
        <v>10.0</v>
      </c>
      <c r="J135" s="4" t="s">
        <v>318</v>
      </c>
      <c r="K135" s="4">
        <v>5.0</v>
      </c>
      <c r="L135" s="4">
        <v>25.0</v>
      </c>
      <c r="O135" s="4">
        <v>25.0</v>
      </c>
      <c r="Q135" s="4">
        <v>5.0</v>
      </c>
      <c r="AH135" s="4">
        <v>18.0</v>
      </c>
      <c r="AK135" s="4">
        <v>1.0</v>
      </c>
      <c r="AN135" s="4"/>
      <c r="AO135" s="4">
        <v>1.0</v>
      </c>
      <c r="AY135" s="4">
        <v>1.0</v>
      </c>
      <c r="BB135" s="4">
        <v>1.0</v>
      </c>
      <c r="BK135" s="4">
        <v>1.0</v>
      </c>
      <c r="BL135" s="4">
        <v>8.0</v>
      </c>
      <c r="BP135" s="4">
        <v>14.0</v>
      </c>
      <c r="BV135" s="4">
        <v>3.0</v>
      </c>
      <c r="BW135" s="4">
        <v>1.0</v>
      </c>
      <c r="CH135" s="4">
        <v>1.0</v>
      </c>
      <c r="CI135" s="4"/>
      <c r="CJ135" s="4">
        <v>1.0</v>
      </c>
      <c r="CR135" s="4">
        <v>1.0</v>
      </c>
      <c r="DC135" s="4">
        <v>8.0</v>
      </c>
      <c r="DE135" s="4"/>
      <c r="DF135" s="4">
        <v>2.0</v>
      </c>
      <c r="DQ135" s="4"/>
      <c r="DR135" s="4">
        <v>7.0</v>
      </c>
      <c r="DS135" s="4"/>
      <c r="DT135" s="4"/>
      <c r="DU135" s="4">
        <v>5.0</v>
      </c>
      <c r="DY135" s="4">
        <v>1.0</v>
      </c>
      <c r="EB135" s="4">
        <v>1.0</v>
      </c>
      <c r="EI135" s="4">
        <v>156.0</v>
      </c>
      <c r="EW135" s="4">
        <v>2.0</v>
      </c>
      <c r="FA135" s="4">
        <v>1.0</v>
      </c>
      <c r="FL135" s="4">
        <v>5.0</v>
      </c>
      <c r="FQ135" s="4">
        <v>320.0</v>
      </c>
      <c r="GE135" s="25">
        <f t="shared" si="1"/>
        <v>25</v>
      </c>
      <c r="GF135" s="25">
        <f t="shared" si="2"/>
        <v>13</v>
      </c>
      <c r="GG135" s="25">
        <f t="shared" si="3"/>
        <v>10</v>
      </c>
      <c r="GH135" s="25">
        <f t="shared" si="4"/>
        <v>0.6015439654</v>
      </c>
      <c r="GI135" s="25">
        <f t="shared" si="5"/>
        <v>565</v>
      </c>
      <c r="GJ135" s="25">
        <f t="shared" si="6"/>
        <v>625</v>
      </c>
      <c r="GK135" s="25">
        <f t="shared" si="7"/>
        <v>60</v>
      </c>
    </row>
    <row r="136">
      <c r="A136" s="23">
        <v>43238.0</v>
      </c>
      <c r="B136" s="4" t="s">
        <v>259</v>
      </c>
      <c r="C136" s="4">
        <v>19.737894</v>
      </c>
      <c r="D136" s="4">
        <v>-155.034058</v>
      </c>
      <c r="E136" s="4" t="s">
        <v>358</v>
      </c>
      <c r="F136" s="24">
        <v>0.3888888888888889</v>
      </c>
      <c r="G136" s="24">
        <v>0.4166666666666667</v>
      </c>
      <c r="H136" s="4">
        <v>7.0</v>
      </c>
      <c r="I136" s="4">
        <v>20.0</v>
      </c>
      <c r="J136" s="4" t="s">
        <v>198</v>
      </c>
      <c r="K136" s="4">
        <v>12.0</v>
      </c>
      <c r="L136" s="4">
        <v>52.0</v>
      </c>
      <c r="M136" s="4" t="s">
        <v>434</v>
      </c>
      <c r="N136" s="4" t="s">
        <v>435</v>
      </c>
      <c r="O136" s="4">
        <v>46.0</v>
      </c>
      <c r="R136" s="4">
        <v>6.0</v>
      </c>
      <c r="AE136" s="4">
        <v>15.0</v>
      </c>
      <c r="AF136" s="4">
        <v>49.0</v>
      </c>
      <c r="AK136" s="4">
        <v>5.0</v>
      </c>
      <c r="AN136" s="4"/>
      <c r="AO136" s="4">
        <v>1.0</v>
      </c>
      <c r="AZ136" s="4"/>
      <c r="BA136" s="4">
        <v>11.0</v>
      </c>
      <c r="BJ136" s="4">
        <v>6.0</v>
      </c>
      <c r="BK136" s="4">
        <v>4.0</v>
      </c>
      <c r="BL136" s="4">
        <v>80.0</v>
      </c>
      <c r="CB136" s="4">
        <v>31.0</v>
      </c>
      <c r="CC136" s="4">
        <v>1.0</v>
      </c>
      <c r="CT136" s="4">
        <v>6.0</v>
      </c>
      <c r="DG136" s="4">
        <v>8.0</v>
      </c>
      <c r="EC136" s="4">
        <v>52.0</v>
      </c>
      <c r="EF136" s="4"/>
      <c r="EG136" s="4"/>
      <c r="EH136" s="4">
        <v>1.0</v>
      </c>
      <c r="EW136" s="4">
        <v>25.0</v>
      </c>
      <c r="FB136" s="4">
        <v>2.0</v>
      </c>
      <c r="FL136" s="4">
        <v>31.0</v>
      </c>
      <c r="FO136" s="4">
        <v>3.0</v>
      </c>
      <c r="FQ136" s="4">
        <v>485.0</v>
      </c>
      <c r="FR136" s="4">
        <v>32.0</v>
      </c>
      <c r="FT136" s="4"/>
      <c r="FU136" s="4">
        <v>25.0</v>
      </c>
      <c r="FX136" s="4">
        <v>67.0</v>
      </c>
      <c r="GB136" s="4"/>
      <c r="GC136" s="4">
        <v>4.0</v>
      </c>
      <c r="GD136" s="4">
        <v>1.0</v>
      </c>
      <c r="GE136" s="25">
        <f t="shared" si="1"/>
        <v>25</v>
      </c>
      <c r="GF136" s="25">
        <f t="shared" si="2"/>
        <v>21</v>
      </c>
      <c r="GG136" s="25">
        <f t="shared" si="3"/>
        <v>17</v>
      </c>
      <c r="GH136" s="25">
        <f t="shared" si="4"/>
        <v>0.7176866456</v>
      </c>
      <c r="GI136" s="25">
        <f t="shared" si="5"/>
        <v>951</v>
      </c>
      <c r="GJ136" s="25">
        <f t="shared" si="6"/>
        <v>1150</v>
      </c>
      <c r="GK136" s="25">
        <f t="shared" si="7"/>
        <v>199</v>
      </c>
    </row>
    <row r="137">
      <c r="A137" s="23">
        <v>43311.0</v>
      </c>
      <c r="B137" s="4" t="s">
        <v>246</v>
      </c>
      <c r="C137" s="4">
        <v>21.2882</v>
      </c>
      <c r="D137" s="4">
        <v>-157.667999</v>
      </c>
      <c r="E137" s="4" t="s">
        <v>353</v>
      </c>
      <c r="F137" s="24">
        <v>0.3902777777777778</v>
      </c>
      <c r="G137" s="24">
        <v>0.4479166666666667</v>
      </c>
      <c r="H137" s="4">
        <v>6.0</v>
      </c>
      <c r="I137" s="4">
        <v>17.0</v>
      </c>
      <c r="J137" s="4" t="s">
        <v>198</v>
      </c>
      <c r="K137" s="4">
        <v>6.0</v>
      </c>
      <c r="L137" s="4">
        <v>26.0</v>
      </c>
      <c r="M137" s="4" t="s">
        <v>436</v>
      </c>
      <c r="N137" s="4" t="s">
        <v>437</v>
      </c>
      <c r="O137" s="4">
        <v>21.0</v>
      </c>
      <c r="Q137" s="4">
        <v>2.0</v>
      </c>
      <c r="R137" s="4">
        <v>2.0</v>
      </c>
      <c r="AB137" s="4">
        <v>1.0</v>
      </c>
      <c r="BG137" s="4">
        <v>1.0</v>
      </c>
      <c r="BJ137" s="4">
        <v>2.0</v>
      </c>
      <c r="BK137" s="4">
        <v>1.0</v>
      </c>
      <c r="BL137" s="4">
        <v>12.0</v>
      </c>
      <c r="BM137" s="4">
        <v>3.0</v>
      </c>
      <c r="BZ137" s="4">
        <v>3.0</v>
      </c>
      <c r="CB137" s="4">
        <v>2.0</v>
      </c>
      <c r="DE137" s="4"/>
      <c r="DF137" s="4">
        <v>1.0</v>
      </c>
      <c r="DL137" s="4">
        <v>2.0</v>
      </c>
      <c r="DN137" s="4">
        <v>2.0</v>
      </c>
      <c r="DY137" s="4">
        <v>2.0</v>
      </c>
      <c r="EI137" s="4">
        <v>1.0</v>
      </c>
      <c r="EX137" s="4"/>
      <c r="EY137" s="4">
        <v>4.0</v>
      </c>
      <c r="FA137" s="4">
        <v>1.0</v>
      </c>
      <c r="FL137" s="4">
        <v>6.0</v>
      </c>
      <c r="FM137" s="4"/>
      <c r="FN137" s="4">
        <v>1.0</v>
      </c>
      <c r="FP137" s="4">
        <v>11.0</v>
      </c>
      <c r="FQ137" s="4">
        <v>99.0</v>
      </c>
      <c r="FT137" s="4"/>
      <c r="FU137" s="4">
        <v>1.0</v>
      </c>
      <c r="GD137" s="4">
        <v>7.0</v>
      </c>
      <c r="GE137" s="25">
        <f t="shared" si="1"/>
        <v>23</v>
      </c>
      <c r="GF137" s="25">
        <f t="shared" si="2"/>
        <v>15</v>
      </c>
      <c r="GG137" s="25">
        <f t="shared" si="3"/>
        <v>5</v>
      </c>
      <c r="GH137" s="25">
        <f t="shared" si="4"/>
        <v>0.6373277541</v>
      </c>
      <c r="GI137" s="25">
        <f t="shared" si="5"/>
        <v>167</v>
      </c>
      <c r="GJ137" s="25">
        <f t="shared" si="6"/>
        <v>525</v>
      </c>
      <c r="GK137" s="25">
        <f t="shared" si="7"/>
        <v>358</v>
      </c>
    </row>
    <row r="138">
      <c r="A138" s="23">
        <v>43485.0</v>
      </c>
      <c r="B138" s="4" t="s">
        <v>201</v>
      </c>
      <c r="C138" s="4">
        <v>21.25544</v>
      </c>
      <c r="D138" s="4">
        <v>-157.8103</v>
      </c>
      <c r="E138" s="4" t="s">
        <v>418</v>
      </c>
      <c r="F138" s="24">
        <v>0.40625</v>
      </c>
      <c r="G138" s="24">
        <v>0.4479166666666667</v>
      </c>
      <c r="H138" s="4">
        <v>6.0</v>
      </c>
      <c r="I138" s="4">
        <v>10.0</v>
      </c>
      <c r="J138" s="4" t="s">
        <v>318</v>
      </c>
      <c r="K138" s="4">
        <v>10.0</v>
      </c>
      <c r="L138" s="4">
        <v>52.0</v>
      </c>
      <c r="M138" s="4" t="s">
        <v>438</v>
      </c>
      <c r="O138" s="4">
        <v>52.0</v>
      </c>
      <c r="Q138" s="4">
        <v>3.0</v>
      </c>
      <c r="S138" s="4">
        <v>3.0</v>
      </c>
      <c r="AE138" s="4">
        <v>1.0</v>
      </c>
      <c r="AG138" s="4"/>
      <c r="AH138" s="4">
        <v>6.0</v>
      </c>
      <c r="BE138" s="4"/>
      <c r="BF138" s="4"/>
      <c r="BG138" s="4"/>
      <c r="BH138" s="4"/>
      <c r="BI138" s="4"/>
      <c r="BJ138" s="4"/>
      <c r="BK138" s="4"/>
      <c r="BL138" s="4">
        <v>17.0</v>
      </c>
      <c r="BP138" s="4">
        <v>15.0</v>
      </c>
      <c r="BQ138" s="4"/>
      <c r="BR138" s="4"/>
      <c r="BS138" s="4"/>
      <c r="BT138" s="4"/>
      <c r="BU138" s="4">
        <v>1.0</v>
      </c>
      <c r="BV138" s="4"/>
      <c r="BX138" s="4"/>
      <c r="BY138" s="4">
        <v>3.0</v>
      </c>
      <c r="BZ138" s="4"/>
      <c r="CA138" s="4">
        <v>4.0</v>
      </c>
      <c r="CH138" s="4"/>
      <c r="CI138" s="4"/>
      <c r="CJ138" s="4"/>
      <c r="CK138" s="4"/>
      <c r="CL138" s="4"/>
      <c r="CM138" s="4"/>
      <c r="CN138" s="4"/>
      <c r="CO138" s="4"/>
      <c r="CP138" s="4"/>
      <c r="CQ138" s="4"/>
      <c r="CR138" s="4">
        <v>4.0</v>
      </c>
      <c r="DA138" s="4"/>
      <c r="DB138" s="4">
        <v>1.0</v>
      </c>
      <c r="DC138" s="4"/>
      <c r="DD138" s="4"/>
      <c r="DE138" s="4"/>
      <c r="DF138" s="4">
        <v>6.0</v>
      </c>
      <c r="DH138" s="4"/>
      <c r="DI138" s="4"/>
      <c r="DJ138" s="4"/>
      <c r="DK138" s="4"/>
      <c r="DL138" s="4">
        <v>30.0</v>
      </c>
      <c r="DM138" s="4">
        <v>3.0</v>
      </c>
      <c r="DN138" s="4"/>
      <c r="DO138" s="4">
        <v>2.0</v>
      </c>
      <c r="DP138" s="4"/>
      <c r="DQ138" s="4"/>
      <c r="DR138" s="4">
        <v>53.0</v>
      </c>
      <c r="DS138" s="4"/>
      <c r="DT138" s="4"/>
      <c r="DU138" s="4">
        <v>1.0</v>
      </c>
      <c r="DV138" s="4"/>
      <c r="DW138" s="4"/>
      <c r="DX138" s="4"/>
      <c r="DY138" s="4"/>
      <c r="DZ138" s="4">
        <v>1.0</v>
      </c>
      <c r="EA138" s="4"/>
      <c r="EB138" s="4"/>
      <c r="EC138" s="4"/>
      <c r="ED138" s="4"/>
      <c r="EE138" s="4"/>
      <c r="EF138" s="4"/>
      <c r="EG138" s="4"/>
      <c r="EH138" s="4"/>
      <c r="EI138" s="4">
        <v>201.0</v>
      </c>
      <c r="EJ138" s="4"/>
      <c r="EK138" s="4"/>
      <c r="EL138" s="4"/>
      <c r="EM138" s="4"/>
      <c r="EN138" s="4"/>
      <c r="EO138" s="4"/>
      <c r="EP138" s="4"/>
      <c r="EQ138" s="4"/>
      <c r="ER138" s="4"/>
      <c r="ES138" s="4"/>
      <c r="ET138" s="4"/>
      <c r="EU138" s="4"/>
      <c r="EV138" s="4"/>
      <c r="EW138" s="4"/>
      <c r="EX138" s="4"/>
      <c r="EY138" s="4"/>
      <c r="EZ138" s="4"/>
      <c r="FA138" s="4">
        <v>192.0</v>
      </c>
      <c r="FB138" s="4">
        <v>3.0</v>
      </c>
      <c r="FF138" s="4"/>
      <c r="FG138" s="4">
        <v>1.0</v>
      </c>
      <c r="FH138" s="4">
        <v>4.0</v>
      </c>
      <c r="FI138" s="4"/>
      <c r="FJ138" s="4"/>
      <c r="FK138" s="4"/>
      <c r="FL138" s="4">
        <v>3.0</v>
      </c>
      <c r="FM138" s="4"/>
      <c r="FN138" s="4"/>
      <c r="FO138" s="4"/>
      <c r="FP138" s="4">
        <v>145.0</v>
      </c>
      <c r="FQ138" s="4">
        <v>273.0</v>
      </c>
      <c r="GA138" s="4"/>
      <c r="GB138" s="4"/>
      <c r="GC138" s="4">
        <v>1.0</v>
      </c>
      <c r="GE138" s="25">
        <f t="shared" si="1"/>
        <v>27</v>
      </c>
      <c r="GF138" s="25">
        <f t="shared" si="2"/>
        <v>20</v>
      </c>
      <c r="GG138" s="25">
        <f t="shared" si="3"/>
        <v>10</v>
      </c>
      <c r="GH138" s="25">
        <f t="shared" si="4"/>
        <v>0.8151647734</v>
      </c>
      <c r="GI138" s="25">
        <f t="shared" si="5"/>
        <v>977</v>
      </c>
      <c r="GJ138" s="25">
        <f t="shared" si="6"/>
        <v>1300</v>
      </c>
      <c r="GK138" s="25">
        <f t="shared" si="7"/>
        <v>323</v>
      </c>
    </row>
    <row r="139">
      <c r="A139" s="23">
        <v>43517.0</v>
      </c>
      <c r="B139" s="4" t="s">
        <v>440</v>
      </c>
      <c r="C139" s="4">
        <v>21.311893</v>
      </c>
      <c r="D139" s="4">
        <v>-157.895142</v>
      </c>
      <c r="E139" s="4" t="s">
        <v>418</v>
      </c>
      <c r="F139" s="24">
        <v>0.4583333333333333</v>
      </c>
      <c r="G139" s="24">
        <v>0.49027777777777776</v>
      </c>
      <c r="H139" s="4">
        <v>5.0</v>
      </c>
      <c r="I139" s="4">
        <v>10.0</v>
      </c>
      <c r="J139" s="4" t="s">
        <v>318</v>
      </c>
      <c r="K139" s="4">
        <v>5.0</v>
      </c>
      <c r="L139" s="4">
        <v>25.0</v>
      </c>
      <c r="O139" s="4">
        <v>25.0</v>
      </c>
      <c r="AG139" s="4"/>
      <c r="AH139" s="4">
        <v>1.0</v>
      </c>
      <c r="AS139" s="4"/>
      <c r="AT139" s="4"/>
      <c r="AU139" s="4"/>
      <c r="AV139" s="4"/>
      <c r="AW139" s="4"/>
      <c r="AX139" s="4"/>
      <c r="AY139" s="4">
        <v>1.0</v>
      </c>
      <c r="AZ139" s="4"/>
      <c r="BA139" s="4"/>
      <c r="BB139" s="4"/>
      <c r="BC139" s="4"/>
      <c r="BD139" s="4">
        <v>1.0</v>
      </c>
      <c r="BE139" s="4"/>
      <c r="BF139" s="4"/>
      <c r="BG139" s="4"/>
      <c r="BH139" s="4"/>
      <c r="BI139" s="4"/>
      <c r="BJ139" s="4"/>
      <c r="BK139" s="4">
        <v>1.0</v>
      </c>
      <c r="BL139" s="4">
        <v>15.0</v>
      </c>
      <c r="BQ139" s="4"/>
      <c r="BR139" s="4"/>
      <c r="BS139" s="4"/>
      <c r="BT139" s="4"/>
      <c r="BU139" s="4">
        <v>13.0</v>
      </c>
      <c r="BV139" s="4"/>
      <c r="BX139" s="4"/>
      <c r="BY139" s="4">
        <v>3.0</v>
      </c>
      <c r="CU139" s="4"/>
      <c r="CV139" s="4"/>
      <c r="CW139" s="4"/>
      <c r="CX139" s="4"/>
      <c r="CY139" s="4"/>
      <c r="CZ139" s="4">
        <v>2.0</v>
      </c>
      <c r="DP139" s="4"/>
      <c r="DQ139" s="4"/>
      <c r="DR139" s="4">
        <v>22.0</v>
      </c>
      <c r="EJ139" s="4"/>
      <c r="EK139" s="4"/>
      <c r="EL139" s="4"/>
      <c r="EM139" s="4"/>
      <c r="EN139" s="4"/>
      <c r="EO139" s="4"/>
      <c r="EP139" s="4"/>
      <c r="EQ139" s="4"/>
      <c r="ER139" s="4"/>
      <c r="ES139" s="4"/>
      <c r="ET139" s="4"/>
      <c r="EU139" s="4"/>
      <c r="EV139" s="4"/>
      <c r="EW139" s="4"/>
      <c r="EX139" s="4"/>
      <c r="EY139" s="4"/>
      <c r="EZ139" s="4"/>
      <c r="FA139" s="4">
        <v>24.0</v>
      </c>
      <c r="FC139" s="4"/>
      <c r="FD139" s="4">
        <v>3.0</v>
      </c>
      <c r="FQ139" s="4">
        <v>223.0</v>
      </c>
      <c r="FW139" s="4">
        <v>1.0</v>
      </c>
      <c r="GD139" s="4">
        <v>1.0</v>
      </c>
      <c r="GE139" s="25">
        <f t="shared" si="1"/>
        <v>14</v>
      </c>
      <c r="GF139" s="25">
        <f t="shared" si="2"/>
        <v>8</v>
      </c>
      <c r="GG139" s="25">
        <f t="shared" si="3"/>
        <v>5</v>
      </c>
      <c r="GH139" s="25">
        <f t="shared" si="4"/>
        <v>0.4720464682</v>
      </c>
      <c r="GI139" s="25">
        <f t="shared" si="5"/>
        <v>311</v>
      </c>
      <c r="GJ139" s="25">
        <f t="shared" si="6"/>
        <v>625</v>
      </c>
      <c r="GK139" s="25">
        <f t="shared" si="7"/>
        <v>314</v>
      </c>
    </row>
    <row r="140">
      <c r="A140" s="23">
        <v>43519.0</v>
      </c>
      <c r="B140" s="4" t="s">
        <v>266</v>
      </c>
      <c r="C140" s="36">
        <v>22.060684</v>
      </c>
      <c r="D140" s="36">
        <v>-159.318512</v>
      </c>
      <c r="E140" s="4" t="s">
        <v>297</v>
      </c>
      <c r="F140" s="24">
        <v>0.36875</v>
      </c>
      <c r="G140" s="24">
        <v>0.40625</v>
      </c>
      <c r="H140" s="4">
        <v>4.0</v>
      </c>
      <c r="I140" s="4">
        <v>20.0</v>
      </c>
      <c r="J140" s="4" t="s">
        <v>198</v>
      </c>
      <c r="K140" s="4">
        <v>5.0</v>
      </c>
      <c r="L140" s="4">
        <v>19.0</v>
      </c>
      <c r="M140" s="4" t="s">
        <v>441</v>
      </c>
      <c r="O140" s="4">
        <v>19.0</v>
      </c>
      <c r="Q140" s="4">
        <v>1.0</v>
      </c>
      <c r="Z140" s="4"/>
      <c r="AA140" s="4">
        <v>13.0</v>
      </c>
      <c r="AC140" s="4">
        <v>1.0</v>
      </c>
      <c r="AF140" s="4"/>
      <c r="AV140" s="4"/>
      <c r="AW140" s="4">
        <v>1.0</v>
      </c>
      <c r="AZ140" s="4"/>
      <c r="BA140" s="4">
        <v>1.0</v>
      </c>
      <c r="BE140" s="4"/>
      <c r="BF140" s="4"/>
      <c r="BG140" s="4"/>
      <c r="BH140" s="4"/>
      <c r="BI140" s="4"/>
      <c r="BJ140" s="4"/>
      <c r="BL140" s="4">
        <v>1.0</v>
      </c>
      <c r="BM140" s="4">
        <v>43.0</v>
      </c>
      <c r="BP140" s="4"/>
      <c r="BQ140" s="4"/>
      <c r="BU140" s="4">
        <v>9.0</v>
      </c>
      <c r="CB140" s="4"/>
      <c r="CC140" s="4"/>
      <c r="CD140" s="4"/>
      <c r="CE140" s="4"/>
      <c r="CH140" s="4"/>
      <c r="CI140" s="4"/>
      <c r="CJ140" s="4"/>
      <c r="CK140" s="4"/>
      <c r="CL140" s="4"/>
      <c r="CM140" s="4"/>
      <c r="CN140" s="4"/>
      <c r="DL140" s="4">
        <v>37.0</v>
      </c>
      <c r="DM140" s="4">
        <v>1.0</v>
      </c>
      <c r="DQ140" s="4"/>
      <c r="DR140" s="4">
        <v>28.0</v>
      </c>
      <c r="DV140" s="4"/>
      <c r="DW140" s="4"/>
      <c r="EA140" s="4"/>
      <c r="EB140" s="4"/>
      <c r="EC140" s="4"/>
      <c r="EI140" s="4">
        <v>89.0</v>
      </c>
      <c r="EJ140" s="4"/>
      <c r="EK140" s="4"/>
      <c r="EL140" s="4"/>
      <c r="EM140" s="4"/>
      <c r="EN140" s="4"/>
      <c r="EO140" s="4"/>
      <c r="EP140" s="4"/>
      <c r="EQ140" s="4"/>
      <c r="FA140" s="4">
        <v>5.0</v>
      </c>
      <c r="FH140" s="4">
        <v>22.0</v>
      </c>
      <c r="FI140" s="4"/>
      <c r="FJ140" s="4"/>
      <c r="FK140" s="4"/>
      <c r="FL140" s="4"/>
      <c r="FP140" s="4">
        <v>31.0</v>
      </c>
      <c r="FQ140" s="4">
        <v>63.0</v>
      </c>
      <c r="FY140" s="4">
        <v>21.0</v>
      </c>
      <c r="GE140" s="25">
        <f t="shared" si="1"/>
        <v>17</v>
      </c>
      <c r="GF140" s="25">
        <f t="shared" si="2"/>
        <v>11</v>
      </c>
      <c r="GG140" s="25">
        <f t="shared" si="3"/>
        <v>11</v>
      </c>
      <c r="GH140" s="25">
        <f t="shared" si="4"/>
        <v>0.8682866545</v>
      </c>
      <c r="GI140" s="25">
        <f t="shared" si="5"/>
        <v>367</v>
      </c>
      <c r="GJ140" s="25">
        <f t="shared" si="6"/>
        <v>475</v>
      </c>
      <c r="GK140" s="25">
        <f t="shared" si="7"/>
        <v>108</v>
      </c>
    </row>
    <row r="141">
      <c r="A141" s="23">
        <v>43519.0</v>
      </c>
      <c r="B141" s="4" t="s">
        <v>266</v>
      </c>
      <c r="C141" s="36">
        <v>22.060684</v>
      </c>
      <c r="D141" s="36">
        <v>-159.318512</v>
      </c>
      <c r="E141" s="4" t="s">
        <v>347</v>
      </c>
      <c r="F141" s="24">
        <v>0.5347222222222222</v>
      </c>
      <c r="G141" s="24">
        <v>0.6041666666666666</v>
      </c>
      <c r="H141" s="4">
        <v>3.0</v>
      </c>
      <c r="I141" s="4">
        <v>20.0</v>
      </c>
      <c r="J141" s="4" t="s">
        <v>198</v>
      </c>
      <c r="K141" s="4">
        <v>20.0</v>
      </c>
      <c r="L141" s="4">
        <v>10.0</v>
      </c>
      <c r="M141" s="4" t="s">
        <v>442</v>
      </c>
      <c r="N141" s="4" t="s">
        <v>443</v>
      </c>
      <c r="O141" s="4">
        <v>10.0</v>
      </c>
      <c r="AV141" s="4"/>
      <c r="AW141" s="4">
        <v>1.0</v>
      </c>
      <c r="BJ141" s="4">
        <v>2.0</v>
      </c>
      <c r="BL141" s="4">
        <v>1.0</v>
      </c>
      <c r="BU141" s="4">
        <v>1.0</v>
      </c>
      <c r="DL141" s="4">
        <v>10.0</v>
      </c>
      <c r="DQ141" s="4"/>
      <c r="DR141" s="4">
        <v>59.0</v>
      </c>
      <c r="EI141" s="4">
        <v>11.0</v>
      </c>
      <c r="FH141" s="4">
        <v>5.0</v>
      </c>
      <c r="FP141" s="4">
        <v>1.0</v>
      </c>
      <c r="FQ141" s="4">
        <v>28.0</v>
      </c>
      <c r="GE141" s="25">
        <f t="shared" si="1"/>
        <v>10</v>
      </c>
      <c r="GF141" s="25">
        <f t="shared" si="2"/>
        <v>6</v>
      </c>
      <c r="GG141" s="25">
        <f t="shared" si="3"/>
        <v>5</v>
      </c>
      <c r="GH141" s="25">
        <f t="shared" si="4"/>
        <v>0.6866543227</v>
      </c>
      <c r="GI141" s="25">
        <f t="shared" si="5"/>
        <v>119</v>
      </c>
      <c r="GJ141" s="25">
        <f t="shared" si="6"/>
        <v>250</v>
      </c>
      <c r="GK141" s="25">
        <f t="shared" si="7"/>
        <v>131</v>
      </c>
    </row>
    <row r="142">
      <c r="A142" s="23">
        <v>43520.0</v>
      </c>
      <c r="B142" s="4" t="s">
        <v>293</v>
      </c>
      <c r="C142" s="4">
        <v>19.738602</v>
      </c>
      <c r="D142" s="4">
        <v>-155.038879</v>
      </c>
      <c r="E142" s="4" t="s">
        <v>418</v>
      </c>
      <c r="F142" s="24">
        <v>0.5520833333333334</v>
      </c>
      <c r="G142" s="24">
        <v>0.59375</v>
      </c>
      <c r="H142" s="4">
        <v>3.0</v>
      </c>
      <c r="I142" s="4">
        <v>13.0</v>
      </c>
      <c r="J142" s="4" t="s">
        <v>198</v>
      </c>
      <c r="K142" s="4">
        <v>11.0</v>
      </c>
      <c r="L142" s="4">
        <v>25.0</v>
      </c>
      <c r="M142" s="4" t="s">
        <v>444</v>
      </c>
      <c r="N142" s="4"/>
      <c r="O142" s="4">
        <v>25.0</v>
      </c>
      <c r="AF142" s="4">
        <v>3.0</v>
      </c>
      <c r="BE142" s="4"/>
      <c r="BF142" s="4"/>
      <c r="BG142" s="4"/>
      <c r="BH142" s="4"/>
      <c r="BI142" s="4"/>
      <c r="BJ142" s="4">
        <v>2.0</v>
      </c>
      <c r="BL142" s="4">
        <v>25.0</v>
      </c>
      <c r="BP142" s="4">
        <v>1.0</v>
      </c>
      <c r="BQ142" s="4">
        <v>6.0</v>
      </c>
      <c r="CB142" s="4">
        <v>5.0</v>
      </c>
      <c r="CC142" s="4"/>
      <c r="CD142" s="4"/>
      <c r="CE142" s="4">
        <v>1.0</v>
      </c>
      <c r="CH142" s="4"/>
      <c r="CI142" s="4"/>
      <c r="CJ142" s="4"/>
      <c r="CK142" s="4"/>
      <c r="CL142" s="4"/>
      <c r="CM142" s="4"/>
      <c r="CN142" s="4">
        <v>12.0</v>
      </c>
      <c r="DV142" s="4"/>
      <c r="DW142" s="4">
        <v>19.0</v>
      </c>
      <c r="EA142" s="4"/>
      <c r="EB142" s="4"/>
      <c r="EC142" s="4">
        <v>1.0</v>
      </c>
      <c r="EJ142" s="4"/>
      <c r="EK142" s="4"/>
      <c r="EL142" s="4"/>
      <c r="EM142" s="4"/>
      <c r="EN142" s="4"/>
      <c r="EO142" s="4">
        <v>4.0</v>
      </c>
      <c r="EP142" s="4"/>
      <c r="EQ142" s="4">
        <v>1.0</v>
      </c>
      <c r="FI142" s="4"/>
      <c r="FJ142" s="4"/>
      <c r="FK142" s="4"/>
      <c r="FL142" s="4">
        <v>3.0</v>
      </c>
      <c r="FQ142" s="4">
        <v>389.0</v>
      </c>
      <c r="GE142" s="25">
        <f t="shared" si="1"/>
        <v>14</v>
      </c>
      <c r="GF142" s="25">
        <f t="shared" si="2"/>
        <v>10</v>
      </c>
      <c r="GG142" s="25">
        <f t="shared" si="3"/>
        <v>6</v>
      </c>
      <c r="GH142" s="25">
        <f t="shared" si="4"/>
        <v>0.3159073734</v>
      </c>
      <c r="GI142" s="25">
        <f t="shared" si="5"/>
        <v>472</v>
      </c>
      <c r="GJ142" s="25">
        <f t="shared" si="6"/>
        <v>625</v>
      </c>
      <c r="GK142" s="25">
        <f t="shared" si="7"/>
        <v>153</v>
      </c>
    </row>
    <row r="143">
      <c r="A143" s="23">
        <v>43525.0</v>
      </c>
      <c r="B143" s="4" t="s">
        <v>244</v>
      </c>
      <c r="C143" s="4">
        <v>21.310612</v>
      </c>
      <c r="D143" s="4">
        <v>-158.00441</v>
      </c>
      <c r="E143" s="4" t="s">
        <v>278</v>
      </c>
      <c r="F143" s="24">
        <v>0.3854166666666667</v>
      </c>
      <c r="G143" s="24">
        <v>0.4722222222222222</v>
      </c>
      <c r="H143" s="4">
        <v>8.0</v>
      </c>
      <c r="I143" s="4">
        <v>10.0</v>
      </c>
      <c r="J143" s="4" t="s">
        <v>318</v>
      </c>
      <c r="K143" s="4">
        <v>6.0</v>
      </c>
      <c r="L143" s="4">
        <v>32.0</v>
      </c>
      <c r="M143" s="4" t="s">
        <v>445</v>
      </c>
      <c r="N143" s="4" t="s">
        <v>1014</v>
      </c>
      <c r="O143" s="4">
        <v>28.0</v>
      </c>
      <c r="Q143" s="4">
        <v>9.0</v>
      </c>
      <c r="T143" s="4"/>
      <c r="U143" s="4"/>
      <c r="V143" s="4"/>
      <c r="W143" s="4"/>
      <c r="X143" s="4"/>
      <c r="Y143" s="4"/>
      <c r="Z143" s="4"/>
      <c r="AA143" s="4">
        <v>2.0</v>
      </c>
      <c r="AD143" s="4">
        <v>12.0</v>
      </c>
      <c r="AI143" s="4"/>
      <c r="AJ143" s="4"/>
      <c r="AK143" s="4"/>
      <c r="AL143" s="4">
        <v>3.0</v>
      </c>
      <c r="AS143" s="4">
        <v>7.0</v>
      </c>
      <c r="AZ143" s="4"/>
      <c r="BA143" s="4">
        <v>18.0</v>
      </c>
      <c r="BB143" s="4"/>
      <c r="BC143" s="4">
        <v>27.0</v>
      </c>
      <c r="BD143" s="4">
        <v>13.0</v>
      </c>
      <c r="BE143" s="4"/>
      <c r="BF143" s="4"/>
      <c r="BG143" s="4"/>
      <c r="BH143" s="4"/>
      <c r="BI143" s="4"/>
      <c r="BJ143" s="4">
        <v>25.0</v>
      </c>
      <c r="BL143" s="4">
        <v>14.0</v>
      </c>
      <c r="BR143" s="4"/>
      <c r="BS143" s="4"/>
      <c r="BT143" s="4"/>
      <c r="BU143" s="4">
        <v>10.0</v>
      </c>
      <c r="BW143" s="4">
        <v>5.0</v>
      </c>
      <c r="CH143" s="4"/>
      <c r="CI143" s="4"/>
      <c r="CJ143" s="4"/>
      <c r="CK143" s="4"/>
      <c r="CL143" s="4">
        <v>18.0</v>
      </c>
      <c r="DA143" s="4"/>
      <c r="DB143" s="4">
        <v>7.0</v>
      </c>
      <c r="DC143" s="4"/>
      <c r="DD143" s="4">
        <v>9.0</v>
      </c>
      <c r="DE143" s="4"/>
      <c r="DF143" s="4">
        <v>3.0</v>
      </c>
      <c r="DH143" s="4"/>
      <c r="DI143" s="4"/>
      <c r="DJ143" s="4"/>
      <c r="DK143" s="4"/>
      <c r="DL143" s="4">
        <v>5.0</v>
      </c>
      <c r="EA143" s="4"/>
      <c r="EB143" s="4">
        <v>2.0</v>
      </c>
      <c r="EC143" s="4">
        <v>15.0</v>
      </c>
      <c r="ED143" s="4"/>
      <c r="EE143" s="4"/>
      <c r="EF143" s="4"/>
      <c r="EG143" s="4"/>
      <c r="EH143" s="4"/>
      <c r="EI143" s="4">
        <v>48.0</v>
      </c>
      <c r="EJ143" s="4">
        <v>1.0</v>
      </c>
      <c r="EK143" s="4"/>
      <c r="EL143" s="4"/>
      <c r="EM143" s="4"/>
      <c r="EN143" s="4">
        <v>1.0</v>
      </c>
      <c r="ER143" s="4"/>
      <c r="ES143" s="4"/>
      <c r="ET143" s="4"/>
      <c r="EU143" s="4"/>
      <c r="EV143" s="4">
        <v>1.0</v>
      </c>
      <c r="EW143" s="4">
        <v>3.0</v>
      </c>
      <c r="FI143" s="4"/>
      <c r="FJ143" s="4"/>
      <c r="FK143" s="4">
        <v>2.0</v>
      </c>
      <c r="FM143" s="4"/>
      <c r="FN143" s="4"/>
      <c r="FO143" s="4">
        <v>29.0</v>
      </c>
      <c r="FQ143" s="4">
        <v>162.0</v>
      </c>
      <c r="GE143" s="25">
        <f t="shared" si="1"/>
        <v>27</v>
      </c>
      <c r="GF143" s="25">
        <f t="shared" si="2"/>
        <v>24</v>
      </c>
      <c r="GG143" s="25">
        <f t="shared" si="3"/>
        <v>18</v>
      </c>
      <c r="GH143" s="25">
        <f t="shared" si="4"/>
        <v>0.8417048534</v>
      </c>
      <c r="GI143" s="25">
        <f t="shared" si="5"/>
        <v>451</v>
      </c>
      <c r="GJ143" s="25">
        <f t="shared" si="6"/>
        <v>700</v>
      </c>
      <c r="GK143" s="25">
        <f t="shared" si="7"/>
        <v>249</v>
      </c>
    </row>
    <row r="144">
      <c r="A144" s="23">
        <v>43528.0</v>
      </c>
      <c r="B144" s="4" t="s">
        <v>400</v>
      </c>
      <c r="C144" s="4">
        <v>21.900562</v>
      </c>
      <c r="D144" s="4">
        <v>-159.609818</v>
      </c>
      <c r="E144" s="4" t="s">
        <v>401</v>
      </c>
      <c r="F144" s="24">
        <v>0.3958333333333333</v>
      </c>
      <c r="G144" s="24">
        <v>0.4409722222222222</v>
      </c>
      <c r="H144" s="4">
        <v>6.0</v>
      </c>
      <c r="I144" s="4">
        <v>14.0</v>
      </c>
      <c r="J144" s="4" t="s">
        <v>198</v>
      </c>
      <c r="K144" s="4">
        <v>14.0</v>
      </c>
      <c r="L144" s="4">
        <v>43.0</v>
      </c>
      <c r="M144" s="4" t="s">
        <v>447</v>
      </c>
      <c r="N144" s="4" t="s">
        <v>1015</v>
      </c>
      <c r="O144" s="4">
        <v>30.0</v>
      </c>
      <c r="AZ144" s="4"/>
      <c r="BA144" s="4">
        <v>12.0</v>
      </c>
      <c r="BE144" s="4"/>
      <c r="BF144" s="4"/>
      <c r="BG144" s="4">
        <v>4.0</v>
      </c>
      <c r="BV144" s="4">
        <v>53.0</v>
      </c>
      <c r="DH144" s="4"/>
      <c r="DI144" s="4">
        <v>46.0</v>
      </c>
      <c r="DJ144" s="4"/>
      <c r="DK144" s="4">
        <v>99.0</v>
      </c>
      <c r="DS144" s="4"/>
      <c r="DT144" s="4"/>
      <c r="DU144" s="4">
        <v>3.0</v>
      </c>
      <c r="EC144" s="4">
        <v>3.0</v>
      </c>
      <c r="ED144" s="4"/>
      <c r="EE144" s="4"/>
      <c r="EF144" s="4"/>
      <c r="EG144" s="4"/>
      <c r="EH144" s="4"/>
      <c r="EI144" s="4">
        <v>60.0</v>
      </c>
      <c r="EX144" s="4"/>
      <c r="EY144" s="4"/>
      <c r="EZ144" s="4"/>
      <c r="FA144" s="4">
        <v>44.0</v>
      </c>
      <c r="FP144" s="4">
        <v>27.0</v>
      </c>
      <c r="FQ144" s="4">
        <v>18.0</v>
      </c>
      <c r="GE144" s="25">
        <f t="shared" si="1"/>
        <v>11</v>
      </c>
      <c r="GF144" s="25">
        <f t="shared" si="2"/>
        <v>11</v>
      </c>
      <c r="GG144" s="25">
        <f t="shared" si="3"/>
        <v>8</v>
      </c>
      <c r="GH144" s="25">
        <f t="shared" si="4"/>
        <v>0.8444385531</v>
      </c>
      <c r="GI144" s="25">
        <f t="shared" si="5"/>
        <v>369</v>
      </c>
      <c r="GJ144" s="25">
        <f t="shared" si="6"/>
        <v>750</v>
      </c>
      <c r="GK144" s="25">
        <f t="shared" si="7"/>
        <v>381</v>
      </c>
    </row>
    <row r="145">
      <c r="A145" s="23">
        <v>43531.0</v>
      </c>
      <c r="B145" s="4" t="s">
        <v>266</v>
      </c>
      <c r="C145" s="4">
        <v>22.060684</v>
      </c>
      <c r="D145" s="4">
        <v>-159.318512</v>
      </c>
      <c r="E145" s="4" t="s">
        <v>418</v>
      </c>
      <c r="F145" s="24">
        <v>0.4375</v>
      </c>
      <c r="G145" s="24">
        <v>0.5020833333333333</v>
      </c>
      <c r="H145" s="4">
        <v>7.0</v>
      </c>
      <c r="I145" s="4">
        <v>18.0</v>
      </c>
      <c r="J145" s="4" t="s">
        <v>198</v>
      </c>
      <c r="K145" s="4">
        <v>10.0</v>
      </c>
      <c r="L145" s="4">
        <v>56.0</v>
      </c>
      <c r="M145" s="4" t="s">
        <v>450</v>
      </c>
      <c r="O145" s="4">
        <v>56.0</v>
      </c>
      <c r="T145" s="4"/>
      <c r="U145" s="4"/>
      <c r="V145" s="4"/>
      <c r="W145" s="4">
        <v>6.0</v>
      </c>
      <c r="AG145" s="4"/>
      <c r="AH145" s="4">
        <v>2.0</v>
      </c>
      <c r="AZ145" s="4"/>
      <c r="BA145" s="4">
        <v>17.0</v>
      </c>
      <c r="BL145" s="4">
        <v>6.0</v>
      </c>
      <c r="BM145" s="4">
        <v>116.0</v>
      </c>
      <c r="BR145" s="4"/>
      <c r="BS145" s="4"/>
      <c r="BT145" s="4"/>
      <c r="BU145" s="4">
        <v>47.0</v>
      </c>
      <c r="CC145" s="4"/>
      <c r="CD145" s="4">
        <v>6.0</v>
      </c>
      <c r="DJ145" s="4"/>
      <c r="DK145" s="4">
        <v>6.0</v>
      </c>
      <c r="DL145" s="4">
        <v>13.0</v>
      </c>
      <c r="DP145" s="4"/>
      <c r="DQ145" s="4"/>
      <c r="DR145" s="4">
        <v>130.0</v>
      </c>
      <c r="DS145" s="4"/>
      <c r="DT145" s="4"/>
      <c r="DU145" s="4">
        <v>12.0</v>
      </c>
      <c r="ED145" s="4"/>
      <c r="EE145" s="4"/>
      <c r="EF145" s="4"/>
      <c r="EG145" s="4"/>
      <c r="EH145" s="4"/>
      <c r="EI145" s="4">
        <v>55.0</v>
      </c>
      <c r="EX145" s="4"/>
      <c r="EY145" s="4"/>
      <c r="EZ145" s="4"/>
      <c r="FA145" s="4">
        <v>25.0</v>
      </c>
      <c r="FB145" s="4">
        <v>1.0</v>
      </c>
      <c r="FL145" s="4">
        <v>1.0</v>
      </c>
      <c r="FP145" s="4">
        <v>12.0</v>
      </c>
      <c r="FQ145" s="4">
        <v>443.0</v>
      </c>
      <c r="GE145" s="25">
        <f t="shared" si="1"/>
        <v>17</v>
      </c>
      <c r="GF145" s="25">
        <f t="shared" si="2"/>
        <v>15</v>
      </c>
      <c r="GG145" s="25">
        <f t="shared" si="3"/>
        <v>14</v>
      </c>
      <c r="GH145" s="25">
        <f t="shared" si="4"/>
        <v>0.7114087294</v>
      </c>
      <c r="GI145" s="25">
        <f t="shared" si="5"/>
        <v>898</v>
      </c>
      <c r="GJ145" s="25">
        <f t="shared" si="6"/>
        <v>1400</v>
      </c>
      <c r="GK145" s="25">
        <f t="shared" si="7"/>
        <v>502</v>
      </c>
    </row>
    <row r="146">
      <c r="A146" s="23">
        <v>43531.0</v>
      </c>
      <c r="B146" s="4" t="s">
        <v>233</v>
      </c>
      <c r="C146" s="4">
        <v>21.066799</v>
      </c>
      <c r="D146" s="4">
        <v>-156.804993</v>
      </c>
      <c r="E146" s="4" t="s">
        <v>286</v>
      </c>
      <c r="F146" s="24">
        <v>0.4354166666666667</v>
      </c>
      <c r="G146" s="24">
        <v>0.47430555555555554</v>
      </c>
      <c r="H146" s="4">
        <v>4.0</v>
      </c>
      <c r="I146" s="4">
        <v>24.0</v>
      </c>
      <c r="J146" s="4" t="s">
        <v>227</v>
      </c>
      <c r="K146" s="4">
        <v>9.0</v>
      </c>
      <c r="L146" s="4">
        <v>25.0</v>
      </c>
      <c r="M146" s="4" t="s">
        <v>451</v>
      </c>
      <c r="N146" s="4" t="s">
        <v>452</v>
      </c>
      <c r="O146" s="4">
        <v>23.0</v>
      </c>
      <c r="Q146" s="4">
        <v>5.0</v>
      </c>
      <c r="AI146" s="4"/>
      <c r="AJ146" s="4"/>
      <c r="AK146" s="4"/>
      <c r="AL146" s="4">
        <v>49.0</v>
      </c>
      <c r="BL146" s="4">
        <v>188.0</v>
      </c>
      <c r="CF146" s="4"/>
      <c r="CG146" s="4">
        <v>8.0</v>
      </c>
      <c r="CM146" s="4"/>
      <c r="CN146" s="4">
        <v>7.0</v>
      </c>
      <c r="DL146" s="4">
        <v>37.0</v>
      </c>
      <c r="ED146" s="4"/>
      <c r="EE146" s="4"/>
      <c r="EF146" s="4"/>
      <c r="EG146" s="4"/>
      <c r="EH146" s="4"/>
      <c r="EI146" s="4">
        <v>7.0</v>
      </c>
      <c r="EJ146" s="4">
        <v>1.0</v>
      </c>
      <c r="EP146" s="4">
        <v>22.0</v>
      </c>
      <c r="FP146" s="4">
        <v>16.0</v>
      </c>
      <c r="FQ146" s="4">
        <v>3.0</v>
      </c>
      <c r="GE146" s="25">
        <f t="shared" si="1"/>
        <v>11</v>
      </c>
      <c r="GF146" s="25">
        <f t="shared" si="2"/>
        <v>10</v>
      </c>
      <c r="GG146" s="25">
        <f t="shared" si="3"/>
        <v>9</v>
      </c>
      <c r="GH146" s="25">
        <f t="shared" si="4"/>
        <v>0.6615006905</v>
      </c>
      <c r="GI146" s="25">
        <f t="shared" si="5"/>
        <v>343</v>
      </c>
      <c r="GJ146" s="25">
        <f t="shared" si="6"/>
        <v>575</v>
      </c>
      <c r="GK146" s="25">
        <f t="shared" si="7"/>
        <v>232</v>
      </c>
    </row>
    <row r="147">
      <c r="A147" s="48">
        <v>43533.0</v>
      </c>
      <c r="B147" s="49" t="s">
        <v>244</v>
      </c>
      <c r="C147" s="4">
        <v>21.310612</v>
      </c>
      <c r="D147" s="4">
        <v>-158.00441</v>
      </c>
      <c r="E147" s="49" t="s">
        <v>418</v>
      </c>
      <c r="F147" s="50">
        <v>0.4527777777777778</v>
      </c>
      <c r="G147" s="50">
        <v>0.48194444444444445</v>
      </c>
      <c r="H147" s="49">
        <v>5.0</v>
      </c>
      <c r="I147" s="49">
        <v>20.0</v>
      </c>
      <c r="J147" s="49" t="s">
        <v>217</v>
      </c>
      <c r="K147" s="49">
        <v>5.0</v>
      </c>
      <c r="L147" s="49">
        <v>24.0</v>
      </c>
      <c r="M147" s="49" t="s">
        <v>403</v>
      </c>
      <c r="N147" s="35"/>
      <c r="O147" s="49">
        <v>24.0</v>
      </c>
      <c r="P147" s="35"/>
      <c r="Q147" s="49">
        <v>3.0</v>
      </c>
      <c r="R147" s="35"/>
      <c r="S147" s="35"/>
      <c r="T147" s="35"/>
      <c r="U147" s="35"/>
      <c r="V147" s="35"/>
      <c r="W147" s="35"/>
      <c r="X147" s="49"/>
      <c r="Y147" s="49"/>
      <c r="Z147" s="49"/>
      <c r="AA147" s="49">
        <v>5.0</v>
      </c>
      <c r="AB147" s="35"/>
      <c r="AC147" s="35"/>
      <c r="AD147" s="49">
        <v>7.0</v>
      </c>
      <c r="AE147" s="35"/>
      <c r="AF147" s="35"/>
      <c r="AG147" s="49"/>
      <c r="AH147" s="49">
        <v>1.0</v>
      </c>
      <c r="AI147" s="49"/>
      <c r="AJ147" s="49"/>
      <c r="AK147" s="49"/>
      <c r="AL147" s="49">
        <v>6.0</v>
      </c>
      <c r="AM147" s="35"/>
      <c r="AN147" s="35"/>
      <c r="AO147" s="35"/>
      <c r="AP147" s="35"/>
      <c r="AQ147" s="35"/>
      <c r="AR147" s="35"/>
      <c r="AS147" s="35"/>
      <c r="AT147" s="35"/>
      <c r="AU147" s="35"/>
      <c r="AV147" s="35"/>
      <c r="AW147" s="35"/>
      <c r="AX147" s="35"/>
      <c r="AY147" s="35"/>
      <c r="AZ147" s="49"/>
      <c r="BA147" s="49">
        <v>1.0</v>
      </c>
      <c r="BB147" s="35"/>
      <c r="BC147" s="35"/>
      <c r="BD147" s="49">
        <v>53.0</v>
      </c>
      <c r="BE147" s="35"/>
      <c r="BF147" s="35"/>
      <c r="BG147" s="35"/>
      <c r="BH147" s="35"/>
      <c r="BI147" s="35"/>
      <c r="BJ147" s="35"/>
      <c r="BK147" s="35"/>
      <c r="BL147" s="49">
        <v>84.0</v>
      </c>
      <c r="BM147" s="35"/>
      <c r="BN147" s="35"/>
      <c r="BO147" s="35"/>
      <c r="BP147" s="49">
        <v>2.0</v>
      </c>
      <c r="BQ147" s="35"/>
      <c r="BR147" s="49"/>
      <c r="BS147" s="49"/>
      <c r="BT147" s="49"/>
      <c r="BU147" s="49">
        <v>17.0</v>
      </c>
      <c r="BV147" s="35"/>
      <c r="BW147" s="35"/>
      <c r="BX147" s="49"/>
      <c r="BY147" s="49">
        <v>2.0</v>
      </c>
      <c r="BZ147" s="35"/>
      <c r="CA147" s="35"/>
      <c r="CB147" s="35"/>
      <c r="CC147" s="35"/>
      <c r="CD147" s="35"/>
      <c r="CE147" s="35"/>
      <c r="CF147" s="35"/>
      <c r="CG147" s="35"/>
      <c r="CH147" s="35"/>
      <c r="CI147" s="35"/>
      <c r="CJ147" s="35"/>
      <c r="CK147" s="35"/>
      <c r="CL147" s="35"/>
      <c r="CM147" s="49"/>
      <c r="CN147" s="49">
        <v>18.0</v>
      </c>
      <c r="CO147" s="35"/>
      <c r="CP147" s="35"/>
      <c r="CQ147" s="35"/>
      <c r="CR147" s="35"/>
      <c r="CS147" s="35"/>
      <c r="CT147" s="35"/>
      <c r="CU147" s="35"/>
      <c r="CV147" s="35"/>
      <c r="CW147" s="35"/>
      <c r="CX147" s="35"/>
      <c r="CY147" s="35"/>
      <c r="CZ147" s="35"/>
      <c r="DA147" s="35"/>
      <c r="DB147" s="35"/>
      <c r="DC147" s="35"/>
      <c r="DD147" s="35"/>
      <c r="DE147" s="49"/>
      <c r="DF147" s="49">
        <v>5.0</v>
      </c>
      <c r="DG147" s="35"/>
      <c r="DH147" s="35"/>
      <c r="DI147" s="35"/>
      <c r="DJ147" s="35"/>
      <c r="DK147" s="35"/>
      <c r="DL147" s="35"/>
      <c r="DM147" s="35"/>
      <c r="DN147" s="49">
        <v>12.0</v>
      </c>
      <c r="DO147" s="35"/>
      <c r="DP147" s="35"/>
      <c r="DQ147" s="35"/>
      <c r="DR147" s="35"/>
      <c r="DS147" s="49"/>
      <c r="DT147" s="49"/>
      <c r="DU147" s="49">
        <v>37.0</v>
      </c>
      <c r="DV147" s="35"/>
      <c r="DW147" s="35"/>
      <c r="DX147" s="35"/>
      <c r="DY147" s="35"/>
      <c r="DZ147" s="35"/>
      <c r="EA147" s="49"/>
      <c r="EB147" s="49">
        <v>7.0</v>
      </c>
      <c r="EC147" s="35"/>
      <c r="ED147" s="49"/>
      <c r="EE147" s="49"/>
      <c r="EF147" s="49"/>
      <c r="EG147" s="49"/>
      <c r="EH147" s="49"/>
      <c r="EI147" s="49">
        <v>64.0</v>
      </c>
      <c r="EJ147" s="35"/>
      <c r="EK147" s="49"/>
      <c r="EL147" s="49"/>
      <c r="EM147" s="49"/>
      <c r="EN147" s="49">
        <v>1.0</v>
      </c>
      <c r="EO147" s="35"/>
      <c r="EP147" s="35"/>
      <c r="EQ147" s="35"/>
      <c r="ER147" s="35"/>
      <c r="ES147" s="35"/>
      <c r="ET147" s="35"/>
      <c r="EU147" s="35"/>
      <c r="EV147" s="35"/>
      <c r="EW147" s="35"/>
      <c r="FF147" s="35"/>
      <c r="FG147" s="35"/>
      <c r="FH147" s="35"/>
      <c r="FI147" s="35"/>
      <c r="FJ147" s="35"/>
      <c r="FK147" s="35"/>
      <c r="FL147" s="49">
        <v>5.0</v>
      </c>
      <c r="FM147" s="49"/>
      <c r="FN147" s="49"/>
      <c r="FO147" s="49">
        <v>4.0</v>
      </c>
      <c r="FP147" s="35"/>
      <c r="FQ147" s="49">
        <v>169.0</v>
      </c>
      <c r="FR147" s="35"/>
      <c r="FS147" s="35"/>
      <c r="FT147" s="35"/>
      <c r="FU147" s="35"/>
      <c r="FW147" s="35"/>
      <c r="FX147" s="35"/>
      <c r="FY147" s="35"/>
      <c r="FZ147" s="35"/>
      <c r="GA147" s="35"/>
      <c r="GB147" s="35"/>
      <c r="GC147" s="35"/>
      <c r="GD147" s="35"/>
      <c r="GE147" s="25">
        <f t="shared" si="1"/>
        <v>21</v>
      </c>
      <c r="GF147" s="25">
        <f t="shared" si="2"/>
        <v>18</v>
      </c>
      <c r="GG147" s="25">
        <f t="shared" si="3"/>
        <v>14</v>
      </c>
      <c r="GH147" s="25">
        <f t="shared" si="4"/>
        <v>0.8242021972</v>
      </c>
      <c r="GI147" s="25">
        <f t="shared" si="5"/>
        <v>503</v>
      </c>
      <c r="GJ147" s="25">
        <f t="shared" si="6"/>
        <v>600</v>
      </c>
      <c r="GK147" s="25">
        <f t="shared" si="7"/>
        <v>97</v>
      </c>
      <c r="GL147" s="35"/>
      <c r="GM147" s="35"/>
      <c r="GN147" s="35"/>
      <c r="GO147" s="35"/>
      <c r="GP147" s="35"/>
      <c r="GQ147" s="35"/>
      <c r="GR147" s="35"/>
    </row>
    <row r="148">
      <c r="A148" s="51">
        <v>43536.0</v>
      </c>
      <c r="B148" s="49" t="s">
        <v>201</v>
      </c>
      <c r="C148" s="4">
        <v>21.25544</v>
      </c>
      <c r="D148" s="49">
        <v>-157.810303</v>
      </c>
      <c r="E148" s="49" t="s">
        <v>418</v>
      </c>
      <c r="F148" s="52">
        <v>0.5625</v>
      </c>
      <c r="G148" s="53">
        <v>0.6666666666666666</v>
      </c>
      <c r="H148" s="49">
        <v>7.0</v>
      </c>
      <c r="I148" s="49">
        <v>8.0</v>
      </c>
      <c r="J148" s="49" t="s">
        <v>198</v>
      </c>
      <c r="K148" s="49">
        <v>25.0</v>
      </c>
      <c r="L148" s="49">
        <v>35.0</v>
      </c>
      <c r="M148" s="49"/>
      <c r="N148" s="35"/>
      <c r="O148" s="49">
        <v>35.0</v>
      </c>
      <c r="P148" s="35"/>
      <c r="Q148" s="49">
        <v>1.0</v>
      </c>
      <c r="R148" s="35"/>
      <c r="S148" s="35"/>
      <c r="T148" s="49"/>
      <c r="U148" s="49"/>
      <c r="V148" s="49"/>
      <c r="W148" s="49">
        <v>1.0</v>
      </c>
      <c r="X148" s="49"/>
      <c r="Y148" s="49"/>
      <c r="Z148" s="49"/>
      <c r="AA148" s="49">
        <v>5.0</v>
      </c>
      <c r="AB148" s="49"/>
      <c r="AC148" s="49">
        <v>1.0</v>
      </c>
      <c r="AD148" s="49">
        <v>5.0</v>
      </c>
      <c r="AE148" s="35"/>
      <c r="AF148" s="35"/>
      <c r="AG148" s="49"/>
      <c r="AH148" s="49">
        <v>6.0</v>
      </c>
      <c r="AI148" s="49"/>
      <c r="AJ148" s="49"/>
      <c r="AK148" s="49"/>
      <c r="AL148" s="49">
        <v>2.0</v>
      </c>
      <c r="AM148" s="49">
        <v>1.0</v>
      </c>
      <c r="AN148" s="35"/>
      <c r="AO148" s="35"/>
      <c r="AP148" s="35"/>
      <c r="AQ148" s="35"/>
      <c r="AR148" s="35"/>
      <c r="AS148" s="35"/>
      <c r="AT148" s="35"/>
      <c r="AU148" s="35"/>
      <c r="AV148" s="35"/>
      <c r="AW148" s="35"/>
      <c r="AX148" s="35"/>
      <c r="AY148" s="35"/>
      <c r="AZ148" s="49"/>
      <c r="BA148" s="49">
        <v>4.0</v>
      </c>
      <c r="BB148" s="49">
        <v>1.0</v>
      </c>
      <c r="BC148" s="35"/>
      <c r="BD148" s="35"/>
      <c r="BE148" s="35"/>
      <c r="BF148" s="35"/>
      <c r="BG148" s="35"/>
      <c r="BH148" s="49"/>
      <c r="BI148" s="49"/>
      <c r="BJ148" s="49">
        <v>32.0</v>
      </c>
      <c r="BK148" s="35"/>
      <c r="BL148" s="49">
        <v>5.0</v>
      </c>
      <c r="BM148" s="35"/>
      <c r="BN148" s="35"/>
      <c r="BO148" s="35"/>
      <c r="BP148" s="49">
        <v>24.0</v>
      </c>
      <c r="BQ148" s="35"/>
      <c r="BR148" s="49"/>
      <c r="BS148" s="49"/>
      <c r="BT148" s="49"/>
      <c r="BU148" s="49">
        <v>10.0</v>
      </c>
      <c r="BV148" s="49">
        <v>1.0</v>
      </c>
      <c r="BW148" s="35"/>
      <c r="BX148" s="49">
        <v>2.0</v>
      </c>
      <c r="BY148" s="49">
        <v>9.0</v>
      </c>
      <c r="BZ148" s="35"/>
      <c r="CA148" s="35"/>
      <c r="CB148" s="35"/>
      <c r="CC148" s="35"/>
      <c r="CD148" s="35"/>
      <c r="CE148" s="35"/>
      <c r="CF148" s="49"/>
      <c r="CG148" s="49">
        <v>6.0</v>
      </c>
      <c r="CH148" s="49"/>
      <c r="CI148" s="49"/>
      <c r="CJ148" s="49">
        <v>2.0</v>
      </c>
      <c r="CK148" s="35"/>
      <c r="CL148" s="35"/>
      <c r="CM148" s="49"/>
      <c r="CN148" s="49">
        <v>3.0</v>
      </c>
      <c r="CO148" s="35"/>
      <c r="CP148" s="35"/>
      <c r="CQ148" s="35"/>
      <c r="CR148" s="35"/>
      <c r="CS148" s="35"/>
      <c r="CT148" s="35"/>
      <c r="CU148" s="49"/>
      <c r="CV148" s="49"/>
      <c r="CW148" s="49"/>
      <c r="CX148" s="49"/>
      <c r="CY148" s="49"/>
      <c r="CZ148" s="49">
        <v>1.0</v>
      </c>
      <c r="DA148" s="35"/>
      <c r="DB148" s="35"/>
      <c r="DC148" s="35"/>
      <c r="DD148" s="35"/>
      <c r="DE148" s="49"/>
      <c r="DF148" s="49">
        <v>27.0</v>
      </c>
      <c r="DG148" s="35"/>
      <c r="DH148" s="35"/>
      <c r="DI148" s="35"/>
      <c r="DJ148" s="49"/>
      <c r="DK148" s="49">
        <v>1.0</v>
      </c>
      <c r="DL148" s="49">
        <v>46.0</v>
      </c>
      <c r="DM148" s="49">
        <v>2.0</v>
      </c>
      <c r="DN148" s="35"/>
      <c r="DO148" s="49">
        <v>2.0</v>
      </c>
      <c r="DP148" s="49">
        <v>2.0</v>
      </c>
      <c r="DQ148" s="49"/>
      <c r="DR148" s="49">
        <v>2.0</v>
      </c>
      <c r="DS148" s="49"/>
      <c r="DT148" s="49"/>
      <c r="DU148" s="49">
        <v>1.0</v>
      </c>
      <c r="DV148" s="35"/>
      <c r="DW148" s="35"/>
      <c r="DX148" s="35"/>
      <c r="DY148" s="35"/>
      <c r="DZ148" s="35"/>
      <c r="EA148" s="35"/>
      <c r="EB148" s="35"/>
      <c r="EC148" s="35"/>
      <c r="ED148" s="49"/>
      <c r="EE148" s="49"/>
      <c r="EF148" s="49"/>
      <c r="EG148" s="49"/>
      <c r="EH148" s="49"/>
      <c r="EI148" s="49">
        <v>33.0</v>
      </c>
      <c r="EJ148" s="35"/>
      <c r="EK148" s="35"/>
      <c r="EL148" s="35"/>
      <c r="EM148" s="35"/>
      <c r="EN148" s="35"/>
      <c r="EO148" s="35"/>
      <c r="EP148" s="35"/>
      <c r="EQ148" s="35"/>
      <c r="ER148" s="35"/>
      <c r="ES148" s="35"/>
      <c r="ET148" s="35"/>
      <c r="EU148" s="35"/>
      <c r="EV148" s="35"/>
      <c r="EW148" s="35"/>
      <c r="EX148" s="49"/>
      <c r="EY148" s="49">
        <v>2.0</v>
      </c>
      <c r="EZ148" s="49">
        <v>26.0</v>
      </c>
      <c r="FA148" s="49">
        <v>31.0</v>
      </c>
      <c r="FB148" s="49">
        <v>1.0</v>
      </c>
      <c r="FC148" s="49"/>
      <c r="FD148" s="49">
        <v>2.0</v>
      </c>
      <c r="FE148" s="49">
        <v>6.0</v>
      </c>
      <c r="FF148" s="35"/>
      <c r="FG148" s="35"/>
      <c r="FH148" s="35"/>
      <c r="FI148" s="35"/>
      <c r="FJ148" s="35"/>
      <c r="FK148" s="35"/>
      <c r="FL148" s="35"/>
      <c r="FM148" s="35"/>
      <c r="FN148" s="35"/>
      <c r="FO148" s="35"/>
      <c r="FP148" s="49">
        <v>55.0</v>
      </c>
      <c r="FQ148" s="49">
        <v>266.0</v>
      </c>
      <c r="FR148" s="49"/>
      <c r="FS148" s="49">
        <v>23.0</v>
      </c>
      <c r="FT148" s="49"/>
      <c r="FU148" s="49">
        <v>2.0</v>
      </c>
      <c r="FW148" s="35"/>
      <c r="FX148" s="35"/>
      <c r="FY148" s="35"/>
      <c r="FZ148" s="35"/>
      <c r="GA148" s="35"/>
      <c r="GB148" s="35"/>
      <c r="GC148" s="35"/>
      <c r="GD148" s="35"/>
      <c r="GE148" s="25">
        <f t="shared" si="1"/>
        <v>40</v>
      </c>
      <c r="GF148" s="25">
        <f t="shared" si="2"/>
        <v>30</v>
      </c>
      <c r="GG148" s="25">
        <f t="shared" si="3"/>
        <v>18</v>
      </c>
      <c r="GH148" s="25">
        <f t="shared" si="4"/>
        <v>0.8085342983</v>
      </c>
      <c r="GI148" s="25">
        <f t="shared" si="5"/>
        <v>652</v>
      </c>
      <c r="GJ148" s="25">
        <f t="shared" si="6"/>
        <v>875</v>
      </c>
      <c r="GK148" s="25">
        <f t="shared" si="7"/>
        <v>223</v>
      </c>
      <c r="GL148" s="35"/>
      <c r="GM148" s="35"/>
      <c r="GN148" s="35"/>
      <c r="GO148" s="35"/>
      <c r="GP148" s="35"/>
      <c r="GQ148" s="35"/>
      <c r="GR148" s="45"/>
    </row>
    <row r="149">
      <c r="A149" s="23">
        <v>43556.0</v>
      </c>
      <c r="B149" s="49" t="s">
        <v>456</v>
      </c>
      <c r="C149" s="4">
        <v>21.316488</v>
      </c>
      <c r="D149" s="4">
        <v>-157.664261</v>
      </c>
      <c r="E149" s="49" t="s">
        <v>418</v>
      </c>
      <c r="F149" s="53">
        <v>0.3645833333333333</v>
      </c>
      <c r="G149" s="53">
        <v>0.4583333333333333</v>
      </c>
      <c r="H149" s="49">
        <v>7.0</v>
      </c>
      <c r="I149" s="49">
        <v>15.0</v>
      </c>
      <c r="J149" s="49" t="s">
        <v>318</v>
      </c>
      <c r="K149" s="49">
        <v>5.0</v>
      </c>
      <c r="L149" s="49">
        <v>28.0</v>
      </c>
      <c r="M149" s="49" t="s">
        <v>457</v>
      </c>
      <c r="N149" s="49" t="s">
        <v>458</v>
      </c>
      <c r="O149" s="49">
        <v>24.0</v>
      </c>
      <c r="P149" s="35"/>
      <c r="Q149" s="35"/>
      <c r="R149" s="35"/>
      <c r="S149" s="35"/>
      <c r="T149" s="35"/>
      <c r="U149" s="35"/>
      <c r="V149" s="35"/>
      <c r="W149" s="35"/>
      <c r="X149" s="49"/>
      <c r="Y149" s="49"/>
      <c r="Z149" s="49"/>
      <c r="AA149" s="49">
        <v>2.0</v>
      </c>
      <c r="AB149" s="35"/>
      <c r="AC149" s="35"/>
      <c r="AD149" s="35"/>
      <c r="AE149" s="35"/>
      <c r="AF149" s="35"/>
      <c r="AG149" s="35"/>
      <c r="AH149" s="35"/>
      <c r="AI149" s="49"/>
      <c r="AJ149" s="49"/>
      <c r="AK149" s="49"/>
      <c r="AL149" s="49">
        <v>4.0</v>
      </c>
      <c r="AM149" s="49">
        <v>1.0</v>
      </c>
      <c r="AN149" s="35"/>
      <c r="AO149" s="35"/>
      <c r="AP149" s="35"/>
      <c r="AQ149" s="35"/>
      <c r="AR149" s="35"/>
      <c r="AS149" s="35"/>
      <c r="AT149" s="49"/>
      <c r="AU149" s="49"/>
      <c r="AV149" s="49"/>
      <c r="AW149" s="49"/>
      <c r="AX149" s="49">
        <v>1.0</v>
      </c>
      <c r="AY149" s="35"/>
      <c r="AZ149" s="35"/>
      <c r="BA149" s="35"/>
      <c r="BB149" s="35"/>
      <c r="BC149" s="35"/>
      <c r="BD149" s="35"/>
      <c r="BE149" s="49">
        <v>2.0</v>
      </c>
      <c r="BF149" s="35"/>
      <c r="BG149" s="35"/>
      <c r="BH149" s="35"/>
      <c r="BI149" s="35"/>
      <c r="BJ149" s="35"/>
      <c r="BK149" s="35"/>
      <c r="BL149" s="49">
        <v>38.0</v>
      </c>
      <c r="BM149" s="35"/>
      <c r="BN149" s="35"/>
      <c r="BO149" s="35"/>
      <c r="BP149" s="35"/>
      <c r="BQ149" s="35"/>
      <c r="BR149" s="35"/>
      <c r="BS149" s="35"/>
      <c r="BT149" s="35"/>
      <c r="BU149" s="35"/>
      <c r="BV149" s="35"/>
      <c r="BW149" s="35"/>
      <c r="BX149" s="49">
        <v>1.0</v>
      </c>
      <c r="BY149" s="35"/>
      <c r="BZ149" s="35"/>
      <c r="CA149" s="35"/>
      <c r="CB149" s="49">
        <v>1.0</v>
      </c>
      <c r="CC149" s="49">
        <v>2.0</v>
      </c>
      <c r="CD149" s="35"/>
      <c r="CE149" s="49">
        <v>1.0</v>
      </c>
      <c r="CF149" s="35"/>
      <c r="CG149" s="35"/>
      <c r="CH149" s="35"/>
      <c r="CI149" s="35"/>
      <c r="CJ149" s="35"/>
      <c r="CK149" s="35"/>
      <c r="CL149" s="35"/>
      <c r="CM149" s="35"/>
      <c r="CN149" s="35"/>
      <c r="CO149" s="35"/>
      <c r="CP149" s="35"/>
      <c r="CQ149" s="35"/>
      <c r="CR149" s="35"/>
      <c r="CS149" s="35"/>
      <c r="CT149" s="35"/>
      <c r="CU149" s="49">
        <v>1.0</v>
      </c>
      <c r="CV149" s="35"/>
      <c r="CW149" s="35"/>
      <c r="CX149" s="35"/>
      <c r="CY149" s="35"/>
      <c r="CZ149" s="35"/>
      <c r="DA149" s="35"/>
      <c r="DB149" s="35"/>
      <c r="DC149" s="35"/>
      <c r="DD149" s="35"/>
      <c r="DE149" s="49"/>
      <c r="DF149" s="49">
        <v>1.0</v>
      </c>
      <c r="DG149" s="49">
        <v>1.0</v>
      </c>
      <c r="DH149" s="35"/>
      <c r="DI149" s="35"/>
      <c r="DJ149" s="35"/>
      <c r="DK149" s="35"/>
      <c r="DL149" s="35"/>
      <c r="DM149" s="35"/>
      <c r="DN149" s="35"/>
      <c r="DO149" s="35"/>
      <c r="DP149" s="35"/>
      <c r="DQ149" s="35"/>
      <c r="DR149" s="35"/>
      <c r="DS149" s="35"/>
      <c r="DT149" s="35"/>
      <c r="DU149" s="35"/>
      <c r="DV149" s="35"/>
      <c r="DW149" s="35"/>
      <c r="DX149" s="35"/>
      <c r="DY149" s="35"/>
      <c r="DZ149" s="35"/>
      <c r="EA149" s="49">
        <v>1.0</v>
      </c>
      <c r="EB149" s="35"/>
      <c r="EC149" s="35"/>
      <c r="ED149" s="49"/>
      <c r="EE149" s="49"/>
      <c r="EF149" s="49"/>
      <c r="EG149" s="49"/>
      <c r="EH149" s="49"/>
      <c r="EI149" s="49">
        <v>36.0</v>
      </c>
      <c r="EJ149" s="35"/>
      <c r="EK149" s="35"/>
      <c r="EL149" s="35"/>
      <c r="EM149" s="35"/>
      <c r="EN149" s="35"/>
      <c r="EO149" s="35"/>
      <c r="EP149" s="35"/>
      <c r="EQ149" s="35"/>
      <c r="ER149" s="49"/>
      <c r="ES149" s="49"/>
      <c r="ET149" s="49"/>
      <c r="EU149" s="49">
        <v>1.0</v>
      </c>
      <c r="EV149" s="35"/>
      <c r="EW149" s="35"/>
      <c r="EX149" s="35"/>
      <c r="EY149" s="35"/>
      <c r="EZ149" s="35"/>
      <c r="FA149" s="35"/>
      <c r="FB149" s="35"/>
      <c r="FC149" s="35"/>
      <c r="FD149" s="35"/>
      <c r="FE149" s="35"/>
      <c r="FF149" s="35"/>
      <c r="FG149" s="35"/>
      <c r="FH149" s="35"/>
      <c r="FI149" s="35"/>
      <c r="FJ149" s="35"/>
      <c r="FK149" s="35"/>
      <c r="FL149" s="35"/>
      <c r="FM149" s="35"/>
      <c r="FN149" s="35"/>
      <c r="FO149" s="35"/>
      <c r="FP149" s="35"/>
      <c r="FQ149" s="49">
        <v>99.0</v>
      </c>
      <c r="FR149" s="35"/>
      <c r="FS149" s="35"/>
      <c r="FT149" s="35"/>
      <c r="FU149" s="35"/>
      <c r="FW149" s="35"/>
      <c r="FX149" s="35"/>
      <c r="FY149" s="35"/>
      <c r="FZ149" s="35"/>
      <c r="GA149" s="35"/>
      <c r="GB149" s="35"/>
      <c r="GC149" s="35"/>
      <c r="GD149" s="35"/>
      <c r="GE149" s="25">
        <f t="shared" si="1"/>
        <v>17</v>
      </c>
      <c r="GF149" s="25">
        <f t="shared" si="2"/>
        <v>7</v>
      </c>
      <c r="GG149" s="25">
        <f t="shared" si="3"/>
        <v>3</v>
      </c>
      <c r="GH149" s="25">
        <f t="shared" si="4"/>
        <v>0.6657491364</v>
      </c>
      <c r="GI149" s="25">
        <f t="shared" si="5"/>
        <v>193</v>
      </c>
      <c r="GJ149" s="25">
        <f t="shared" si="6"/>
        <v>600</v>
      </c>
      <c r="GK149" s="25">
        <f t="shared" si="7"/>
        <v>407</v>
      </c>
      <c r="GL149" s="35"/>
      <c r="GM149" s="35"/>
      <c r="GN149" s="35"/>
      <c r="GO149" s="35"/>
      <c r="GP149" s="35"/>
      <c r="GQ149" s="35"/>
      <c r="GR149" s="35"/>
    </row>
    <row r="150">
      <c r="A150" s="23">
        <v>43557.0</v>
      </c>
      <c r="B150" s="4" t="s">
        <v>456</v>
      </c>
      <c r="C150" s="4">
        <v>21.316488</v>
      </c>
      <c r="D150" s="4">
        <v>-157.664261</v>
      </c>
      <c r="E150" s="4" t="s">
        <v>418</v>
      </c>
      <c r="F150" s="24">
        <v>0.3645833333333333</v>
      </c>
      <c r="G150" s="24">
        <v>0.46875</v>
      </c>
      <c r="H150" s="4">
        <v>7.0</v>
      </c>
      <c r="I150" s="4">
        <v>10.0</v>
      </c>
      <c r="J150" s="4" t="s">
        <v>318</v>
      </c>
      <c r="K150" s="4">
        <v>5.0</v>
      </c>
      <c r="L150" s="4">
        <v>31.0</v>
      </c>
      <c r="M150" s="4" t="s">
        <v>462</v>
      </c>
      <c r="N150" s="4" t="s">
        <v>463</v>
      </c>
      <c r="O150" s="4">
        <v>27.0</v>
      </c>
      <c r="T150" s="4"/>
      <c r="U150" s="4"/>
      <c r="V150" s="4"/>
      <c r="W150" s="4">
        <v>10.0</v>
      </c>
      <c r="X150" s="4"/>
      <c r="Y150" s="4"/>
      <c r="Z150" s="4"/>
      <c r="AA150" s="4">
        <v>11.0</v>
      </c>
      <c r="BE150" s="4">
        <v>2.0</v>
      </c>
      <c r="BK150" s="4">
        <v>1.0</v>
      </c>
      <c r="BL150" s="4">
        <v>7.0</v>
      </c>
      <c r="BP150" s="4">
        <v>3.0</v>
      </c>
      <c r="BR150" s="4"/>
      <c r="BS150" s="4"/>
      <c r="BT150" s="4">
        <v>3.0</v>
      </c>
      <c r="BX150" s="4">
        <v>1.0</v>
      </c>
      <c r="CM150" s="4"/>
      <c r="CN150" s="4">
        <v>6.0</v>
      </c>
      <c r="DE150" s="4"/>
      <c r="DF150" s="4">
        <v>1.0</v>
      </c>
      <c r="DH150" s="4"/>
      <c r="DI150" s="4">
        <v>1.0</v>
      </c>
      <c r="DN150" s="4">
        <v>3.0</v>
      </c>
      <c r="DQ150" s="4"/>
      <c r="DR150" s="4">
        <v>7.0</v>
      </c>
      <c r="EA150" s="4">
        <v>2.0</v>
      </c>
      <c r="ED150" s="4"/>
      <c r="EE150" s="4"/>
      <c r="EF150" s="4"/>
      <c r="EG150" s="4"/>
      <c r="EH150" s="4"/>
      <c r="EI150" s="4">
        <v>37.0</v>
      </c>
      <c r="EJ150" s="4">
        <v>3.0</v>
      </c>
      <c r="EZ150" s="4">
        <v>2.0</v>
      </c>
      <c r="FE150" s="4">
        <v>36.0</v>
      </c>
      <c r="FQ150" s="4">
        <v>254.0</v>
      </c>
      <c r="GA150" s="4"/>
      <c r="GB150" s="4"/>
      <c r="GC150" s="4">
        <v>3.0</v>
      </c>
      <c r="GE150" s="25">
        <f t="shared" si="1"/>
        <v>20</v>
      </c>
      <c r="GF150" s="25">
        <f t="shared" si="2"/>
        <v>16</v>
      </c>
      <c r="GG150" s="25">
        <f t="shared" si="3"/>
        <v>8</v>
      </c>
      <c r="GH150" s="25">
        <f t="shared" si="4"/>
        <v>0.5637690191</v>
      </c>
      <c r="GI150" s="25">
        <f t="shared" si="5"/>
        <v>393</v>
      </c>
      <c r="GJ150" s="25">
        <f t="shared" si="6"/>
        <v>675</v>
      </c>
      <c r="GK150" s="25">
        <f t="shared" si="7"/>
        <v>282</v>
      </c>
    </row>
    <row r="151">
      <c r="A151" s="23">
        <v>43558.0</v>
      </c>
      <c r="B151" s="4" t="s">
        <v>456</v>
      </c>
      <c r="C151" s="4">
        <v>21.316488</v>
      </c>
      <c r="D151" s="4">
        <v>-157.664261</v>
      </c>
      <c r="E151" s="4" t="s">
        <v>418</v>
      </c>
      <c r="F151" s="24">
        <v>0.375</v>
      </c>
      <c r="G151" s="24">
        <v>0.4583333333333333</v>
      </c>
      <c r="H151" s="4">
        <v>5.0</v>
      </c>
      <c r="I151" s="4">
        <v>10.0</v>
      </c>
      <c r="J151" s="4" t="s">
        <v>318</v>
      </c>
      <c r="K151" s="4">
        <v>5.0</v>
      </c>
      <c r="L151" s="4">
        <v>22.0</v>
      </c>
      <c r="M151" s="4" t="s">
        <v>464</v>
      </c>
      <c r="O151" s="4">
        <v>22.0</v>
      </c>
      <c r="S151" s="4">
        <v>2.0</v>
      </c>
      <c r="AI151" s="4"/>
      <c r="AJ151" s="4"/>
      <c r="AK151" s="4"/>
      <c r="AL151" s="4">
        <v>23.0</v>
      </c>
      <c r="AY151" s="4">
        <v>13.0</v>
      </c>
      <c r="AZ151" s="4"/>
      <c r="BA151" s="4">
        <v>10.0</v>
      </c>
      <c r="BE151" s="4">
        <v>6.0</v>
      </c>
      <c r="BL151" s="4">
        <v>42.0</v>
      </c>
      <c r="CB151" s="4">
        <v>1.0</v>
      </c>
      <c r="CM151" s="4"/>
      <c r="CN151" s="4">
        <v>6.0</v>
      </c>
      <c r="CU151" s="4">
        <v>7.0</v>
      </c>
      <c r="DH151" s="4">
        <v>1.0</v>
      </c>
      <c r="ED151" s="4"/>
      <c r="EE151" s="4"/>
      <c r="EF151" s="4"/>
      <c r="EG151" s="4"/>
      <c r="EH151" s="4"/>
      <c r="EI151" s="4">
        <v>39.0</v>
      </c>
      <c r="EJ151" s="4">
        <v>8.0</v>
      </c>
      <c r="FE151" s="4">
        <v>6.0</v>
      </c>
      <c r="FQ151" s="4">
        <v>110.0</v>
      </c>
      <c r="FX151" s="4">
        <v>3.0</v>
      </c>
      <c r="GD151" s="4">
        <v>8.0</v>
      </c>
      <c r="GE151" s="25">
        <f t="shared" si="1"/>
        <v>16</v>
      </c>
      <c r="GF151" s="25">
        <f t="shared" si="2"/>
        <v>14</v>
      </c>
      <c r="GG151" s="25">
        <f t="shared" si="3"/>
        <v>12</v>
      </c>
      <c r="GH151" s="25">
        <f t="shared" si="4"/>
        <v>0.7998764517</v>
      </c>
      <c r="GI151" s="25">
        <f t="shared" si="5"/>
        <v>285</v>
      </c>
      <c r="GJ151" s="25">
        <f t="shared" si="6"/>
        <v>550</v>
      </c>
      <c r="GK151" s="25">
        <f t="shared" si="7"/>
        <v>265</v>
      </c>
    </row>
    <row r="152">
      <c r="A152" s="23">
        <v>43559.0</v>
      </c>
      <c r="B152" s="4" t="s">
        <v>456</v>
      </c>
      <c r="C152" s="4">
        <v>21.316488</v>
      </c>
      <c r="D152" s="4">
        <v>-157.664261</v>
      </c>
      <c r="E152" s="4" t="s">
        <v>418</v>
      </c>
      <c r="F152" s="24">
        <v>0.375</v>
      </c>
      <c r="G152" s="24">
        <v>0.4791666666666667</v>
      </c>
      <c r="H152" s="4">
        <v>5.0</v>
      </c>
      <c r="I152" s="4">
        <v>10.0</v>
      </c>
      <c r="J152" s="4" t="s">
        <v>318</v>
      </c>
      <c r="K152" s="4">
        <v>5.0</v>
      </c>
      <c r="L152" s="4">
        <v>25.0</v>
      </c>
      <c r="O152" s="4">
        <v>25.0</v>
      </c>
      <c r="BC152" s="4">
        <v>6.0</v>
      </c>
      <c r="BH152" s="4"/>
      <c r="BI152" s="4"/>
      <c r="BJ152" s="4">
        <v>1.0</v>
      </c>
      <c r="BL152" s="4">
        <v>68.0</v>
      </c>
      <c r="BR152" s="4"/>
      <c r="BS152" s="4">
        <v>1.0</v>
      </c>
      <c r="BX152" s="4">
        <v>10.0</v>
      </c>
      <c r="BY152" s="4">
        <v>23.0</v>
      </c>
      <c r="CB152" s="4">
        <v>1.0</v>
      </c>
      <c r="CE152" s="4">
        <v>2.0</v>
      </c>
      <c r="CM152" s="4"/>
      <c r="CN152" s="4">
        <v>8.0</v>
      </c>
      <c r="DN152" s="4">
        <v>1.0</v>
      </c>
      <c r="DQ152" s="4"/>
      <c r="DR152" s="4">
        <v>4.0</v>
      </c>
      <c r="EB152" s="4">
        <v>1.0</v>
      </c>
      <c r="ED152" s="4"/>
      <c r="EE152" s="4"/>
      <c r="EF152" s="4"/>
      <c r="EG152" s="4"/>
      <c r="EH152" s="4"/>
      <c r="EI152" s="4">
        <v>45.0</v>
      </c>
      <c r="EJ152" s="4">
        <v>11.0</v>
      </c>
      <c r="EV152" s="4">
        <v>2.0</v>
      </c>
      <c r="FF152" s="4"/>
      <c r="FG152" s="4">
        <v>2.0</v>
      </c>
      <c r="FQ152" s="4">
        <v>151.0</v>
      </c>
      <c r="GE152" s="25">
        <f t="shared" si="1"/>
        <v>17</v>
      </c>
      <c r="GF152" s="25">
        <f t="shared" si="2"/>
        <v>12</v>
      </c>
      <c r="GG152" s="25">
        <f t="shared" si="3"/>
        <v>8</v>
      </c>
      <c r="GH152" s="25">
        <f t="shared" si="4"/>
        <v>0.7350925533</v>
      </c>
      <c r="GI152" s="25">
        <f t="shared" si="5"/>
        <v>337</v>
      </c>
      <c r="GJ152" s="25">
        <f t="shared" si="6"/>
        <v>625</v>
      </c>
      <c r="GK152" s="25">
        <f t="shared" si="7"/>
        <v>288</v>
      </c>
    </row>
    <row r="153">
      <c r="A153" s="23">
        <v>43563.0</v>
      </c>
      <c r="B153" s="4" t="s">
        <v>400</v>
      </c>
      <c r="C153" s="4">
        <v>21.900562</v>
      </c>
      <c r="D153" s="4">
        <v>-159.609818</v>
      </c>
      <c r="E153" s="4" t="s">
        <v>465</v>
      </c>
      <c r="F153" s="24">
        <v>0.4548611111111111</v>
      </c>
      <c r="G153" s="24">
        <v>0.4895833333333333</v>
      </c>
      <c r="H153" s="4">
        <v>6.0</v>
      </c>
      <c r="I153" s="4">
        <v>10.0</v>
      </c>
      <c r="J153" s="4" t="s">
        <v>198</v>
      </c>
      <c r="K153" s="4">
        <v>5.0</v>
      </c>
      <c r="L153" s="4">
        <v>29.0</v>
      </c>
      <c r="M153" s="4" t="s">
        <v>466</v>
      </c>
      <c r="O153" s="4">
        <v>29.0</v>
      </c>
      <c r="Q153" s="4">
        <v>14.0</v>
      </c>
      <c r="AZ153" s="4"/>
      <c r="BA153" s="4">
        <v>2.0</v>
      </c>
      <c r="BK153" s="4">
        <v>2.0</v>
      </c>
      <c r="BV153" s="4">
        <v>19.0</v>
      </c>
      <c r="CD153" s="4">
        <v>6.0</v>
      </c>
      <c r="DL153" s="4">
        <v>174.0</v>
      </c>
      <c r="DQ153" s="4"/>
      <c r="DR153" s="4">
        <v>12.0</v>
      </c>
      <c r="DS153" s="4"/>
      <c r="DT153" s="4"/>
      <c r="DU153" s="4">
        <v>8.0</v>
      </c>
      <c r="DX153" s="4"/>
      <c r="DY153" s="4">
        <v>2.0</v>
      </c>
      <c r="EA153" s="4">
        <v>1.0</v>
      </c>
      <c r="EC153" s="4">
        <v>1.0</v>
      </c>
      <c r="ED153" s="4"/>
      <c r="EE153" s="4"/>
      <c r="EF153" s="4"/>
      <c r="EG153" s="4"/>
      <c r="EH153" s="4"/>
      <c r="EI153" s="4">
        <v>55.0</v>
      </c>
      <c r="EK153" s="4"/>
      <c r="EL153" s="4"/>
      <c r="EM153" s="4">
        <v>1.0</v>
      </c>
      <c r="FA153" s="4">
        <v>31.0</v>
      </c>
      <c r="FB153" s="4">
        <v>1.0</v>
      </c>
      <c r="FP153" s="4">
        <v>2.0</v>
      </c>
      <c r="FQ153" s="4">
        <v>15.0</v>
      </c>
      <c r="FX153" s="4">
        <v>2.0</v>
      </c>
      <c r="FY153" s="4"/>
      <c r="FZ153" s="4">
        <v>3.0</v>
      </c>
      <c r="GA153" s="4">
        <v>1.0</v>
      </c>
      <c r="GE153" s="25">
        <f t="shared" si="1"/>
        <v>20</v>
      </c>
      <c r="GF153" s="25">
        <f t="shared" si="2"/>
        <v>15</v>
      </c>
      <c r="GG153" s="25">
        <f t="shared" si="3"/>
        <v>9</v>
      </c>
      <c r="GH153" s="25">
        <f t="shared" si="4"/>
        <v>0.7169612795</v>
      </c>
      <c r="GI153" s="25">
        <f t="shared" si="5"/>
        <v>352</v>
      </c>
      <c r="GJ153" s="25">
        <f t="shared" si="6"/>
        <v>725</v>
      </c>
      <c r="GK153" s="25">
        <f t="shared" si="7"/>
        <v>373</v>
      </c>
    </row>
    <row r="154">
      <c r="A154" s="23">
        <v>43564.0</v>
      </c>
      <c r="B154" s="4" t="s">
        <v>456</v>
      </c>
      <c r="C154" s="4">
        <v>21.316488</v>
      </c>
      <c r="D154" s="4">
        <v>-157.664261</v>
      </c>
      <c r="E154" s="4" t="s">
        <v>469</v>
      </c>
      <c r="F154" s="24">
        <v>0.36319444444444443</v>
      </c>
      <c r="G154" s="24">
        <v>0.3958333333333333</v>
      </c>
      <c r="H154" s="4">
        <v>4.0</v>
      </c>
      <c r="I154" s="4">
        <v>40.0</v>
      </c>
      <c r="J154" s="4" t="s">
        <v>470</v>
      </c>
      <c r="K154" s="4">
        <v>5.0</v>
      </c>
      <c r="L154" s="4">
        <v>10.0</v>
      </c>
      <c r="M154" s="4" t="s">
        <v>471</v>
      </c>
      <c r="O154" s="4">
        <v>10.0</v>
      </c>
      <c r="CB154" s="4">
        <v>2.0</v>
      </c>
      <c r="CF154" s="4"/>
      <c r="CG154" s="4">
        <v>3.0</v>
      </c>
      <c r="DE154" s="4"/>
      <c r="DF154" s="4">
        <v>2.0</v>
      </c>
      <c r="ED154" s="4"/>
      <c r="EE154" s="4"/>
      <c r="EF154" s="4"/>
      <c r="EG154" s="4"/>
      <c r="EH154" s="4"/>
      <c r="EI154" s="4">
        <v>15.0</v>
      </c>
      <c r="FQ154" s="4">
        <v>13.0</v>
      </c>
      <c r="GE154" s="25">
        <f t="shared" si="1"/>
        <v>5</v>
      </c>
      <c r="GF154" s="25">
        <f t="shared" si="2"/>
        <v>5</v>
      </c>
      <c r="GG154" s="25">
        <f t="shared" si="3"/>
        <v>2</v>
      </c>
      <c r="GH154" s="25">
        <f t="shared" si="4"/>
        <v>0.6840336134</v>
      </c>
      <c r="GI154" s="25">
        <f t="shared" si="5"/>
        <v>35</v>
      </c>
      <c r="GJ154" s="25">
        <f t="shared" si="6"/>
        <v>250</v>
      </c>
      <c r="GK154" s="25">
        <f t="shared" si="7"/>
        <v>215</v>
      </c>
    </row>
    <row r="155">
      <c r="A155" s="23">
        <v>43564.0</v>
      </c>
      <c r="B155" s="4" t="s">
        <v>244</v>
      </c>
      <c r="C155" s="4">
        <v>21.310612</v>
      </c>
      <c r="D155" s="4">
        <v>-158.00441</v>
      </c>
      <c r="E155" s="4" t="s">
        <v>326</v>
      </c>
      <c r="F155" s="24">
        <v>0.3958333333333333</v>
      </c>
      <c r="G155" s="24">
        <v>0.4375</v>
      </c>
      <c r="H155" s="4">
        <v>7.0</v>
      </c>
      <c r="I155" s="4">
        <v>20.0</v>
      </c>
      <c r="J155" s="4" t="s">
        <v>198</v>
      </c>
      <c r="K155" s="4">
        <v>5.0</v>
      </c>
      <c r="L155" s="4">
        <v>28.0</v>
      </c>
      <c r="M155" s="4" t="s">
        <v>472</v>
      </c>
      <c r="O155" s="4">
        <v>28.0</v>
      </c>
      <c r="Q155" s="4">
        <v>1.0</v>
      </c>
      <c r="X155" s="4"/>
      <c r="Y155" s="4"/>
      <c r="Z155" s="4"/>
      <c r="AA155" s="4">
        <v>1.0</v>
      </c>
      <c r="AD155" s="4">
        <v>29.0</v>
      </c>
      <c r="BB155" s="4">
        <v>16.0</v>
      </c>
      <c r="BD155" s="4">
        <v>49.0</v>
      </c>
      <c r="BL155" s="4">
        <v>16.0</v>
      </c>
      <c r="BR155" s="4">
        <v>1.0</v>
      </c>
      <c r="BU155" s="4">
        <v>11.0</v>
      </c>
      <c r="BY155" s="4">
        <v>29.0</v>
      </c>
      <c r="CM155" s="4">
        <v>1.0</v>
      </c>
      <c r="DE155" s="4"/>
      <c r="DF155" s="4">
        <v>4.0</v>
      </c>
      <c r="DM155" s="4">
        <v>5.0</v>
      </c>
      <c r="DN155" s="4">
        <v>10.0</v>
      </c>
      <c r="DO155" s="4">
        <v>5.0</v>
      </c>
      <c r="ED155" s="4"/>
      <c r="EE155" s="4"/>
      <c r="EF155" s="4"/>
      <c r="EG155" s="4"/>
      <c r="EH155" s="4"/>
      <c r="EI155" s="4">
        <v>99.0</v>
      </c>
      <c r="FA155" s="4">
        <v>20.0</v>
      </c>
      <c r="FQ155" s="4">
        <v>23.0</v>
      </c>
      <c r="GE155" s="25">
        <f t="shared" si="1"/>
        <v>17</v>
      </c>
      <c r="GF155" s="25">
        <f t="shared" si="2"/>
        <v>13</v>
      </c>
      <c r="GG155" s="25">
        <f t="shared" si="3"/>
        <v>12</v>
      </c>
      <c r="GH155" s="25">
        <f t="shared" si="4"/>
        <v>0.8501567398</v>
      </c>
      <c r="GI155" s="25">
        <f t="shared" si="5"/>
        <v>320</v>
      </c>
      <c r="GJ155" s="25">
        <f t="shared" si="6"/>
        <v>700</v>
      </c>
      <c r="GK155" s="25">
        <f t="shared" si="7"/>
        <v>380</v>
      </c>
    </row>
    <row r="156">
      <c r="A156" s="23">
        <v>43566.0</v>
      </c>
      <c r="B156" s="4" t="s">
        <v>473</v>
      </c>
      <c r="C156" s="4">
        <v>21.3962</v>
      </c>
      <c r="D156" s="4">
        <v>-157.720306</v>
      </c>
      <c r="E156" s="4" t="s">
        <v>418</v>
      </c>
      <c r="F156" s="24">
        <v>0.4166666666666667</v>
      </c>
      <c r="G156" s="24">
        <v>0.4791666666666667</v>
      </c>
      <c r="H156" s="4">
        <v>6.0</v>
      </c>
      <c r="I156" s="4">
        <v>11.0</v>
      </c>
      <c r="J156" s="4" t="s">
        <v>318</v>
      </c>
      <c r="K156" s="4">
        <v>10.0</v>
      </c>
      <c r="L156" s="4">
        <v>40.0</v>
      </c>
      <c r="M156" s="4" t="s">
        <v>474</v>
      </c>
      <c r="N156" s="4" t="s">
        <v>475</v>
      </c>
      <c r="O156" s="4">
        <v>29.0</v>
      </c>
      <c r="AB156" s="4"/>
      <c r="AC156" s="4">
        <v>39.0</v>
      </c>
      <c r="BL156" s="4">
        <v>137.0</v>
      </c>
      <c r="DG156" s="4">
        <v>23.0</v>
      </c>
      <c r="DO156" s="4">
        <v>16.0</v>
      </c>
      <c r="DQ156" s="4"/>
      <c r="DR156" s="4">
        <v>2.0</v>
      </c>
      <c r="EK156" s="4"/>
      <c r="EL156" s="4"/>
      <c r="EM156" s="4">
        <v>5.0</v>
      </c>
      <c r="FB156" s="4">
        <v>3.0</v>
      </c>
      <c r="FQ156" s="4">
        <v>39.0</v>
      </c>
      <c r="GE156" s="25">
        <f t="shared" si="1"/>
        <v>8</v>
      </c>
      <c r="GF156" s="25">
        <f t="shared" si="2"/>
        <v>8</v>
      </c>
      <c r="GG156" s="25">
        <f t="shared" si="3"/>
        <v>6</v>
      </c>
      <c r="GH156" s="25">
        <f t="shared" si="4"/>
        <v>0.6778142643</v>
      </c>
      <c r="GI156" s="25">
        <f t="shared" si="5"/>
        <v>264</v>
      </c>
      <c r="GJ156" s="25">
        <f t="shared" si="6"/>
        <v>725</v>
      </c>
      <c r="GK156" s="25">
        <f t="shared" si="7"/>
        <v>461</v>
      </c>
    </row>
    <row r="157">
      <c r="A157" s="23">
        <v>43571.0</v>
      </c>
      <c r="B157" s="4" t="s">
        <v>244</v>
      </c>
      <c r="C157" s="4">
        <v>21.310612</v>
      </c>
      <c r="D157" s="4">
        <v>-158.00441</v>
      </c>
      <c r="E157" s="4" t="s">
        <v>326</v>
      </c>
      <c r="F157" s="24">
        <v>0.3888888888888889</v>
      </c>
      <c r="G157" s="24">
        <v>0.4131944444444444</v>
      </c>
      <c r="H157" s="4">
        <v>5.0</v>
      </c>
      <c r="I157" s="4">
        <v>20.0</v>
      </c>
      <c r="J157" s="4" t="s">
        <v>198</v>
      </c>
      <c r="K157" s="4">
        <v>5.0</v>
      </c>
      <c r="L157" s="4">
        <v>20.0</v>
      </c>
      <c r="M157" s="4" t="s">
        <v>476</v>
      </c>
      <c r="O157" s="4">
        <v>20.0</v>
      </c>
      <c r="Q157" s="4">
        <v>6.0</v>
      </c>
      <c r="AD157" s="4">
        <v>1.0</v>
      </c>
      <c r="AM157" s="4">
        <v>1.0</v>
      </c>
      <c r="AZ157" s="4"/>
      <c r="BA157" s="4">
        <v>1.0</v>
      </c>
      <c r="BB157" s="4">
        <v>17.0</v>
      </c>
      <c r="BD157" s="4">
        <v>22.0</v>
      </c>
      <c r="BU157" s="4">
        <v>9.0</v>
      </c>
      <c r="BY157" s="4">
        <v>22.0</v>
      </c>
      <c r="CH157" s="4"/>
      <c r="CI157" s="4"/>
      <c r="CJ157" s="4">
        <v>1.0</v>
      </c>
      <c r="CN157" s="4">
        <v>2.0</v>
      </c>
      <c r="DL157" s="4">
        <v>19.0</v>
      </c>
      <c r="DN157" s="4">
        <v>2.0</v>
      </c>
      <c r="DS157" s="4"/>
      <c r="DT157" s="4"/>
      <c r="DU157" s="4">
        <v>4.0</v>
      </c>
      <c r="EB157" s="4">
        <v>9.0</v>
      </c>
      <c r="ED157" s="4"/>
      <c r="EE157" s="4"/>
      <c r="EF157" s="4"/>
      <c r="EG157" s="4"/>
      <c r="EH157" s="4"/>
      <c r="EI157" s="4">
        <v>111.0</v>
      </c>
      <c r="EW157" s="4">
        <v>3.0</v>
      </c>
      <c r="FP157" s="4">
        <v>3.0</v>
      </c>
      <c r="FQ157" s="4">
        <v>65.0</v>
      </c>
      <c r="GE157" s="25">
        <f t="shared" si="1"/>
        <v>18</v>
      </c>
      <c r="GF157" s="25">
        <f t="shared" si="2"/>
        <v>14</v>
      </c>
      <c r="GG157" s="25">
        <f t="shared" si="3"/>
        <v>9</v>
      </c>
      <c r="GH157" s="25">
        <f t="shared" si="4"/>
        <v>0.7953811041</v>
      </c>
      <c r="GI157" s="25">
        <f t="shared" si="5"/>
        <v>298</v>
      </c>
      <c r="GJ157" s="25">
        <f t="shared" si="6"/>
        <v>500</v>
      </c>
      <c r="GK157" s="25">
        <f t="shared" si="7"/>
        <v>202</v>
      </c>
    </row>
    <row r="158">
      <c r="A158" s="23">
        <v>43571.0</v>
      </c>
      <c r="B158" s="4" t="s">
        <v>201</v>
      </c>
      <c r="C158" s="4">
        <v>21.25544</v>
      </c>
      <c r="D158" s="4">
        <v>-157.810303</v>
      </c>
      <c r="E158" s="4" t="s">
        <v>477</v>
      </c>
      <c r="F158" s="24">
        <v>0.3576388888888889</v>
      </c>
      <c r="G158" s="24">
        <v>0.4166666666666667</v>
      </c>
      <c r="H158" s="4">
        <v>6.0</v>
      </c>
      <c r="I158" s="4">
        <v>12.5</v>
      </c>
      <c r="J158" s="4" t="s">
        <v>318</v>
      </c>
      <c r="K158" s="4">
        <v>5.0</v>
      </c>
      <c r="L158" s="4">
        <v>28.0</v>
      </c>
      <c r="M158" s="4" t="s">
        <v>478</v>
      </c>
      <c r="O158" s="4">
        <v>28.0</v>
      </c>
      <c r="AZ158" s="4"/>
      <c r="BA158" s="4">
        <v>5.0</v>
      </c>
      <c r="BL158" s="4">
        <v>28.0</v>
      </c>
      <c r="BU158" s="4">
        <v>3.0</v>
      </c>
      <c r="BV158" s="4">
        <v>9.0</v>
      </c>
      <c r="BX158" s="4">
        <v>11.0</v>
      </c>
      <c r="DA158" s="4"/>
      <c r="DB158" s="4">
        <v>1.0</v>
      </c>
      <c r="DJ158" s="4"/>
      <c r="DK158" s="4">
        <v>55.0</v>
      </c>
      <c r="DL158" s="4">
        <v>2.0</v>
      </c>
      <c r="DQ158" s="4"/>
      <c r="DR158" s="4">
        <v>27.0</v>
      </c>
      <c r="DS158" s="4"/>
      <c r="DT158" s="4"/>
      <c r="DU158" s="4">
        <v>22.0</v>
      </c>
      <c r="ED158" s="4"/>
      <c r="EE158" s="4"/>
      <c r="EF158" s="4"/>
      <c r="EG158" s="4"/>
      <c r="EH158" s="4"/>
      <c r="EI158" s="4">
        <v>95.0</v>
      </c>
      <c r="EX158" s="4"/>
      <c r="EY158" s="4">
        <v>18.0</v>
      </c>
      <c r="EZ158" s="4">
        <v>1.0</v>
      </c>
      <c r="FA158" s="4">
        <v>3.0</v>
      </c>
      <c r="FP158" s="4">
        <v>98.0</v>
      </c>
      <c r="FQ158" s="4">
        <v>85.0</v>
      </c>
      <c r="GE158" s="25">
        <f t="shared" si="1"/>
        <v>16</v>
      </c>
      <c r="GF158" s="25">
        <f t="shared" si="2"/>
        <v>14</v>
      </c>
      <c r="GG158" s="25">
        <f t="shared" si="3"/>
        <v>11</v>
      </c>
      <c r="GH158" s="25">
        <f t="shared" si="4"/>
        <v>0.8551326284</v>
      </c>
      <c r="GI158" s="25">
        <f t="shared" si="5"/>
        <v>463</v>
      </c>
      <c r="GJ158" s="25">
        <f t="shared" si="6"/>
        <v>700</v>
      </c>
      <c r="GK158" s="25">
        <f t="shared" si="7"/>
        <v>237</v>
      </c>
    </row>
    <row r="159">
      <c r="A159" s="23">
        <v>43572.0</v>
      </c>
      <c r="B159" s="4" t="s">
        <v>201</v>
      </c>
      <c r="C159" s="4">
        <v>21.25544</v>
      </c>
      <c r="D159" s="4">
        <v>-157.810303</v>
      </c>
      <c r="E159" s="4" t="s">
        <v>477</v>
      </c>
      <c r="F159" s="24">
        <v>0.3611111111111111</v>
      </c>
      <c r="G159" s="24">
        <v>0.4166666666666667</v>
      </c>
      <c r="H159" s="4">
        <v>5.0</v>
      </c>
      <c r="I159" s="4">
        <v>11.0</v>
      </c>
      <c r="J159" s="4" t="s">
        <v>318</v>
      </c>
      <c r="K159" s="4">
        <v>10.0</v>
      </c>
      <c r="L159" s="4">
        <v>46.0</v>
      </c>
      <c r="M159" s="4" t="s">
        <v>481</v>
      </c>
      <c r="O159" s="4">
        <v>46.0</v>
      </c>
      <c r="S159" s="4">
        <v>1.0</v>
      </c>
      <c r="X159" s="4"/>
      <c r="Y159" s="4"/>
      <c r="Z159" s="4"/>
      <c r="AA159" s="4">
        <v>5.0</v>
      </c>
      <c r="AP159" s="4"/>
      <c r="AQ159" s="4">
        <v>1.0</v>
      </c>
      <c r="BB159" s="4">
        <v>1.0</v>
      </c>
      <c r="BL159" s="4">
        <v>92.0</v>
      </c>
      <c r="BT159" s="4">
        <v>14.0</v>
      </c>
      <c r="BU159" s="4">
        <v>4.0</v>
      </c>
      <c r="BV159" s="4">
        <v>9.0</v>
      </c>
      <c r="BW159" s="4">
        <v>6.0</v>
      </c>
      <c r="BY159" s="4">
        <v>44.0</v>
      </c>
      <c r="DA159" s="4"/>
      <c r="DB159" s="4">
        <v>1.0</v>
      </c>
      <c r="DC159" s="4"/>
      <c r="DD159" s="4">
        <v>8.0</v>
      </c>
      <c r="DI159" s="4">
        <v>5.0</v>
      </c>
      <c r="DJ159" s="4"/>
      <c r="DK159" s="4">
        <v>4.0</v>
      </c>
      <c r="DQ159" s="4"/>
      <c r="DR159" s="4">
        <v>68.0</v>
      </c>
      <c r="DS159" s="4"/>
      <c r="DT159" s="4"/>
      <c r="DU159" s="4">
        <v>3.0</v>
      </c>
      <c r="ED159" s="4"/>
      <c r="EE159" s="4"/>
      <c r="EF159" s="4"/>
      <c r="EG159" s="4"/>
      <c r="EH159" s="4"/>
      <c r="EI159" s="4">
        <v>471.0</v>
      </c>
      <c r="EX159" s="4"/>
      <c r="EY159" s="4">
        <v>16.0</v>
      </c>
      <c r="EZ159" s="4">
        <v>5.0</v>
      </c>
      <c r="FE159" s="4">
        <v>7.0</v>
      </c>
      <c r="FP159" s="4">
        <v>59.0</v>
      </c>
      <c r="FQ159" s="4">
        <v>119.0</v>
      </c>
      <c r="FT159" s="4"/>
      <c r="FU159" s="4">
        <v>20.0</v>
      </c>
      <c r="GE159" s="25">
        <f t="shared" si="1"/>
        <v>23</v>
      </c>
      <c r="GF159" s="25">
        <f t="shared" si="2"/>
        <v>19</v>
      </c>
      <c r="GG159" s="25">
        <f t="shared" si="3"/>
        <v>16</v>
      </c>
      <c r="GH159" s="25">
        <f t="shared" si="4"/>
        <v>0.7250168932</v>
      </c>
      <c r="GI159" s="25">
        <f t="shared" si="5"/>
        <v>963</v>
      </c>
      <c r="GJ159" s="25">
        <f t="shared" si="6"/>
        <v>1150</v>
      </c>
      <c r="GK159" s="25">
        <f t="shared" si="7"/>
        <v>187</v>
      </c>
    </row>
    <row r="160">
      <c r="A160" s="23">
        <v>43572.0</v>
      </c>
      <c r="B160" s="4" t="s">
        <v>259</v>
      </c>
      <c r="C160" s="4">
        <v>19.737894</v>
      </c>
      <c r="D160" s="4">
        <v>-155.034058</v>
      </c>
      <c r="E160" s="4" t="s">
        <v>482</v>
      </c>
      <c r="F160" s="24">
        <v>0.3680555555555556</v>
      </c>
      <c r="G160" s="24">
        <v>0.4479166666666667</v>
      </c>
      <c r="H160" s="4">
        <v>7.0</v>
      </c>
      <c r="I160" s="4">
        <v>20.0</v>
      </c>
      <c r="J160" s="4" t="s">
        <v>217</v>
      </c>
      <c r="K160" s="4">
        <v>5.0</v>
      </c>
      <c r="L160" s="4">
        <v>29.0</v>
      </c>
      <c r="M160" s="4" t="s">
        <v>483</v>
      </c>
      <c r="N160" s="4" t="s">
        <v>484</v>
      </c>
      <c r="O160" s="4">
        <v>22.0</v>
      </c>
      <c r="AF160" s="4">
        <v>4.0</v>
      </c>
      <c r="AI160" s="4"/>
      <c r="AJ160" s="4"/>
      <c r="AK160" s="4"/>
      <c r="AL160" s="4">
        <v>94.0</v>
      </c>
      <c r="AN160" s="4"/>
      <c r="AO160" s="4">
        <v>1.0</v>
      </c>
      <c r="AZ160" s="4"/>
      <c r="BA160" s="4">
        <v>12.0</v>
      </c>
      <c r="BH160" s="4"/>
      <c r="BI160" s="4"/>
      <c r="BJ160" s="4">
        <v>18.0</v>
      </c>
      <c r="BL160" s="4">
        <v>75.0</v>
      </c>
      <c r="CN160" s="4">
        <v>11.0</v>
      </c>
      <c r="DG160" s="4">
        <v>28.0</v>
      </c>
      <c r="FC160" s="4"/>
      <c r="FD160" s="4">
        <v>15.0</v>
      </c>
      <c r="FL160" s="4">
        <v>3.0</v>
      </c>
      <c r="FQ160" s="4">
        <v>90.0</v>
      </c>
      <c r="FT160" s="4"/>
      <c r="FU160" s="4">
        <v>8.0</v>
      </c>
      <c r="GE160" s="25">
        <f t="shared" si="1"/>
        <v>12</v>
      </c>
      <c r="GF160" s="25">
        <f t="shared" si="2"/>
        <v>11</v>
      </c>
      <c r="GG160" s="25">
        <f t="shared" si="3"/>
        <v>9</v>
      </c>
      <c r="GH160" s="25">
        <f t="shared" si="4"/>
        <v>0.8141174274</v>
      </c>
      <c r="GI160" s="25">
        <f t="shared" si="5"/>
        <v>359</v>
      </c>
      <c r="GJ160" s="25">
        <f t="shared" si="6"/>
        <v>550</v>
      </c>
      <c r="GK160" s="25">
        <f t="shared" si="7"/>
        <v>191</v>
      </c>
    </row>
    <row r="161">
      <c r="A161" s="23">
        <v>43573.0</v>
      </c>
      <c r="B161" s="4" t="s">
        <v>340</v>
      </c>
      <c r="C161" s="4">
        <v>19.643276</v>
      </c>
      <c r="D161" s="4">
        <v>-156.010193</v>
      </c>
      <c r="E161" s="4" t="s">
        <v>418</v>
      </c>
      <c r="F161" s="24">
        <v>0.4131944444444444</v>
      </c>
      <c r="G161" s="24">
        <v>0.4791666666666667</v>
      </c>
      <c r="H161" s="4">
        <v>4.0</v>
      </c>
      <c r="I161" s="4">
        <v>18.0</v>
      </c>
      <c r="J161" s="4" t="s">
        <v>198</v>
      </c>
      <c r="K161" s="4">
        <v>10.0</v>
      </c>
      <c r="L161" s="4">
        <v>26.0</v>
      </c>
      <c r="M161" s="4" t="s">
        <v>486</v>
      </c>
      <c r="O161" s="4">
        <v>26.0</v>
      </c>
      <c r="S161" s="4">
        <v>19.0</v>
      </c>
      <c r="AB161" s="4"/>
      <c r="AC161" s="4">
        <v>5.0</v>
      </c>
      <c r="AG161" s="4">
        <v>1.0</v>
      </c>
      <c r="AT161" s="4"/>
      <c r="AU161" s="4">
        <v>1.0</v>
      </c>
      <c r="AZ161" s="4"/>
      <c r="BA161" s="4">
        <v>2.0</v>
      </c>
      <c r="BF161" s="4">
        <v>18.0</v>
      </c>
      <c r="BG161" s="4">
        <v>11.0</v>
      </c>
      <c r="BL161" s="4">
        <v>68.0</v>
      </c>
      <c r="BX161" s="4">
        <v>5.0</v>
      </c>
      <c r="CB161" s="4">
        <v>6.0</v>
      </c>
      <c r="CC161" s="4">
        <v>3.0</v>
      </c>
      <c r="DL161" s="4">
        <v>11.0</v>
      </c>
      <c r="DO161" s="4">
        <v>3.0</v>
      </c>
      <c r="DV161" s="4">
        <v>13.0</v>
      </c>
      <c r="ED161" s="4"/>
      <c r="EE161" s="4"/>
      <c r="EF161" s="4"/>
      <c r="EG161" s="4"/>
      <c r="EH161" s="4"/>
      <c r="EI161" s="4">
        <v>10.0</v>
      </c>
      <c r="FA161" s="4">
        <v>48.0</v>
      </c>
      <c r="FQ161" s="4">
        <v>117.0</v>
      </c>
      <c r="FW161" s="4">
        <v>12.0</v>
      </c>
      <c r="GE161" s="25">
        <f t="shared" si="1"/>
        <v>18</v>
      </c>
      <c r="GF161" s="25">
        <f t="shared" si="2"/>
        <v>16</v>
      </c>
      <c r="GG161" s="25">
        <f t="shared" si="3"/>
        <v>13</v>
      </c>
      <c r="GH161" s="25">
        <f t="shared" si="4"/>
        <v>0.8252478754</v>
      </c>
      <c r="GI161" s="25">
        <f t="shared" si="5"/>
        <v>353</v>
      </c>
      <c r="GJ161" s="25">
        <f t="shared" si="6"/>
        <v>650</v>
      </c>
      <c r="GK161" s="25">
        <f t="shared" si="7"/>
        <v>297</v>
      </c>
    </row>
    <row r="162">
      <c r="A162" s="23">
        <v>43573.0</v>
      </c>
      <c r="B162" s="4" t="s">
        <v>259</v>
      </c>
      <c r="C162" s="4">
        <v>19.737894</v>
      </c>
      <c r="D162" s="4">
        <v>-155.034058</v>
      </c>
      <c r="E162" s="4" t="s">
        <v>482</v>
      </c>
      <c r="F162" s="24">
        <v>0.375</v>
      </c>
      <c r="G162" s="24">
        <v>0.4479166666666667</v>
      </c>
      <c r="H162" s="4">
        <v>7.0</v>
      </c>
      <c r="I162" s="4">
        <v>20.0</v>
      </c>
      <c r="J162" s="4" t="s">
        <v>217</v>
      </c>
      <c r="K162" s="4">
        <v>5.0</v>
      </c>
      <c r="L162" s="4">
        <v>33.0</v>
      </c>
      <c r="M162" s="4" t="s">
        <v>487</v>
      </c>
      <c r="N162" s="4" t="s">
        <v>488</v>
      </c>
      <c r="O162" s="4">
        <v>28.0</v>
      </c>
      <c r="AI162" s="4"/>
      <c r="AJ162" s="4"/>
      <c r="AK162" s="4"/>
      <c r="AL162" s="4">
        <v>49.0</v>
      </c>
      <c r="BH162" s="4"/>
      <c r="BI162" s="4"/>
      <c r="BJ162" s="4">
        <v>24.0</v>
      </c>
      <c r="BL162" s="4">
        <v>28.0</v>
      </c>
      <c r="CC162" s="4">
        <v>1.0</v>
      </c>
      <c r="DG162" s="4">
        <v>48.0</v>
      </c>
      <c r="FC162" s="4"/>
      <c r="FD162" s="4">
        <v>2.0</v>
      </c>
      <c r="FL162" s="4">
        <v>3.0</v>
      </c>
      <c r="FM162" s="4"/>
      <c r="FN162" s="4">
        <v>1.0</v>
      </c>
      <c r="FO162" s="4">
        <v>6.0</v>
      </c>
      <c r="FQ162" s="4">
        <v>274.0</v>
      </c>
      <c r="FT162" s="4"/>
      <c r="FU162" s="4">
        <v>3.0</v>
      </c>
      <c r="GE162" s="25">
        <f t="shared" si="1"/>
        <v>11</v>
      </c>
      <c r="GF162" s="25">
        <f t="shared" si="2"/>
        <v>9</v>
      </c>
      <c r="GG162" s="25">
        <f t="shared" si="3"/>
        <v>6</v>
      </c>
      <c r="GH162" s="25">
        <f t="shared" si="4"/>
        <v>0.5799814855</v>
      </c>
      <c r="GI162" s="25">
        <f t="shared" si="5"/>
        <v>439</v>
      </c>
      <c r="GJ162" s="25">
        <f t="shared" si="6"/>
        <v>700</v>
      </c>
      <c r="GK162" s="25">
        <f t="shared" si="7"/>
        <v>261</v>
      </c>
    </row>
    <row r="163">
      <c r="A163" s="23">
        <v>43573.0</v>
      </c>
      <c r="B163" s="4" t="s">
        <v>489</v>
      </c>
      <c r="C163" s="4">
        <v>19.640812</v>
      </c>
      <c r="D163" s="4">
        <v>-156.006927</v>
      </c>
      <c r="E163" s="4" t="s">
        <v>367</v>
      </c>
      <c r="F163" s="24">
        <v>0.375</v>
      </c>
      <c r="G163" s="24">
        <v>0.4791666666666667</v>
      </c>
      <c r="H163" s="4">
        <v>4.0</v>
      </c>
      <c r="I163" s="4">
        <v>20.0</v>
      </c>
      <c r="J163" s="4" t="s">
        <v>198</v>
      </c>
      <c r="K163" s="4">
        <v>10.0</v>
      </c>
      <c r="L163" s="4">
        <v>26.0</v>
      </c>
      <c r="M163" s="4" t="s">
        <v>486</v>
      </c>
      <c r="O163" s="4">
        <v>26.0</v>
      </c>
      <c r="S163" s="4">
        <v>24.0</v>
      </c>
      <c r="AG163" s="4">
        <v>1.0</v>
      </c>
      <c r="AT163" s="4"/>
      <c r="AU163" s="4">
        <v>1.0</v>
      </c>
      <c r="AZ163" s="4"/>
      <c r="BA163" s="4">
        <v>2.0</v>
      </c>
      <c r="BF163" s="4">
        <v>18.0</v>
      </c>
      <c r="BG163" s="4">
        <v>11.0</v>
      </c>
      <c r="BL163" s="4">
        <v>68.0</v>
      </c>
      <c r="BX163" s="4">
        <v>5.0</v>
      </c>
      <c r="CB163" s="4">
        <v>6.0</v>
      </c>
      <c r="CC163" s="4">
        <v>3.0</v>
      </c>
      <c r="DL163" s="4">
        <v>11.0</v>
      </c>
      <c r="DO163" s="4">
        <v>3.0</v>
      </c>
      <c r="EI163" s="4">
        <v>10.0</v>
      </c>
      <c r="FA163" s="4">
        <v>48.0</v>
      </c>
      <c r="FQ163" s="4">
        <v>117.0</v>
      </c>
      <c r="FW163" s="4">
        <v>12.0</v>
      </c>
      <c r="GE163" s="25">
        <f t="shared" si="1"/>
        <v>16</v>
      </c>
      <c r="GF163" s="25">
        <f t="shared" si="2"/>
        <v>14</v>
      </c>
      <c r="GG163" s="25">
        <f t="shared" si="3"/>
        <v>11</v>
      </c>
      <c r="GH163" s="25">
        <f t="shared" si="4"/>
        <v>0.811313552</v>
      </c>
      <c r="GI163" s="25">
        <f t="shared" si="5"/>
        <v>340</v>
      </c>
      <c r="GJ163" s="25">
        <f t="shared" si="6"/>
        <v>650</v>
      </c>
      <c r="GK163" s="25">
        <f t="shared" si="7"/>
        <v>310</v>
      </c>
    </row>
    <row r="164">
      <c r="A164" s="23">
        <v>43573.0</v>
      </c>
      <c r="B164" s="4" t="s">
        <v>201</v>
      </c>
      <c r="C164" s="4">
        <v>21.25544</v>
      </c>
      <c r="D164" s="4">
        <v>-157.810303</v>
      </c>
      <c r="E164" s="4" t="s">
        <v>477</v>
      </c>
      <c r="F164" s="24">
        <v>0.375</v>
      </c>
      <c r="G164" s="24">
        <v>0.4305555555555556</v>
      </c>
      <c r="H164" s="4">
        <v>5.0</v>
      </c>
      <c r="I164" s="4">
        <v>10.5</v>
      </c>
      <c r="J164" s="4" t="s">
        <v>318</v>
      </c>
      <c r="K164" s="4">
        <v>10.0</v>
      </c>
      <c r="L164" s="4">
        <v>46.0</v>
      </c>
      <c r="M164" s="4" t="s">
        <v>491</v>
      </c>
      <c r="O164" s="4">
        <v>46.0</v>
      </c>
      <c r="Q164" s="4">
        <v>1.0</v>
      </c>
      <c r="AI164" s="4"/>
      <c r="AJ164" s="4"/>
      <c r="AK164" s="4"/>
      <c r="AL164" s="4">
        <v>1.0</v>
      </c>
      <c r="AS164" s="4">
        <v>1.0</v>
      </c>
      <c r="BL164" s="4">
        <v>63.0</v>
      </c>
      <c r="BT164" s="4">
        <v>2.0</v>
      </c>
      <c r="BU164" s="4">
        <v>19.0</v>
      </c>
      <c r="BV164" s="4">
        <v>4.0</v>
      </c>
      <c r="DA164" s="4"/>
      <c r="DB164" s="4">
        <v>2.0</v>
      </c>
      <c r="DE164" s="4"/>
      <c r="DF164" s="4">
        <v>2.0</v>
      </c>
      <c r="DI164" s="4">
        <v>1.0</v>
      </c>
      <c r="DJ164" s="4"/>
      <c r="DK164" s="4">
        <v>8.0</v>
      </c>
      <c r="DL164" s="4">
        <v>24.0</v>
      </c>
      <c r="DQ164" s="4"/>
      <c r="DR164" s="4">
        <v>91.0</v>
      </c>
      <c r="DS164" s="4"/>
      <c r="DT164" s="4"/>
      <c r="DU164" s="4">
        <v>12.0</v>
      </c>
      <c r="EB164" s="4">
        <v>1.0</v>
      </c>
      <c r="ED164" s="4"/>
      <c r="EE164" s="4"/>
      <c r="EF164" s="4"/>
      <c r="EG164" s="4"/>
      <c r="EH164" s="4"/>
      <c r="EI164" s="4">
        <v>318.0</v>
      </c>
      <c r="EX164" s="4"/>
      <c r="EY164" s="4">
        <v>18.0</v>
      </c>
      <c r="EZ164" s="4">
        <v>15.0</v>
      </c>
      <c r="FA164" s="4">
        <v>51.0</v>
      </c>
      <c r="FH164" s="4">
        <v>1.0</v>
      </c>
      <c r="FO164" s="4">
        <v>20.0</v>
      </c>
      <c r="FP164" s="4">
        <v>132.0</v>
      </c>
      <c r="FQ164" s="4">
        <v>46.0</v>
      </c>
      <c r="FT164" s="4"/>
      <c r="FU164" s="4">
        <v>1.0</v>
      </c>
      <c r="GE164" s="25">
        <f t="shared" si="1"/>
        <v>24</v>
      </c>
      <c r="GF164" s="25">
        <f t="shared" si="2"/>
        <v>17</v>
      </c>
      <c r="GG164" s="25">
        <f t="shared" si="3"/>
        <v>13</v>
      </c>
      <c r="GH164" s="25">
        <f t="shared" si="4"/>
        <v>0.8030723081</v>
      </c>
      <c r="GI164" s="25">
        <f t="shared" si="5"/>
        <v>834</v>
      </c>
      <c r="GJ164" s="25">
        <f t="shared" si="6"/>
        <v>1150</v>
      </c>
      <c r="GK164" s="25">
        <f t="shared" si="7"/>
        <v>316</v>
      </c>
    </row>
    <row r="165">
      <c r="A165" s="23">
        <v>43573.0</v>
      </c>
      <c r="B165" s="4" t="s">
        <v>492</v>
      </c>
      <c r="C165" s="4">
        <v>21.452875</v>
      </c>
      <c r="D165" s="4">
        <v>-158.199966</v>
      </c>
      <c r="E165" s="4" t="s">
        <v>493</v>
      </c>
      <c r="F165" s="24">
        <v>0.3541666666666667</v>
      </c>
      <c r="G165" s="24">
        <v>0.3993055555555556</v>
      </c>
      <c r="H165" s="4">
        <v>6.0</v>
      </c>
      <c r="I165" s="4">
        <v>11.0</v>
      </c>
      <c r="J165" s="4" t="s">
        <v>318</v>
      </c>
      <c r="K165" s="4">
        <v>5.0</v>
      </c>
      <c r="L165" s="4">
        <v>30.0</v>
      </c>
      <c r="O165" s="4">
        <v>30.0</v>
      </c>
      <c r="Q165" s="4">
        <v>7.0</v>
      </c>
      <c r="BL165" s="4">
        <v>19.0</v>
      </c>
      <c r="BU165" s="4">
        <v>8.0</v>
      </c>
      <c r="BY165" s="4">
        <v>35.0</v>
      </c>
      <c r="CD165" s="4">
        <v>25.0</v>
      </c>
      <c r="CE165" s="4">
        <v>12.0</v>
      </c>
      <c r="DL165" s="4">
        <v>89.0</v>
      </c>
      <c r="ED165" s="4"/>
      <c r="EE165" s="4"/>
      <c r="EF165" s="4"/>
      <c r="EG165" s="4"/>
      <c r="EH165" s="4"/>
      <c r="EI165" s="4">
        <v>111.0</v>
      </c>
      <c r="EX165" s="4"/>
      <c r="EY165" s="4">
        <v>2.0</v>
      </c>
      <c r="FA165" s="4">
        <v>187.0</v>
      </c>
      <c r="FH165" s="4">
        <v>11.0</v>
      </c>
      <c r="FP165" s="4">
        <v>12.0</v>
      </c>
      <c r="FQ165" s="4">
        <v>157.0</v>
      </c>
      <c r="GE165" s="25">
        <f t="shared" si="1"/>
        <v>13</v>
      </c>
      <c r="GF165" s="25">
        <f t="shared" si="2"/>
        <v>13</v>
      </c>
      <c r="GG165" s="25">
        <f t="shared" si="3"/>
        <v>12</v>
      </c>
      <c r="GH165" s="25">
        <f t="shared" si="4"/>
        <v>0.8199318606</v>
      </c>
      <c r="GI165" s="25">
        <f t="shared" si="5"/>
        <v>675</v>
      </c>
      <c r="GJ165" s="25">
        <f t="shared" si="6"/>
        <v>750</v>
      </c>
      <c r="GK165" s="25">
        <f t="shared" si="7"/>
        <v>75</v>
      </c>
    </row>
    <row r="166">
      <c r="A166" s="23">
        <v>43577.0</v>
      </c>
      <c r="B166" s="4" t="s">
        <v>301</v>
      </c>
      <c r="C166" s="4">
        <v>22.065599</v>
      </c>
      <c r="D166" s="4">
        <v>-159.317703</v>
      </c>
      <c r="E166" s="4" t="s">
        <v>347</v>
      </c>
      <c r="F166" s="24">
        <v>0.4583333333333333</v>
      </c>
      <c r="G166" s="24">
        <v>0.5</v>
      </c>
      <c r="H166" s="4">
        <v>5.0</v>
      </c>
      <c r="I166" s="4">
        <v>7.0</v>
      </c>
      <c r="J166" s="4" t="s">
        <v>198</v>
      </c>
      <c r="K166" s="4">
        <v>8.0</v>
      </c>
      <c r="L166" s="4">
        <v>40.0</v>
      </c>
      <c r="O166" s="4">
        <v>40.0</v>
      </c>
      <c r="AB166" s="4"/>
      <c r="AC166" s="4">
        <v>23.0</v>
      </c>
      <c r="BL166" s="4">
        <v>13.0</v>
      </c>
      <c r="BM166" s="4">
        <v>2.0</v>
      </c>
      <c r="BU166" s="4">
        <v>35.0</v>
      </c>
      <c r="BV166" s="4">
        <v>37.0</v>
      </c>
      <c r="BW166" s="4">
        <v>28.0</v>
      </c>
      <c r="BY166" s="4">
        <v>2.0</v>
      </c>
      <c r="CC166" s="4">
        <v>2.0</v>
      </c>
      <c r="DJ166" s="4"/>
      <c r="DK166" s="4">
        <v>13.0</v>
      </c>
      <c r="DL166" s="4">
        <v>23.0</v>
      </c>
      <c r="DQ166" s="4"/>
      <c r="DR166" s="4">
        <v>6.0</v>
      </c>
      <c r="EA166" s="4">
        <v>1.0</v>
      </c>
      <c r="ED166" s="4"/>
      <c r="EE166" s="4"/>
      <c r="EF166" s="4"/>
      <c r="EG166" s="4"/>
      <c r="EH166" s="4"/>
      <c r="EI166" s="4">
        <v>117.0</v>
      </c>
      <c r="FA166" s="4">
        <v>12.0</v>
      </c>
      <c r="FP166" s="4">
        <v>9.0</v>
      </c>
      <c r="FQ166" s="4">
        <v>478.0</v>
      </c>
      <c r="GD166" s="4">
        <v>2.0</v>
      </c>
      <c r="GE166" s="25">
        <f t="shared" si="1"/>
        <v>17</v>
      </c>
      <c r="GF166" s="25">
        <f t="shared" si="2"/>
        <v>16</v>
      </c>
      <c r="GG166" s="25">
        <f t="shared" si="3"/>
        <v>12</v>
      </c>
      <c r="GH166" s="25">
        <f t="shared" si="4"/>
        <v>0.6173607078</v>
      </c>
      <c r="GI166" s="25">
        <f t="shared" si="5"/>
        <v>803</v>
      </c>
      <c r="GJ166" s="25">
        <f t="shared" si="6"/>
        <v>1000</v>
      </c>
      <c r="GK166" s="25">
        <f t="shared" si="7"/>
        <v>197</v>
      </c>
    </row>
    <row r="167">
      <c r="A167" s="23">
        <v>43577.0</v>
      </c>
      <c r="B167" s="4" t="s">
        <v>266</v>
      </c>
      <c r="C167" s="4">
        <v>22.060684</v>
      </c>
      <c r="D167" s="4">
        <v>-159.318512</v>
      </c>
      <c r="E167" s="4" t="s">
        <v>418</v>
      </c>
      <c r="F167" s="24">
        <v>0.4618055555555556</v>
      </c>
      <c r="G167" s="24">
        <v>0.5</v>
      </c>
      <c r="H167" s="4">
        <v>5.0</v>
      </c>
      <c r="I167" s="4">
        <v>15.0</v>
      </c>
      <c r="J167" s="4" t="s">
        <v>198</v>
      </c>
      <c r="K167" s="4">
        <v>9.0</v>
      </c>
      <c r="L167" s="4">
        <v>40.0</v>
      </c>
      <c r="M167" s="4" t="s">
        <v>494</v>
      </c>
      <c r="N167" s="4" t="s">
        <v>495</v>
      </c>
      <c r="O167" s="4">
        <v>23.0</v>
      </c>
      <c r="AH167" s="4">
        <v>2.0</v>
      </c>
      <c r="AT167" s="4"/>
      <c r="AU167" s="4">
        <v>3.0</v>
      </c>
      <c r="AZ167" s="4"/>
      <c r="BA167" s="4">
        <v>7.0</v>
      </c>
      <c r="BK167" s="4">
        <v>1.0</v>
      </c>
      <c r="BL167" s="4">
        <v>4.0</v>
      </c>
      <c r="BM167" s="4">
        <v>49.0</v>
      </c>
      <c r="BT167" s="4">
        <v>1.0</v>
      </c>
      <c r="BU167" s="4">
        <v>55.0</v>
      </c>
      <c r="BY167" s="4">
        <v>1.0</v>
      </c>
      <c r="CO167" s="4"/>
      <c r="CP167" s="4"/>
      <c r="CQ167" s="4"/>
      <c r="CR167" s="4">
        <v>1.0</v>
      </c>
      <c r="CU167" s="4">
        <v>2.0</v>
      </c>
      <c r="DL167" s="4">
        <v>2.0</v>
      </c>
      <c r="DQ167" s="4"/>
      <c r="DR167" s="4">
        <v>4.0</v>
      </c>
      <c r="DS167" s="4"/>
      <c r="DT167" s="4"/>
      <c r="DU167" s="4">
        <v>40.0</v>
      </c>
      <c r="ED167" s="4"/>
      <c r="EE167" s="4"/>
      <c r="EF167" s="4"/>
      <c r="EG167" s="4"/>
      <c r="EH167" s="4"/>
      <c r="EI167" s="4">
        <v>30.0</v>
      </c>
      <c r="FA167" s="4">
        <v>1.0</v>
      </c>
      <c r="FP167" s="4">
        <v>7.0</v>
      </c>
      <c r="FQ167" s="4">
        <v>41.0</v>
      </c>
      <c r="FT167" s="4"/>
      <c r="FU167" s="4">
        <v>25.0</v>
      </c>
      <c r="GE167" s="25">
        <f t="shared" si="1"/>
        <v>19</v>
      </c>
      <c r="GF167" s="25">
        <f t="shared" si="2"/>
        <v>14</v>
      </c>
      <c r="GG167" s="25">
        <f t="shared" si="3"/>
        <v>8</v>
      </c>
      <c r="GH167" s="25">
        <f t="shared" si="4"/>
        <v>0.8667720685</v>
      </c>
      <c r="GI167" s="25">
        <f t="shared" si="5"/>
        <v>276</v>
      </c>
      <c r="GJ167" s="25">
        <f t="shared" si="6"/>
        <v>575</v>
      </c>
      <c r="GK167" s="25">
        <f t="shared" si="7"/>
        <v>299</v>
      </c>
    </row>
    <row r="168">
      <c r="A168" s="23">
        <v>43577.0</v>
      </c>
      <c r="B168" s="4" t="s">
        <v>293</v>
      </c>
      <c r="C168" s="4">
        <v>19.738602</v>
      </c>
      <c r="D168" s="4">
        <v>-155.038879</v>
      </c>
      <c r="E168" s="4" t="s">
        <v>496</v>
      </c>
      <c r="F168" s="24">
        <v>0.4173611111111111</v>
      </c>
      <c r="G168" s="24">
        <v>0.45694444444444443</v>
      </c>
      <c r="H168" s="4">
        <v>6.0</v>
      </c>
      <c r="I168" s="4">
        <v>11.0</v>
      </c>
      <c r="J168" s="4" t="s">
        <v>318</v>
      </c>
      <c r="K168" s="4">
        <v>5.0</v>
      </c>
      <c r="L168" s="4">
        <v>27.0</v>
      </c>
      <c r="M168" s="4" t="s">
        <v>497</v>
      </c>
      <c r="O168" s="4">
        <v>27.0</v>
      </c>
      <c r="AB168" s="4"/>
      <c r="AC168" s="4">
        <v>1.0</v>
      </c>
      <c r="BH168" s="4"/>
      <c r="BI168" s="4"/>
      <c r="BJ168" s="4">
        <v>15.0</v>
      </c>
      <c r="BL168" s="4">
        <v>1.0</v>
      </c>
      <c r="CD168" s="4">
        <v>10.0</v>
      </c>
      <c r="DX168" s="4">
        <v>22.0</v>
      </c>
      <c r="ED168" s="4"/>
      <c r="EE168" s="4"/>
      <c r="EF168" s="4"/>
      <c r="EG168" s="4"/>
      <c r="EH168" s="4"/>
      <c r="EI168" s="4">
        <v>5.0</v>
      </c>
      <c r="EJ168" s="4">
        <v>3.0</v>
      </c>
      <c r="EO168" s="4">
        <v>6.0</v>
      </c>
      <c r="EP168" s="4">
        <v>21.0</v>
      </c>
      <c r="EQ168" s="4">
        <v>28.0</v>
      </c>
      <c r="FC168" s="4"/>
      <c r="FD168" s="4">
        <v>4.0</v>
      </c>
      <c r="FL168" s="4">
        <v>10.0</v>
      </c>
      <c r="FM168" s="4"/>
      <c r="FN168" s="4">
        <v>1.0</v>
      </c>
      <c r="FQ168" s="4">
        <v>331.0</v>
      </c>
      <c r="GE168" s="25">
        <f t="shared" si="1"/>
        <v>14</v>
      </c>
      <c r="GF168" s="25">
        <f t="shared" si="2"/>
        <v>11</v>
      </c>
      <c r="GG168" s="25">
        <f t="shared" si="3"/>
        <v>9</v>
      </c>
      <c r="GH168" s="25">
        <f t="shared" si="4"/>
        <v>0.4681184486</v>
      </c>
      <c r="GI168" s="25">
        <f t="shared" si="5"/>
        <v>458</v>
      </c>
      <c r="GJ168" s="25">
        <f t="shared" si="6"/>
        <v>675</v>
      </c>
      <c r="GK168" s="25">
        <f t="shared" si="7"/>
        <v>217</v>
      </c>
    </row>
    <row r="169">
      <c r="A169" s="23">
        <v>43578.0</v>
      </c>
      <c r="B169" s="4" t="s">
        <v>201</v>
      </c>
      <c r="C169" s="36">
        <v>21.25544</v>
      </c>
      <c r="D169" s="36">
        <v>-157.810303</v>
      </c>
      <c r="E169" s="4" t="s">
        <v>418</v>
      </c>
      <c r="F169" s="24">
        <v>0.4791666666666667</v>
      </c>
      <c r="G169" s="24">
        <v>0.5104166666666666</v>
      </c>
      <c r="H169" s="4">
        <v>6.0</v>
      </c>
      <c r="I169" s="4">
        <v>14.0</v>
      </c>
      <c r="J169" s="4" t="s">
        <v>198</v>
      </c>
      <c r="K169" s="4">
        <v>5.0</v>
      </c>
      <c r="L169" s="4">
        <v>18.0</v>
      </c>
      <c r="M169" s="4" t="s">
        <v>498</v>
      </c>
      <c r="N169" s="4"/>
      <c r="O169" s="4">
        <v>18.0</v>
      </c>
      <c r="Q169" s="4">
        <v>5.0</v>
      </c>
      <c r="AC169" s="4">
        <v>9.0</v>
      </c>
      <c r="AM169" s="4"/>
      <c r="AR169" s="4">
        <v>5.0</v>
      </c>
      <c r="AT169" s="4"/>
      <c r="BL169" s="4"/>
      <c r="BV169" s="4"/>
      <c r="BY169" s="4">
        <v>2.0</v>
      </c>
      <c r="CB169" s="4"/>
      <c r="CC169" s="4"/>
      <c r="CD169" s="4"/>
      <c r="DL169" s="4">
        <v>9.0</v>
      </c>
      <c r="DN169" s="4">
        <v>2.0</v>
      </c>
      <c r="DQ169" s="4"/>
      <c r="DR169" s="4">
        <v>35.0</v>
      </c>
      <c r="EB169" s="4"/>
      <c r="EC169" s="4"/>
      <c r="ED169" s="4"/>
      <c r="EE169" s="4"/>
      <c r="EF169" s="4"/>
      <c r="EG169" s="4"/>
      <c r="EH169" s="4"/>
      <c r="EI169" s="4">
        <v>139.0</v>
      </c>
      <c r="ER169" s="4"/>
      <c r="ES169" s="4"/>
      <c r="ET169" s="4"/>
      <c r="EU169" s="4"/>
      <c r="EX169" s="4"/>
      <c r="EY169" s="4">
        <v>13.0</v>
      </c>
      <c r="EZ169" s="4"/>
      <c r="FA169" s="4">
        <v>52.0</v>
      </c>
      <c r="FE169" s="4"/>
      <c r="FP169" s="4">
        <v>68.0</v>
      </c>
      <c r="FQ169" s="4">
        <v>9.0</v>
      </c>
      <c r="FS169" s="4">
        <v>2.0</v>
      </c>
      <c r="FX169" s="4"/>
      <c r="GE169" s="25">
        <f t="shared" si="1"/>
        <v>13</v>
      </c>
      <c r="GF169" s="25">
        <f t="shared" si="2"/>
        <v>13</v>
      </c>
      <c r="GG169" s="25">
        <f t="shared" si="3"/>
        <v>10</v>
      </c>
      <c r="GH169" s="25">
        <f t="shared" si="4"/>
        <v>0.7707900123</v>
      </c>
      <c r="GI169" s="25">
        <f t="shared" si="5"/>
        <v>350</v>
      </c>
      <c r="GJ169" s="25">
        <f t="shared" si="6"/>
        <v>450</v>
      </c>
      <c r="GK169" s="25">
        <f t="shared" si="7"/>
        <v>100</v>
      </c>
    </row>
    <row r="170">
      <c r="A170" s="23">
        <v>43587.0</v>
      </c>
      <c r="B170" s="4" t="s">
        <v>499</v>
      </c>
      <c r="C170" s="4">
        <v>20.714273</v>
      </c>
      <c r="D170" s="4">
        <v>-156.447128</v>
      </c>
      <c r="E170" s="4" t="s">
        <v>418</v>
      </c>
      <c r="F170" s="24">
        <v>0.39444444444444443</v>
      </c>
      <c r="G170" s="24">
        <v>0.4270833333333333</v>
      </c>
      <c r="H170" s="4">
        <v>10.0</v>
      </c>
      <c r="I170" s="4">
        <v>10.0</v>
      </c>
      <c r="J170" s="4" t="s">
        <v>198</v>
      </c>
      <c r="K170" s="4">
        <v>5.0</v>
      </c>
      <c r="L170" s="4">
        <v>25.0</v>
      </c>
      <c r="M170" s="4" t="s">
        <v>500</v>
      </c>
      <c r="N170" s="4" t="s">
        <v>501</v>
      </c>
      <c r="O170" s="4">
        <v>18.0</v>
      </c>
      <c r="AM170" s="4">
        <v>2.0</v>
      </c>
      <c r="AT170" s="4">
        <v>1.0</v>
      </c>
      <c r="BL170" s="4">
        <v>21.0</v>
      </c>
      <c r="BV170" s="4">
        <v>1.0</v>
      </c>
      <c r="CB170" s="4">
        <v>10.0</v>
      </c>
      <c r="CC170" s="4">
        <v>4.0</v>
      </c>
      <c r="CD170" s="4">
        <v>2.0</v>
      </c>
      <c r="EB170" s="4">
        <v>2.0</v>
      </c>
      <c r="EC170" s="4">
        <v>5.0</v>
      </c>
      <c r="ED170" s="4"/>
      <c r="EE170" s="4"/>
      <c r="EF170" s="4"/>
      <c r="EG170" s="4"/>
      <c r="EH170" s="4"/>
      <c r="EI170" s="4">
        <v>1.0</v>
      </c>
      <c r="ER170" s="4"/>
      <c r="ES170" s="4"/>
      <c r="ET170" s="4"/>
      <c r="EU170" s="4">
        <v>13.0</v>
      </c>
      <c r="EZ170" s="4">
        <v>1.0</v>
      </c>
      <c r="FE170" s="4">
        <v>33.0</v>
      </c>
      <c r="FP170" s="4">
        <v>1.0</v>
      </c>
      <c r="FQ170" s="4">
        <v>173.0</v>
      </c>
      <c r="FX170" s="4">
        <v>5.0</v>
      </c>
      <c r="GE170" s="25">
        <f t="shared" si="1"/>
        <v>16</v>
      </c>
      <c r="GF170" s="25">
        <f t="shared" si="2"/>
        <v>11</v>
      </c>
      <c r="GG170" s="25">
        <f t="shared" si="3"/>
        <v>7</v>
      </c>
      <c r="GH170" s="25">
        <f t="shared" si="4"/>
        <v>0.5814731254</v>
      </c>
      <c r="GI170" s="25">
        <f t="shared" si="5"/>
        <v>275</v>
      </c>
      <c r="GJ170" s="25">
        <f t="shared" si="6"/>
        <v>450</v>
      </c>
      <c r="GK170" s="25">
        <f t="shared" si="7"/>
        <v>175</v>
      </c>
    </row>
    <row r="171">
      <c r="A171" s="23">
        <v>43602.0</v>
      </c>
      <c r="B171" s="4" t="s">
        <v>489</v>
      </c>
      <c r="C171" s="4">
        <v>19.640812</v>
      </c>
      <c r="D171" s="4">
        <v>-156.006927</v>
      </c>
      <c r="E171" s="4" t="s">
        <v>418</v>
      </c>
      <c r="F171" s="24">
        <v>0.3645833333333333</v>
      </c>
      <c r="G171" s="24">
        <v>0.4479166666666667</v>
      </c>
      <c r="H171" s="4">
        <v>5.0</v>
      </c>
      <c r="I171" s="4">
        <v>22.0</v>
      </c>
      <c r="J171" s="4" t="s">
        <v>227</v>
      </c>
      <c r="K171" s="4">
        <v>10.0</v>
      </c>
      <c r="L171" s="4">
        <v>19.0</v>
      </c>
      <c r="M171" s="4" t="s">
        <v>502</v>
      </c>
      <c r="O171" s="4">
        <v>19.0</v>
      </c>
      <c r="AB171" s="4"/>
      <c r="AC171" s="4">
        <v>12.0</v>
      </c>
      <c r="AG171" s="4">
        <v>2.0</v>
      </c>
      <c r="AZ171" s="4"/>
      <c r="BA171" s="4">
        <v>1.0</v>
      </c>
      <c r="BF171" s="4">
        <v>10.0</v>
      </c>
      <c r="BG171" s="4">
        <v>3.0</v>
      </c>
      <c r="BK171" s="4">
        <v>1.0</v>
      </c>
      <c r="BL171" s="4">
        <v>28.0</v>
      </c>
      <c r="CB171" s="4">
        <v>17.0</v>
      </c>
      <c r="CC171" s="4">
        <v>5.0</v>
      </c>
      <c r="DL171" s="4">
        <v>21.0</v>
      </c>
      <c r="ED171" s="4"/>
      <c r="EE171" s="4"/>
      <c r="EF171" s="4"/>
      <c r="EG171" s="4"/>
      <c r="EH171" s="4"/>
      <c r="EI171" s="4">
        <v>2.0</v>
      </c>
      <c r="EZ171" s="4">
        <v>27.0</v>
      </c>
      <c r="FA171" s="4">
        <v>58.0</v>
      </c>
      <c r="FQ171" s="4">
        <v>134.0</v>
      </c>
      <c r="FT171" s="4"/>
      <c r="FU171" s="4">
        <v>1.0</v>
      </c>
      <c r="GE171" s="25">
        <f t="shared" si="1"/>
        <v>15</v>
      </c>
      <c r="GF171" s="25">
        <f t="shared" si="2"/>
        <v>12</v>
      </c>
      <c r="GG171" s="25">
        <f t="shared" si="3"/>
        <v>9</v>
      </c>
      <c r="GH171" s="25">
        <f t="shared" si="4"/>
        <v>0.7723534761</v>
      </c>
      <c r="GI171" s="25">
        <f t="shared" si="5"/>
        <v>322</v>
      </c>
      <c r="GJ171" s="25">
        <f t="shared" si="6"/>
        <v>475</v>
      </c>
      <c r="GK171" s="25">
        <f t="shared" si="7"/>
        <v>153</v>
      </c>
    </row>
    <row r="172">
      <c r="A172" s="23">
        <v>43602.0</v>
      </c>
      <c r="B172" s="4" t="s">
        <v>244</v>
      </c>
      <c r="C172" s="4">
        <v>21.310612</v>
      </c>
      <c r="D172" s="4">
        <v>-158.00441</v>
      </c>
      <c r="E172" s="4" t="s">
        <v>503</v>
      </c>
      <c r="F172" s="24">
        <v>0.3541666666666667</v>
      </c>
      <c r="G172" s="24">
        <v>0.4375</v>
      </c>
      <c r="H172" s="4">
        <v>5.0</v>
      </c>
      <c r="I172" s="4">
        <v>10.0</v>
      </c>
      <c r="J172" s="4" t="s">
        <v>217</v>
      </c>
      <c r="K172" s="4">
        <v>5.0</v>
      </c>
      <c r="L172" s="4">
        <v>25.0</v>
      </c>
      <c r="O172" s="4">
        <v>25.0</v>
      </c>
      <c r="Q172" s="4">
        <v>19.0</v>
      </c>
      <c r="AD172" s="4">
        <v>17.0</v>
      </c>
      <c r="AH172" s="4">
        <v>1.0</v>
      </c>
      <c r="BB172" s="4">
        <v>22.0</v>
      </c>
      <c r="BC172" s="4">
        <v>4.0</v>
      </c>
      <c r="BD172" s="4">
        <v>2.0</v>
      </c>
      <c r="BL172" s="4">
        <v>22.0</v>
      </c>
      <c r="BU172" s="4">
        <v>26.0</v>
      </c>
      <c r="BY172" s="4">
        <v>4.0</v>
      </c>
      <c r="EB172" s="4">
        <v>8.0</v>
      </c>
      <c r="ED172" s="4"/>
      <c r="EE172" s="4"/>
      <c r="EF172" s="4"/>
      <c r="EG172" s="4"/>
      <c r="EH172" s="4"/>
      <c r="EI172" s="4">
        <v>261.0</v>
      </c>
      <c r="EW172" s="4">
        <v>5.0</v>
      </c>
      <c r="FE172" s="4">
        <v>2.0</v>
      </c>
      <c r="FP172" s="4">
        <v>2.0</v>
      </c>
      <c r="FQ172" s="4">
        <v>97.0</v>
      </c>
      <c r="FT172" s="4"/>
      <c r="FU172" s="4">
        <v>1.0</v>
      </c>
      <c r="GE172" s="25">
        <f t="shared" si="1"/>
        <v>16</v>
      </c>
      <c r="GF172" s="25">
        <f t="shared" si="2"/>
        <v>14</v>
      </c>
      <c r="GG172" s="25">
        <f t="shared" si="3"/>
        <v>9</v>
      </c>
      <c r="GH172" s="25">
        <f t="shared" si="4"/>
        <v>0.672380811</v>
      </c>
      <c r="GI172" s="25">
        <f t="shared" si="5"/>
        <v>493</v>
      </c>
      <c r="GJ172" s="25">
        <f t="shared" si="6"/>
        <v>625</v>
      </c>
      <c r="GK172" s="25">
        <f t="shared" si="7"/>
        <v>132</v>
      </c>
    </row>
    <row r="173">
      <c r="A173" s="23">
        <v>43734.0</v>
      </c>
      <c r="B173" s="4" t="s">
        <v>329</v>
      </c>
      <c r="C173" s="4">
        <v>21.1408</v>
      </c>
      <c r="D173" s="4">
        <v>-157.290115</v>
      </c>
      <c r="E173" s="4" t="s">
        <v>286</v>
      </c>
      <c r="F173" s="24">
        <v>0.375</v>
      </c>
      <c r="G173" s="24">
        <v>0.39166666666666666</v>
      </c>
      <c r="H173" s="4">
        <v>3.0</v>
      </c>
      <c r="I173" s="4">
        <v>14.0</v>
      </c>
      <c r="J173" s="4" t="s">
        <v>198</v>
      </c>
      <c r="K173" s="4">
        <v>14.0</v>
      </c>
      <c r="L173" s="4">
        <v>15.0</v>
      </c>
      <c r="M173" s="4" t="s">
        <v>504</v>
      </c>
      <c r="N173" s="4" t="s">
        <v>505</v>
      </c>
      <c r="O173" s="4">
        <v>6.0</v>
      </c>
      <c r="BW173" s="4">
        <v>1.0</v>
      </c>
      <c r="ED173" s="4"/>
      <c r="EE173" s="4"/>
      <c r="EF173" s="4"/>
      <c r="EG173" s="4"/>
      <c r="EH173" s="4"/>
      <c r="EI173" s="4">
        <v>106.0</v>
      </c>
      <c r="FB173" s="4">
        <v>1.0</v>
      </c>
      <c r="FY173" s="4"/>
      <c r="FZ173" s="4">
        <v>4.0</v>
      </c>
      <c r="GE173" s="25">
        <f t="shared" si="1"/>
        <v>4</v>
      </c>
      <c r="GF173" s="25">
        <f t="shared" si="2"/>
        <v>2</v>
      </c>
      <c r="GG173" s="25">
        <f t="shared" si="3"/>
        <v>1</v>
      </c>
      <c r="GH173" s="25">
        <f t="shared" si="4"/>
        <v>0.1037644788</v>
      </c>
      <c r="GI173" s="25">
        <f t="shared" si="5"/>
        <v>112</v>
      </c>
      <c r="GJ173" s="25">
        <f t="shared" si="6"/>
        <v>150</v>
      </c>
      <c r="GK173" s="25">
        <f t="shared" si="7"/>
        <v>38</v>
      </c>
    </row>
    <row r="174">
      <c r="A174" s="23">
        <v>43735.0</v>
      </c>
      <c r="B174" s="4" t="s">
        <v>329</v>
      </c>
      <c r="C174" s="4">
        <v>21.1408</v>
      </c>
      <c r="D174" s="4">
        <v>-157.290115</v>
      </c>
      <c r="E174" s="4" t="s">
        <v>286</v>
      </c>
      <c r="F174" s="24">
        <v>0.3729166666666667</v>
      </c>
      <c r="G174" s="24">
        <v>0.38958333333333334</v>
      </c>
      <c r="H174" s="4">
        <v>6.0</v>
      </c>
      <c r="I174" s="4">
        <v>13.0</v>
      </c>
      <c r="J174" s="4" t="s">
        <v>198</v>
      </c>
      <c r="K174" s="4">
        <v>13.0</v>
      </c>
      <c r="L174" s="4">
        <v>42.0</v>
      </c>
      <c r="M174" s="4" t="s">
        <v>506</v>
      </c>
      <c r="N174" s="4" t="s">
        <v>507</v>
      </c>
      <c r="O174" s="4">
        <v>19.0</v>
      </c>
      <c r="AF174" s="4">
        <v>4.0</v>
      </c>
      <c r="AR174" s="4">
        <v>15.0</v>
      </c>
      <c r="BN174" s="4"/>
      <c r="BO174" s="4">
        <v>1.0</v>
      </c>
      <c r="BZ174" s="4"/>
      <c r="CA174" s="4">
        <v>1.0</v>
      </c>
      <c r="CO174" s="4"/>
      <c r="CP174" s="4"/>
      <c r="CQ174" s="4"/>
      <c r="CR174" s="4">
        <v>49.0</v>
      </c>
      <c r="DE174" s="4"/>
      <c r="DF174" s="4">
        <v>8.0</v>
      </c>
      <c r="ED174" s="4"/>
      <c r="EE174" s="4"/>
      <c r="EF174" s="4"/>
      <c r="EG174" s="4"/>
      <c r="EH174" s="4"/>
      <c r="EI174" s="4">
        <v>60.0</v>
      </c>
      <c r="FA174" s="4">
        <v>6.0</v>
      </c>
      <c r="FQ174" s="4">
        <v>53.0</v>
      </c>
      <c r="GE174" s="25">
        <f t="shared" si="1"/>
        <v>9</v>
      </c>
      <c r="GF174" s="25">
        <f t="shared" si="2"/>
        <v>7</v>
      </c>
      <c r="GG174" s="25">
        <f t="shared" si="3"/>
        <v>6</v>
      </c>
      <c r="GH174" s="25">
        <f t="shared" si="4"/>
        <v>0.768051383</v>
      </c>
      <c r="GI174" s="25">
        <f t="shared" si="5"/>
        <v>197</v>
      </c>
      <c r="GJ174" s="25">
        <f t="shared" si="6"/>
        <v>475</v>
      </c>
      <c r="GK174" s="25">
        <f t="shared" si="7"/>
        <v>278</v>
      </c>
    </row>
    <row r="175">
      <c r="A175" s="48">
        <v>43839.0</v>
      </c>
      <c r="B175" s="7" t="s">
        <v>366</v>
      </c>
      <c r="C175" s="7">
        <v>19.715052</v>
      </c>
      <c r="D175" s="7">
        <v>-156.049133</v>
      </c>
      <c r="E175" s="7" t="s">
        <v>508</v>
      </c>
      <c r="F175" s="54">
        <v>0.451388888888889</v>
      </c>
      <c r="G175" s="54">
        <v>0.486111111111111</v>
      </c>
      <c r="H175" s="49">
        <v>5.0</v>
      </c>
      <c r="I175" s="49">
        <v>20.0</v>
      </c>
      <c r="J175" s="49" t="s">
        <v>198</v>
      </c>
      <c r="K175" s="49">
        <v>5.0</v>
      </c>
      <c r="L175" s="49">
        <v>20.0</v>
      </c>
      <c r="M175" s="49" t="s">
        <v>509</v>
      </c>
      <c r="N175" s="49"/>
      <c r="O175" s="49">
        <v>20.0</v>
      </c>
      <c r="P175" s="49" t="s">
        <v>510</v>
      </c>
      <c r="Q175" s="35"/>
      <c r="R175" s="49"/>
      <c r="S175" s="49">
        <v>21.0</v>
      </c>
      <c r="T175" s="49"/>
      <c r="U175" s="49"/>
      <c r="V175" s="49"/>
      <c r="W175" s="49"/>
      <c r="X175" s="49"/>
      <c r="Y175" s="49"/>
      <c r="Z175" s="49"/>
      <c r="AA175" s="49"/>
      <c r="AB175" s="49"/>
      <c r="AC175" s="49">
        <v>2.0</v>
      </c>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49"/>
      <c r="BF175" s="49"/>
      <c r="BG175" s="49"/>
      <c r="BH175" s="49"/>
      <c r="BI175" s="49"/>
      <c r="BJ175" s="49"/>
      <c r="BK175" s="49"/>
      <c r="BL175" s="49">
        <v>70.0</v>
      </c>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49"/>
      <c r="CV175" s="49"/>
      <c r="CW175" s="49"/>
      <c r="CX175" s="49"/>
      <c r="CY175" s="49"/>
      <c r="CZ175" s="49">
        <v>1.0</v>
      </c>
      <c r="DA175" s="35"/>
      <c r="DB175" s="35"/>
      <c r="DC175" s="35"/>
      <c r="DD175" s="35"/>
      <c r="DE175" s="35"/>
      <c r="DF175" s="35"/>
      <c r="DG175" s="35"/>
      <c r="DH175" s="35"/>
      <c r="DI175" s="35"/>
      <c r="DJ175" s="35"/>
      <c r="DK175" s="35"/>
      <c r="DL175" s="35"/>
      <c r="DM175" s="49"/>
      <c r="DN175" s="49"/>
      <c r="DO175" s="49">
        <v>4.0</v>
      </c>
      <c r="DP175" s="35"/>
      <c r="DQ175" s="35"/>
      <c r="DR175" s="35"/>
      <c r="DS175" s="35"/>
      <c r="DT175" s="35"/>
      <c r="DU175" s="35"/>
      <c r="DV175" s="35"/>
      <c r="DW175" s="35"/>
      <c r="DX175" s="35"/>
      <c r="DY175" s="35"/>
      <c r="DZ175" s="35"/>
      <c r="EA175" s="35"/>
      <c r="EB175" s="35"/>
      <c r="EC175" s="35"/>
      <c r="ED175" s="35"/>
      <c r="EE175" s="35"/>
      <c r="EF175" s="35"/>
      <c r="EG175" s="35"/>
      <c r="EH175" s="35"/>
      <c r="EI175" s="35"/>
      <c r="EJ175" s="35"/>
      <c r="EK175" s="35"/>
      <c r="EL175" s="35"/>
      <c r="EM175" s="35"/>
      <c r="EN175" s="35"/>
      <c r="EO175" s="35"/>
      <c r="EP175" s="35"/>
      <c r="EQ175" s="35"/>
      <c r="ER175" s="35"/>
      <c r="ES175" s="35"/>
      <c r="ET175" s="35"/>
      <c r="EU175" s="35"/>
      <c r="EV175" s="35"/>
      <c r="EW175" s="35"/>
      <c r="EX175" s="35"/>
      <c r="EY175" s="35"/>
      <c r="EZ175" s="35"/>
      <c r="FA175" s="35"/>
      <c r="FB175" s="35"/>
      <c r="FC175" s="35"/>
      <c r="FD175" s="35"/>
      <c r="FE175" s="35"/>
      <c r="FF175" s="35"/>
      <c r="FG175" s="35"/>
      <c r="FH175" s="35"/>
      <c r="FI175" s="35"/>
      <c r="FJ175" s="35"/>
      <c r="FK175" s="35"/>
      <c r="FL175" s="35"/>
      <c r="FM175" s="35"/>
      <c r="FN175" s="35"/>
      <c r="FO175" s="35"/>
      <c r="FP175" s="35"/>
      <c r="FQ175" s="49">
        <v>31.0</v>
      </c>
      <c r="FR175" s="49"/>
      <c r="FS175" s="49"/>
      <c r="FT175" s="49"/>
      <c r="FU175" s="49">
        <v>60.0</v>
      </c>
      <c r="FW175" s="35"/>
      <c r="FX175" s="35"/>
      <c r="FY175" s="35"/>
      <c r="FZ175" s="35"/>
      <c r="GA175" s="35"/>
      <c r="GB175" s="35"/>
      <c r="GC175" s="35"/>
      <c r="GD175" s="35"/>
      <c r="GE175" s="25">
        <f t="shared" si="1"/>
        <v>7</v>
      </c>
      <c r="GF175" s="25">
        <f t="shared" si="2"/>
        <v>6</v>
      </c>
      <c r="GG175" s="25">
        <f t="shared" si="3"/>
        <v>4</v>
      </c>
      <c r="GH175" s="25">
        <f t="shared" si="4"/>
        <v>0.726049758</v>
      </c>
      <c r="GI175" s="25">
        <f t="shared" si="5"/>
        <v>189</v>
      </c>
      <c r="GJ175" s="25">
        <f t="shared" si="6"/>
        <v>500</v>
      </c>
      <c r="GK175" s="25">
        <f t="shared" si="7"/>
        <v>311</v>
      </c>
      <c r="GL175" s="35"/>
      <c r="GM175" s="35"/>
      <c r="GN175" s="35"/>
      <c r="GO175" s="35"/>
      <c r="GP175" s="35"/>
      <c r="GQ175" s="35"/>
      <c r="GR175" s="35"/>
    </row>
    <row r="176">
      <c r="A176" s="48">
        <v>43840.0</v>
      </c>
      <c r="B176" s="7" t="s">
        <v>511</v>
      </c>
      <c r="C176" s="7">
        <v>19.5791</v>
      </c>
      <c r="D176" s="49">
        <v>-155.967804</v>
      </c>
      <c r="E176" s="7" t="s">
        <v>508</v>
      </c>
      <c r="F176" s="54">
        <v>0.425</v>
      </c>
      <c r="G176" s="54">
        <v>0.461805555555556</v>
      </c>
      <c r="H176" s="49">
        <v>5.0</v>
      </c>
      <c r="I176" s="49">
        <v>20.0</v>
      </c>
      <c r="J176" s="49" t="s">
        <v>198</v>
      </c>
      <c r="K176" s="49">
        <v>5.0</v>
      </c>
      <c r="L176" s="4">
        <v>24.0</v>
      </c>
      <c r="M176" s="4" t="s">
        <v>512</v>
      </c>
      <c r="O176" s="4">
        <v>24.0</v>
      </c>
      <c r="BE176" s="4"/>
      <c r="BF176" s="4"/>
      <c r="BG176" s="4"/>
      <c r="BH176" s="4"/>
      <c r="BI176" s="4"/>
      <c r="BJ176" s="4"/>
      <c r="BK176" s="4"/>
      <c r="BL176" s="4">
        <v>224.0</v>
      </c>
      <c r="FQ176" s="4">
        <v>165.0</v>
      </c>
      <c r="GE176" s="25">
        <f t="shared" si="1"/>
        <v>2</v>
      </c>
      <c r="GF176" s="25">
        <f t="shared" si="2"/>
        <v>2</v>
      </c>
      <c r="GG176" s="25">
        <f t="shared" si="3"/>
        <v>2</v>
      </c>
      <c r="GH176" s="25">
        <f t="shared" si="4"/>
        <v>0.4897569767</v>
      </c>
      <c r="GI176" s="25">
        <f t="shared" si="5"/>
        <v>389</v>
      </c>
      <c r="GJ176" s="25">
        <f t="shared" si="6"/>
        <v>600</v>
      </c>
      <c r="GK176" s="25">
        <f t="shared" si="7"/>
        <v>211</v>
      </c>
      <c r="GM176" s="35"/>
      <c r="GN176" s="35"/>
      <c r="GO176" s="35"/>
      <c r="GP176" s="35"/>
      <c r="GQ176" s="35"/>
      <c r="GR176" s="35"/>
    </row>
    <row r="177">
      <c r="A177" s="55">
        <v>43868.0</v>
      </c>
      <c r="B177" s="7" t="s">
        <v>511</v>
      </c>
      <c r="C177" s="7">
        <v>19.5791</v>
      </c>
      <c r="D177" s="7">
        <v>-155.967804</v>
      </c>
      <c r="E177" s="4" t="s">
        <v>508</v>
      </c>
      <c r="F177" s="54">
        <v>0.420833333333333</v>
      </c>
      <c r="G177" s="54">
        <v>0.451388888888889</v>
      </c>
      <c r="H177" s="4">
        <v>5.0</v>
      </c>
      <c r="I177" s="4">
        <v>20.0</v>
      </c>
      <c r="J177" s="4" t="s">
        <v>198</v>
      </c>
      <c r="K177" s="4">
        <v>5.0</v>
      </c>
      <c r="L177" s="4">
        <v>25.0</v>
      </c>
      <c r="O177" s="4">
        <v>25.0</v>
      </c>
      <c r="BE177" s="4"/>
      <c r="BF177" s="4"/>
      <c r="BG177" s="4"/>
      <c r="BH177" s="4"/>
      <c r="BI177" s="4"/>
      <c r="BJ177" s="4"/>
      <c r="BK177" s="4"/>
      <c r="BL177" s="4">
        <v>188.0</v>
      </c>
      <c r="CH177" s="4"/>
      <c r="CI177" s="4"/>
      <c r="CJ177" s="4"/>
      <c r="CK177" s="4"/>
      <c r="CL177" s="4"/>
      <c r="CM177" s="4"/>
      <c r="CN177" s="4"/>
      <c r="CO177" s="4"/>
      <c r="CP177" s="4"/>
      <c r="CQ177" s="4"/>
      <c r="CR177" s="4"/>
      <c r="CS177" s="4"/>
      <c r="CT177" s="4">
        <v>1.0</v>
      </c>
      <c r="FQ177" s="4">
        <v>278.0</v>
      </c>
      <c r="GE177" s="25">
        <f t="shared" si="1"/>
        <v>3</v>
      </c>
      <c r="GF177" s="25">
        <f t="shared" si="2"/>
        <v>2</v>
      </c>
      <c r="GG177" s="25">
        <f t="shared" si="3"/>
        <v>2</v>
      </c>
      <c r="GH177" s="25">
        <f t="shared" si="4"/>
        <v>0.4846017406</v>
      </c>
      <c r="GI177" s="25">
        <f t="shared" si="5"/>
        <v>467</v>
      </c>
      <c r="GJ177" s="25">
        <f t="shared" si="6"/>
        <v>625</v>
      </c>
      <c r="GK177" s="25">
        <f t="shared" si="7"/>
        <v>158</v>
      </c>
      <c r="GL177" s="35"/>
      <c r="GM177" s="35"/>
      <c r="GN177" s="35"/>
      <c r="GO177" s="35"/>
      <c r="GP177" s="35"/>
      <c r="GQ177" s="35"/>
      <c r="GR177" s="35"/>
    </row>
    <row r="178">
      <c r="A178" s="23">
        <v>43882.0</v>
      </c>
      <c r="B178" s="4" t="s">
        <v>340</v>
      </c>
      <c r="C178" s="7">
        <v>19.643276</v>
      </c>
      <c r="D178" s="4">
        <v>-156.010193</v>
      </c>
      <c r="E178" s="7" t="s">
        <v>508</v>
      </c>
      <c r="F178" s="54">
        <v>0.41875</v>
      </c>
      <c r="G178" s="54">
        <v>0.444444444444444</v>
      </c>
      <c r="H178" s="4">
        <v>5.0</v>
      </c>
      <c r="I178" s="4">
        <v>20.0</v>
      </c>
      <c r="J178" s="4" t="s">
        <v>198</v>
      </c>
      <c r="K178" s="4">
        <v>5.0</v>
      </c>
      <c r="L178" s="4">
        <v>25.0</v>
      </c>
      <c r="O178" s="4">
        <v>25.0</v>
      </c>
      <c r="BE178" s="4"/>
      <c r="BF178" s="4"/>
      <c r="BG178" s="4"/>
      <c r="BH178" s="4"/>
      <c r="BI178" s="4"/>
      <c r="BJ178" s="4"/>
      <c r="BK178" s="4"/>
      <c r="BL178" s="4">
        <v>13.0</v>
      </c>
      <c r="BW178" s="4"/>
      <c r="BZ178" s="4"/>
      <c r="CA178" s="4"/>
      <c r="CB178" s="4">
        <v>3.0</v>
      </c>
      <c r="DM178" s="4"/>
      <c r="DN178" s="4"/>
      <c r="DO178" s="4"/>
      <c r="DP178" s="4"/>
      <c r="DQ178" s="4"/>
      <c r="DR178" s="4"/>
      <c r="DS178" s="4"/>
      <c r="DT178" s="4"/>
      <c r="DU178" s="4"/>
      <c r="DV178" s="4"/>
      <c r="DW178" s="4"/>
      <c r="DX178" s="4"/>
      <c r="DY178" s="4"/>
      <c r="DZ178" s="4"/>
      <c r="EA178" s="4"/>
      <c r="EB178" s="4"/>
      <c r="EC178" s="4"/>
      <c r="ED178" s="4"/>
      <c r="EE178" s="4"/>
      <c r="EF178" s="4"/>
      <c r="EG178" s="4"/>
      <c r="EH178" s="4"/>
      <c r="EI178" s="4">
        <v>27.0</v>
      </c>
      <c r="FF178" s="4"/>
      <c r="FG178" s="4"/>
      <c r="FH178" s="4"/>
      <c r="FI178" s="4"/>
      <c r="FJ178" s="4"/>
      <c r="FK178" s="4"/>
      <c r="FL178" s="4">
        <v>9.0</v>
      </c>
      <c r="FM178" s="4"/>
      <c r="FN178" s="4"/>
      <c r="FO178" s="4"/>
      <c r="FP178" s="4">
        <v>141.0</v>
      </c>
      <c r="FQ178" s="4">
        <v>390.0</v>
      </c>
      <c r="FR178" s="4"/>
      <c r="FS178" s="4"/>
      <c r="FT178" s="4"/>
      <c r="FU178" s="4">
        <v>2.0</v>
      </c>
      <c r="GE178" s="25">
        <f t="shared" si="1"/>
        <v>7</v>
      </c>
      <c r="GF178" s="25">
        <f t="shared" si="2"/>
        <v>7</v>
      </c>
      <c r="GG178" s="25">
        <f t="shared" si="3"/>
        <v>5</v>
      </c>
      <c r="GH178" s="25">
        <f t="shared" si="4"/>
        <v>0.4954103735</v>
      </c>
      <c r="GI178" s="25">
        <f t="shared" si="5"/>
        <v>585</v>
      </c>
      <c r="GJ178" s="25">
        <f t="shared" si="6"/>
        <v>625</v>
      </c>
      <c r="GK178" s="25">
        <f t="shared" si="7"/>
        <v>40</v>
      </c>
      <c r="GL178" s="12"/>
      <c r="GM178" s="12"/>
      <c r="GN178" s="12"/>
      <c r="GO178" s="12"/>
      <c r="GP178" s="12"/>
      <c r="GQ178" s="12"/>
      <c r="GR178" s="12"/>
    </row>
    <row r="179">
      <c r="A179" s="56">
        <v>43885.0</v>
      </c>
      <c r="B179" s="4" t="s">
        <v>233</v>
      </c>
      <c r="C179" s="7">
        <v>21.066799</v>
      </c>
      <c r="D179" s="4">
        <v>-156.804993</v>
      </c>
      <c r="E179" s="4" t="s">
        <v>286</v>
      </c>
      <c r="F179" s="54">
        <v>0.475694444444444</v>
      </c>
      <c r="G179" s="57">
        <v>0.5104166666666666</v>
      </c>
      <c r="H179" s="4">
        <v>5.0</v>
      </c>
      <c r="I179" s="4">
        <v>25.0</v>
      </c>
      <c r="J179" s="4" t="s">
        <v>198</v>
      </c>
      <c r="K179" s="4">
        <v>7.0</v>
      </c>
      <c r="L179" s="4">
        <v>28.0</v>
      </c>
      <c r="M179" s="4" t="s">
        <v>516</v>
      </c>
      <c r="N179" s="4"/>
      <c r="O179" s="4">
        <v>28.0</v>
      </c>
      <c r="P179" s="4" t="s">
        <v>517</v>
      </c>
      <c r="Q179" s="4">
        <v>10.0</v>
      </c>
      <c r="AE179" s="4"/>
      <c r="AF179" s="4"/>
      <c r="AG179" s="4"/>
      <c r="AH179" s="4"/>
      <c r="AI179" s="4"/>
      <c r="AJ179" s="4"/>
      <c r="AK179" s="4"/>
      <c r="AL179" s="4"/>
      <c r="AM179" s="4">
        <v>2.0</v>
      </c>
      <c r="BE179" s="4"/>
      <c r="BF179" s="4"/>
      <c r="BG179" s="4"/>
      <c r="BH179" s="4"/>
      <c r="BI179" s="4"/>
      <c r="BJ179" s="4"/>
      <c r="BK179" s="4"/>
      <c r="BL179" s="4">
        <v>63.0</v>
      </c>
      <c r="BM179" s="4"/>
      <c r="BN179" s="4"/>
      <c r="BO179" s="4"/>
      <c r="BP179" s="4"/>
      <c r="BQ179" s="4"/>
      <c r="BR179" s="4"/>
      <c r="BS179" s="4"/>
      <c r="BT179" s="4"/>
      <c r="BU179" s="4">
        <v>1.0</v>
      </c>
      <c r="BV179" s="4"/>
      <c r="BX179" s="4"/>
      <c r="BY179" s="4">
        <v>6.0</v>
      </c>
      <c r="CH179" s="4"/>
      <c r="CI179" s="4"/>
      <c r="CJ179" s="4"/>
      <c r="CK179" s="4"/>
      <c r="CL179" s="4"/>
      <c r="CM179" s="4"/>
      <c r="CN179" s="4"/>
      <c r="CO179" s="4"/>
      <c r="CP179" s="4"/>
      <c r="CQ179" s="4"/>
      <c r="CR179" s="4"/>
      <c r="CS179" s="4"/>
      <c r="CT179" s="4"/>
      <c r="CU179" s="4"/>
      <c r="CV179" s="4"/>
      <c r="CW179" s="4"/>
      <c r="CX179" s="4"/>
      <c r="CY179" s="4"/>
      <c r="CZ179" s="4"/>
      <c r="DA179" s="4"/>
      <c r="DB179" s="4"/>
      <c r="DC179" s="4"/>
      <c r="DD179" s="4"/>
      <c r="DE179" s="4"/>
      <c r="DF179" s="4">
        <v>1.0</v>
      </c>
      <c r="DG179" s="4"/>
      <c r="DH179" s="4"/>
      <c r="DI179" s="4"/>
      <c r="DJ179" s="4"/>
      <c r="DK179" s="4"/>
      <c r="DL179" s="4">
        <v>15.0</v>
      </c>
      <c r="DM179" s="4"/>
      <c r="DN179" s="4"/>
      <c r="DO179" s="4"/>
      <c r="DP179" s="4"/>
      <c r="DQ179" s="4"/>
      <c r="DR179" s="4"/>
      <c r="DS179" s="4"/>
      <c r="DT179" s="4"/>
      <c r="DU179" s="4"/>
      <c r="DV179" s="4"/>
      <c r="DW179" s="4"/>
      <c r="DX179" s="4"/>
      <c r="DY179" s="4"/>
      <c r="DZ179" s="4"/>
      <c r="EA179" s="4"/>
      <c r="EB179" s="4"/>
      <c r="EC179" s="4"/>
      <c r="ED179" s="4"/>
      <c r="EE179" s="4"/>
      <c r="EF179" s="4"/>
      <c r="EG179" s="4"/>
      <c r="EH179" s="4"/>
      <c r="EI179" s="4">
        <v>18.0</v>
      </c>
      <c r="EJ179" s="4"/>
      <c r="EK179" s="4"/>
      <c r="EL179" s="4"/>
      <c r="EM179" s="4"/>
      <c r="EN179" s="4"/>
      <c r="EO179" s="4"/>
      <c r="EP179" s="4"/>
      <c r="EQ179" s="4"/>
      <c r="ER179" s="4"/>
      <c r="ES179" s="4"/>
      <c r="ET179" s="4"/>
      <c r="EU179" s="4"/>
      <c r="EV179" s="4"/>
      <c r="EW179" s="4"/>
      <c r="EX179" s="4"/>
      <c r="EY179" s="4"/>
      <c r="EZ179" s="4"/>
      <c r="FA179" s="4"/>
      <c r="FB179" s="4"/>
      <c r="FC179" s="4"/>
      <c r="FD179" s="4"/>
      <c r="FE179" s="4">
        <v>4.0</v>
      </c>
      <c r="FF179" s="4"/>
      <c r="FG179" s="4"/>
      <c r="FH179" s="4"/>
      <c r="FI179" s="4"/>
      <c r="FJ179" s="4"/>
      <c r="FK179" s="4"/>
      <c r="FL179" s="4"/>
      <c r="FM179" s="4"/>
      <c r="FN179" s="4"/>
      <c r="FO179" s="4"/>
      <c r="FP179" s="4"/>
      <c r="FQ179" s="4">
        <v>178.0</v>
      </c>
      <c r="FR179" s="4"/>
      <c r="FS179" s="4"/>
      <c r="FT179" s="4"/>
      <c r="FU179" s="4"/>
      <c r="FW179" s="4"/>
      <c r="FX179" s="4"/>
      <c r="FY179" s="4"/>
      <c r="FZ179" s="4"/>
      <c r="GA179" s="4"/>
      <c r="GB179" s="4"/>
      <c r="GC179" s="4"/>
      <c r="GD179" s="4">
        <v>2.0</v>
      </c>
      <c r="GE179" s="25">
        <f t="shared" si="1"/>
        <v>11</v>
      </c>
      <c r="GF179" s="25">
        <f t="shared" si="2"/>
        <v>9</v>
      </c>
      <c r="GG179" s="25">
        <f t="shared" si="3"/>
        <v>6</v>
      </c>
      <c r="GH179" s="25">
        <f t="shared" si="4"/>
        <v>0.5979487179</v>
      </c>
      <c r="GI179" s="25">
        <f t="shared" si="5"/>
        <v>300</v>
      </c>
      <c r="GJ179" s="25">
        <f t="shared" si="6"/>
        <v>700</v>
      </c>
      <c r="GK179" s="25">
        <f t="shared" si="7"/>
        <v>400</v>
      </c>
      <c r="GN179" s="35"/>
      <c r="GO179" s="45"/>
      <c r="GP179" s="45"/>
      <c r="GQ179" s="45"/>
      <c r="GR179" s="45"/>
    </row>
    <row r="180">
      <c r="A180" s="58">
        <v>43893.0</v>
      </c>
      <c r="B180" s="12" t="s">
        <v>244</v>
      </c>
      <c r="C180" s="45">
        <v>21.310612</v>
      </c>
      <c r="D180" s="45">
        <v>-158.00441</v>
      </c>
      <c r="E180" s="14" t="s">
        <v>326</v>
      </c>
      <c r="F180" s="59">
        <v>0.395833333333333</v>
      </c>
      <c r="G180" s="59">
        <v>0.458333333333333</v>
      </c>
      <c r="H180" s="45">
        <v>5.0</v>
      </c>
      <c r="I180" s="45">
        <v>8.0</v>
      </c>
      <c r="J180" s="8" t="s">
        <v>318</v>
      </c>
      <c r="K180" s="45">
        <v>4.0</v>
      </c>
      <c r="L180" s="4">
        <v>9.0</v>
      </c>
      <c r="M180" s="4" t="s">
        <v>518</v>
      </c>
      <c r="N180" s="4"/>
      <c r="O180" s="4">
        <v>9.0</v>
      </c>
      <c r="P180" s="4" t="s">
        <v>519</v>
      </c>
      <c r="Q180" s="4">
        <v>23.0</v>
      </c>
      <c r="R180" s="4"/>
      <c r="S180" s="4"/>
      <c r="T180" s="4"/>
      <c r="U180" s="4"/>
      <c r="V180" s="4"/>
      <c r="W180" s="4"/>
      <c r="X180" s="4"/>
      <c r="Y180" s="4"/>
      <c r="Z180" s="4"/>
      <c r="AA180" s="4"/>
      <c r="AB180" s="4"/>
      <c r="AC180" s="4"/>
      <c r="AD180" s="4">
        <v>23.0</v>
      </c>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v>1.0</v>
      </c>
      <c r="CH180" s="4"/>
      <c r="CI180" s="4"/>
      <c r="CJ180" s="4"/>
      <c r="CK180" s="4"/>
      <c r="CL180" s="4"/>
      <c r="CM180" s="4"/>
      <c r="CN180" s="4"/>
      <c r="CO180" s="4"/>
      <c r="CP180" s="4"/>
      <c r="CQ180" s="4"/>
      <c r="CR180" s="4"/>
      <c r="CS180" s="4"/>
      <c r="CT180" s="4"/>
      <c r="CU180" s="4"/>
      <c r="CV180" s="4"/>
      <c r="CW180" s="4"/>
      <c r="CX180" s="4"/>
      <c r="CY180" s="4"/>
      <c r="CZ180" s="4"/>
      <c r="DA180" s="4"/>
      <c r="DB180" s="4"/>
      <c r="DC180" s="4"/>
      <c r="DD180" s="4"/>
      <c r="DE180" s="4"/>
      <c r="DF180" s="4"/>
      <c r="DG180" s="4"/>
      <c r="DH180" s="4"/>
      <c r="DI180" s="4"/>
      <c r="DJ180" s="4"/>
      <c r="DK180" s="4"/>
      <c r="DL180" s="4"/>
      <c r="DM180" s="4"/>
      <c r="DN180" s="4"/>
      <c r="DO180" s="4"/>
      <c r="DP180" s="4"/>
      <c r="DQ180" s="4"/>
      <c r="DR180" s="4"/>
      <c r="DS180" s="4"/>
      <c r="DT180" s="4"/>
      <c r="DU180" s="4"/>
      <c r="DV180" s="4"/>
      <c r="DW180" s="4"/>
      <c r="DX180" s="4"/>
      <c r="DY180" s="4"/>
      <c r="DZ180" s="4"/>
      <c r="EA180" s="4"/>
      <c r="EB180" s="4"/>
      <c r="EC180" s="4"/>
      <c r="ED180" s="4"/>
      <c r="EE180" s="4"/>
      <c r="EF180" s="4"/>
      <c r="EG180" s="4"/>
      <c r="EH180" s="4"/>
      <c r="EI180" s="4">
        <v>34.0</v>
      </c>
      <c r="EJ180" s="4"/>
      <c r="EK180" s="4"/>
      <c r="EL180" s="4"/>
      <c r="EM180" s="4"/>
      <c r="EN180" s="4"/>
      <c r="EO180" s="4"/>
      <c r="EP180" s="4"/>
      <c r="EQ180" s="4"/>
      <c r="ER180" s="4"/>
      <c r="ES180" s="4"/>
      <c r="ET180" s="4"/>
      <c r="EU180" s="4"/>
      <c r="EV180" s="4"/>
      <c r="EW180" s="4"/>
      <c r="EX180" s="4"/>
      <c r="EY180" s="4"/>
      <c r="EZ180" s="4"/>
      <c r="FA180" s="4"/>
      <c r="FB180" s="4"/>
      <c r="FC180" s="4"/>
      <c r="FD180" s="4"/>
      <c r="FE180" s="4"/>
      <c r="FF180" s="4"/>
      <c r="FG180" s="4"/>
      <c r="FH180" s="4"/>
      <c r="FI180" s="4"/>
      <c r="FJ180" s="4"/>
      <c r="FK180" s="4"/>
      <c r="FL180" s="4"/>
      <c r="FM180" s="4"/>
      <c r="FN180" s="4"/>
      <c r="FO180" s="4"/>
      <c r="FP180" s="4"/>
      <c r="FQ180" s="4">
        <v>1.0</v>
      </c>
      <c r="GE180" s="25">
        <f t="shared" si="1"/>
        <v>5</v>
      </c>
      <c r="GF180" s="25">
        <f t="shared" si="2"/>
        <v>3</v>
      </c>
      <c r="GG180" s="25">
        <f t="shared" si="3"/>
        <v>3</v>
      </c>
      <c r="GH180" s="25">
        <f t="shared" si="4"/>
        <v>0.6787112316</v>
      </c>
      <c r="GI180" s="25">
        <f t="shared" si="5"/>
        <v>82</v>
      </c>
      <c r="GJ180" s="25">
        <f t="shared" si="6"/>
        <v>225</v>
      </c>
      <c r="GK180" s="25">
        <f t="shared" si="7"/>
        <v>143</v>
      </c>
      <c r="GL180" s="35"/>
      <c r="GM180" s="35"/>
      <c r="GN180" s="35"/>
      <c r="GO180" s="35"/>
      <c r="GP180" s="35"/>
      <c r="GQ180" s="35"/>
      <c r="GR180" s="45"/>
    </row>
    <row r="181">
      <c r="A181" s="58">
        <v>43901.0</v>
      </c>
      <c r="B181" s="14" t="s">
        <v>456</v>
      </c>
      <c r="C181" s="45">
        <v>21.316488</v>
      </c>
      <c r="D181" s="45">
        <v>-157.664261</v>
      </c>
      <c r="E181" s="14" t="s">
        <v>469</v>
      </c>
      <c r="F181" s="59">
        <v>0.375694444444444</v>
      </c>
      <c r="G181" s="59">
        <v>0.416666666666667</v>
      </c>
      <c r="H181" s="45">
        <v>5.0</v>
      </c>
      <c r="I181" s="45">
        <v>40.0</v>
      </c>
      <c r="J181" s="12" t="s">
        <v>470</v>
      </c>
      <c r="K181" s="45">
        <v>5.0</v>
      </c>
      <c r="L181" s="4">
        <v>25.0</v>
      </c>
      <c r="M181" s="4"/>
      <c r="N181" s="4"/>
      <c r="O181" s="4">
        <v>25.0</v>
      </c>
      <c r="P181" s="4" t="s">
        <v>521</v>
      </c>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v>25.0</v>
      </c>
      <c r="BM181" s="4"/>
      <c r="BN181" s="4"/>
      <c r="BO181" s="4"/>
      <c r="BP181" s="4"/>
      <c r="BQ181" s="4"/>
      <c r="BR181" s="4"/>
      <c r="BS181" s="4"/>
      <c r="BT181" s="4"/>
      <c r="BU181" s="4"/>
      <c r="BV181" s="4"/>
      <c r="BW181" s="4"/>
      <c r="BX181" s="4"/>
      <c r="BY181" s="4"/>
      <c r="BZ181" s="4"/>
      <c r="CA181" s="4"/>
      <c r="CB181" s="4">
        <v>7.0</v>
      </c>
      <c r="CC181" s="4"/>
      <c r="CD181" s="4"/>
      <c r="CE181" s="4"/>
      <c r="CF181" s="4"/>
      <c r="CG181" s="4">
        <v>1.0</v>
      </c>
      <c r="CH181" s="4"/>
      <c r="CI181" s="4"/>
      <c r="CJ181" s="4"/>
      <c r="CK181" s="4"/>
      <c r="CL181" s="4"/>
      <c r="CM181" s="4"/>
      <c r="CN181" s="4"/>
      <c r="CO181" s="4"/>
      <c r="CP181" s="4"/>
      <c r="CQ181" s="4"/>
      <c r="CR181" s="4"/>
      <c r="CS181" s="4"/>
      <c r="CT181" s="4"/>
      <c r="CU181" s="4"/>
      <c r="CV181" s="4"/>
      <c r="CW181" s="4"/>
      <c r="CX181" s="4"/>
      <c r="CY181" s="4"/>
      <c r="CZ181" s="4"/>
      <c r="DA181" s="4"/>
      <c r="DB181" s="4"/>
      <c r="DC181" s="4"/>
      <c r="DD181" s="4"/>
      <c r="DE181" s="4"/>
      <c r="DF181" s="4"/>
      <c r="DG181" s="4"/>
      <c r="DH181" s="4"/>
      <c r="DI181" s="4"/>
      <c r="DJ181" s="4"/>
      <c r="DK181" s="4"/>
      <c r="DL181" s="4"/>
      <c r="DM181" s="4"/>
      <c r="DN181" s="4"/>
      <c r="DO181" s="4"/>
      <c r="DP181" s="4"/>
      <c r="DQ181" s="4"/>
      <c r="DR181" s="4"/>
      <c r="DS181" s="4"/>
      <c r="DT181" s="4"/>
      <c r="DU181" s="4"/>
      <c r="DV181" s="4"/>
      <c r="DW181" s="4"/>
      <c r="DX181" s="4"/>
      <c r="DY181" s="4"/>
      <c r="DZ181" s="4"/>
      <c r="EA181" s="4"/>
      <c r="EB181" s="4"/>
      <c r="EC181" s="4"/>
      <c r="ED181" s="4"/>
      <c r="EE181" s="4"/>
      <c r="EF181" s="4"/>
      <c r="EG181" s="4"/>
      <c r="EH181" s="4"/>
      <c r="EI181" s="4">
        <v>6.0</v>
      </c>
      <c r="EJ181" s="4"/>
      <c r="EK181" s="4"/>
      <c r="EL181" s="4"/>
      <c r="EM181" s="4"/>
      <c r="EN181" s="4"/>
      <c r="EO181" s="4"/>
      <c r="EP181" s="4"/>
      <c r="EQ181" s="4"/>
      <c r="ER181" s="4"/>
      <c r="ES181" s="4"/>
      <c r="ET181" s="4"/>
      <c r="EU181" s="4"/>
      <c r="EV181" s="4"/>
      <c r="EW181" s="4"/>
      <c r="EX181" s="4"/>
      <c r="EY181" s="4"/>
      <c r="EZ181" s="4"/>
      <c r="FA181" s="4"/>
      <c r="FB181" s="4"/>
      <c r="FC181" s="4"/>
      <c r="FD181" s="4"/>
      <c r="FE181" s="4"/>
      <c r="FF181" s="4"/>
      <c r="FG181" s="4"/>
      <c r="FH181" s="4"/>
      <c r="FI181" s="4"/>
      <c r="FJ181" s="4"/>
      <c r="FK181" s="4"/>
      <c r="FL181" s="4"/>
      <c r="FM181" s="4"/>
      <c r="FN181" s="4"/>
      <c r="FO181" s="4"/>
      <c r="FP181" s="4"/>
      <c r="FQ181" s="4">
        <v>252.0</v>
      </c>
      <c r="FR181" s="4"/>
      <c r="FS181" s="4"/>
      <c r="FT181" s="4"/>
      <c r="FU181" s="4"/>
      <c r="FW181" s="4"/>
      <c r="FX181" s="4"/>
      <c r="FY181" s="4"/>
      <c r="FZ181" s="4"/>
      <c r="GA181" s="4"/>
      <c r="GB181" s="4"/>
      <c r="GC181" s="4"/>
      <c r="GD181" s="4"/>
      <c r="GE181" s="25">
        <f t="shared" si="1"/>
        <v>5</v>
      </c>
      <c r="GF181" s="25">
        <f t="shared" si="2"/>
        <v>4</v>
      </c>
      <c r="GG181" s="25">
        <f t="shared" si="3"/>
        <v>4</v>
      </c>
      <c r="GH181" s="25">
        <f t="shared" si="4"/>
        <v>0.2425168859</v>
      </c>
      <c r="GI181" s="25">
        <f t="shared" si="5"/>
        <v>291</v>
      </c>
      <c r="GJ181" s="25">
        <f t="shared" si="6"/>
        <v>625</v>
      </c>
      <c r="GK181" s="25">
        <f t="shared" si="7"/>
        <v>334</v>
      </c>
      <c r="GL181" s="35"/>
      <c r="GM181" s="35"/>
      <c r="GN181" s="45"/>
      <c r="GO181" s="35"/>
      <c r="GP181" s="45"/>
      <c r="GQ181" s="35"/>
      <c r="GR181" s="35"/>
    </row>
    <row r="182">
      <c r="E182" s="4" t="s">
        <v>197</v>
      </c>
      <c r="F182" s="24">
        <v>0.0</v>
      </c>
      <c r="G182" s="24">
        <v>0.041666666666666664</v>
      </c>
    </row>
    <row r="183">
      <c r="P183" s="4" t="s">
        <v>1012</v>
      </c>
      <c r="Q183" s="25">
        <f t="shared" ref="Q183:GD183" si="8">count(Q3:Q181)</f>
        <v>98</v>
      </c>
      <c r="R183" s="25">
        <f t="shared" si="8"/>
        <v>13</v>
      </c>
      <c r="S183" s="25">
        <f t="shared" si="8"/>
        <v>17</v>
      </c>
      <c r="T183" s="25">
        <f t="shared" si="8"/>
        <v>2</v>
      </c>
      <c r="U183" s="25">
        <f t="shared" si="8"/>
        <v>1</v>
      </c>
      <c r="V183" s="25">
        <f t="shared" si="8"/>
        <v>4</v>
      </c>
      <c r="W183" s="25">
        <f t="shared" si="8"/>
        <v>14</v>
      </c>
      <c r="X183" s="25">
        <f t="shared" si="8"/>
        <v>1</v>
      </c>
      <c r="Y183" s="25">
        <f t="shared" si="8"/>
        <v>6</v>
      </c>
      <c r="Z183" s="25">
        <f t="shared" si="8"/>
        <v>1</v>
      </c>
      <c r="AA183" s="25">
        <f t="shared" si="8"/>
        <v>49</v>
      </c>
      <c r="AB183" s="25">
        <f t="shared" si="8"/>
        <v>28</v>
      </c>
      <c r="AC183" s="25">
        <f t="shared" si="8"/>
        <v>28</v>
      </c>
      <c r="AD183" s="25">
        <f t="shared" si="8"/>
        <v>27</v>
      </c>
      <c r="AE183" s="25">
        <f t="shared" si="8"/>
        <v>20</v>
      </c>
      <c r="AF183" s="25">
        <f t="shared" si="8"/>
        <v>11</v>
      </c>
      <c r="AG183" s="25">
        <f t="shared" si="8"/>
        <v>8</v>
      </c>
      <c r="AH183" s="25">
        <f t="shared" si="8"/>
        <v>43</v>
      </c>
      <c r="AI183" s="25">
        <f t="shared" si="8"/>
        <v>1</v>
      </c>
      <c r="AJ183" s="25">
        <f t="shared" si="8"/>
        <v>8</v>
      </c>
      <c r="AK183" s="25">
        <f t="shared" si="8"/>
        <v>6</v>
      </c>
      <c r="AL183" s="25">
        <f t="shared" si="8"/>
        <v>60</v>
      </c>
      <c r="AM183" s="25">
        <f t="shared" si="8"/>
        <v>18</v>
      </c>
      <c r="AN183" s="25">
        <f t="shared" si="8"/>
        <v>1</v>
      </c>
      <c r="AO183" s="25">
        <f t="shared" si="8"/>
        <v>6</v>
      </c>
      <c r="AP183" s="25">
        <f t="shared" si="8"/>
        <v>2</v>
      </c>
      <c r="AQ183" s="25">
        <f t="shared" si="8"/>
        <v>4</v>
      </c>
      <c r="AR183" s="25">
        <f t="shared" si="8"/>
        <v>4</v>
      </c>
      <c r="AS183" s="25">
        <f t="shared" si="8"/>
        <v>5</v>
      </c>
      <c r="AT183" s="25">
        <f t="shared" si="8"/>
        <v>5</v>
      </c>
      <c r="AU183" s="25">
        <f t="shared" si="8"/>
        <v>5</v>
      </c>
      <c r="AV183" s="25">
        <f t="shared" si="8"/>
        <v>4</v>
      </c>
      <c r="AW183" s="25">
        <f t="shared" si="8"/>
        <v>11</v>
      </c>
      <c r="AX183" s="25">
        <f t="shared" si="8"/>
        <v>2</v>
      </c>
      <c r="AY183" s="25">
        <f t="shared" si="8"/>
        <v>13</v>
      </c>
      <c r="AZ183" s="25">
        <f t="shared" si="8"/>
        <v>1</v>
      </c>
      <c r="BA183" s="25">
        <f t="shared" si="8"/>
        <v>61</v>
      </c>
      <c r="BB183" s="25">
        <f t="shared" si="8"/>
        <v>13</v>
      </c>
      <c r="BC183" s="25">
        <f t="shared" si="8"/>
        <v>12</v>
      </c>
      <c r="BD183" s="25">
        <f t="shared" si="8"/>
        <v>37</v>
      </c>
      <c r="BE183" s="25">
        <f t="shared" si="8"/>
        <v>8</v>
      </c>
      <c r="BF183" s="25">
        <f t="shared" si="8"/>
        <v>7</v>
      </c>
      <c r="BG183" s="25">
        <f t="shared" si="8"/>
        <v>26</v>
      </c>
      <c r="BH183" s="25">
        <f t="shared" si="8"/>
        <v>2</v>
      </c>
      <c r="BI183" s="25">
        <f t="shared" si="8"/>
        <v>3</v>
      </c>
      <c r="BJ183" s="25">
        <f t="shared" si="8"/>
        <v>42</v>
      </c>
      <c r="BK183" s="25">
        <f t="shared" si="8"/>
        <v>11</v>
      </c>
      <c r="BL183" s="25">
        <f t="shared" si="8"/>
        <v>135</v>
      </c>
      <c r="BM183" s="25">
        <f t="shared" si="8"/>
        <v>38</v>
      </c>
      <c r="BN183" s="25">
        <f t="shared" si="8"/>
        <v>1</v>
      </c>
      <c r="BO183" s="25">
        <f t="shared" si="8"/>
        <v>5</v>
      </c>
      <c r="BP183" s="25">
        <f t="shared" si="8"/>
        <v>47</v>
      </c>
      <c r="BQ183" s="25">
        <f t="shared" si="8"/>
        <v>4</v>
      </c>
      <c r="BR183" s="25">
        <f t="shared" si="8"/>
        <v>3</v>
      </c>
      <c r="BS183" s="25">
        <f t="shared" si="8"/>
        <v>5</v>
      </c>
      <c r="BT183" s="25">
        <f t="shared" si="8"/>
        <v>12</v>
      </c>
      <c r="BU183" s="25">
        <f t="shared" si="8"/>
        <v>65</v>
      </c>
      <c r="BV183" s="25">
        <f t="shared" si="8"/>
        <v>39</v>
      </c>
      <c r="BW183" s="25">
        <f t="shared" si="8"/>
        <v>17</v>
      </c>
      <c r="BX183" s="25">
        <f t="shared" si="8"/>
        <v>21</v>
      </c>
      <c r="BY183" s="25">
        <f t="shared" si="8"/>
        <v>80</v>
      </c>
      <c r="BZ183" s="25">
        <f t="shared" si="8"/>
        <v>1</v>
      </c>
      <c r="CA183" s="25">
        <f t="shared" si="8"/>
        <v>13</v>
      </c>
      <c r="CB183" s="25">
        <f t="shared" si="8"/>
        <v>54</v>
      </c>
      <c r="CC183" s="25">
        <f t="shared" si="8"/>
        <v>29</v>
      </c>
      <c r="CD183" s="25">
        <f t="shared" si="8"/>
        <v>8</v>
      </c>
      <c r="CE183" s="25">
        <f t="shared" si="8"/>
        <v>7</v>
      </c>
      <c r="CF183" s="25">
        <f t="shared" si="8"/>
        <v>1</v>
      </c>
      <c r="CG183" s="25">
        <f t="shared" si="8"/>
        <v>17</v>
      </c>
      <c r="CH183" s="25">
        <f t="shared" si="8"/>
        <v>2</v>
      </c>
      <c r="CI183" s="25">
        <f t="shared" si="8"/>
        <v>9</v>
      </c>
      <c r="CJ183" s="25">
        <f t="shared" si="8"/>
        <v>17</v>
      </c>
      <c r="CK183" s="25">
        <f t="shared" si="8"/>
        <v>3</v>
      </c>
      <c r="CL183" s="25">
        <f t="shared" si="8"/>
        <v>1</v>
      </c>
      <c r="CM183" s="25">
        <f t="shared" si="8"/>
        <v>6</v>
      </c>
      <c r="CN183" s="25">
        <f t="shared" si="8"/>
        <v>36</v>
      </c>
      <c r="CO183" s="25">
        <f t="shared" si="8"/>
        <v>1</v>
      </c>
      <c r="CP183" s="25">
        <f t="shared" si="8"/>
        <v>4</v>
      </c>
      <c r="CQ183" s="25">
        <f t="shared" si="8"/>
        <v>4</v>
      </c>
      <c r="CR183" s="25">
        <f t="shared" si="8"/>
        <v>42</v>
      </c>
      <c r="CS183" s="25">
        <f t="shared" si="8"/>
        <v>1</v>
      </c>
      <c r="CT183" s="25">
        <f t="shared" si="8"/>
        <v>8</v>
      </c>
      <c r="CU183" s="25">
        <f t="shared" si="8"/>
        <v>16</v>
      </c>
      <c r="CV183" s="25">
        <f t="shared" si="8"/>
        <v>5</v>
      </c>
      <c r="CW183" s="25">
        <f t="shared" si="8"/>
        <v>1</v>
      </c>
      <c r="CX183" s="25">
        <f t="shared" si="8"/>
        <v>1</v>
      </c>
      <c r="CY183" s="25">
        <f t="shared" si="8"/>
        <v>2</v>
      </c>
      <c r="CZ183" s="25">
        <f t="shared" si="8"/>
        <v>5</v>
      </c>
      <c r="DA183" s="25">
        <f t="shared" si="8"/>
        <v>1</v>
      </c>
      <c r="DB183" s="25">
        <f t="shared" si="8"/>
        <v>8</v>
      </c>
      <c r="DC183" s="25">
        <f t="shared" si="8"/>
        <v>12</v>
      </c>
      <c r="DD183" s="25">
        <f t="shared" si="8"/>
        <v>8</v>
      </c>
      <c r="DE183" s="25">
        <f t="shared" si="8"/>
        <v>9</v>
      </c>
      <c r="DF183" s="25">
        <f t="shared" si="8"/>
        <v>55</v>
      </c>
      <c r="DG183" s="25">
        <f t="shared" si="8"/>
        <v>21</v>
      </c>
      <c r="DH183" s="25">
        <f t="shared" si="8"/>
        <v>5</v>
      </c>
      <c r="DI183" s="25">
        <f t="shared" si="8"/>
        <v>12</v>
      </c>
      <c r="DJ183" s="25">
        <f t="shared" si="8"/>
        <v>2</v>
      </c>
      <c r="DK183" s="25">
        <f t="shared" si="8"/>
        <v>20</v>
      </c>
      <c r="DL183" s="25">
        <f t="shared" si="8"/>
        <v>101</v>
      </c>
      <c r="DM183" s="25">
        <f t="shared" si="8"/>
        <v>10</v>
      </c>
      <c r="DN183" s="25">
        <f t="shared" si="8"/>
        <v>34</v>
      </c>
      <c r="DO183" s="25">
        <f t="shared" si="8"/>
        <v>22</v>
      </c>
      <c r="DP183" s="25">
        <f t="shared" si="8"/>
        <v>11</v>
      </c>
      <c r="DQ183" s="25">
        <f t="shared" si="8"/>
        <v>1</v>
      </c>
      <c r="DR183" s="25">
        <f t="shared" si="8"/>
        <v>62</v>
      </c>
      <c r="DS183" s="25">
        <f t="shared" si="8"/>
        <v>2</v>
      </c>
      <c r="DT183" s="25">
        <f t="shared" si="8"/>
        <v>1</v>
      </c>
      <c r="DU183" s="25">
        <f t="shared" si="8"/>
        <v>54</v>
      </c>
      <c r="DV183" s="25">
        <f t="shared" si="8"/>
        <v>6</v>
      </c>
      <c r="DW183" s="25">
        <f t="shared" si="8"/>
        <v>4</v>
      </c>
      <c r="DX183" s="25">
        <f t="shared" si="8"/>
        <v>1</v>
      </c>
      <c r="DY183" s="25">
        <f t="shared" si="8"/>
        <v>20</v>
      </c>
      <c r="DZ183" s="25">
        <f t="shared" si="8"/>
        <v>4</v>
      </c>
      <c r="EA183" s="25">
        <f t="shared" si="8"/>
        <v>6</v>
      </c>
      <c r="EB183" s="25">
        <f t="shared" si="8"/>
        <v>37</v>
      </c>
      <c r="EC183" s="25">
        <f t="shared" si="8"/>
        <v>31</v>
      </c>
      <c r="ED183" s="25">
        <f t="shared" si="8"/>
        <v>1</v>
      </c>
      <c r="EE183" s="25">
        <f t="shared" si="8"/>
        <v>6</v>
      </c>
      <c r="EF183" s="25">
        <f t="shared" si="8"/>
        <v>2</v>
      </c>
      <c r="EG183" s="25">
        <f t="shared" si="8"/>
        <v>1</v>
      </c>
      <c r="EH183" s="25">
        <f t="shared" si="8"/>
        <v>4</v>
      </c>
      <c r="EI183" s="25">
        <f t="shared" si="8"/>
        <v>148</v>
      </c>
      <c r="EJ183" s="25">
        <f t="shared" si="8"/>
        <v>17</v>
      </c>
      <c r="EK183" s="25">
        <f t="shared" si="8"/>
        <v>2</v>
      </c>
      <c r="EL183" s="25">
        <f t="shared" si="8"/>
        <v>1</v>
      </c>
      <c r="EM183" s="25">
        <f t="shared" si="8"/>
        <v>6</v>
      </c>
      <c r="EN183" s="25">
        <f t="shared" si="8"/>
        <v>5</v>
      </c>
      <c r="EO183" s="25">
        <f t="shared" si="8"/>
        <v>7</v>
      </c>
      <c r="EP183" s="25">
        <f t="shared" si="8"/>
        <v>2</v>
      </c>
      <c r="EQ183" s="25">
        <f t="shared" si="8"/>
        <v>5</v>
      </c>
      <c r="ER183" s="25">
        <f t="shared" si="8"/>
        <v>1</v>
      </c>
      <c r="ES183" s="25">
        <f t="shared" si="8"/>
        <v>1</v>
      </c>
      <c r="ET183" s="25">
        <f t="shared" si="8"/>
        <v>1</v>
      </c>
      <c r="EU183" s="25">
        <f t="shared" si="8"/>
        <v>13</v>
      </c>
      <c r="EV183" s="25">
        <f t="shared" si="8"/>
        <v>11</v>
      </c>
      <c r="EW183" s="25">
        <f t="shared" si="8"/>
        <v>17</v>
      </c>
      <c r="EX183" s="25">
        <f t="shared" si="8"/>
        <v>2</v>
      </c>
      <c r="EY183" s="25">
        <f t="shared" si="8"/>
        <v>15</v>
      </c>
      <c r="EZ183" s="25">
        <f t="shared" si="8"/>
        <v>9</v>
      </c>
      <c r="FA183" s="25">
        <f t="shared" si="8"/>
        <v>100</v>
      </c>
      <c r="FB183" s="25">
        <f t="shared" si="8"/>
        <v>33</v>
      </c>
      <c r="FC183" s="25">
        <f t="shared" si="8"/>
        <v>1</v>
      </c>
      <c r="FD183" s="25">
        <f t="shared" si="8"/>
        <v>14</v>
      </c>
      <c r="FE183" s="25">
        <f t="shared" si="8"/>
        <v>35</v>
      </c>
      <c r="FF183" s="25">
        <f t="shared" si="8"/>
        <v>2</v>
      </c>
      <c r="FG183" s="25">
        <f t="shared" si="8"/>
        <v>11</v>
      </c>
      <c r="FH183" s="25">
        <f t="shared" si="8"/>
        <v>29</v>
      </c>
      <c r="FI183" s="25">
        <f t="shared" si="8"/>
        <v>2</v>
      </c>
      <c r="FJ183" s="25">
        <f t="shared" si="8"/>
        <v>1</v>
      </c>
      <c r="FK183" s="25">
        <f t="shared" si="8"/>
        <v>6</v>
      </c>
      <c r="FL183" s="25">
        <f t="shared" si="8"/>
        <v>33</v>
      </c>
      <c r="FM183" s="25">
        <f t="shared" si="8"/>
        <v>3</v>
      </c>
      <c r="FN183" s="25">
        <f t="shared" si="8"/>
        <v>11</v>
      </c>
      <c r="FO183" s="25">
        <f t="shared" si="8"/>
        <v>17</v>
      </c>
      <c r="FP183" s="25">
        <f t="shared" si="8"/>
        <v>69</v>
      </c>
      <c r="FQ183" s="25">
        <f t="shared" si="8"/>
        <v>173</v>
      </c>
      <c r="FR183" s="25">
        <f t="shared" si="8"/>
        <v>21</v>
      </c>
      <c r="FS183" s="25">
        <f t="shared" si="8"/>
        <v>13</v>
      </c>
      <c r="FT183" s="25">
        <f t="shared" si="8"/>
        <v>4</v>
      </c>
      <c r="FU183" s="25">
        <f t="shared" si="8"/>
        <v>25</v>
      </c>
      <c r="FV183" s="25">
        <f t="shared" si="8"/>
        <v>8</v>
      </c>
      <c r="FW183" s="25">
        <f t="shared" si="8"/>
        <v>6</v>
      </c>
      <c r="FX183" s="25">
        <f t="shared" si="8"/>
        <v>7</v>
      </c>
      <c r="FY183" s="25">
        <f t="shared" si="8"/>
        <v>4</v>
      </c>
      <c r="FZ183" s="25">
        <f t="shared" si="8"/>
        <v>7</v>
      </c>
      <c r="GA183" s="25">
        <f t="shared" si="8"/>
        <v>4</v>
      </c>
      <c r="GB183" s="25">
        <f t="shared" si="8"/>
        <v>12</v>
      </c>
      <c r="GC183" s="25">
        <f t="shared" si="8"/>
        <v>42</v>
      </c>
      <c r="GD183" s="25">
        <f t="shared" si="8"/>
        <v>12</v>
      </c>
    </row>
    <row r="184">
      <c r="L184" s="25">
        <f>sum(L3:L181)</f>
        <v>5522</v>
      </c>
      <c r="P184" s="4" t="s">
        <v>1013</v>
      </c>
      <c r="Q184" s="25">
        <f t="shared" ref="Q184:GD184" si="9">sum(Q3:Q181)</f>
        <v>3206</v>
      </c>
      <c r="R184" s="25">
        <f t="shared" si="9"/>
        <v>40</v>
      </c>
      <c r="S184" s="25">
        <f t="shared" si="9"/>
        <v>162</v>
      </c>
      <c r="T184" s="25">
        <f t="shared" si="9"/>
        <v>40</v>
      </c>
      <c r="U184" s="25">
        <f t="shared" si="9"/>
        <v>1</v>
      </c>
      <c r="V184" s="25">
        <f t="shared" si="9"/>
        <v>18</v>
      </c>
      <c r="W184" s="25">
        <f t="shared" si="9"/>
        <v>56</v>
      </c>
      <c r="X184" s="25">
        <f t="shared" si="9"/>
        <v>1</v>
      </c>
      <c r="Y184" s="25">
        <f t="shared" si="9"/>
        <v>84</v>
      </c>
      <c r="Z184" s="25">
        <f t="shared" si="9"/>
        <v>3</v>
      </c>
      <c r="AA184" s="25">
        <f t="shared" si="9"/>
        <v>1173</v>
      </c>
      <c r="AB184" s="25">
        <f t="shared" si="9"/>
        <v>177</v>
      </c>
      <c r="AC184" s="25">
        <f t="shared" si="9"/>
        <v>211</v>
      </c>
      <c r="AD184" s="25">
        <f t="shared" si="9"/>
        <v>196</v>
      </c>
      <c r="AE184" s="25">
        <f t="shared" si="9"/>
        <v>151</v>
      </c>
      <c r="AF184" s="25">
        <f t="shared" si="9"/>
        <v>116</v>
      </c>
      <c r="AG184" s="25">
        <f t="shared" si="9"/>
        <v>36</v>
      </c>
      <c r="AH184" s="25">
        <f t="shared" si="9"/>
        <v>221</v>
      </c>
      <c r="AI184" s="25">
        <f t="shared" si="9"/>
        <v>1</v>
      </c>
      <c r="AJ184" s="25">
        <f t="shared" si="9"/>
        <v>45</v>
      </c>
      <c r="AK184" s="25">
        <f t="shared" si="9"/>
        <v>20</v>
      </c>
      <c r="AL184" s="25">
        <f t="shared" si="9"/>
        <v>2142</v>
      </c>
      <c r="AM184" s="25">
        <f t="shared" si="9"/>
        <v>94</v>
      </c>
      <c r="AN184" s="25">
        <f t="shared" si="9"/>
        <v>1</v>
      </c>
      <c r="AO184" s="25">
        <f t="shared" si="9"/>
        <v>11</v>
      </c>
      <c r="AP184" s="25">
        <f t="shared" si="9"/>
        <v>2</v>
      </c>
      <c r="AQ184" s="25">
        <f t="shared" si="9"/>
        <v>10</v>
      </c>
      <c r="AR184" s="25">
        <f t="shared" si="9"/>
        <v>27</v>
      </c>
      <c r="AS184" s="25">
        <f t="shared" si="9"/>
        <v>12</v>
      </c>
      <c r="AT184" s="25">
        <f t="shared" si="9"/>
        <v>6</v>
      </c>
      <c r="AU184" s="25">
        <f t="shared" si="9"/>
        <v>7</v>
      </c>
      <c r="AV184" s="25">
        <f t="shared" si="9"/>
        <v>17</v>
      </c>
      <c r="AW184" s="25">
        <f t="shared" si="9"/>
        <v>101</v>
      </c>
      <c r="AX184" s="25">
        <f t="shared" si="9"/>
        <v>2</v>
      </c>
      <c r="AY184" s="25">
        <f t="shared" si="9"/>
        <v>79</v>
      </c>
      <c r="AZ184" s="25">
        <f t="shared" si="9"/>
        <v>7</v>
      </c>
      <c r="BA184" s="25">
        <f t="shared" si="9"/>
        <v>645</v>
      </c>
      <c r="BB184" s="25">
        <f t="shared" si="9"/>
        <v>79</v>
      </c>
      <c r="BC184" s="25">
        <f t="shared" si="9"/>
        <v>63</v>
      </c>
      <c r="BD184" s="25">
        <f t="shared" si="9"/>
        <v>419</v>
      </c>
      <c r="BE184" s="25">
        <f t="shared" si="9"/>
        <v>25</v>
      </c>
      <c r="BF184" s="25">
        <f t="shared" si="9"/>
        <v>61</v>
      </c>
      <c r="BG184" s="25">
        <f t="shared" si="9"/>
        <v>101</v>
      </c>
      <c r="BH184" s="25">
        <f t="shared" si="9"/>
        <v>3</v>
      </c>
      <c r="BI184" s="25">
        <f t="shared" si="9"/>
        <v>3</v>
      </c>
      <c r="BJ184" s="25">
        <f t="shared" si="9"/>
        <v>455</v>
      </c>
      <c r="BK184" s="25">
        <f t="shared" si="9"/>
        <v>15</v>
      </c>
      <c r="BL184" s="25">
        <f t="shared" si="9"/>
        <v>5624</v>
      </c>
      <c r="BM184" s="25">
        <f t="shared" si="9"/>
        <v>2641</v>
      </c>
      <c r="BN184" s="25">
        <f t="shared" si="9"/>
        <v>1</v>
      </c>
      <c r="BO184" s="25">
        <f t="shared" si="9"/>
        <v>6</v>
      </c>
      <c r="BP184" s="25">
        <f t="shared" si="9"/>
        <v>768</v>
      </c>
      <c r="BQ184" s="25">
        <f t="shared" si="9"/>
        <v>22</v>
      </c>
      <c r="BR184" s="25">
        <f t="shared" si="9"/>
        <v>7</v>
      </c>
      <c r="BS184" s="25">
        <f t="shared" si="9"/>
        <v>49</v>
      </c>
      <c r="BT184" s="25">
        <f t="shared" si="9"/>
        <v>85</v>
      </c>
      <c r="BU184" s="25">
        <f t="shared" si="9"/>
        <v>857</v>
      </c>
      <c r="BV184" s="25">
        <f t="shared" si="9"/>
        <v>436</v>
      </c>
      <c r="BW184" s="25">
        <f t="shared" si="9"/>
        <v>195</v>
      </c>
      <c r="BX184" s="25">
        <f t="shared" si="9"/>
        <v>200</v>
      </c>
      <c r="BY184" s="25">
        <f t="shared" si="9"/>
        <v>1421</v>
      </c>
      <c r="BZ184" s="25">
        <f t="shared" si="9"/>
        <v>3</v>
      </c>
      <c r="CA184" s="25">
        <f t="shared" si="9"/>
        <v>64</v>
      </c>
      <c r="CB184" s="25">
        <f t="shared" si="9"/>
        <v>435</v>
      </c>
      <c r="CC184" s="25">
        <f t="shared" si="9"/>
        <v>130</v>
      </c>
      <c r="CD184" s="25">
        <f t="shared" si="9"/>
        <v>53</v>
      </c>
      <c r="CE184" s="25">
        <f t="shared" si="9"/>
        <v>23</v>
      </c>
      <c r="CF184" s="25">
        <f t="shared" si="9"/>
        <v>1</v>
      </c>
      <c r="CG184" s="25">
        <f t="shared" si="9"/>
        <v>86</v>
      </c>
      <c r="CH184" s="25">
        <f t="shared" si="9"/>
        <v>2</v>
      </c>
      <c r="CI184" s="25">
        <f t="shared" si="9"/>
        <v>44</v>
      </c>
      <c r="CJ184" s="25">
        <f t="shared" si="9"/>
        <v>288</v>
      </c>
      <c r="CK184" s="25">
        <f t="shared" si="9"/>
        <v>15</v>
      </c>
      <c r="CL184" s="25">
        <f t="shared" si="9"/>
        <v>18</v>
      </c>
      <c r="CM184" s="25">
        <f t="shared" si="9"/>
        <v>22</v>
      </c>
      <c r="CN184" s="25">
        <f t="shared" si="9"/>
        <v>689</v>
      </c>
      <c r="CO184" s="25">
        <f t="shared" si="9"/>
        <v>1</v>
      </c>
      <c r="CP184" s="25">
        <f t="shared" si="9"/>
        <v>14</v>
      </c>
      <c r="CQ184" s="25">
        <f t="shared" si="9"/>
        <v>18</v>
      </c>
      <c r="CR184" s="25">
        <f t="shared" si="9"/>
        <v>316</v>
      </c>
      <c r="CS184" s="25">
        <f t="shared" si="9"/>
        <v>3</v>
      </c>
      <c r="CT184" s="25">
        <f t="shared" si="9"/>
        <v>22</v>
      </c>
      <c r="CU184" s="25">
        <f t="shared" si="9"/>
        <v>34</v>
      </c>
      <c r="CV184" s="25">
        <f t="shared" si="9"/>
        <v>15</v>
      </c>
      <c r="CW184" s="25">
        <f t="shared" si="9"/>
        <v>1</v>
      </c>
      <c r="CX184" s="25">
        <f t="shared" si="9"/>
        <v>2</v>
      </c>
      <c r="CY184" s="25">
        <f t="shared" si="9"/>
        <v>16</v>
      </c>
      <c r="CZ184" s="25">
        <f t="shared" si="9"/>
        <v>6</v>
      </c>
      <c r="DA184" s="25">
        <f t="shared" si="9"/>
        <v>3</v>
      </c>
      <c r="DB184" s="25">
        <f t="shared" si="9"/>
        <v>19</v>
      </c>
      <c r="DC184" s="25">
        <f t="shared" si="9"/>
        <v>51</v>
      </c>
      <c r="DD184" s="25">
        <f t="shared" si="9"/>
        <v>32</v>
      </c>
      <c r="DE184" s="25">
        <f t="shared" si="9"/>
        <v>165</v>
      </c>
      <c r="DF184" s="25">
        <f t="shared" si="9"/>
        <v>483</v>
      </c>
      <c r="DG184" s="25">
        <f t="shared" si="9"/>
        <v>180</v>
      </c>
      <c r="DH184" s="25">
        <f t="shared" si="9"/>
        <v>6</v>
      </c>
      <c r="DI184" s="25">
        <f t="shared" si="9"/>
        <v>124</v>
      </c>
      <c r="DJ184" s="25">
        <f t="shared" si="9"/>
        <v>8</v>
      </c>
      <c r="DK184" s="25">
        <f t="shared" si="9"/>
        <v>520</v>
      </c>
      <c r="DL184" s="25">
        <f t="shared" si="9"/>
        <v>3301</v>
      </c>
      <c r="DM184" s="25">
        <f t="shared" si="9"/>
        <v>29</v>
      </c>
      <c r="DN184" s="25">
        <f t="shared" si="9"/>
        <v>115</v>
      </c>
      <c r="DO184" s="25">
        <f t="shared" si="9"/>
        <v>74</v>
      </c>
      <c r="DP184" s="25">
        <f t="shared" si="9"/>
        <v>111</v>
      </c>
      <c r="DQ184" s="25">
        <f t="shared" si="9"/>
        <v>4</v>
      </c>
      <c r="DR184" s="25">
        <f t="shared" si="9"/>
        <v>1526</v>
      </c>
      <c r="DS184" s="25">
        <f t="shared" si="9"/>
        <v>8</v>
      </c>
      <c r="DT184" s="25">
        <f t="shared" si="9"/>
        <v>1</v>
      </c>
      <c r="DU184" s="25">
        <f t="shared" si="9"/>
        <v>869</v>
      </c>
      <c r="DV184" s="25">
        <f t="shared" si="9"/>
        <v>22</v>
      </c>
      <c r="DW184" s="25">
        <f t="shared" si="9"/>
        <v>142</v>
      </c>
      <c r="DX184" s="25">
        <f t="shared" si="9"/>
        <v>22</v>
      </c>
      <c r="DY184" s="25">
        <f t="shared" si="9"/>
        <v>34</v>
      </c>
      <c r="DZ184" s="25">
        <f t="shared" si="9"/>
        <v>7</v>
      </c>
      <c r="EA184" s="25">
        <f t="shared" si="9"/>
        <v>7</v>
      </c>
      <c r="EB184" s="25">
        <f t="shared" si="9"/>
        <v>174</v>
      </c>
      <c r="EC184" s="25">
        <f t="shared" si="9"/>
        <v>221</v>
      </c>
      <c r="ED184" s="25">
        <f t="shared" si="9"/>
        <v>1</v>
      </c>
      <c r="EE184" s="25">
        <f t="shared" si="9"/>
        <v>17</v>
      </c>
      <c r="EF184" s="25">
        <f t="shared" si="9"/>
        <v>2</v>
      </c>
      <c r="EG184" s="25">
        <f t="shared" si="9"/>
        <v>1</v>
      </c>
      <c r="EH184" s="25">
        <f t="shared" si="9"/>
        <v>28</v>
      </c>
      <c r="EI184" s="25">
        <f t="shared" si="9"/>
        <v>15241</v>
      </c>
      <c r="EJ184" s="25">
        <f t="shared" si="9"/>
        <v>116</v>
      </c>
      <c r="EK184" s="25">
        <f t="shared" si="9"/>
        <v>5</v>
      </c>
      <c r="EL184" s="25">
        <f t="shared" si="9"/>
        <v>1</v>
      </c>
      <c r="EM184" s="25">
        <f t="shared" si="9"/>
        <v>16</v>
      </c>
      <c r="EN184" s="25">
        <f t="shared" si="9"/>
        <v>28</v>
      </c>
      <c r="EO184" s="25">
        <f t="shared" si="9"/>
        <v>21</v>
      </c>
      <c r="EP184" s="25">
        <f t="shared" si="9"/>
        <v>43</v>
      </c>
      <c r="EQ184" s="25">
        <f t="shared" si="9"/>
        <v>154</v>
      </c>
      <c r="ER184" s="25">
        <f t="shared" si="9"/>
        <v>5</v>
      </c>
      <c r="ES184" s="25">
        <f t="shared" si="9"/>
        <v>2</v>
      </c>
      <c r="ET184" s="25">
        <f t="shared" si="9"/>
        <v>3</v>
      </c>
      <c r="EU184" s="25">
        <f t="shared" si="9"/>
        <v>202</v>
      </c>
      <c r="EV184" s="25">
        <f t="shared" si="9"/>
        <v>54</v>
      </c>
      <c r="EW184" s="25">
        <f t="shared" si="9"/>
        <v>392</v>
      </c>
      <c r="EX184" s="25">
        <f t="shared" si="9"/>
        <v>2</v>
      </c>
      <c r="EY184" s="25">
        <f t="shared" si="9"/>
        <v>115</v>
      </c>
      <c r="EZ184" s="25">
        <f t="shared" si="9"/>
        <v>91</v>
      </c>
      <c r="FA184" s="25">
        <f t="shared" si="9"/>
        <v>3195</v>
      </c>
      <c r="FB184" s="25">
        <f t="shared" si="9"/>
        <v>131</v>
      </c>
      <c r="FC184" s="25">
        <f t="shared" si="9"/>
        <v>1</v>
      </c>
      <c r="FD184" s="25">
        <f t="shared" si="9"/>
        <v>64</v>
      </c>
      <c r="FE184" s="25">
        <f t="shared" si="9"/>
        <v>388</v>
      </c>
      <c r="FF184" s="25">
        <f t="shared" si="9"/>
        <v>2</v>
      </c>
      <c r="FG184" s="25">
        <f t="shared" si="9"/>
        <v>34</v>
      </c>
      <c r="FH184" s="25">
        <f t="shared" si="9"/>
        <v>340</v>
      </c>
      <c r="FI184" s="25">
        <f t="shared" si="9"/>
        <v>2</v>
      </c>
      <c r="FJ184" s="25">
        <f t="shared" si="9"/>
        <v>1</v>
      </c>
      <c r="FK184" s="25">
        <f t="shared" si="9"/>
        <v>77</v>
      </c>
      <c r="FL184" s="25">
        <f t="shared" si="9"/>
        <v>351</v>
      </c>
      <c r="FM184" s="25">
        <f t="shared" si="9"/>
        <v>5</v>
      </c>
      <c r="FN184" s="25">
        <f t="shared" si="9"/>
        <v>17</v>
      </c>
      <c r="FO184" s="25">
        <f t="shared" si="9"/>
        <v>151</v>
      </c>
      <c r="FP184" s="25">
        <f t="shared" si="9"/>
        <v>2512</v>
      </c>
      <c r="FQ184" s="25">
        <f t="shared" si="9"/>
        <v>27841</v>
      </c>
      <c r="FR184" s="25">
        <f t="shared" si="9"/>
        <v>304</v>
      </c>
      <c r="FS184" s="25">
        <f t="shared" si="9"/>
        <v>86</v>
      </c>
      <c r="FT184" s="25">
        <f t="shared" si="9"/>
        <v>7</v>
      </c>
      <c r="FU184" s="25">
        <f t="shared" si="9"/>
        <v>380</v>
      </c>
      <c r="FV184" s="25">
        <f t="shared" si="9"/>
        <v>67</v>
      </c>
      <c r="FW184" s="25">
        <f t="shared" si="9"/>
        <v>60</v>
      </c>
      <c r="FX184" s="25">
        <f t="shared" si="9"/>
        <v>84</v>
      </c>
      <c r="FY184" s="25">
        <f t="shared" si="9"/>
        <v>83</v>
      </c>
      <c r="FZ184" s="25">
        <f t="shared" si="9"/>
        <v>18</v>
      </c>
      <c r="GA184" s="25">
        <f t="shared" si="9"/>
        <v>19</v>
      </c>
      <c r="GB184" s="25">
        <f t="shared" si="9"/>
        <v>55</v>
      </c>
      <c r="GC184" s="25">
        <f t="shared" si="9"/>
        <v>976</v>
      </c>
      <c r="GD184" s="25">
        <f t="shared" si="9"/>
        <v>73</v>
      </c>
    </row>
    <row r="186">
      <c r="FV186" s="4" t="s">
        <v>1016</v>
      </c>
      <c r="GE186" s="25">
        <f t="shared" ref="GE186:GG186" si="10">average(GE3:GE181)</f>
        <v>17.07821229</v>
      </c>
      <c r="GF186" s="25">
        <f t="shared" si="10"/>
        <v>13.46927374</v>
      </c>
      <c r="GG186" s="25">
        <f t="shared" si="10"/>
        <v>9.625698324</v>
      </c>
    </row>
  </sheetData>
  <hyperlinks>
    <hyperlink r:id="rId1" location="gid=0" ref="H1"/>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5" max="5" width="20.38"/>
    <col customWidth="1" min="13" max="13" width="16.38"/>
    <col customWidth="1" min="17" max="17" width="20.13"/>
    <col customWidth="1" min="18" max="18" width="17.5"/>
    <col customWidth="1" min="19" max="19" width="20.38"/>
    <col customWidth="1" min="20" max="29" width="25.88"/>
    <col customWidth="1" min="30" max="30" width="21.25"/>
    <col customWidth="1" min="33" max="33" width="16.38"/>
    <col customWidth="1" min="34" max="34" width="17.38"/>
    <col customWidth="1" min="35" max="36" width="20.88"/>
    <col customWidth="1" min="40" max="41" width="18.0"/>
    <col customWidth="1" min="42" max="47" width="17.63"/>
    <col customWidth="1" min="48" max="49" width="20.0"/>
    <col customWidth="1" min="50" max="51" width="17.63"/>
    <col customWidth="1" min="52" max="53" width="29.0"/>
    <col customWidth="1" min="57" max="59" width="18.0"/>
    <col customWidth="1" min="64" max="64" width="22.88"/>
    <col customWidth="1" min="65" max="65" width="16.5"/>
    <col customWidth="1" min="68" max="68" width="17.75"/>
    <col customWidth="1" min="69" max="69" width="17.25"/>
    <col customWidth="1" min="70" max="72" width="20.75"/>
    <col customWidth="1" min="73" max="73" width="18.0"/>
    <col customWidth="1" min="74" max="74" width="20.13"/>
    <col customWidth="1" min="75" max="75" width="16.38"/>
    <col customWidth="1" min="76" max="76" width="17.0"/>
    <col customWidth="1" min="78" max="79" width="20.63"/>
    <col customWidth="1" min="80" max="80" width="20.5"/>
    <col customWidth="1" min="81" max="81" width="16.38"/>
    <col customWidth="1" min="86" max="86" width="19.38"/>
    <col customWidth="1" min="87" max="91" width="15.88"/>
    <col customWidth="1" min="92" max="92" width="17.25"/>
    <col customWidth="1" min="93" max="93" width="18.5"/>
    <col customWidth="1" min="94" max="96" width="15.5"/>
    <col customWidth="1" min="97" max="97" width="17.0"/>
    <col customWidth="1" min="100" max="100" width="18.13"/>
    <col customWidth="1" min="101" max="101" width="15.88"/>
    <col customWidth="1" min="103" max="103" width="15.38"/>
    <col customWidth="1" min="104" max="104" width="13.5"/>
    <col customWidth="1" min="105" max="106" width="18.75"/>
    <col customWidth="1" min="107" max="108" width="16.38"/>
    <col customWidth="1" min="109" max="109" width="16.63"/>
    <col customWidth="1" min="111" max="111" width="21.25"/>
    <col customWidth="1" min="112" max="113" width="19.88"/>
    <col customWidth="1" min="114" max="115" width="21.88"/>
    <col customWidth="1" min="117" max="117" width="20.25"/>
    <col customWidth="1" min="118" max="119" width="16.38"/>
    <col customWidth="1" min="120" max="122" width="15.75"/>
    <col customWidth="1" min="123" max="123" width="15.5"/>
    <col customWidth="1" min="124" max="125" width="20.63"/>
    <col customWidth="1" min="126" max="126" width="19.25"/>
    <col customWidth="1" min="127" max="127" width="15.5"/>
    <col customWidth="1" min="128" max="129" width="14.88"/>
    <col customWidth="1" min="131" max="133" width="14.75"/>
    <col customWidth="1" min="134" max="135" width="23.0"/>
    <col customWidth="1" min="136" max="137" width="20.0"/>
    <col customWidth="1" min="138" max="138" width="19.88"/>
    <col customWidth="1" min="140" max="145" width="17.75"/>
    <col customWidth="1" min="148" max="151" width="21.63"/>
    <col customWidth="1" min="152" max="152" width="19.13"/>
    <col customWidth="1" min="153" max="153" width="15.38"/>
    <col customWidth="1" min="154" max="155" width="18.25"/>
    <col customWidth="1" min="156" max="156" width="20.38"/>
    <col customWidth="1" min="157" max="157" width="13.75"/>
    <col customWidth="1" min="158" max="158" width="15.88"/>
    <col customWidth="1" min="159" max="159" width="19.88"/>
    <col customWidth="1" min="161" max="161" width="16.63"/>
    <col customWidth="1" min="162" max="162" width="21.13"/>
    <col customWidth="1" min="164" max="164" width="17.0"/>
    <col customWidth="1" min="165" max="168" width="18.75"/>
    <col customWidth="1" min="169" max="172" width="17.13"/>
    <col customWidth="1" min="180" max="180" width="19.88"/>
    <col customWidth="1" min="183" max="183" width="17.0"/>
    <col customWidth="1" min="185" max="185" width="15.25"/>
    <col customWidth="1" min="186" max="186" width="22.88"/>
  </cols>
  <sheetData>
    <row r="1">
      <c r="A1" s="1" t="s">
        <v>1</v>
      </c>
      <c r="B1" s="2"/>
      <c r="C1" s="2"/>
      <c r="E1" s="2"/>
      <c r="F1" s="1"/>
      <c r="G1" s="1"/>
      <c r="I1" s="1"/>
      <c r="J1" s="1"/>
      <c r="K1" s="11" t="s">
        <v>4</v>
      </c>
      <c r="L1" s="1"/>
      <c r="M1" s="1"/>
      <c r="N1" s="1"/>
      <c r="O1" s="1"/>
      <c r="P1" s="1"/>
      <c r="Q1" s="3"/>
      <c r="R1" s="4"/>
      <c r="S1" s="5"/>
      <c r="T1" s="4"/>
      <c r="U1" s="4"/>
      <c r="V1" s="4"/>
      <c r="W1" s="4"/>
      <c r="X1" s="4"/>
      <c r="Y1" s="4"/>
      <c r="Z1" s="4"/>
      <c r="AA1" s="6"/>
      <c r="AB1" s="4"/>
      <c r="AC1" s="7"/>
      <c r="AD1" s="3"/>
      <c r="AE1" s="8"/>
      <c r="AF1" s="8"/>
      <c r="AG1" s="4"/>
      <c r="AH1" s="1"/>
      <c r="AI1" s="4"/>
      <c r="AJ1" s="4"/>
      <c r="AK1" s="4"/>
      <c r="AL1" s="8"/>
      <c r="AM1" s="12"/>
      <c r="AN1" s="5"/>
      <c r="AO1" s="7"/>
      <c r="AP1" s="4"/>
      <c r="AQ1" s="4"/>
      <c r="AR1" s="4"/>
      <c r="AS1" s="4"/>
      <c r="AT1" s="4"/>
      <c r="AU1" s="4"/>
      <c r="AV1" s="4"/>
      <c r="AW1" s="13"/>
      <c r="AX1" s="4"/>
      <c r="AY1" s="4"/>
      <c r="AZ1" s="4"/>
      <c r="BA1" s="1"/>
      <c r="BB1" s="4"/>
      <c r="BC1" s="4"/>
      <c r="BD1" s="6"/>
      <c r="BE1" s="4"/>
      <c r="BF1" s="4"/>
      <c r="BG1" s="4"/>
      <c r="BH1" s="4"/>
      <c r="BI1" s="4"/>
      <c r="BJ1" s="6"/>
      <c r="BK1" s="5"/>
      <c r="BL1" s="3"/>
      <c r="BM1" s="4"/>
      <c r="BN1" s="4"/>
      <c r="BO1" s="5"/>
      <c r="BP1" s="4"/>
      <c r="BQ1" s="4"/>
      <c r="BR1" s="4"/>
      <c r="BS1" s="4"/>
      <c r="BT1" s="4"/>
      <c r="BU1" s="3"/>
      <c r="BV1" s="4"/>
      <c r="BW1" s="4"/>
      <c r="BX1" s="4"/>
      <c r="BY1" s="2"/>
      <c r="BZ1" s="4"/>
      <c r="CA1" s="4"/>
      <c r="CB1" s="2"/>
      <c r="CC1" s="4"/>
      <c r="CD1" s="4"/>
      <c r="CE1" s="4"/>
      <c r="CF1" s="4"/>
      <c r="CG1" s="12"/>
      <c r="CH1" s="4"/>
      <c r="CI1" s="4"/>
      <c r="CJ1" s="4"/>
      <c r="CK1" s="4"/>
      <c r="CL1" s="4"/>
      <c r="CM1" s="4"/>
      <c r="CN1" s="1"/>
      <c r="CO1" s="4"/>
      <c r="CP1" s="4"/>
      <c r="CQ1" s="4"/>
      <c r="CR1" s="1"/>
      <c r="CS1" s="4"/>
      <c r="CT1" s="8"/>
      <c r="CU1" s="4"/>
      <c r="CV1" s="4"/>
      <c r="CW1" s="4"/>
      <c r="CX1" s="4"/>
      <c r="CY1" s="4"/>
      <c r="CZ1" s="7"/>
      <c r="DA1" s="4"/>
      <c r="DB1" s="4"/>
      <c r="DC1" s="4"/>
      <c r="DD1" s="4"/>
      <c r="DE1" s="4"/>
      <c r="DF1" s="2"/>
      <c r="DG1" s="7"/>
      <c r="DH1" s="4"/>
      <c r="DI1" s="8"/>
      <c r="DJ1" s="4"/>
      <c r="DK1" s="8"/>
      <c r="DL1" s="2"/>
      <c r="DM1" s="4"/>
      <c r="DN1" s="5"/>
      <c r="DO1" s="7"/>
      <c r="DP1" s="4"/>
      <c r="DQ1" s="4"/>
      <c r="DR1" s="1"/>
      <c r="DS1" s="4"/>
      <c r="DT1" s="4"/>
      <c r="DU1" s="4"/>
      <c r="DV1" s="4"/>
      <c r="DW1" s="4"/>
      <c r="DX1" s="4"/>
      <c r="DY1" s="4"/>
      <c r="DZ1" s="10"/>
      <c r="EA1" s="4"/>
      <c r="EB1" s="10"/>
      <c r="EC1" s="10"/>
      <c r="ED1" s="4"/>
      <c r="EE1" s="4"/>
      <c r="EF1" s="4"/>
      <c r="EG1" s="4"/>
      <c r="EH1" s="4"/>
      <c r="EI1" s="2"/>
      <c r="EJ1" s="4"/>
      <c r="EK1" s="4"/>
      <c r="EL1" s="4"/>
      <c r="EM1" s="4"/>
      <c r="EN1" s="4"/>
      <c r="EO1" s="4"/>
      <c r="EP1" s="4"/>
      <c r="EQ1" s="4"/>
      <c r="ER1" s="4"/>
      <c r="ES1" s="4"/>
      <c r="ET1" s="4"/>
      <c r="EU1" s="4"/>
      <c r="EV1" s="4"/>
      <c r="EW1" s="4"/>
      <c r="EX1" s="4"/>
      <c r="EY1" s="4"/>
      <c r="EZ1" s="4"/>
      <c r="FA1" s="1"/>
      <c r="FB1" s="4"/>
      <c r="FC1" s="4"/>
      <c r="FD1" s="5"/>
      <c r="FE1" s="14"/>
      <c r="FF1" s="4"/>
      <c r="FG1" s="4"/>
      <c r="FH1" s="1"/>
      <c r="FI1" s="4"/>
      <c r="FJ1" s="4"/>
      <c r="FK1" s="4"/>
      <c r="FL1" s="15"/>
      <c r="FM1" s="4"/>
      <c r="FN1" s="4"/>
      <c r="FO1" s="5"/>
      <c r="FP1" s="7"/>
      <c r="FQ1" s="2"/>
      <c r="FR1" s="4"/>
      <c r="FS1" s="4"/>
      <c r="FT1" s="4"/>
      <c r="FU1" s="7"/>
      <c r="FV1" s="4"/>
      <c r="FW1" s="4"/>
      <c r="FX1" s="4"/>
      <c r="FY1" s="4"/>
      <c r="FZ1" s="4"/>
      <c r="GA1" s="4"/>
      <c r="GB1" s="5"/>
      <c r="GC1" s="14"/>
      <c r="GD1" s="8"/>
      <c r="GE1" s="8"/>
      <c r="GF1" s="8"/>
      <c r="GG1" s="8"/>
      <c r="GH1" s="8"/>
      <c r="GI1" s="8"/>
      <c r="GJ1" s="8"/>
      <c r="GK1" s="8"/>
      <c r="GL1" s="8"/>
      <c r="GM1" s="8"/>
      <c r="GN1" s="8"/>
      <c r="GO1" s="8"/>
      <c r="GP1" s="8"/>
      <c r="GQ1" s="8"/>
      <c r="GR1" s="8"/>
      <c r="GS1" s="8"/>
      <c r="GT1" s="8"/>
      <c r="GU1" s="8"/>
    </row>
    <row r="2">
      <c r="A2" s="1" t="s">
        <v>6</v>
      </c>
      <c r="B2" s="2" t="s">
        <v>7</v>
      </c>
      <c r="C2" s="2" t="s">
        <v>8</v>
      </c>
      <c r="D2" s="2" t="s">
        <v>9</v>
      </c>
      <c r="E2" s="2" t="s">
        <v>10</v>
      </c>
      <c r="F2" s="1" t="s">
        <v>11</v>
      </c>
      <c r="G2" s="1" t="s">
        <v>12</v>
      </c>
      <c r="H2" s="1" t="s">
        <v>13</v>
      </c>
      <c r="I2" s="1" t="s">
        <v>14</v>
      </c>
      <c r="J2" s="1" t="s">
        <v>15</v>
      </c>
      <c r="K2" s="1" t="s">
        <v>16</v>
      </c>
      <c r="L2" s="1" t="s">
        <v>17</v>
      </c>
      <c r="M2" s="1" t="s">
        <v>18</v>
      </c>
      <c r="N2" s="1" t="s">
        <v>19</v>
      </c>
      <c r="O2" s="1"/>
      <c r="P2" s="1" t="s">
        <v>20</v>
      </c>
      <c r="Q2" s="3" t="s">
        <v>21</v>
      </c>
      <c r="R2" s="4" t="s">
        <v>22</v>
      </c>
      <c r="S2" s="5" t="s">
        <v>23</v>
      </c>
      <c r="T2" s="4" t="s">
        <v>24</v>
      </c>
      <c r="U2" s="18" t="s">
        <v>25</v>
      </c>
      <c r="V2" s="18" t="s">
        <v>29</v>
      </c>
      <c r="W2" s="18" t="s">
        <v>30</v>
      </c>
      <c r="X2" s="18" t="s">
        <v>31</v>
      </c>
      <c r="Y2" s="4" t="s">
        <v>32</v>
      </c>
      <c r="Z2" s="18" t="s">
        <v>33</v>
      </c>
      <c r="AA2" s="6" t="s">
        <v>34</v>
      </c>
      <c r="AB2" s="4" t="s">
        <v>35</v>
      </c>
      <c r="AC2" s="7" t="s">
        <v>36</v>
      </c>
      <c r="AD2" s="3" t="s">
        <v>37</v>
      </c>
      <c r="AE2" s="8" t="s">
        <v>38</v>
      </c>
      <c r="AF2" s="8" t="s">
        <v>39</v>
      </c>
      <c r="AG2" s="4" t="s">
        <v>40</v>
      </c>
      <c r="AH2" s="1" t="s">
        <v>41</v>
      </c>
      <c r="AI2" s="4" t="s">
        <v>42</v>
      </c>
      <c r="AJ2" s="18" t="s">
        <v>43</v>
      </c>
      <c r="AK2" s="4" t="s">
        <v>44</v>
      </c>
      <c r="AL2" s="8" t="s">
        <v>45</v>
      </c>
      <c r="AM2" s="12" t="s">
        <v>46</v>
      </c>
      <c r="AN2" s="5" t="s">
        <v>47</v>
      </c>
      <c r="AO2" s="7" t="s">
        <v>48</v>
      </c>
      <c r="AP2" s="4" t="s">
        <v>49</v>
      </c>
      <c r="AQ2" s="4" t="s">
        <v>50</v>
      </c>
      <c r="AR2" s="4" t="s">
        <v>51</v>
      </c>
      <c r="AS2" s="4" t="s">
        <v>52</v>
      </c>
      <c r="AT2" s="18" t="s">
        <v>53</v>
      </c>
      <c r="AU2" s="18" t="s">
        <v>54</v>
      </c>
      <c r="AV2" s="18" t="s">
        <v>55</v>
      </c>
      <c r="AW2" s="19" t="s">
        <v>56</v>
      </c>
      <c r="AX2" s="18" t="s">
        <v>57</v>
      </c>
      <c r="AY2" s="18" t="s">
        <v>58</v>
      </c>
      <c r="AZ2" s="18" t="s">
        <v>59</v>
      </c>
      <c r="BA2" s="20" t="s">
        <v>60</v>
      </c>
      <c r="BB2" s="4" t="s">
        <v>61</v>
      </c>
      <c r="BC2" s="18" t="s">
        <v>62</v>
      </c>
      <c r="BD2" s="6" t="s">
        <v>63</v>
      </c>
      <c r="BE2" s="18" t="s">
        <v>64</v>
      </c>
      <c r="BF2" s="18" t="s">
        <v>65</v>
      </c>
      <c r="BG2" s="4" t="s">
        <v>66</v>
      </c>
      <c r="BH2" s="18" t="s">
        <v>67</v>
      </c>
      <c r="BI2" s="18" t="s">
        <v>68</v>
      </c>
      <c r="BJ2" s="6" t="s">
        <v>69</v>
      </c>
      <c r="BK2" s="5" t="s">
        <v>70</v>
      </c>
      <c r="BL2" s="3" t="s">
        <v>71</v>
      </c>
      <c r="BM2" s="18" t="s">
        <v>73</v>
      </c>
      <c r="BN2" s="18" t="s">
        <v>74</v>
      </c>
      <c r="BO2" s="5" t="s">
        <v>75</v>
      </c>
      <c r="BP2" s="4" t="s">
        <v>76</v>
      </c>
      <c r="BQ2" s="4" t="s">
        <v>77</v>
      </c>
      <c r="BR2" s="4" t="s">
        <v>78</v>
      </c>
      <c r="BS2" s="18" t="s">
        <v>79</v>
      </c>
      <c r="BT2" s="4" t="s">
        <v>80</v>
      </c>
      <c r="BU2" s="21" t="s">
        <v>81</v>
      </c>
      <c r="BV2" s="4" t="s">
        <v>82</v>
      </c>
      <c r="BW2" s="4" t="s">
        <v>83</v>
      </c>
      <c r="BX2" s="4" t="s">
        <v>84</v>
      </c>
      <c r="BY2" s="2" t="s">
        <v>85</v>
      </c>
      <c r="BZ2" s="18" t="s">
        <v>86</v>
      </c>
      <c r="CA2" s="4" t="s">
        <v>87</v>
      </c>
      <c r="CB2" s="2" t="s">
        <v>88</v>
      </c>
      <c r="CC2" s="4" t="s">
        <v>89</v>
      </c>
      <c r="CD2" s="18" t="s">
        <v>90</v>
      </c>
      <c r="CE2" s="4" t="s">
        <v>91</v>
      </c>
      <c r="CF2" s="18" t="s">
        <v>92</v>
      </c>
      <c r="CG2" s="12" t="s">
        <v>93</v>
      </c>
      <c r="CH2" s="18" t="s">
        <v>94</v>
      </c>
      <c r="CI2" s="18" t="s">
        <v>95</v>
      </c>
      <c r="CJ2" s="4" t="s">
        <v>96</v>
      </c>
      <c r="CK2" s="4" t="s">
        <v>97</v>
      </c>
      <c r="CL2" s="18" t="s">
        <v>98</v>
      </c>
      <c r="CM2" s="4" t="s">
        <v>99</v>
      </c>
      <c r="CN2" s="1" t="s">
        <v>100</v>
      </c>
      <c r="CO2" s="18" t="s">
        <v>101</v>
      </c>
      <c r="CP2" s="18" t="s">
        <v>102</v>
      </c>
      <c r="CQ2" s="18" t="s">
        <v>103</v>
      </c>
      <c r="CR2" s="1" t="s">
        <v>104</v>
      </c>
      <c r="CS2" s="18" t="s">
        <v>105</v>
      </c>
      <c r="CT2" s="8" t="s">
        <v>106</v>
      </c>
      <c r="CU2" s="18" t="s">
        <v>107</v>
      </c>
      <c r="CV2" s="18" t="s">
        <v>108</v>
      </c>
      <c r="CW2" s="18" t="s">
        <v>109</v>
      </c>
      <c r="CX2" s="18" t="s">
        <v>110</v>
      </c>
      <c r="CY2" s="18" t="s">
        <v>111</v>
      </c>
      <c r="CZ2" s="7" t="s">
        <v>112</v>
      </c>
      <c r="DA2" s="18" t="s">
        <v>113</v>
      </c>
      <c r="DB2" s="4" t="s">
        <v>114</v>
      </c>
      <c r="DC2" s="18" t="s">
        <v>115</v>
      </c>
      <c r="DD2" s="18" t="s">
        <v>116</v>
      </c>
      <c r="DE2" s="4" t="s">
        <v>117</v>
      </c>
      <c r="DF2" s="2" t="s">
        <v>118</v>
      </c>
      <c r="DG2" s="7" t="s">
        <v>119</v>
      </c>
      <c r="DH2" s="4" t="s">
        <v>120</v>
      </c>
      <c r="DI2" s="8" t="s">
        <v>121</v>
      </c>
      <c r="DJ2" s="18" t="s">
        <v>122</v>
      </c>
      <c r="DK2" s="8" t="s">
        <v>123</v>
      </c>
      <c r="DL2" s="2" t="s">
        <v>124</v>
      </c>
      <c r="DM2" s="4" t="s">
        <v>125</v>
      </c>
      <c r="DN2" s="5" t="s">
        <v>126</v>
      </c>
      <c r="DO2" s="7" t="s">
        <v>127</v>
      </c>
      <c r="DP2" s="4" t="s">
        <v>128</v>
      </c>
      <c r="DQ2" s="4" t="s">
        <v>129</v>
      </c>
      <c r="DR2" s="1" t="s">
        <v>130</v>
      </c>
      <c r="DS2" s="18" t="s">
        <v>131</v>
      </c>
      <c r="DT2" s="18" t="s">
        <v>132</v>
      </c>
      <c r="DU2" s="4" t="s">
        <v>133</v>
      </c>
      <c r="DV2" s="18" t="s">
        <v>134</v>
      </c>
      <c r="DW2" s="4" t="s">
        <v>135</v>
      </c>
      <c r="DX2" s="4" t="s">
        <v>136</v>
      </c>
      <c r="DY2" s="4" t="s">
        <v>137</v>
      </c>
      <c r="DZ2" s="10" t="s">
        <v>138</v>
      </c>
      <c r="EA2" s="18" t="s">
        <v>139</v>
      </c>
      <c r="EB2" s="10" t="s">
        <v>140</v>
      </c>
      <c r="EC2" s="10" t="s">
        <v>141</v>
      </c>
      <c r="ED2" s="18" t="s">
        <v>142</v>
      </c>
      <c r="EE2" s="18" t="s">
        <v>143</v>
      </c>
      <c r="EF2" s="18" t="s">
        <v>144</v>
      </c>
      <c r="EG2" s="4" t="s">
        <v>145</v>
      </c>
      <c r="EH2" s="18" t="s">
        <v>146</v>
      </c>
      <c r="EI2" s="2" t="s">
        <v>147</v>
      </c>
      <c r="EJ2" s="4" t="s">
        <v>148</v>
      </c>
      <c r="EK2" s="18" t="s">
        <v>149</v>
      </c>
      <c r="EL2" s="4" t="s">
        <v>150</v>
      </c>
      <c r="EM2" s="4" t="s">
        <v>151</v>
      </c>
      <c r="EN2" s="18" t="s">
        <v>152</v>
      </c>
      <c r="EO2" s="4" t="s">
        <v>153</v>
      </c>
      <c r="EP2" s="4" t="s">
        <v>154</v>
      </c>
      <c r="EQ2" s="4" t="s">
        <v>155</v>
      </c>
      <c r="ER2" s="18" t="s">
        <v>156</v>
      </c>
      <c r="ES2" s="18" t="s">
        <v>157</v>
      </c>
      <c r="ET2" s="18" t="s">
        <v>158</v>
      </c>
      <c r="EU2" s="4" t="s">
        <v>159</v>
      </c>
      <c r="EV2" s="18" t="s">
        <v>160</v>
      </c>
      <c r="EW2" s="4" t="s">
        <v>161</v>
      </c>
      <c r="EX2" s="18" t="s">
        <v>162</v>
      </c>
      <c r="EY2" s="4" t="s">
        <v>163</v>
      </c>
      <c r="EZ2" s="4" t="s">
        <v>164</v>
      </c>
      <c r="FA2" s="1" t="s">
        <v>165</v>
      </c>
      <c r="FB2" s="4" t="s">
        <v>166</v>
      </c>
      <c r="FC2" s="18" t="s">
        <v>167</v>
      </c>
      <c r="FD2" s="5" t="s">
        <v>168</v>
      </c>
      <c r="FE2" s="22" t="s">
        <v>169</v>
      </c>
      <c r="FF2" s="18" t="s">
        <v>170</v>
      </c>
      <c r="FG2" s="4" t="s">
        <v>171</v>
      </c>
      <c r="FH2" s="1" t="s">
        <v>172</v>
      </c>
      <c r="FI2" s="18" t="s">
        <v>173</v>
      </c>
      <c r="FJ2" s="4" t="s">
        <v>174</v>
      </c>
      <c r="FK2" s="18" t="s">
        <v>175</v>
      </c>
      <c r="FL2" s="15" t="s">
        <v>176</v>
      </c>
      <c r="FM2" s="4" t="s">
        <v>177</v>
      </c>
      <c r="FN2" s="4" t="s">
        <v>178</v>
      </c>
      <c r="FO2" s="5" t="s">
        <v>179</v>
      </c>
      <c r="FP2" s="7" t="s">
        <v>180</v>
      </c>
      <c r="FQ2" s="2" t="s">
        <v>181</v>
      </c>
      <c r="FR2" s="4" t="s">
        <v>182</v>
      </c>
      <c r="FS2" s="4" t="s">
        <v>183</v>
      </c>
      <c r="FT2" s="18" t="s">
        <v>184</v>
      </c>
      <c r="FU2" s="7" t="s">
        <v>185</v>
      </c>
      <c r="FV2" s="18" t="s">
        <v>186</v>
      </c>
      <c r="FW2" s="4" t="s">
        <v>187</v>
      </c>
      <c r="FX2" s="18" t="s">
        <v>188</v>
      </c>
      <c r="FY2" s="4" t="s">
        <v>189</v>
      </c>
      <c r="FZ2" s="4" t="s">
        <v>190</v>
      </c>
      <c r="GA2" s="18" t="s">
        <v>191</v>
      </c>
      <c r="GB2" s="5" t="s">
        <v>192</v>
      </c>
      <c r="GC2" s="22" t="s">
        <v>193</v>
      </c>
      <c r="GD2" s="8" t="s">
        <v>194</v>
      </c>
      <c r="GE2" s="8" t="s">
        <v>195</v>
      </c>
      <c r="GF2" s="8"/>
      <c r="GG2" s="8"/>
      <c r="GH2" s="8"/>
      <c r="GI2" s="8"/>
      <c r="GJ2" s="8"/>
      <c r="GK2" s="8"/>
      <c r="GL2" s="8"/>
      <c r="GM2" s="8"/>
      <c r="GN2" s="8"/>
      <c r="GO2" s="8"/>
      <c r="GP2" s="8"/>
      <c r="GQ2" s="8"/>
      <c r="GR2" s="8"/>
      <c r="GS2" s="8"/>
      <c r="GT2" s="8"/>
      <c r="GU2" s="8"/>
    </row>
    <row r="3">
      <c r="A3" s="23">
        <v>38018.0</v>
      </c>
      <c r="B3" s="4" t="s">
        <v>196</v>
      </c>
      <c r="C3" s="4">
        <v>21.559278</v>
      </c>
      <c r="D3" s="4">
        <v>-157.871902</v>
      </c>
      <c r="E3" s="4" t="s">
        <v>197</v>
      </c>
      <c r="F3" s="24">
        <v>0.0</v>
      </c>
      <c r="G3" s="24">
        <v>0.041666666666666664</v>
      </c>
      <c r="H3" s="4">
        <v>6.0</v>
      </c>
      <c r="I3" s="4">
        <v>10.0</v>
      </c>
      <c r="J3" s="4" t="s">
        <v>198</v>
      </c>
      <c r="K3" s="4">
        <v>11.0</v>
      </c>
      <c r="L3" s="4">
        <v>22.0</v>
      </c>
      <c r="M3" s="4" t="s">
        <v>199</v>
      </c>
      <c r="Q3" s="4">
        <v>1.0</v>
      </c>
      <c r="AC3" s="4">
        <v>1.0</v>
      </c>
      <c r="AE3" s="4">
        <v>1.0</v>
      </c>
      <c r="AJ3" s="4">
        <v>1.0</v>
      </c>
      <c r="BL3" s="4">
        <v>1.0</v>
      </c>
      <c r="DO3" s="4">
        <v>1.0</v>
      </c>
      <c r="EC3" s="4">
        <v>1.0</v>
      </c>
      <c r="FA3" s="4">
        <v>1.0</v>
      </c>
      <c r="FQ3" s="4">
        <v>1.0</v>
      </c>
      <c r="FR3" s="4">
        <v>1.0</v>
      </c>
      <c r="GB3" s="4">
        <v>1.0</v>
      </c>
    </row>
    <row r="4">
      <c r="A4" s="23">
        <v>38041.0</v>
      </c>
      <c r="B4" s="4" t="s">
        <v>201</v>
      </c>
      <c r="C4" s="4">
        <v>21.25544</v>
      </c>
      <c r="D4" s="4">
        <v>-157.810303</v>
      </c>
      <c r="E4" s="4" t="s">
        <v>197</v>
      </c>
      <c r="F4" s="24">
        <v>0.0</v>
      </c>
      <c r="G4" s="24">
        <v>0.041666666666666664</v>
      </c>
      <c r="H4" s="4">
        <v>6.0</v>
      </c>
      <c r="I4" s="4">
        <v>11.0</v>
      </c>
      <c r="J4" s="4" t="s">
        <v>198</v>
      </c>
      <c r="K4" s="4">
        <v>12.0</v>
      </c>
      <c r="L4" s="4">
        <v>58.0</v>
      </c>
      <c r="M4" s="4" t="s">
        <v>202</v>
      </c>
      <c r="Q4" s="4">
        <v>1.0</v>
      </c>
      <c r="AE4" s="4">
        <v>1.0</v>
      </c>
      <c r="AN4" s="4">
        <v>1.0</v>
      </c>
      <c r="BA4" s="4">
        <v>1.0</v>
      </c>
      <c r="BL4" s="4">
        <v>1.0</v>
      </c>
      <c r="BP4" s="4">
        <v>1.0</v>
      </c>
      <c r="BY4" s="4">
        <v>1.0</v>
      </c>
      <c r="CA4" s="4">
        <v>1.0</v>
      </c>
      <c r="CR4" s="4">
        <v>1.0</v>
      </c>
      <c r="DL4" s="4">
        <v>1.0</v>
      </c>
      <c r="DO4" s="4">
        <v>1.0</v>
      </c>
      <c r="DR4" s="4">
        <v>1.0</v>
      </c>
      <c r="DU4" s="4">
        <v>1.0</v>
      </c>
      <c r="EC4" s="4">
        <v>1.0</v>
      </c>
      <c r="EI4" s="4">
        <v>1.0</v>
      </c>
      <c r="FA4" s="4">
        <v>1.0</v>
      </c>
      <c r="FB4" s="4">
        <v>1.0</v>
      </c>
      <c r="FP4" s="4">
        <v>1.0</v>
      </c>
      <c r="FQ4" s="4">
        <v>1.0</v>
      </c>
      <c r="GA4" s="4">
        <v>1.0</v>
      </c>
      <c r="GB4" s="4">
        <v>1.0</v>
      </c>
    </row>
    <row r="5">
      <c r="A5" s="23">
        <v>38050.0</v>
      </c>
      <c r="B5" s="4" t="s">
        <v>196</v>
      </c>
      <c r="C5" s="4">
        <v>21.559278</v>
      </c>
      <c r="D5" s="4">
        <v>-157.871902</v>
      </c>
      <c r="E5" s="4" t="s">
        <v>197</v>
      </c>
      <c r="F5" s="24">
        <v>0.0</v>
      </c>
      <c r="G5" s="24">
        <v>0.041666666666666664</v>
      </c>
      <c r="H5" s="4">
        <v>6.0</v>
      </c>
      <c r="I5" s="4">
        <v>10.0</v>
      </c>
      <c r="J5" s="4" t="s">
        <v>198</v>
      </c>
      <c r="K5" s="4">
        <v>11.0</v>
      </c>
      <c r="L5" s="4">
        <v>33.0</v>
      </c>
      <c r="M5" s="4" t="s">
        <v>204</v>
      </c>
      <c r="Q5" s="4">
        <v>1.0</v>
      </c>
      <c r="AC5" s="4">
        <v>1.0</v>
      </c>
      <c r="AE5" s="4">
        <v>1.0</v>
      </c>
      <c r="AJ5" s="4">
        <v>1.0</v>
      </c>
      <c r="BL5" s="4">
        <v>1.0</v>
      </c>
      <c r="EC5" s="4">
        <v>1.0</v>
      </c>
      <c r="FA5" s="4">
        <v>1.0</v>
      </c>
      <c r="FB5" s="4">
        <v>1.0</v>
      </c>
      <c r="FQ5" s="4">
        <v>1.0</v>
      </c>
      <c r="FR5" s="4">
        <v>1.0</v>
      </c>
      <c r="GB5" s="4">
        <v>1.0</v>
      </c>
    </row>
    <row r="6">
      <c r="A6" s="23">
        <v>38384.0</v>
      </c>
      <c r="B6" s="4" t="s">
        <v>196</v>
      </c>
      <c r="C6" s="4">
        <v>21.559278</v>
      </c>
      <c r="D6" s="4">
        <v>-157.871902</v>
      </c>
      <c r="E6" s="4" t="s">
        <v>197</v>
      </c>
      <c r="F6" s="24">
        <v>0.0</v>
      </c>
      <c r="G6" s="24">
        <v>0.041666666666666664</v>
      </c>
      <c r="H6" s="4">
        <v>7.0</v>
      </c>
      <c r="I6" s="4">
        <v>9.0</v>
      </c>
      <c r="J6" s="4" t="s">
        <v>198</v>
      </c>
      <c r="K6" s="4">
        <v>10.0</v>
      </c>
      <c r="L6" s="4">
        <v>31.0</v>
      </c>
      <c r="M6" s="4" t="s">
        <v>206</v>
      </c>
      <c r="Q6" s="4">
        <v>1.0</v>
      </c>
      <c r="AC6" s="4">
        <v>1.0</v>
      </c>
      <c r="AE6" s="4">
        <v>1.0</v>
      </c>
      <c r="AJ6" s="4">
        <v>1.0</v>
      </c>
      <c r="DG6" s="4">
        <v>1.0</v>
      </c>
      <c r="DH6" s="4">
        <v>1.0</v>
      </c>
      <c r="EC6" s="4">
        <v>1.0</v>
      </c>
      <c r="FB6" s="4">
        <v>1.0</v>
      </c>
      <c r="FR6" s="4">
        <v>1.0</v>
      </c>
      <c r="GA6" s="4">
        <v>1.0</v>
      </c>
      <c r="GB6" s="4">
        <v>1.0</v>
      </c>
    </row>
    <row r="7">
      <c r="A7" s="23">
        <v>38401.0</v>
      </c>
      <c r="B7" s="4" t="s">
        <v>201</v>
      </c>
      <c r="C7" s="4">
        <v>21.25544</v>
      </c>
      <c r="D7" s="4">
        <v>-157.810303</v>
      </c>
      <c r="E7" s="4" t="s">
        <v>197</v>
      </c>
      <c r="F7" s="24">
        <v>0.0</v>
      </c>
      <c r="G7" s="24">
        <v>0.041666666666666664</v>
      </c>
      <c r="H7" s="4">
        <v>6.0</v>
      </c>
      <c r="I7" s="4">
        <v>9.0</v>
      </c>
      <c r="J7" s="4" t="s">
        <v>198</v>
      </c>
      <c r="K7" s="4">
        <v>10.0</v>
      </c>
      <c r="L7" s="4">
        <v>56.0</v>
      </c>
      <c r="M7" s="4" t="s">
        <v>212</v>
      </c>
      <c r="Q7" s="4">
        <v>1.0</v>
      </c>
      <c r="AE7" s="4">
        <v>1.0</v>
      </c>
      <c r="BP7" s="4">
        <v>1.0</v>
      </c>
      <c r="BV7" s="4">
        <v>1.0</v>
      </c>
      <c r="CA7" s="4">
        <v>1.0</v>
      </c>
      <c r="CU7" s="4">
        <v>1.0</v>
      </c>
      <c r="DL7" s="4">
        <v>1.0</v>
      </c>
      <c r="DO7" s="4">
        <v>1.0</v>
      </c>
      <c r="DV7" s="4">
        <v>1.0</v>
      </c>
      <c r="EC7" s="4">
        <v>1.0</v>
      </c>
      <c r="EI7" s="4">
        <v>1.0</v>
      </c>
      <c r="FA7" s="4">
        <v>1.0</v>
      </c>
      <c r="FB7" s="4">
        <v>1.0</v>
      </c>
      <c r="FQ7" s="4">
        <v>1.0</v>
      </c>
      <c r="GB7" s="4">
        <v>1.0</v>
      </c>
    </row>
    <row r="8">
      <c r="A8" s="23">
        <v>38416.0</v>
      </c>
      <c r="B8" s="4" t="s">
        <v>196</v>
      </c>
      <c r="C8" s="4">
        <v>21.559278</v>
      </c>
      <c r="D8" s="4">
        <v>-157.871902</v>
      </c>
      <c r="E8" s="4" t="s">
        <v>197</v>
      </c>
      <c r="F8" s="24">
        <v>0.0</v>
      </c>
      <c r="G8" s="24">
        <v>0.041666666666666664</v>
      </c>
      <c r="H8" s="4">
        <v>7.0</v>
      </c>
      <c r="I8" s="4">
        <v>9.0</v>
      </c>
      <c r="J8" s="4" t="s">
        <v>198</v>
      </c>
      <c r="K8" s="4">
        <v>10.0</v>
      </c>
      <c r="L8" s="4">
        <v>29.0</v>
      </c>
      <c r="M8" s="4" t="s">
        <v>214</v>
      </c>
      <c r="Q8" s="4">
        <v>1.0</v>
      </c>
      <c r="AC8" s="4">
        <v>1.0</v>
      </c>
      <c r="AE8" s="4">
        <v>1.0</v>
      </c>
      <c r="AJ8" s="4">
        <v>1.0</v>
      </c>
      <c r="DG8" s="4">
        <v>1.0</v>
      </c>
      <c r="DO8" s="4">
        <v>1.0</v>
      </c>
      <c r="EC8" s="4">
        <v>1.0</v>
      </c>
      <c r="EI8" s="4">
        <v>1.0</v>
      </c>
      <c r="FB8" s="4">
        <v>1.0</v>
      </c>
      <c r="GB8" s="4">
        <v>1.0</v>
      </c>
    </row>
    <row r="9">
      <c r="A9" s="23">
        <v>38416.0</v>
      </c>
      <c r="B9" s="4" t="s">
        <v>201</v>
      </c>
      <c r="C9" s="4">
        <v>21.25544</v>
      </c>
      <c r="D9" s="4">
        <v>-157.810303</v>
      </c>
      <c r="E9" s="4" t="s">
        <v>197</v>
      </c>
      <c r="F9" s="24">
        <v>0.0</v>
      </c>
      <c r="G9" s="24">
        <v>0.041666666666666664</v>
      </c>
      <c r="H9" s="4">
        <v>7.0</v>
      </c>
      <c r="I9" s="4">
        <v>9.0</v>
      </c>
      <c r="J9" s="4" t="s">
        <v>198</v>
      </c>
      <c r="K9" s="4">
        <v>10.0</v>
      </c>
      <c r="L9" s="4">
        <v>56.0</v>
      </c>
      <c r="M9" s="4" t="s">
        <v>215</v>
      </c>
      <c r="Q9" s="4">
        <v>1.0</v>
      </c>
      <c r="AE9" s="4">
        <v>1.0</v>
      </c>
      <c r="BP9" s="4">
        <v>1.0</v>
      </c>
      <c r="BV9" s="4">
        <v>1.0</v>
      </c>
      <c r="BY9" s="4">
        <v>1.0</v>
      </c>
      <c r="CA9" s="4">
        <v>1.0</v>
      </c>
      <c r="CC9" s="4">
        <v>1.0</v>
      </c>
      <c r="CR9" s="4">
        <v>1.0</v>
      </c>
      <c r="CU9" s="4">
        <v>1.0</v>
      </c>
      <c r="DL9" s="4">
        <v>1.0</v>
      </c>
      <c r="DO9" s="4">
        <v>1.0</v>
      </c>
      <c r="EC9" s="4">
        <v>1.0</v>
      </c>
      <c r="EI9" s="4">
        <v>1.0</v>
      </c>
      <c r="FA9" s="4">
        <v>1.0</v>
      </c>
      <c r="FP9" s="4">
        <v>1.0</v>
      </c>
      <c r="FQ9" s="4">
        <v>1.0</v>
      </c>
      <c r="GB9" s="4">
        <v>1.0</v>
      </c>
    </row>
    <row r="10">
      <c r="A10" s="23">
        <v>38440.0</v>
      </c>
      <c r="B10" s="4" t="s">
        <v>216</v>
      </c>
      <c r="C10" s="4">
        <v>21.3002</v>
      </c>
      <c r="D10" s="4">
        <v>-157.882599</v>
      </c>
      <c r="E10" s="4" t="s">
        <v>197</v>
      </c>
      <c r="F10" s="24">
        <v>0.0</v>
      </c>
      <c r="G10" s="24">
        <v>0.041666666666666664</v>
      </c>
      <c r="H10" s="4">
        <v>4.0</v>
      </c>
      <c r="I10" s="4">
        <v>22.0</v>
      </c>
      <c r="J10" s="4" t="s">
        <v>217</v>
      </c>
      <c r="K10" s="4">
        <v>10.0</v>
      </c>
      <c r="L10" s="4">
        <v>26.0</v>
      </c>
      <c r="M10" s="4" t="s">
        <v>218</v>
      </c>
      <c r="BY10" s="4">
        <v>1.0</v>
      </c>
      <c r="EI10" s="4">
        <v>1.0</v>
      </c>
      <c r="FA10" s="4">
        <v>1.0</v>
      </c>
      <c r="FL10" s="4">
        <v>1.0</v>
      </c>
      <c r="FQ10" s="4">
        <v>1.0</v>
      </c>
      <c r="GB10" s="4">
        <v>1.0</v>
      </c>
    </row>
    <row r="11">
      <c r="A11" s="23">
        <v>38441.0</v>
      </c>
      <c r="B11" s="4" t="s">
        <v>219</v>
      </c>
      <c r="C11" s="4">
        <v>21.295799</v>
      </c>
      <c r="D11" s="4">
        <v>-158.103699</v>
      </c>
      <c r="E11" s="4" t="s">
        <v>197</v>
      </c>
      <c r="F11" s="24">
        <v>0.0</v>
      </c>
      <c r="G11" s="24">
        <v>0.041666666666666664</v>
      </c>
      <c r="H11" s="4">
        <v>5.0</v>
      </c>
      <c r="I11" s="4">
        <v>20.0</v>
      </c>
      <c r="J11" s="4" t="s">
        <v>217</v>
      </c>
      <c r="K11" s="4">
        <v>10.0</v>
      </c>
      <c r="L11" s="4">
        <v>30.0</v>
      </c>
      <c r="M11" s="4" t="s">
        <v>220</v>
      </c>
      <c r="Q11" s="4">
        <v>1.0</v>
      </c>
      <c r="AH11" s="4">
        <v>1.0</v>
      </c>
      <c r="AL11" s="4">
        <v>1.0</v>
      </c>
      <c r="BD11" s="4">
        <v>1.0</v>
      </c>
      <c r="BL11" s="4">
        <v>1.0</v>
      </c>
      <c r="BP11" s="4">
        <v>1.0</v>
      </c>
      <c r="BV11" s="4">
        <v>1.0</v>
      </c>
      <c r="BY11" s="4">
        <v>1.0</v>
      </c>
      <c r="CB11" s="4">
        <v>1.0</v>
      </c>
      <c r="DL11" s="4">
        <v>1.0</v>
      </c>
      <c r="DP11" s="4">
        <v>1.0</v>
      </c>
      <c r="DY11" s="4">
        <v>1.0</v>
      </c>
      <c r="EC11" s="4">
        <v>1.0</v>
      </c>
      <c r="EI11" s="4">
        <v>1.0</v>
      </c>
      <c r="FA11" s="4">
        <v>1.0</v>
      </c>
      <c r="FB11" s="4">
        <v>1.0</v>
      </c>
      <c r="FQ11" s="4">
        <v>1.0</v>
      </c>
      <c r="GB11" s="4">
        <v>1.0</v>
      </c>
    </row>
    <row r="12">
      <c r="A12" s="23">
        <v>38464.0</v>
      </c>
      <c r="B12" s="4" t="s">
        <v>201</v>
      </c>
      <c r="C12" s="4">
        <v>21.25544</v>
      </c>
      <c r="D12" s="4">
        <v>-157.810303</v>
      </c>
      <c r="E12" s="4" t="s">
        <v>197</v>
      </c>
      <c r="F12" s="24">
        <v>0.0</v>
      </c>
      <c r="G12" s="24">
        <v>0.041666666666666664</v>
      </c>
      <c r="H12" s="4">
        <v>5.0</v>
      </c>
      <c r="I12" s="4">
        <v>9.0</v>
      </c>
      <c r="J12" s="4" t="s">
        <v>198</v>
      </c>
      <c r="K12" s="4">
        <v>10.0</v>
      </c>
      <c r="L12" s="4">
        <v>45.0</v>
      </c>
      <c r="M12" s="4" t="s">
        <v>221</v>
      </c>
      <c r="Q12" s="4">
        <v>1.0</v>
      </c>
      <c r="AE12" s="4">
        <v>1.0</v>
      </c>
      <c r="BP12" s="4">
        <v>1.0</v>
      </c>
      <c r="BV12" s="4">
        <v>1.0</v>
      </c>
      <c r="BY12" s="4">
        <v>1.0</v>
      </c>
      <c r="CA12" s="4">
        <v>1.0</v>
      </c>
      <c r="CI12" s="4">
        <v>1.0</v>
      </c>
      <c r="CR12" s="4">
        <v>1.0</v>
      </c>
      <c r="DL12" s="4">
        <v>1.0</v>
      </c>
      <c r="DO12" s="4">
        <v>1.0</v>
      </c>
      <c r="DR12" s="4">
        <v>1.0</v>
      </c>
      <c r="DS12" s="4">
        <v>1.0</v>
      </c>
      <c r="DT12" s="4">
        <v>1.0</v>
      </c>
      <c r="EB12" s="4">
        <v>1.0</v>
      </c>
      <c r="EI12" s="4">
        <v>1.0</v>
      </c>
      <c r="FA12" s="4">
        <v>1.0</v>
      </c>
      <c r="FQ12" s="4">
        <v>1.0</v>
      </c>
      <c r="GB12" s="4">
        <v>1.0</v>
      </c>
    </row>
    <row r="13">
      <c r="A13" s="23">
        <v>38469.0</v>
      </c>
      <c r="B13" s="4" t="s">
        <v>219</v>
      </c>
      <c r="C13" s="4">
        <v>21.295799</v>
      </c>
      <c r="D13" s="4">
        <v>-158.103699</v>
      </c>
      <c r="E13" s="4" t="s">
        <v>197</v>
      </c>
      <c r="F13" s="24">
        <v>0.0</v>
      </c>
      <c r="G13" s="24">
        <v>0.041666666666666664</v>
      </c>
      <c r="H13" s="4">
        <v>4.0</v>
      </c>
      <c r="I13" s="4">
        <v>20.0</v>
      </c>
      <c r="J13" s="4" t="s">
        <v>217</v>
      </c>
      <c r="K13" s="4">
        <v>10.0</v>
      </c>
      <c r="L13" s="4">
        <v>29.0</v>
      </c>
      <c r="M13" s="4" t="s">
        <v>222</v>
      </c>
      <c r="Q13" s="4">
        <v>1.0</v>
      </c>
      <c r="AP13" s="4">
        <v>1.0</v>
      </c>
      <c r="BP13" s="4">
        <v>1.0</v>
      </c>
      <c r="BV13" s="4">
        <v>1.0</v>
      </c>
      <c r="BY13" s="4">
        <v>1.0</v>
      </c>
      <c r="DG13" s="4">
        <v>1.0</v>
      </c>
      <c r="DL13" s="4">
        <v>1.0</v>
      </c>
      <c r="DY13" s="4">
        <v>1.0</v>
      </c>
      <c r="EC13" s="4">
        <v>1.0</v>
      </c>
      <c r="EI13" s="4">
        <v>1.0</v>
      </c>
      <c r="FA13" s="4">
        <v>1.0</v>
      </c>
      <c r="FQ13" s="4">
        <v>1.0</v>
      </c>
      <c r="GB13" s="4">
        <v>1.0</v>
      </c>
    </row>
    <row r="14">
      <c r="A14" s="23">
        <v>38471.0</v>
      </c>
      <c r="B14" s="4" t="s">
        <v>216</v>
      </c>
      <c r="C14" s="4">
        <v>21.3002</v>
      </c>
      <c r="D14" s="4">
        <v>-157.882599</v>
      </c>
      <c r="E14" s="4" t="s">
        <v>197</v>
      </c>
      <c r="F14" s="24">
        <v>0.0</v>
      </c>
      <c r="G14" s="24">
        <v>0.041666666666666664</v>
      </c>
      <c r="H14" s="4">
        <v>6.0</v>
      </c>
      <c r="I14" s="4">
        <v>22.0</v>
      </c>
      <c r="J14" s="4" t="s">
        <v>217</v>
      </c>
      <c r="K14" s="4">
        <v>10.0</v>
      </c>
      <c r="L14" s="4">
        <v>36.0</v>
      </c>
      <c r="M14" s="4" t="s">
        <v>223</v>
      </c>
      <c r="Q14" s="4">
        <v>1.0</v>
      </c>
      <c r="AB14" s="4">
        <v>1.0</v>
      </c>
      <c r="BL14" s="4">
        <v>1.0</v>
      </c>
      <c r="CB14" s="4">
        <v>1.0</v>
      </c>
      <c r="CU14" s="4">
        <v>1.0</v>
      </c>
      <c r="DR14" s="4">
        <v>1.0</v>
      </c>
      <c r="DY14" s="4">
        <v>1.0</v>
      </c>
      <c r="EB14" s="4">
        <v>1.0</v>
      </c>
      <c r="EI14" s="4">
        <v>1.0</v>
      </c>
      <c r="FB14" s="4">
        <v>1.0</v>
      </c>
      <c r="FD14" s="4">
        <v>1.0</v>
      </c>
      <c r="FI14" s="4">
        <v>1.0</v>
      </c>
      <c r="FQ14" s="4">
        <v>1.0</v>
      </c>
      <c r="GB14" s="4">
        <v>1.0</v>
      </c>
    </row>
    <row r="15">
      <c r="A15" s="23">
        <v>38473.0</v>
      </c>
      <c r="B15" s="4" t="s">
        <v>201</v>
      </c>
      <c r="C15" s="4">
        <v>21.25544</v>
      </c>
      <c r="D15" s="4">
        <v>-157.810303</v>
      </c>
      <c r="E15" s="4" t="s">
        <v>197</v>
      </c>
      <c r="F15" s="24">
        <v>0.0</v>
      </c>
      <c r="G15" s="24">
        <v>0.041666666666666664</v>
      </c>
      <c r="H15" s="4">
        <v>3.0</v>
      </c>
      <c r="I15" s="4">
        <v>9.0</v>
      </c>
      <c r="J15" s="4" t="s">
        <v>198</v>
      </c>
      <c r="K15" s="4">
        <v>10.0</v>
      </c>
      <c r="L15" s="4">
        <v>27.0</v>
      </c>
      <c r="Q15" s="4">
        <v>1.0</v>
      </c>
      <c r="BA15" s="4">
        <v>1.0</v>
      </c>
      <c r="BP15" s="4">
        <v>1.0</v>
      </c>
      <c r="BY15" s="4">
        <v>1.0</v>
      </c>
      <c r="DL15" s="4">
        <v>1.0</v>
      </c>
      <c r="DR15" s="4">
        <v>1.0</v>
      </c>
      <c r="EI15" s="4">
        <v>1.0</v>
      </c>
      <c r="FA15" s="4">
        <v>1.0</v>
      </c>
      <c r="FQ15" s="4">
        <v>1.0</v>
      </c>
      <c r="GB15" s="4">
        <v>1.0</v>
      </c>
    </row>
    <row r="16">
      <c r="A16" s="23">
        <v>38473.0</v>
      </c>
      <c r="B16" s="4" t="s">
        <v>219</v>
      </c>
      <c r="C16" s="4">
        <v>21.295799</v>
      </c>
      <c r="D16" s="4">
        <v>-158.103699</v>
      </c>
      <c r="E16" s="4" t="s">
        <v>197</v>
      </c>
      <c r="F16" s="24">
        <v>0.0</v>
      </c>
      <c r="G16" s="24">
        <v>0.041666666666666664</v>
      </c>
      <c r="H16" s="4">
        <v>6.0</v>
      </c>
      <c r="I16" s="4">
        <v>20.0</v>
      </c>
      <c r="J16" s="4" t="s">
        <v>217</v>
      </c>
      <c r="K16" s="4">
        <v>10.0</v>
      </c>
      <c r="L16" s="4">
        <v>34.0</v>
      </c>
      <c r="M16" s="4" t="s">
        <v>224</v>
      </c>
      <c r="Q16" s="4">
        <v>1.0</v>
      </c>
      <c r="BP16" s="4">
        <v>1.0</v>
      </c>
      <c r="BV16" s="4">
        <v>1.0</v>
      </c>
      <c r="BY16" s="4">
        <v>1.0</v>
      </c>
      <c r="CR16" s="4">
        <v>1.0</v>
      </c>
      <c r="DL16" s="4">
        <v>1.0</v>
      </c>
      <c r="DY16" s="4">
        <v>1.0</v>
      </c>
      <c r="EC16" s="4">
        <v>1.0</v>
      </c>
      <c r="EI16" s="4">
        <v>1.0</v>
      </c>
      <c r="FA16" s="4">
        <v>1.0</v>
      </c>
      <c r="FB16" s="4">
        <v>1.0</v>
      </c>
      <c r="FQ16" s="4">
        <v>1.0</v>
      </c>
      <c r="GB16" s="4">
        <v>1.0</v>
      </c>
    </row>
    <row r="17">
      <c r="A17" s="23">
        <v>38478.0</v>
      </c>
      <c r="B17" s="4" t="s">
        <v>216</v>
      </c>
      <c r="C17" s="4">
        <v>21.3002</v>
      </c>
      <c r="D17" s="4">
        <v>-157.882599</v>
      </c>
      <c r="E17" s="4" t="s">
        <v>197</v>
      </c>
      <c r="F17" s="24">
        <v>0.0</v>
      </c>
      <c r="G17" s="24">
        <v>0.041666666666666664</v>
      </c>
      <c r="H17" s="4">
        <v>4.0</v>
      </c>
      <c r="I17" s="4">
        <v>22.0</v>
      </c>
      <c r="J17" s="4" t="s">
        <v>217</v>
      </c>
      <c r="K17" s="4">
        <v>10.0</v>
      </c>
      <c r="L17" s="4">
        <v>38.0</v>
      </c>
      <c r="M17" s="4" t="s">
        <v>225</v>
      </c>
      <c r="Q17" s="4">
        <v>1.0</v>
      </c>
      <c r="BY17" s="4">
        <v>1.0</v>
      </c>
      <c r="CU17" s="4">
        <v>1.0</v>
      </c>
      <c r="DR17" s="4">
        <v>1.0</v>
      </c>
      <c r="EI17" s="4">
        <v>1.0</v>
      </c>
      <c r="FQ17" s="4">
        <v>1.0</v>
      </c>
      <c r="GB17" s="4">
        <v>1.0</v>
      </c>
    </row>
    <row r="18">
      <c r="A18" s="23">
        <v>38479.0</v>
      </c>
      <c r="B18" s="4" t="s">
        <v>226</v>
      </c>
      <c r="C18" s="4">
        <v>21.706499</v>
      </c>
      <c r="D18" s="4">
        <v>-157.998505</v>
      </c>
      <c r="E18" s="4" t="s">
        <v>197</v>
      </c>
      <c r="F18" s="24">
        <v>0.0</v>
      </c>
      <c r="G18" s="24">
        <v>0.041666666666666664</v>
      </c>
      <c r="H18" s="4">
        <v>3.0</v>
      </c>
      <c r="I18" s="4">
        <v>27.0</v>
      </c>
      <c r="J18" s="4" t="s">
        <v>227</v>
      </c>
      <c r="K18" s="4">
        <v>10.0</v>
      </c>
      <c r="L18" s="4">
        <v>22.0</v>
      </c>
      <c r="M18" s="4" t="s">
        <v>228</v>
      </c>
      <c r="AB18" s="4">
        <v>1.0</v>
      </c>
      <c r="BG18" s="4">
        <v>1.0</v>
      </c>
      <c r="BV18" s="4">
        <v>1.0</v>
      </c>
      <c r="BY18" s="4">
        <v>1.0</v>
      </c>
      <c r="CB18" s="4">
        <v>1.0</v>
      </c>
      <c r="CR18" s="4">
        <v>1.0</v>
      </c>
      <c r="DB18" s="4">
        <v>1.0</v>
      </c>
      <c r="DL18" s="4">
        <v>1.0</v>
      </c>
      <c r="DU18" s="4">
        <v>1.0</v>
      </c>
      <c r="EI18" s="4">
        <v>1.0</v>
      </c>
      <c r="FA18" s="4">
        <v>1.0</v>
      </c>
      <c r="FP18" s="4">
        <v>1.0</v>
      </c>
      <c r="FQ18" s="4">
        <v>1.0</v>
      </c>
      <c r="GB18" s="4">
        <v>1.0</v>
      </c>
      <c r="GD18" s="4">
        <v>1.0</v>
      </c>
    </row>
    <row r="19">
      <c r="A19" s="23">
        <v>38493.0</v>
      </c>
      <c r="B19" s="4" t="s">
        <v>226</v>
      </c>
      <c r="C19" s="4">
        <v>21.706499</v>
      </c>
      <c r="D19" s="4">
        <v>-157.998505</v>
      </c>
      <c r="E19" s="4" t="s">
        <v>197</v>
      </c>
      <c r="F19" s="24">
        <v>0.0</v>
      </c>
      <c r="G19" s="24">
        <v>0.041666666666666664</v>
      </c>
      <c r="H19" s="4">
        <v>2.0</v>
      </c>
      <c r="I19" s="4">
        <v>27.0</v>
      </c>
      <c r="J19" s="4" t="s">
        <v>227</v>
      </c>
      <c r="K19" s="4">
        <v>10.0</v>
      </c>
      <c r="L19" s="4">
        <v>11.0</v>
      </c>
      <c r="M19" s="4" t="s">
        <v>229</v>
      </c>
      <c r="BG19" s="4">
        <v>1.0</v>
      </c>
      <c r="BV19" s="4">
        <v>1.0</v>
      </c>
      <c r="BY19" s="4">
        <v>1.0</v>
      </c>
      <c r="DU19" s="4">
        <v>1.0</v>
      </c>
      <c r="EC19" s="4">
        <v>1.0</v>
      </c>
      <c r="EI19" s="4">
        <v>1.0</v>
      </c>
      <c r="FA19" s="4">
        <v>1.0</v>
      </c>
      <c r="FP19" s="4">
        <v>1.0</v>
      </c>
      <c r="FQ19" s="4">
        <v>1.0</v>
      </c>
      <c r="GB19" s="4">
        <v>1.0</v>
      </c>
    </row>
    <row r="20">
      <c r="A20" s="23">
        <v>38496.0</v>
      </c>
      <c r="B20" s="4" t="s">
        <v>230</v>
      </c>
      <c r="C20" s="4">
        <v>20.7537</v>
      </c>
      <c r="D20" s="4">
        <v>-156.460907</v>
      </c>
      <c r="E20" s="4" t="s">
        <v>197</v>
      </c>
      <c r="F20" s="24">
        <v>0.0</v>
      </c>
      <c r="G20" s="24">
        <v>0.041666666666666664</v>
      </c>
      <c r="H20" s="4">
        <v>5.0</v>
      </c>
      <c r="I20" s="4">
        <v>15.0</v>
      </c>
      <c r="J20" s="4" t="s">
        <v>217</v>
      </c>
      <c r="K20" s="4">
        <v>8.0</v>
      </c>
      <c r="L20" s="4">
        <v>36.0</v>
      </c>
      <c r="M20" s="4" t="s">
        <v>231</v>
      </c>
      <c r="Q20" s="4">
        <v>1.0</v>
      </c>
      <c r="BG20" s="4">
        <v>1.0</v>
      </c>
      <c r="BL20" s="4">
        <v>1.0</v>
      </c>
      <c r="DE20" s="4">
        <v>1.0</v>
      </c>
      <c r="DL20" s="4">
        <v>1.0</v>
      </c>
      <c r="EG20" s="4">
        <v>1.0</v>
      </c>
      <c r="EI20" s="4">
        <v>1.0</v>
      </c>
      <c r="FA20" s="4">
        <v>1.0</v>
      </c>
      <c r="FQ20" s="4">
        <v>1.0</v>
      </c>
      <c r="FR20" s="4">
        <v>1.0</v>
      </c>
      <c r="FT20" s="4">
        <v>1.0</v>
      </c>
      <c r="GB20" s="4">
        <v>1.0</v>
      </c>
    </row>
    <row r="21">
      <c r="A21" s="23">
        <v>38507.0</v>
      </c>
      <c r="B21" s="4" t="s">
        <v>226</v>
      </c>
      <c r="C21" s="4">
        <v>21.706499</v>
      </c>
      <c r="D21" s="4">
        <v>-157.998505</v>
      </c>
      <c r="E21" s="4" t="s">
        <v>197</v>
      </c>
      <c r="F21" s="24">
        <v>0.0</v>
      </c>
      <c r="G21" s="24">
        <v>0.041666666666666664</v>
      </c>
      <c r="H21" s="4">
        <v>3.0</v>
      </c>
      <c r="I21" s="4">
        <v>27.0</v>
      </c>
      <c r="J21" s="4" t="s">
        <v>227</v>
      </c>
      <c r="K21" s="4">
        <v>10.0</v>
      </c>
      <c r="L21" s="4">
        <v>20.0</v>
      </c>
      <c r="M21" s="4" t="s">
        <v>232</v>
      </c>
      <c r="Q21" s="4">
        <v>1.0</v>
      </c>
      <c r="R21" s="4">
        <v>1.0</v>
      </c>
      <c r="BA21" s="4">
        <v>1.0</v>
      </c>
      <c r="BG21" s="4">
        <v>1.0</v>
      </c>
      <c r="BL21" s="4">
        <v>1.0</v>
      </c>
      <c r="BV21" s="4">
        <v>1.0</v>
      </c>
      <c r="BY21" s="4">
        <v>1.0</v>
      </c>
      <c r="CB21" s="4">
        <v>1.0</v>
      </c>
      <c r="CC21" s="4">
        <v>1.0</v>
      </c>
      <c r="CR21" s="4">
        <v>1.0</v>
      </c>
      <c r="CV21" s="4">
        <v>1.0</v>
      </c>
      <c r="DB21" s="4">
        <v>1.0</v>
      </c>
      <c r="DL21" s="4">
        <v>1.0</v>
      </c>
      <c r="DU21" s="4">
        <v>1.0</v>
      </c>
      <c r="EI21" s="4">
        <v>1.0</v>
      </c>
      <c r="FA21" s="4">
        <v>1.0</v>
      </c>
      <c r="FP21" s="4">
        <v>1.0</v>
      </c>
      <c r="FQ21" s="4">
        <v>1.0</v>
      </c>
      <c r="GB21" s="4">
        <v>1.0</v>
      </c>
    </row>
    <row r="22">
      <c r="A22" s="23">
        <v>38824.0</v>
      </c>
      <c r="B22" s="4" t="s">
        <v>233</v>
      </c>
      <c r="C22" s="4">
        <v>21.066799</v>
      </c>
      <c r="D22" s="4">
        <v>-156.804993</v>
      </c>
      <c r="E22" s="4" t="s">
        <v>197</v>
      </c>
      <c r="F22" s="24">
        <v>0.0</v>
      </c>
      <c r="G22" s="24">
        <v>0.041666666666666664</v>
      </c>
      <c r="H22" s="4">
        <v>3.0</v>
      </c>
      <c r="I22" s="4">
        <v>27.0</v>
      </c>
      <c r="J22" s="4" t="s">
        <v>227</v>
      </c>
      <c r="K22" s="4">
        <v>10.0</v>
      </c>
      <c r="L22" s="4">
        <v>29.0</v>
      </c>
      <c r="M22" s="4" t="s">
        <v>234</v>
      </c>
      <c r="Q22" s="4">
        <v>1.0</v>
      </c>
      <c r="BA22" s="4">
        <v>1.0</v>
      </c>
      <c r="BL22" s="4">
        <v>1.0</v>
      </c>
      <c r="BX22" s="4">
        <v>1.0</v>
      </c>
      <c r="CF22" s="4">
        <v>1.0</v>
      </c>
      <c r="CN22" s="4">
        <v>1.0</v>
      </c>
      <c r="DC22" s="4">
        <v>1.0</v>
      </c>
      <c r="DL22" s="4">
        <v>1.0</v>
      </c>
      <c r="DR22" s="4">
        <v>1.0</v>
      </c>
      <c r="EI22" s="4">
        <v>1.0</v>
      </c>
      <c r="FA22" s="4">
        <v>1.0</v>
      </c>
      <c r="FP22" s="4">
        <v>1.0</v>
      </c>
    </row>
    <row r="23">
      <c r="A23" s="23">
        <v>38824.0</v>
      </c>
      <c r="B23" s="4" t="s">
        <v>201</v>
      </c>
      <c r="C23" s="4">
        <v>21.25544</v>
      </c>
      <c r="D23" s="4">
        <v>-157.810303</v>
      </c>
      <c r="E23" s="4" t="s">
        <v>197</v>
      </c>
      <c r="F23" s="24">
        <v>0.0</v>
      </c>
      <c r="G23" s="24">
        <v>0.041666666666666664</v>
      </c>
      <c r="H23" s="4">
        <v>6.0</v>
      </c>
      <c r="I23" s="4">
        <v>11.0</v>
      </c>
      <c r="J23" s="4" t="s">
        <v>198</v>
      </c>
      <c r="K23" s="4">
        <v>12.0</v>
      </c>
      <c r="L23" s="4">
        <v>53.0</v>
      </c>
      <c r="M23" s="4" t="s">
        <v>235</v>
      </c>
      <c r="Q23" s="4">
        <v>1.0</v>
      </c>
      <c r="AD23" s="4">
        <v>1.0</v>
      </c>
      <c r="AE23" s="4">
        <v>1.0</v>
      </c>
      <c r="BG23" s="4">
        <v>1.0</v>
      </c>
      <c r="BP23" s="4">
        <v>1.0</v>
      </c>
      <c r="BV23" s="4">
        <v>1.0</v>
      </c>
      <c r="BY23" s="4">
        <v>1.0</v>
      </c>
      <c r="CR23" s="4">
        <v>1.0</v>
      </c>
      <c r="DL23" s="4">
        <v>1.0</v>
      </c>
      <c r="DO23" s="4">
        <v>1.0</v>
      </c>
      <c r="DY23" s="4">
        <v>1.0</v>
      </c>
      <c r="EI23" s="4">
        <v>1.0</v>
      </c>
      <c r="FA23" s="4">
        <v>1.0</v>
      </c>
      <c r="FB23" s="4">
        <v>1.0</v>
      </c>
      <c r="FP23" s="4">
        <v>1.0</v>
      </c>
      <c r="FQ23" s="4">
        <v>1.0</v>
      </c>
      <c r="FS23" s="4">
        <v>1.0</v>
      </c>
      <c r="GB23" s="4">
        <v>1.0</v>
      </c>
    </row>
    <row r="24">
      <c r="A24" s="23">
        <v>38825.0</v>
      </c>
      <c r="B24" s="4" t="s">
        <v>230</v>
      </c>
      <c r="C24" s="4">
        <v>20.7537</v>
      </c>
      <c r="D24" s="4">
        <v>-156.460907</v>
      </c>
      <c r="E24" s="4" t="s">
        <v>197</v>
      </c>
      <c r="F24" s="24">
        <v>0.0</v>
      </c>
      <c r="G24" s="24">
        <v>0.041666666666666664</v>
      </c>
      <c r="H24" s="4">
        <v>5.0</v>
      </c>
      <c r="I24" s="4">
        <v>22.0</v>
      </c>
      <c r="J24" s="4" t="s">
        <v>217</v>
      </c>
      <c r="K24" s="4">
        <v>14.0</v>
      </c>
      <c r="L24" s="4">
        <v>42.0</v>
      </c>
      <c r="M24" s="4" t="s">
        <v>236</v>
      </c>
      <c r="Q24" s="4">
        <v>1.0</v>
      </c>
      <c r="BJ24" s="4">
        <v>1.0</v>
      </c>
      <c r="BL24" s="4">
        <v>1.0</v>
      </c>
      <c r="BW24" s="4">
        <v>1.0</v>
      </c>
      <c r="DE24" s="4">
        <v>1.0</v>
      </c>
      <c r="DL24" s="4">
        <v>1.0</v>
      </c>
      <c r="EC24" s="4">
        <v>1.0</v>
      </c>
      <c r="EI24" s="4">
        <v>1.0</v>
      </c>
      <c r="FA24" s="4">
        <v>1.0</v>
      </c>
      <c r="FM24" s="4">
        <v>1.0</v>
      </c>
      <c r="FQ24" s="4">
        <v>1.0</v>
      </c>
      <c r="FR24" s="4">
        <v>1.0</v>
      </c>
      <c r="FT24" s="4">
        <v>1.0</v>
      </c>
    </row>
    <row r="25">
      <c r="A25" s="23">
        <v>38834.0</v>
      </c>
      <c r="B25" s="4" t="s">
        <v>219</v>
      </c>
      <c r="C25" s="4">
        <v>21.295799</v>
      </c>
      <c r="D25" s="4">
        <v>-158.103699</v>
      </c>
      <c r="E25" s="4" t="s">
        <v>197</v>
      </c>
      <c r="F25" s="24">
        <v>0.0</v>
      </c>
      <c r="G25" s="24">
        <v>0.041666666666666664</v>
      </c>
      <c r="H25" s="4">
        <v>4.0</v>
      </c>
      <c r="I25" s="4">
        <v>25.0</v>
      </c>
      <c r="J25" s="4" t="s">
        <v>237</v>
      </c>
      <c r="K25" s="4">
        <v>5.0</v>
      </c>
      <c r="L25" s="4">
        <v>16.0</v>
      </c>
      <c r="M25" s="4" t="s">
        <v>238</v>
      </c>
      <c r="Q25" s="4">
        <v>1.0</v>
      </c>
      <c r="BC25" s="4">
        <v>1.0</v>
      </c>
      <c r="BL25" s="4">
        <v>1.0</v>
      </c>
      <c r="BP25" s="4">
        <v>1.0</v>
      </c>
      <c r="BT25" s="4">
        <v>1.0</v>
      </c>
      <c r="BV25" s="4">
        <v>1.0</v>
      </c>
      <c r="DL25" s="4">
        <v>1.0</v>
      </c>
      <c r="EB25" s="4">
        <v>1.0</v>
      </c>
      <c r="EC25" s="4">
        <v>1.0</v>
      </c>
      <c r="EI25" s="4">
        <v>1.0</v>
      </c>
      <c r="FA25" s="4">
        <v>1.0</v>
      </c>
      <c r="FQ25" s="4">
        <v>1.0</v>
      </c>
    </row>
    <row r="26">
      <c r="A26" s="23">
        <v>38835.0</v>
      </c>
      <c r="B26" s="4" t="s">
        <v>216</v>
      </c>
      <c r="C26" s="4">
        <v>21.3002</v>
      </c>
      <c r="D26" s="4">
        <v>-157.882599</v>
      </c>
      <c r="E26" s="4" t="s">
        <v>197</v>
      </c>
      <c r="F26" s="24">
        <v>0.0</v>
      </c>
      <c r="G26" s="24">
        <v>0.041666666666666664</v>
      </c>
      <c r="H26" s="4">
        <v>3.0</v>
      </c>
      <c r="I26" s="4">
        <v>25.0</v>
      </c>
      <c r="J26" s="4" t="s">
        <v>237</v>
      </c>
      <c r="K26" s="4">
        <v>5.0</v>
      </c>
      <c r="L26" s="4">
        <v>10.0</v>
      </c>
      <c r="M26" s="4" t="s">
        <v>239</v>
      </c>
      <c r="Q26" s="4">
        <v>1.0</v>
      </c>
      <c r="BD26" s="4">
        <v>1.0</v>
      </c>
      <c r="BU26" s="4">
        <v>1.0</v>
      </c>
      <c r="DL26" s="4">
        <v>1.0</v>
      </c>
      <c r="EI26" s="4">
        <v>1.0</v>
      </c>
      <c r="FA26" s="4">
        <v>1.0</v>
      </c>
      <c r="GB26" s="4">
        <v>1.0</v>
      </c>
    </row>
    <row r="27">
      <c r="A27" s="23">
        <v>38838.0</v>
      </c>
      <c r="B27" s="4" t="s">
        <v>240</v>
      </c>
      <c r="C27" s="4">
        <v>21.1059</v>
      </c>
      <c r="D27" s="4">
        <v>-156.746094</v>
      </c>
      <c r="E27" s="4" t="s">
        <v>197</v>
      </c>
      <c r="F27" s="24">
        <v>0.0</v>
      </c>
      <c r="G27" s="24">
        <v>0.041666666666666664</v>
      </c>
      <c r="H27" s="4">
        <v>3.0</v>
      </c>
      <c r="I27" s="4">
        <v>27.0</v>
      </c>
      <c r="J27" s="4" t="s">
        <v>227</v>
      </c>
      <c r="K27" s="4">
        <v>10.0</v>
      </c>
      <c r="L27" s="4">
        <v>27.0</v>
      </c>
      <c r="M27" s="4" t="s">
        <v>241</v>
      </c>
      <c r="AL27" s="4">
        <v>1.0</v>
      </c>
      <c r="BA27" s="4">
        <v>1.0</v>
      </c>
      <c r="BL27" s="4">
        <v>1.0</v>
      </c>
      <c r="CR27" s="4">
        <v>1.0</v>
      </c>
      <c r="EI27" s="4">
        <v>1.0</v>
      </c>
      <c r="FQ27" s="4">
        <v>1.0</v>
      </c>
    </row>
    <row r="28">
      <c r="A28" s="23">
        <v>38849.0</v>
      </c>
      <c r="B28" s="4" t="s">
        <v>219</v>
      </c>
      <c r="C28" s="4">
        <v>21.295799</v>
      </c>
      <c r="D28" s="4">
        <v>-158.103699</v>
      </c>
      <c r="E28" s="4" t="s">
        <v>197</v>
      </c>
      <c r="F28" s="24">
        <v>0.0</v>
      </c>
      <c r="G28" s="24">
        <v>0.041666666666666664</v>
      </c>
      <c r="H28" s="4">
        <v>4.0</v>
      </c>
      <c r="I28" s="4">
        <v>25.0</v>
      </c>
      <c r="J28" s="4" t="s">
        <v>237</v>
      </c>
      <c r="K28" s="4">
        <v>5.0</v>
      </c>
      <c r="L28" s="4">
        <v>14.0</v>
      </c>
      <c r="M28" s="4" t="s">
        <v>242</v>
      </c>
      <c r="AC28" s="4">
        <v>1.0</v>
      </c>
      <c r="AL28" s="4">
        <v>1.0</v>
      </c>
      <c r="BP28" s="4">
        <v>1.0</v>
      </c>
      <c r="BV28" s="4">
        <v>1.0</v>
      </c>
      <c r="DG28" s="4">
        <v>1.0</v>
      </c>
      <c r="DL28" s="4">
        <v>1.0</v>
      </c>
      <c r="EB28" s="4">
        <v>1.0</v>
      </c>
      <c r="EI28" s="4">
        <v>1.0</v>
      </c>
      <c r="EU28" s="4">
        <v>1.0</v>
      </c>
      <c r="FA28" s="4">
        <v>1.0</v>
      </c>
      <c r="FB28" s="4">
        <v>1.0</v>
      </c>
      <c r="FQ28" s="4">
        <v>1.0</v>
      </c>
      <c r="GB28" s="4">
        <v>1.0</v>
      </c>
    </row>
    <row r="29">
      <c r="A29" s="23">
        <v>38852.0</v>
      </c>
      <c r="B29" s="4" t="s">
        <v>216</v>
      </c>
      <c r="C29" s="4">
        <v>21.3002</v>
      </c>
      <c r="D29" s="4">
        <v>-157.882599</v>
      </c>
      <c r="E29" s="4" t="s">
        <v>197</v>
      </c>
      <c r="F29" s="24">
        <v>0.0</v>
      </c>
      <c r="G29" s="24">
        <v>0.041666666666666664</v>
      </c>
      <c r="H29" s="4">
        <v>7.0</v>
      </c>
      <c r="I29" s="4">
        <v>25.0</v>
      </c>
      <c r="J29" s="4" t="s">
        <v>237</v>
      </c>
      <c r="K29" s="4">
        <v>5.0</v>
      </c>
      <c r="L29" s="4">
        <v>23.0</v>
      </c>
      <c r="M29" s="4" t="s">
        <v>243</v>
      </c>
      <c r="Q29" s="4">
        <v>1.0</v>
      </c>
      <c r="AH29" s="4">
        <v>1.0</v>
      </c>
      <c r="BC29" s="4">
        <v>1.0</v>
      </c>
      <c r="BP29" s="4">
        <v>1.0</v>
      </c>
      <c r="BV29" s="4">
        <v>1.0</v>
      </c>
      <c r="CC29" s="4">
        <v>1.0</v>
      </c>
      <c r="DL29" s="4">
        <v>1.0</v>
      </c>
      <c r="DN29" s="4">
        <v>1.0</v>
      </c>
      <c r="DR29" s="4">
        <v>1.0</v>
      </c>
      <c r="EI29" s="4">
        <v>1.0</v>
      </c>
      <c r="FA29" s="4">
        <v>1.0</v>
      </c>
      <c r="FQ29" s="4">
        <v>1.0</v>
      </c>
    </row>
    <row r="30">
      <c r="A30" s="23">
        <v>38853.0</v>
      </c>
      <c r="B30" s="4" t="s">
        <v>244</v>
      </c>
      <c r="C30" s="4">
        <v>21.310612</v>
      </c>
      <c r="D30" s="4">
        <v>-158.00441</v>
      </c>
      <c r="E30" s="4" t="s">
        <v>197</v>
      </c>
      <c r="F30" s="24">
        <v>0.0</v>
      </c>
      <c r="G30" s="24">
        <v>0.041666666666666664</v>
      </c>
      <c r="H30" s="4">
        <v>4.0</v>
      </c>
      <c r="I30" s="4">
        <v>20.0</v>
      </c>
      <c r="J30" s="4" t="s">
        <v>245</v>
      </c>
      <c r="K30" s="4">
        <v>5.0</v>
      </c>
      <c r="L30" s="4">
        <v>4.0</v>
      </c>
      <c r="M30" s="4">
        <v>4.0</v>
      </c>
      <c r="Q30" s="4">
        <v>1.0</v>
      </c>
      <c r="AW30" s="4">
        <v>1.0</v>
      </c>
      <c r="BL30" s="4">
        <v>1.0</v>
      </c>
      <c r="BP30" s="4">
        <v>1.0</v>
      </c>
      <c r="BT30" s="4">
        <v>1.0</v>
      </c>
      <c r="BW30" s="4">
        <v>1.0</v>
      </c>
      <c r="CR30" s="4">
        <v>1.0</v>
      </c>
      <c r="DC30" s="4">
        <v>1.0</v>
      </c>
      <c r="DL30" s="4">
        <v>1.0</v>
      </c>
      <c r="DT30" s="4"/>
      <c r="DU30" s="4">
        <v>1.0</v>
      </c>
      <c r="EI30" s="4">
        <v>1.0</v>
      </c>
      <c r="FA30" s="4">
        <v>1.0</v>
      </c>
      <c r="FP30" s="4">
        <v>1.0</v>
      </c>
      <c r="FQ30" s="4">
        <v>1.0</v>
      </c>
    </row>
    <row r="31">
      <c r="A31" s="23">
        <v>38854.0</v>
      </c>
      <c r="B31" s="4" t="s">
        <v>246</v>
      </c>
      <c r="C31" s="4">
        <v>21.2882</v>
      </c>
      <c r="D31" s="4">
        <v>-157.667999</v>
      </c>
      <c r="E31" s="4" t="s">
        <v>197</v>
      </c>
      <c r="F31" s="24">
        <v>0.0</v>
      </c>
      <c r="G31" s="24">
        <v>0.041666666666666664</v>
      </c>
      <c r="H31" s="4">
        <v>3.0</v>
      </c>
      <c r="I31" s="4">
        <v>20.0</v>
      </c>
      <c r="J31" s="4" t="s">
        <v>245</v>
      </c>
      <c r="K31" s="4">
        <v>5.0</v>
      </c>
      <c r="L31" s="4">
        <v>4.0</v>
      </c>
      <c r="M31" s="4">
        <v>4.0</v>
      </c>
      <c r="Q31" s="4">
        <v>1.0</v>
      </c>
      <c r="BG31" s="4">
        <v>1.0</v>
      </c>
      <c r="BJ31" s="4">
        <v>1.0</v>
      </c>
      <c r="BV31" s="4">
        <v>1.0</v>
      </c>
      <c r="CI31" s="4">
        <v>1.0</v>
      </c>
      <c r="CN31" s="4">
        <v>1.0</v>
      </c>
      <c r="DL31" s="4">
        <v>1.0</v>
      </c>
      <c r="DN31" s="4">
        <v>1.0</v>
      </c>
      <c r="DY31" s="4">
        <v>1.0</v>
      </c>
      <c r="EI31" s="4">
        <v>1.0</v>
      </c>
      <c r="FA31" s="4">
        <v>1.0</v>
      </c>
      <c r="FP31" s="4">
        <v>1.0</v>
      </c>
      <c r="FQ31" s="4">
        <v>1.0</v>
      </c>
    </row>
    <row r="32">
      <c r="A32" s="23">
        <v>39177.0</v>
      </c>
      <c r="B32" s="4" t="s">
        <v>247</v>
      </c>
      <c r="C32" s="4">
        <v>19.488199</v>
      </c>
      <c r="D32" s="4">
        <v>-154.819305</v>
      </c>
      <c r="E32" s="4" t="s">
        <v>197</v>
      </c>
      <c r="F32" s="24">
        <v>0.0</v>
      </c>
      <c r="G32" s="24">
        <v>0.041666666666666664</v>
      </c>
      <c r="H32" s="4">
        <v>4.0</v>
      </c>
      <c r="I32" s="4">
        <v>20.0</v>
      </c>
      <c r="J32" s="4" t="s">
        <v>245</v>
      </c>
      <c r="K32" s="4">
        <v>5.0</v>
      </c>
      <c r="L32" s="4">
        <v>13.0</v>
      </c>
      <c r="M32" s="4" t="s">
        <v>248</v>
      </c>
      <c r="AL32" s="4">
        <v>1.0</v>
      </c>
      <c r="CB32" s="4">
        <v>1.0</v>
      </c>
      <c r="DL32" s="4">
        <v>1.0</v>
      </c>
      <c r="DW32" s="4">
        <v>1.0</v>
      </c>
      <c r="FL32" s="4">
        <v>1.0</v>
      </c>
      <c r="FQ32" s="4">
        <v>1.0</v>
      </c>
      <c r="GB32" s="4">
        <v>1.0</v>
      </c>
    </row>
    <row r="33">
      <c r="A33" s="23">
        <v>39190.0</v>
      </c>
      <c r="B33" s="4" t="s">
        <v>201</v>
      </c>
      <c r="C33" s="4">
        <v>21.25544</v>
      </c>
      <c r="D33" s="4">
        <v>-157.810303</v>
      </c>
      <c r="E33" s="4" t="s">
        <v>197</v>
      </c>
      <c r="F33" s="24">
        <v>0.0</v>
      </c>
      <c r="G33" s="24">
        <v>0.041666666666666664</v>
      </c>
      <c r="H33" s="4">
        <v>7.0</v>
      </c>
      <c r="I33" s="4">
        <v>11.0</v>
      </c>
      <c r="J33" s="4" t="s">
        <v>198</v>
      </c>
      <c r="K33" s="4">
        <v>12.0</v>
      </c>
      <c r="L33" s="4">
        <v>74.0</v>
      </c>
      <c r="M33" s="4" t="s">
        <v>249</v>
      </c>
      <c r="Q33" s="4">
        <v>1.0</v>
      </c>
      <c r="X33" s="4">
        <v>1.0</v>
      </c>
      <c r="AE33" s="4">
        <v>1.0</v>
      </c>
      <c r="AL33" s="4">
        <v>1.0</v>
      </c>
      <c r="AY33" s="4">
        <v>1.0</v>
      </c>
      <c r="BA33" s="4">
        <v>1.0</v>
      </c>
      <c r="BE33" s="4">
        <v>1.0</v>
      </c>
      <c r="BL33" s="4">
        <v>1.0</v>
      </c>
      <c r="BP33" s="4">
        <v>1.0</v>
      </c>
      <c r="BS33" s="4">
        <v>1.0</v>
      </c>
      <c r="BT33" s="4">
        <v>1.0</v>
      </c>
      <c r="BV33" s="4">
        <v>1.0</v>
      </c>
      <c r="BW33" s="4">
        <v>1.0</v>
      </c>
      <c r="BX33" s="4">
        <v>1.0</v>
      </c>
      <c r="CA33" s="4">
        <v>1.0</v>
      </c>
      <c r="CI33" s="4">
        <v>1.0</v>
      </c>
      <c r="CN33" s="4">
        <v>1.0</v>
      </c>
      <c r="CR33" s="4">
        <v>1.0</v>
      </c>
      <c r="CU33" s="4">
        <v>1.0</v>
      </c>
      <c r="DC33" s="4">
        <v>1.0</v>
      </c>
      <c r="DE33" s="4">
        <v>1.0</v>
      </c>
      <c r="DK33" s="4">
        <v>1.0</v>
      </c>
      <c r="DL33" s="4">
        <v>1.0</v>
      </c>
      <c r="DO33" s="4">
        <v>1.0</v>
      </c>
      <c r="DR33" s="4">
        <v>1.0</v>
      </c>
      <c r="DT33" s="4"/>
      <c r="DU33" s="4">
        <v>1.0</v>
      </c>
      <c r="EC33" s="4">
        <v>1.0</v>
      </c>
      <c r="EI33" s="4">
        <v>1.0</v>
      </c>
      <c r="EV33" s="4">
        <v>1.0</v>
      </c>
      <c r="FA33" s="4">
        <v>1.0</v>
      </c>
      <c r="FB33" s="4">
        <v>1.0</v>
      </c>
      <c r="FH33" s="4">
        <v>1.0</v>
      </c>
      <c r="FP33" s="4">
        <v>1.0</v>
      </c>
      <c r="FQ33" s="4">
        <v>1.0</v>
      </c>
      <c r="GA33" s="4">
        <v>1.0</v>
      </c>
      <c r="GB33" s="4">
        <v>1.0</v>
      </c>
      <c r="GD33" s="4">
        <v>1.0</v>
      </c>
    </row>
    <row r="34">
      <c r="A34" s="23">
        <v>39191.0</v>
      </c>
      <c r="B34" s="4" t="s">
        <v>250</v>
      </c>
      <c r="C34" s="4">
        <v>21.4104</v>
      </c>
      <c r="D34" s="4">
        <v>-158.177704</v>
      </c>
      <c r="E34" s="4" t="s">
        <v>197</v>
      </c>
      <c r="F34" s="24">
        <v>0.0</v>
      </c>
      <c r="G34" s="24">
        <v>0.041666666666666664</v>
      </c>
      <c r="H34" s="4">
        <v>10.0</v>
      </c>
      <c r="I34" s="4">
        <v>20.0</v>
      </c>
      <c r="J34" s="4" t="s">
        <v>245</v>
      </c>
      <c r="K34" s="4">
        <v>6.0</v>
      </c>
      <c r="L34" s="4">
        <v>15.0</v>
      </c>
      <c r="M34" s="4" t="s">
        <v>251</v>
      </c>
      <c r="Q34" s="4">
        <v>1.0</v>
      </c>
      <c r="R34" s="4">
        <v>1.0</v>
      </c>
      <c r="AI34" s="4"/>
      <c r="AJ34" s="4">
        <v>1.0</v>
      </c>
      <c r="BF34" s="4">
        <v>1.0</v>
      </c>
      <c r="BH34" s="4">
        <v>1.0</v>
      </c>
      <c r="BJ34" s="4">
        <v>1.0</v>
      </c>
      <c r="BX34" s="4">
        <v>1.0</v>
      </c>
      <c r="BY34" s="4">
        <v>1.0</v>
      </c>
      <c r="CB34" s="4">
        <v>1.0</v>
      </c>
      <c r="CC34" s="4">
        <v>1.0</v>
      </c>
      <c r="DG34" s="4">
        <v>1.0</v>
      </c>
      <c r="DK34" s="4">
        <v>1.0</v>
      </c>
      <c r="DL34" s="4">
        <v>1.0</v>
      </c>
      <c r="EI34" s="4">
        <v>1.0</v>
      </c>
      <c r="EV34" s="4">
        <v>1.0</v>
      </c>
      <c r="FB34" s="4">
        <v>1.0</v>
      </c>
      <c r="FD34" s="4">
        <v>1.0</v>
      </c>
      <c r="FP34" s="4">
        <v>1.0</v>
      </c>
      <c r="FQ34" s="4">
        <v>1.0</v>
      </c>
      <c r="FR34" s="4">
        <v>1.0</v>
      </c>
      <c r="GA34" s="4">
        <v>1.0</v>
      </c>
      <c r="GB34" s="4">
        <v>1.0</v>
      </c>
    </row>
    <row r="35">
      <c r="A35" s="23">
        <v>39191.0</v>
      </c>
      <c r="B35" s="4" t="s">
        <v>201</v>
      </c>
      <c r="C35" s="4">
        <v>21.25544</v>
      </c>
      <c r="D35" s="4">
        <v>-157.810303</v>
      </c>
      <c r="E35" s="4" t="s">
        <v>197</v>
      </c>
      <c r="F35" s="24">
        <v>0.0</v>
      </c>
      <c r="G35" s="24">
        <v>0.041666666666666664</v>
      </c>
      <c r="H35" s="4">
        <v>7.0</v>
      </c>
      <c r="I35" s="4">
        <v>11.0</v>
      </c>
      <c r="J35" s="4" t="s">
        <v>198</v>
      </c>
      <c r="K35" s="4">
        <v>12.0</v>
      </c>
      <c r="L35" s="4">
        <v>66.0</v>
      </c>
      <c r="M35" s="4" t="s">
        <v>252</v>
      </c>
      <c r="Q35" s="4">
        <v>1.0</v>
      </c>
      <c r="W35" s="4">
        <v>1.0</v>
      </c>
      <c r="Y35" s="4">
        <v>1.0</v>
      </c>
      <c r="AD35" s="4">
        <v>1.0</v>
      </c>
      <c r="AE35" s="4">
        <v>1.0</v>
      </c>
      <c r="AH35" s="4">
        <v>1.0</v>
      </c>
      <c r="AI35" s="4">
        <v>1.0</v>
      </c>
      <c r="AL35" s="4">
        <v>1.0</v>
      </c>
      <c r="BA35" s="4">
        <v>1.0</v>
      </c>
      <c r="BL35" s="4">
        <v>1.0</v>
      </c>
      <c r="BP35" s="4">
        <v>1.0</v>
      </c>
      <c r="BS35" s="4">
        <v>1.0</v>
      </c>
      <c r="BT35" s="4">
        <v>1.0</v>
      </c>
      <c r="BV35" s="4">
        <v>1.0</v>
      </c>
      <c r="BW35" s="4">
        <v>1.0</v>
      </c>
      <c r="BX35" s="4">
        <v>1.0</v>
      </c>
      <c r="CA35" s="4">
        <v>1.0</v>
      </c>
      <c r="CI35" s="4">
        <v>1.0</v>
      </c>
      <c r="CN35" s="4">
        <v>1.0</v>
      </c>
      <c r="CR35" s="4">
        <v>1.0</v>
      </c>
      <c r="CU35" s="4">
        <v>1.0</v>
      </c>
      <c r="DE35" s="4">
        <v>1.0</v>
      </c>
      <c r="DG35" s="4">
        <v>1.0</v>
      </c>
      <c r="DK35" s="4">
        <v>1.0</v>
      </c>
      <c r="DL35" s="4">
        <v>1.0</v>
      </c>
      <c r="DN35" s="4">
        <v>1.0</v>
      </c>
      <c r="DO35" s="4">
        <v>1.0</v>
      </c>
      <c r="DR35" s="4">
        <v>1.0</v>
      </c>
      <c r="DT35" s="4"/>
      <c r="DU35" s="4">
        <v>1.0</v>
      </c>
      <c r="DY35" s="4">
        <v>1.0</v>
      </c>
      <c r="EA35" s="4">
        <v>1.0</v>
      </c>
      <c r="EB35" s="4">
        <v>1.0</v>
      </c>
      <c r="EC35" s="4">
        <v>1.0</v>
      </c>
      <c r="EI35" s="4">
        <v>1.0</v>
      </c>
      <c r="EM35" s="4">
        <v>1.0</v>
      </c>
      <c r="EV35" s="4">
        <v>1.0</v>
      </c>
      <c r="FA35" s="4">
        <v>1.0</v>
      </c>
      <c r="FB35" s="4">
        <v>1.0</v>
      </c>
      <c r="FD35" s="4">
        <v>1.0</v>
      </c>
      <c r="FE35" s="4">
        <v>1.0</v>
      </c>
      <c r="FG35" s="4">
        <v>1.0</v>
      </c>
      <c r="FL35" s="4">
        <v>1.0</v>
      </c>
      <c r="FP35" s="4">
        <v>1.0</v>
      </c>
      <c r="FQ35" s="4">
        <v>1.0</v>
      </c>
      <c r="GA35" s="4">
        <v>1.0</v>
      </c>
      <c r="GB35" s="4">
        <v>1.0</v>
      </c>
    </row>
    <row r="36">
      <c r="A36" s="23">
        <v>39192.0</v>
      </c>
      <c r="B36" s="4" t="s">
        <v>230</v>
      </c>
      <c r="C36" s="4">
        <v>20.7537</v>
      </c>
      <c r="D36" s="4">
        <v>-156.460907</v>
      </c>
      <c r="E36" s="4" t="s">
        <v>197</v>
      </c>
      <c r="F36" s="24">
        <v>0.0</v>
      </c>
      <c r="G36" s="24">
        <v>0.041666666666666664</v>
      </c>
      <c r="H36" s="4">
        <v>4.0</v>
      </c>
      <c r="I36" s="4">
        <v>9.0</v>
      </c>
      <c r="J36" s="4" t="s">
        <v>198</v>
      </c>
      <c r="K36" s="4">
        <v>10.0</v>
      </c>
      <c r="L36" s="4">
        <v>36.0</v>
      </c>
      <c r="M36" s="4" t="s">
        <v>253</v>
      </c>
      <c r="Q36" s="4">
        <v>1.0</v>
      </c>
      <c r="Y36" s="4">
        <v>1.0</v>
      </c>
      <c r="AC36" s="4">
        <v>1.0</v>
      </c>
      <c r="AL36" s="4">
        <v>1.0</v>
      </c>
      <c r="AM36" s="4">
        <v>1.0</v>
      </c>
      <c r="AN36" s="4"/>
      <c r="AO36" s="4">
        <v>1.0</v>
      </c>
      <c r="BG36" s="4">
        <v>1.0</v>
      </c>
      <c r="BJ36" s="4">
        <v>1.0</v>
      </c>
      <c r="BL36" s="4">
        <v>1.0</v>
      </c>
      <c r="BW36" s="4">
        <v>1.0</v>
      </c>
      <c r="BX36" s="4">
        <v>1.0</v>
      </c>
      <c r="CB36" s="4">
        <v>1.0</v>
      </c>
      <c r="DE36" s="4">
        <v>1.0</v>
      </c>
      <c r="DG36" s="4">
        <v>1.0</v>
      </c>
      <c r="DL36" s="4">
        <v>1.0</v>
      </c>
      <c r="DR36" s="4">
        <v>1.0</v>
      </c>
      <c r="DV36" s="4">
        <v>1.0</v>
      </c>
      <c r="EI36" s="4">
        <v>1.0</v>
      </c>
      <c r="FA36" s="4">
        <v>1.0</v>
      </c>
      <c r="FG36" s="4">
        <v>1.0</v>
      </c>
      <c r="FQ36" s="4">
        <v>1.0</v>
      </c>
      <c r="FR36" s="4">
        <v>1.0</v>
      </c>
    </row>
    <row r="37">
      <c r="A37" s="23">
        <v>39192.0</v>
      </c>
      <c r="B37" s="4" t="s">
        <v>246</v>
      </c>
      <c r="C37" s="4">
        <v>21.2882</v>
      </c>
      <c r="D37" s="4">
        <v>-157.667999</v>
      </c>
      <c r="E37" s="4" t="s">
        <v>197</v>
      </c>
      <c r="F37" s="24">
        <v>0.0</v>
      </c>
      <c r="G37" s="24">
        <v>0.041666666666666664</v>
      </c>
      <c r="H37" s="4">
        <v>3.0</v>
      </c>
      <c r="I37" s="4">
        <v>20.0</v>
      </c>
      <c r="J37" s="4" t="s">
        <v>245</v>
      </c>
      <c r="K37" s="4">
        <v>7.0</v>
      </c>
      <c r="L37" s="4">
        <v>15.0</v>
      </c>
      <c r="M37" s="4" t="s">
        <v>254</v>
      </c>
      <c r="Q37" s="4">
        <v>1.0</v>
      </c>
      <c r="AA37" s="4">
        <v>1.0</v>
      </c>
      <c r="AL37" s="4">
        <v>1.0</v>
      </c>
      <c r="BA37" s="4">
        <v>1.0</v>
      </c>
      <c r="BE37" s="4">
        <v>1.0</v>
      </c>
      <c r="BG37" s="4">
        <v>1.0</v>
      </c>
      <c r="BJ37" s="4">
        <v>1.0</v>
      </c>
      <c r="BL37" s="4">
        <v>1.0</v>
      </c>
      <c r="BX37" s="4">
        <v>1.0</v>
      </c>
      <c r="CI37" s="4">
        <v>1.0</v>
      </c>
      <c r="DL37" s="4">
        <v>1.0</v>
      </c>
      <c r="DR37" s="4">
        <v>1.0</v>
      </c>
      <c r="EI37" s="4">
        <v>1.0</v>
      </c>
      <c r="EU37" s="4">
        <v>1.0</v>
      </c>
      <c r="EV37" s="4">
        <v>1.0</v>
      </c>
      <c r="FL37" s="4">
        <v>1.0</v>
      </c>
      <c r="FQ37" s="4">
        <v>1.0</v>
      </c>
    </row>
    <row r="38">
      <c r="A38" s="23">
        <v>39203.0</v>
      </c>
      <c r="B38" s="4" t="s">
        <v>230</v>
      </c>
      <c r="C38" s="4">
        <v>20.7537</v>
      </c>
      <c r="D38" s="4">
        <v>-156.460907</v>
      </c>
      <c r="E38" s="4" t="s">
        <v>197</v>
      </c>
      <c r="F38" s="24">
        <v>0.0</v>
      </c>
      <c r="G38" s="24">
        <v>0.041666666666666664</v>
      </c>
      <c r="H38" s="4">
        <v>5.0</v>
      </c>
      <c r="I38" s="4">
        <v>18.0</v>
      </c>
      <c r="J38" s="4" t="s">
        <v>217</v>
      </c>
      <c r="K38" s="4">
        <v>10.0</v>
      </c>
      <c r="L38" s="4">
        <v>43.0</v>
      </c>
      <c r="M38" s="4" t="s">
        <v>255</v>
      </c>
      <c r="Q38" s="4">
        <v>1.0</v>
      </c>
      <c r="AW38" s="4">
        <v>1.0</v>
      </c>
      <c r="BA38" s="4">
        <v>1.0</v>
      </c>
      <c r="BG38" s="4">
        <v>1.0</v>
      </c>
      <c r="BL38" s="4">
        <v>1.0</v>
      </c>
      <c r="BW38" s="4">
        <v>1.0</v>
      </c>
      <c r="BY38" s="4">
        <v>1.0</v>
      </c>
      <c r="CB38" s="4">
        <v>1.0</v>
      </c>
      <c r="CI38" s="4">
        <v>1.0</v>
      </c>
      <c r="CT38" s="4">
        <v>1.0</v>
      </c>
      <c r="DE38" s="4">
        <v>1.0</v>
      </c>
      <c r="DL38" s="4">
        <v>1.0</v>
      </c>
      <c r="DV38" s="4">
        <v>1.0</v>
      </c>
      <c r="EI38" s="4">
        <v>1.0</v>
      </c>
      <c r="FA38" s="4">
        <v>1.0</v>
      </c>
      <c r="FE38" s="4">
        <v>1.0</v>
      </c>
      <c r="FQ38" s="4">
        <v>1.0</v>
      </c>
      <c r="FR38" s="4">
        <v>1.0</v>
      </c>
      <c r="FT38" s="4">
        <v>1.0</v>
      </c>
      <c r="GA38" s="4">
        <v>1.0</v>
      </c>
      <c r="GB38" s="4">
        <v>1.0</v>
      </c>
    </row>
    <row r="39">
      <c r="A39" s="23">
        <v>39203.0</v>
      </c>
      <c r="B39" s="4" t="s">
        <v>216</v>
      </c>
      <c r="C39" s="4">
        <v>21.3002</v>
      </c>
      <c r="D39" s="4">
        <v>-157.882599</v>
      </c>
      <c r="E39" s="4" t="s">
        <v>197</v>
      </c>
      <c r="F39" s="24">
        <v>0.0</v>
      </c>
      <c r="G39" s="24">
        <v>0.041666666666666664</v>
      </c>
      <c r="H39" s="4">
        <v>4.0</v>
      </c>
      <c r="I39" s="4">
        <v>30.0</v>
      </c>
      <c r="J39" s="4" t="s">
        <v>227</v>
      </c>
      <c r="K39" s="4">
        <v>10.0</v>
      </c>
      <c r="L39" s="4">
        <v>36.0</v>
      </c>
      <c r="M39" s="4" t="s">
        <v>256</v>
      </c>
      <c r="Q39" s="4">
        <v>1.0</v>
      </c>
      <c r="AB39" s="4">
        <v>1.0</v>
      </c>
      <c r="AL39" s="4">
        <v>1.0</v>
      </c>
      <c r="BA39" s="4">
        <v>1.0</v>
      </c>
      <c r="BB39" s="4">
        <v>1.0</v>
      </c>
      <c r="BG39" s="4">
        <v>1.0</v>
      </c>
      <c r="BL39" s="4">
        <v>1.0</v>
      </c>
      <c r="CB39" s="4">
        <v>1.0</v>
      </c>
      <c r="CC39" s="4">
        <v>1.0</v>
      </c>
      <c r="CV39" s="4">
        <v>1.0</v>
      </c>
      <c r="DR39" s="4">
        <v>1.0</v>
      </c>
      <c r="DY39" s="4">
        <v>1.0</v>
      </c>
      <c r="EI39" s="4">
        <v>1.0</v>
      </c>
      <c r="FL39" s="4">
        <v>1.0</v>
      </c>
      <c r="FQ39" s="4">
        <v>1.0</v>
      </c>
      <c r="GB39" s="4">
        <v>1.0</v>
      </c>
    </row>
    <row r="40">
      <c r="A40" s="23">
        <v>39204.0</v>
      </c>
      <c r="B40" s="4" t="s">
        <v>219</v>
      </c>
      <c r="C40" s="4">
        <v>21.295799</v>
      </c>
      <c r="D40" s="4">
        <v>-158.103699</v>
      </c>
      <c r="E40" s="4" t="s">
        <v>197</v>
      </c>
      <c r="F40" s="24">
        <v>0.0</v>
      </c>
      <c r="G40" s="24">
        <v>0.041666666666666664</v>
      </c>
      <c r="H40" s="4">
        <v>5.0</v>
      </c>
      <c r="I40" s="4">
        <v>30.0</v>
      </c>
      <c r="J40" s="4" t="s">
        <v>237</v>
      </c>
      <c r="K40" s="4">
        <v>7.0</v>
      </c>
      <c r="L40" s="4">
        <v>22.0</v>
      </c>
      <c r="M40" s="4" t="s">
        <v>257</v>
      </c>
      <c r="Q40" s="4">
        <v>1.0</v>
      </c>
      <c r="AE40" s="4">
        <v>1.0</v>
      </c>
      <c r="AL40" s="4">
        <v>1.0</v>
      </c>
      <c r="BA40" s="4">
        <v>1.0</v>
      </c>
      <c r="BC40" s="4">
        <v>1.0</v>
      </c>
      <c r="BL40" s="4">
        <v>1.0</v>
      </c>
      <c r="BV40" s="4">
        <v>1.0</v>
      </c>
      <c r="BW40" s="4">
        <v>1.0</v>
      </c>
      <c r="CN40" s="4">
        <v>1.0</v>
      </c>
      <c r="CR40" s="4">
        <v>1.0</v>
      </c>
      <c r="DL40" s="4">
        <v>1.0</v>
      </c>
      <c r="DR40" s="4">
        <v>1.0</v>
      </c>
      <c r="DY40" s="4">
        <v>1.0</v>
      </c>
      <c r="EB40" s="4">
        <v>1.0</v>
      </c>
      <c r="EC40" s="4">
        <v>1.0</v>
      </c>
      <c r="EI40" s="4">
        <v>1.0</v>
      </c>
      <c r="FA40" s="4">
        <v>1.0</v>
      </c>
      <c r="FB40" s="4">
        <v>1.0</v>
      </c>
      <c r="FD40" s="4">
        <v>1.0</v>
      </c>
      <c r="FG40" s="4">
        <v>1.0</v>
      </c>
      <c r="FQ40" s="4">
        <v>1.0</v>
      </c>
      <c r="GB40" s="4">
        <v>1.0</v>
      </c>
    </row>
    <row r="41">
      <c r="A41" s="23">
        <v>39206.0</v>
      </c>
      <c r="B41" s="4" t="s">
        <v>216</v>
      </c>
      <c r="C41" s="4">
        <v>21.3002</v>
      </c>
      <c r="D41" s="4">
        <v>-157.882599</v>
      </c>
      <c r="E41" s="4" t="s">
        <v>197</v>
      </c>
      <c r="F41" s="24">
        <v>0.0</v>
      </c>
      <c r="G41" s="24">
        <v>0.041666666666666664</v>
      </c>
      <c r="H41" s="4">
        <v>4.0</v>
      </c>
      <c r="I41" s="4">
        <v>30.0</v>
      </c>
      <c r="J41" s="4" t="s">
        <v>237</v>
      </c>
      <c r="K41" s="4">
        <v>7.0</v>
      </c>
      <c r="L41" s="4">
        <v>20.0</v>
      </c>
      <c r="M41" s="4" t="s">
        <v>258</v>
      </c>
      <c r="Q41" s="4">
        <v>1.0</v>
      </c>
      <c r="AD41" s="4">
        <v>1.0</v>
      </c>
      <c r="AL41" s="4">
        <v>1.0</v>
      </c>
      <c r="AM41" s="4">
        <v>1.0</v>
      </c>
      <c r="BC41" s="4">
        <v>1.0</v>
      </c>
      <c r="BG41" s="4">
        <v>1.0</v>
      </c>
      <c r="BL41" s="4">
        <v>1.0</v>
      </c>
      <c r="BV41" s="4">
        <v>1.0</v>
      </c>
      <c r="CV41" s="4">
        <v>1.0</v>
      </c>
      <c r="DP41" s="4">
        <v>1.0</v>
      </c>
      <c r="DR41" s="4">
        <v>1.0</v>
      </c>
      <c r="EI41" s="4">
        <v>1.0</v>
      </c>
      <c r="FE41" s="4">
        <v>1.0</v>
      </c>
      <c r="FI41" s="4">
        <v>1.0</v>
      </c>
      <c r="FL41" s="4">
        <v>1.0</v>
      </c>
      <c r="FQ41" s="4">
        <v>1.0</v>
      </c>
    </row>
    <row r="42">
      <c r="A42" s="23">
        <v>39217.0</v>
      </c>
      <c r="B42" s="4" t="s">
        <v>259</v>
      </c>
      <c r="C42" s="4">
        <v>19.737894</v>
      </c>
      <c r="D42" s="4">
        <v>-155.034058</v>
      </c>
      <c r="E42" s="4" t="s">
        <v>197</v>
      </c>
      <c r="F42" s="24">
        <v>0.0</v>
      </c>
      <c r="G42" s="24">
        <v>0.041666666666666664</v>
      </c>
      <c r="H42" s="4">
        <v>6.0</v>
      </c>
      <c r="I42" s="4">
        <v>18.0</v>
      </c>
      <c r="J42" s="4" t="s">
        <v>227</v>
      </c>
      <c r="K42" s="4">
        <v>7.0</v>
      </c>
      <c r="L42" s="4">
        <v>22.0</v>
      </c>
      <c r="M42" s="4" t="s">
        <v>260</v>
      </c>
      <c r="AJ42" s="4">
        <v>1.0</v>
      </c>
      <c r="BT42" s="4">
        <v>1.0</v>
      </c>
      <c r="BW42" s="4">
        <v>1.0</v>
      </c>
      <c r="CB42" s="4">
        <v>1.0</v>
      </c>
      <c r="CN42" s="4">
        <v>1.0</v>
      </c>
      <c r="DG42" s="4">
        <v>1.0</v>
      </c>
      <c r="EC42" s="4">
        <v>1.0</v>
      </c>
      <c r="EI42" s="4">
        <v>1.0</v>
      </c>
      <c r="FQ42" s="4">
        <v>1.0</v>
      </c>
      <c r="GA42" s="4">
        <v>1.0</v>
      </c>
      <c r="GB42" s="4">
        <v>1.0</v>
      </c>
    </row>
    <row r="43">
      <c r="A43" s="23">
        <v>39218.0</v>
      </c>
      <c r="B43" s="4" t="s">
        <v>216</v>
      </c>
      <c r="C43" s="4">
        <v>21.3002</v>
      </c>
      <c r="D43" s="4">
        <v>-157.882599</v>
      </c>
      <c r="E43" s="4" t="s">
        <v>197</v>
      </c>
      <c r="F43" s="24">
        <v>0.0</v>
      </c>
      <c r="G43" s="24">
        <v>0.041666666666666664</v>
      </c>
      <c r="H43" s="4">
        <v>5.0</v>
      </c>
      <c r="I43" s="4">
        <v>30.0</v>
      </c>
      <c r="J43" s="4" t="s">
        <v>237</v>
      </c>
      <c r="K43" s="4">
        <v>7.0</v>
      </c>
      <c r="L43" s="4">
        <v>15.0</v>
      </c>
      <c r="M43" s="4" t="s">
        <v>261</v>
      </c>
      <c r="Q43" s="4">
        <v>1.0</v>
      </c>
      <c r="BC43" s="4">
        <v>1.0</v>
      </c>
      <c r="BJ43" s="4">
        <v>1.0</v>
      </c>
      <c r="BV43" s="4">
        <v>1.0</v>
      </c>
      <c r="DP43" s="4">
        <v>1.0</v>
      </c>
      <c r="DR43" s="4">
        <v>1.0</v>
      </c>
      <c r="EI43" s="4">
        <v>1.0</v>
      </c>
      <c r="FM43" s="4">
        <v>1.0</v>
      </c>
      <c r="FQ43" s="4">
        <v>1.0</v>
      </c>
      <c r="GA43" s="4">
        <v>1.0</v>
      </c>
    </row>
    <row r="44">
      <c r="A44" s="23">
        <v>39219.0</v>
      </c>
      <c r="B44" s="4" t="s">
        <v>247</v>
      </c>
      <c r="C44" s="4">
        <v>19.488199</v>
      </c>
      <c r="D44" s="4">
        <v>-154.819305</v>
      </c>
      <c r="E44" s="4" t="s">
        <v>197</v>
      </c>
      <c r="F44" s="24">
        <v>0.0</v>
      </c>
      <c r="G44" s="24">
        <v>0.041666666666666664</v>
      </c>
      <c r="H44" s="4">
        <v>5.0</v>
      </c>
      <c r="I44" s="4">
        <v>20.0</v>
      </c>
      <c r="J44" s="4" t="s">
        <v>217</v>
      </c>
      <c r="K44" s="4">
        <v>10.0</v>
      </c>
      <c r="L44" s="4">
        <v>49.0</v>
      </c>
      <c r="M44" s="4" t="s">
        <v>262</v>
      </c>
      <c r="AL44" s="4">
        <v>1.0</v>
      </c>
      <c r="BJ44" s="4">
        <v>1.0</v>
      </c>
      <c r="BL44" s="4">
        <v>1.0</v>
      </c>
      <c r="BW44" s="4">
        <v>1.0</v>
      </c>
      <c r="CB44" s="4">
        <v>1.0</v>
      </c>
      <c r="CC44" s="4">
        <v>1.0</v>
      </c>
      <c r="DK44" s="4">
        <v>1.0</v>
      </c>
      <c r="DL44" s="4">
        <v>1.0</v>
      </c>
      <c r="DN44" s="4">
        <v>1.0</v>
      </c>
      <c r="DP44" s="4">
        <v>1.0</v>
      </c>
      <c r="DR44" s="4">
        <v>1.0</v>
      </c>
      <c r="DW44" s="4">
        <v>1.0</v>
      </c>
      <c r="EG44" s="4">
        <v>1.0</v>
      </c>
      <c r="EI44" s="4">
        <v>1.0</v>
      </c>
      <c r="EO44" s="4">
        <v>1.0</v>
      </c>
      <c r="EQ44" s="4">
        <v>1.0</v>
      </c>
      <c r="FF44" s="4">
        <v>1.0</v>
      </c>
      <c r="FL44" s="4">
        <v>1.0</v>
      </c>
      <c r="FQ44" s="4">
        <v>1.0</v>
      </c>
      <c r="FT44" s="4">
        <v>1.0</v>
      </c>
      <c r="GA44" s="4">
        <v>1.0</v>
      </c>
      <c r="GB44" s="4">
        <v>1.0</v>
      </c>
      <c r="GD44" s="4">
        <v>1.0</v>
      </c>
    </row>
    <row r="45">
      <c r="A45" s="23">
        <v>39220.0</v>
      </c>
      <c r="B45" s="4" t="s">
        <v>219</v>
      </c>
      <c r="C45" s="4">
        <v>21.295799</v>
      </c>
      <c r="D45" s="4">
        <v>-158.103699</v>
      </c>
      <c r="E45" s="4" t="s">
        <v>197</v>
      </c>
      <c r="F45" s="24">
        <v>0.0</v>
      </c>
      <c r="G45" s="24">
        <v>0.041666666666666664</v>
      </c>
      <c r="H45" s="4">
        <v>5.0</v>
      </c>
      <c r="I45" s="4">
        <v>30.0</v>
      </c>
      <c r="J45" s="4" t="s">
        <v>237</v>
      </c>
      <c r="K45" s="4">
        <v>7.0</v>
      </c>
      <c r="L45" s="4">
        <v>28.0</v>
      </c>
      <c r="M45" s="4" t="s">
        <v>263</v>
      </c>
      <c r="Q45" s="4">
        <v>1.0</v>
      </c>
      <c r="AL45" s="4">
        <v>1.0</v>
      </c>
      <c r="BA45" s="4">
        <v>1.0</v>
      </c>
      <c r="BL45" s="4">
        <v>1.0</v>
      </c>
      <c r="BS45" s="4">
        <v>1.0</v>
      </c>
      <c r="BV45" s="4">
        <v>1.0</v>
      </c>
      <c r="BW45" s="4">
        <v>1.0</v>
      </c>
      <c r="CB45" s="4">
        <v>1.0</v>
      </c>
      <c r="DC45" s="4">
        <v>1.0</v>
      </c>
      <c r="DD45" s="4">
        <v>1.0</v>
      </c>
      <c r="DG45" s="4">
        <v>1.0</v>
      </c>
      <c r="DK45" s="4">
        <v>1.0</v>
      </c>
      <c r="DL45" s="4">
        <v>1.0</v>
      </c>
      <c r="DR45" s="4">
        <v>1.0</v>
      </c>
      <c r="DT45" s="4"/>
      <c r="DU45" s="4">
        <v>1.0</v>
      </c>
      <c r="EB45" s="4">
        <v>1.0</v>
      </c>
      <c r="EI45" s="4">
        <v>1.0</v>
      </c>
      <c r="EV45" s="4">
        <v>1.0</v>
      </c>
      <c r="FA45" s="4">
        <v>1.0</v>
      </c>
      <c r="FB45" s="4">
        <v>1.0</v>
      </c>
      <c r="FG45" s="4">
        <v>1.0</v>
      </c>
      <c r="FL45" s="4">
        <v>1.0</v>
      </c>
      <c r="FQ45" s="4">
        <v>1.0</v>
      </c>
      <c r="GA45" s="4">
        <v>1.0</v>
      </c>
      <c r="GB45" s="4">
        <v>1.0</v>
      </c>
    </row>
    <row r="46">
      <c r="A46" s="23">
        <v>39501.0</v>
      </c>
      <c r="B46" s="4" t="s">
        <v>250</v>
      </c>
      <c r="C46" s="4">
        <v>21.4104</v>
      </c>
      <c r="D46" s="4">
        <v>-158.177704</v>
      </c>
      <c r="E46" s="4" t="s">
        <v>197</v>
      </c>
      <c r="F46" s="24">
        <v>0.0</v>
      </c>
      <c r="G46" s="24">
        <v>0.041666666666666664</v>
      </c>
      <c r="H46" s="4">
        <v>4.0</v>
      </c>
      <c r="I46" s="4">
        <v>21.0</v>
      </c>
      <c r="J46" s="4" t="s">
        <v>217</v>
      </c>
      <c r="K46" s="4">
        <v>11.0</v>
      </c>
      <c r="L46" s="4">
        <v>41.0</v>
      </c>
      <c r="M46" s="4" t="s">
        <v>264</v>
      </c>
      <c r="Q46" s="4">
        <v>1.0</v>
      </c>
      <c r="X46" s="4"/>
      <c r="Y46" s="4">
        <v>1.0</v>
      </c>
      <c r="AL46" s="4">
        <v>1.0</v>
      </c>
      <c r="AQ46" s="4">
        <v>1.0</v>
      </c>
      <c r="AW46" s="4">
        <v>1.0</v>
      </c>
      <c r="BG46" s="4">
        <v>1.0</v>
      </c>
      <c r="BL46" s="4">
        <v>1.0</v>
      </c>
      <c r="BP46" s="4">
        <v>1.0</v>
      </c>
      <c r="BU46" s="4">
        <v>1.0</v>
      </c>
      <c r="BY46" s="4">
        <v>1.0</v>
      </c>
      <c r="CB46" s="4">
        <v>1.0</v>
      </c>
      <c r="CC46" s="4">
        <v>1.0</v>
      </c>
      <c r="CI46" s="4">
        <v>1.0</v>
      </c>
      <c r="CJ46" s="4">
        <v>1.0</v>
      </c>
      <c r="DC46" s="4">
        <v>1.0</v>
      </c>
      <c r="DE46" s="4">
        <v>1.0</v>
      </c>
      <c r="DL46" s="4">
        <v>1.0</v>
      </c>
      <c r="DR46" s="4">
        <v>1.0</v>
      </c>
      <c r="EI46" s="4">
        <v>1.0</v>
      </c>
      <c r="EU46" s="4">
        <v>1.0</v>
      </c>
      <c r="FL46" s="4">
        <v>1.0</v>
      </c>
      <c r="FQ46" s="4">
        <v>1.0</v>
      </c>
      <c r="FR46" s="4">
        <v>1.0</v>
      </c>
    </row>
    <row r="47">
      <c r="A47" s="23">
        <v>42420.0</v>
      </c>
      <c r="B47" s="4" t="s">
        <v>216</v>
      </c>
      <c r="C47" s="4">
        <v>21.3002</v>
      </c>
      <c r="D47" s="4">
        <v>-157.882599</v>
      </c>
      <c r="E47" s="4" t="s">
        <v>197</v>
      </c>
      <c r="F47" s="24">
        <v>0.3638888888888889</v>
      </c>
      <c r="G47" s="24">
        <v>0.4305555555555556</v>
      </c>
      <c r="H47" s="4">
        <v>7.0</v>
      </c>
      <c r="I47" s="4">
        <v>25.0</v>
      </c>
      <c r="J47" s="4" t="s">
        <v>198</v>
      </c>
      <c r="K47" s="4">
        <v>13.0</v>
      </c>
      <c r="L47" s="4">
        <v>75.0</v>
      </c>
      <c r="M47" s="4" t="s">
        <v>265</v>
      </c>
      <c r="Q47" s="4">
        <v>1.0</v>
      </c>
      <c r="R47" s="4">
        <v>1.0</v>
      </c>
      <c r="AA47" s="4">
        <v>1.0</v>
      </c>
      <c r="AB47" s="4">
        <v>1.0</v>
      </c>
      <c r="AD47" s="4">
        <v>1.0</v>
      </c>
      <c r="AF47" s="4">
        <v>1.0</v>
      </c>
      <c r="AG47" s="4">
        <v>1.0</v>
      </c>
      <c r="AH47" s="4">
        <v>1.0</v>
      </c>
      <c r="AL47" s="4">
        <v>1.0</v>
      </c>
      <c r="AW47" s="4">
        <v>1.0</v>
      </c>
      <c r="BD47" s="4">
        <v>1.0</v>
      </c>
      <c r="BJ47" s="4">
        <v>1.0</v>
      </c>
      <c r="BL47" s="4">
        <v>1.0</v>
      </c>
      <c r="BM47" s="4">
        <v>1.0</v>
      </c>
      <c r="BP47" s="4">
        <v>1.0</v>
      </c>
      <c r="BU47" s="4">
        <v>1.0</v>
      </c>
      <c r="BY47" s="4">
        <v>1.0</v>
      </c>
      <c r="CB47" s="4">
        <v>1.0</v>
      </c>
      <c r="CU47" s="4">
        <v>1.0</v>
      </c>
      <c r="CV47" s="4">
        <v>1.0</v>
      </c>
      <c r="CW47" s="4">
        <v>1.0</v>
      </c>
      <c r="DF47" s="4">
        <v>1.0</v>
      </c>
      <c r="DM47" s="4">
        <v>1.0</v>
      </c>
      <c r="DN47" s="4">
        <v>1.0</v>
      </c>
      <c r="DP47" s="4">
        <v>1.0</v>
      </c>
      <c r="EB47" s="4">
        <v>1.0</v>
      </c>
      <c r="EI47" s="4">
        <v>1.0</v>
      </c>
      <c r="FC47" s="4"/>
      <c r="FE47" s="4">
        <v>1.0</v>
      </c>
      <c r="FI47" s="4"/>
      <c r="FJ47" s="4"/>
      <c r="FK47" s="4">
        <v>1.0</v>
      </c>
      <c r="FO47" s="4">
        <v>1.0</v>
      </c>
      <c r="FQ47" s="4">
        <v>1.0</v>
      </c>
      <c r="FS47" s="4">
        <v>1.0</v>
      </c>
    </row>
    <row r="48">
      <c r="A48" s="23">
        <v>42427.0</v>
      </c>
      <c r="B48" s="4" t="s">
        <v>266</v>
      </c>
      <c r="C48" s="4">
        <v>22.060684</v>
      </c>
      <c r="D48" s="4">
        <v>-159.318512</v>
      </c>
      <c r="E48" s="4" t="s">
        <v>197</v>
      </c>
      <c r="F48" s="24">
        <v>0.4826388888888889</v>
      </c>
      <c r="G48" s="24">
        <v>0.5416666666666666</v>
      </c>
      <c r="H48" s="4">
        <v>3.0</v>
      </c>
      <c r="I48" s="4">
        <v>16.0</v>
      </c>
      <c r="J48" s="4" t="s">
        <v>198</v>
      </c>
      <c r="K48" s="4">
        <v>15.0</v>
      </c>
      <c r="L48" s="4">
        <v>40.0</v>
      </c>
      <c r="M48" s="4" t="s">
        <v>267</v>
      </c>
      <c r="Q48" s="4">
        <v>1.0</v>
      </c>
      <c r="S48" s="4">
        <v>1.0</v>
      </c>
      <c r="V48" s="4"/>
      <c r="W48" s="4">
        <v>1.0</v>
      </c>
      <c r="AA48" s="4">
        <v>1.0</v>
      </c>
      <c r="AB48" s="4">
        <v>1.0</v>
      </c>
      <c r="AC48" s="4">
        <v>1.0</v>
      </c>
      <c r="AF48" s="4">
        <v>1.0</v>
      </c>
      <c r="AH48" s="4">
        <v>1.0</v>
      </c>
      <c r="AL48" s="4">
        <v>1.0</v>
      </c>
      <c r="AW48" s="4">
        <v>1.0</v>
      </c>
      <c r="BA48" s="4">
        <v>1.0</v>
      </c>
      <c r="BM48" s="4">
        <v>1.0</v>
      </c>
      <c r="BU48" s="4">
        <v>1.0</v>
      </c>
      <c r="DF48" s="4">
        <v>1.0</v>
      </c>
      <c r="DL48" s="4">
        <v>1.0</v>
      </c>
      <c r="DN48" s="4">
        <v>1.0</v>
      </c>
      <c r="DT48" s="4"/>
      <c r="DU48" s="4">
        <v>1.0</v>
      </c>
      <c r="EI48" s="4">
        <v>1.0</v>
      </c>
      <c r="EM48" s="4">
        <v>1.0</v>
      </c>
      <c r="FA48" s="4">
        <v>1.0</v>
      </c>
      <c r="FH48" s="4">
        <v>1.0</v>
      </c>
      <c r="FP48" s="4">
        <v>1.0</v>
      </c>
      <c r="FQ48" s="4">
        <v>1.0</v>
      </c>
      <c r="GD48" s="4">
        <v>1.0</v>
      </c>
    </row>
    <row r="49">
      <c r="A49" s="23">
        <v>42428.0</v>
      </c>
      <c r="B49" s="4" t="s">
        <v>266</v>
      </c>
      <c r="C49" s="4">
        <v>22.060684</v>
      </c>
      <c r="D49" s="4">
        <v>-159.318512</v>
      </c>
      <c r="E49" s="4" t="s">
        <v>197</v>
      </c>
      <c r="F49" s="24">
        <v>0.4895833333333333</v>
      </c>
      <c r="G49" s="24">
        <v>0.5625</v>
      </c>
      <c r="H49" s="4">
        <v>3.0</v>
      </c>
      <c r="I49" s="4">
        <v>21.0</v>
      </c>
      <c r="J49" s="4" t="s">
        <v>198</v>
      </c>
      <c r="K49" s="4">
        <v>15.0</v>
      </c>
      <c r="L49" s="4">
        <v>43.0</v>
      </c>
      <c r="M49" s="4" t="s">
        <v>268</v>
      </c>
      <c r="Q49" s="4">
        <v>1.0</v>
      </c>
      <c r="S49" s="4">
        <v>1.0</v>
      </c>
      <c r="AA49" s="4">
        <v>1.0</v>
      </c>
      <c r="AC49" s="4">
        <v>1.0</v>
      </c>
      <c r="AL49" s="4">
        <v>1.0</v>
      </c>
      <c r="AW49" s="4">
        <v>1.0</v>
      </c>
      <c r="AY49" s="4">
        <v>1.0</v>
      </c>
      <c r="BA49" s="4">
        <v>1.0</v>
      </c>
      <c r="BL49" s="4">
        <v>1.0</v>
      </c>
      <c r="BM49" s="4">
        <v>1.0</v>
      </c>
      <c r="BN49" s="4"/>
      <c r="BO49" s="4">
        <v>1.0</v>
      </c>
      <c r="BP49" s="4">
        <v>1.0</v>
      </c>
      <c r="BU49" s="4">
        <v>1.0</v>
      </c>
      <c r="BY49" s="4">
        <v>1.0</v>
      </c>
      <c r="CJ49" s="4">
        <v>1.0</v>
      </c>
      <c r="DF49" s="4">
        <v>1.0</v>
      </c>
      <c r="DL49" s="4">
        <v>1.0</v>
      </c>
      <c r="DT49" s="4"/>
      <c r="DU49" s="4">
        <v>1.0</v>
      </c>
      <c r="EI49" s="4">
        <v>1.0</v>
      </c>
      <c r="FA49" s="4">
        <v>1.0</v>
      </c>
      <c r="FB49" s="4">
        <v>1.0</v>
      </c>
      <c r="FP49" s="4">
        <v>1.0</v>
      </c>
      <c r="FQ49" s="4">
        <v>1.0</v>
      </c>
    </row>
    <row r="50">
      <c r="A50" s="23">
        <v>42437.0</v>
      </c>
      <c r="B50" s="4" t="s">
        <v>219</v>
      </c>
      <c r="C50" s="4">
        <v>21.295799</v>
      </c>
      <c r="D50" s="4">
        <v>-158.103699</v>
      </c>
      <c r="E50" s="4" t="s">
        <v>269</v>
      </c>
      <c r="F50" s="24">
        <v>0.4201388888888889</v>
      </c>
      <c r="G50" s="24">
        <v>0.4722222222222222</v>
      </c>
      <c r="H50" s="4">
        <v>7.0</v>
      </c>
      <c r="I50" s="4">
        <v>20.0</v>
      </c>
      <c r="J50" s="4" t="s">
        <v>198</v>
      </c>
      <c r="K50" s="4">
        <v>8.0</v>
      </c>
      <c r="L50" s="4">
        <v>44.0</v>
      </c>
      <c r="M50" s="4" t="s">
        <v>270</v>
      </c>
      <c r="N50" s="4" t="s">
        <v>271</v>
      </c>
      <c r="Q50" s="4">
        <v>1.0</v>
      </c>
      <c r="V50" s="4">
        <v>1.0</v>
      </c>
      <c r="AB50" s="4">
        <v>1.0</v>
      </c>
      <c r="AL50" s="4">
        <v>1.0</v>
      </c>
      <c r="BD50" s="4">
        <v>1.0</v>
      </c>
      <c r="BJ50" s="4">
        <v>1.0</v>
      </c>
      <c r="BL50" s="4">
        <v>1.0</v>
      </c>
      <c r="BU50" s="4">
        <v>1.0</v>
      </c>
      <c r="BY50" s="4">
        <v>1.0</v>
      </c>
      <c r="CN50" s="4">
        <v>1.0</v>
      </c>
      <c r="DF50" s="4">
        <v>1.0</v>
      </c>
      <c r="DL50" s="4">
        <v>1.0</v>
      </c>
      <c r="DY50" s="4">
        <v>1.0</v>
      </c>
      <c r="EI50" s="4">
        <v>1.0</v>
      </c>
      <c r="FA50" s="4">
        <v>1.0</v>
      </c>
      <c r="FC50" s="4"/>
      <c r="FE50" s="4">
        <v>1.0</v>
      </c>
      <c r="FP50" s="4">
        <v>1.0</v>
      </c>
      <c r="FQ50" s="4">
        <v>1.0</v>
      </c>
      <c r="FR50" s="4">
        <v>2.0</v>
      </c>
    </row>
    <row r="51">
      <c r="A51" s="23">
        <v>42439.0</v>
      </c>
      <c r="B51" s="4" t="s">
        <v>216</v>
      </c>
      <c r="C51" s="4">
        <v>21.3002</v>
      </c>
      <c r="D51" s="4">
        <v>-157.882599</v>
      </c>
      <c r="E51" s="4" t="s">
        <v>272</v>
      </c>
      <c r="F51" s="24">
        <v>0.43194444444444446</v>
      </c>
      <c r="G51" s="24">
        <v>0.4798611111111111</v>
      </c>
      <c r="H51" s="4">
        <v>7.0</v>
      </c>
      <c r="I51" s="4">
        <v>21.0</v>
      </c>
      <c r="J51" s="4" t="s">
        <v>198</v>
      </c>
      <c r="K51" s="4">
        <v>6.0</v>
      </c>
      <c r="L51" s="4">
        <v>36.0</v>
      </c>
      <c r="M51" s="4" t="s">
        <v>273</v>
      </c>
      <c r="AI51" s="4"/>
      <c r="AJ51" s="4">
        <v>1.0</v>
      </c>
      <c r="AK51" s="4">
        <v>1.0</v>
      </c>
      <c r="AL51" s="4">
        <v>1.0</v>
      </c>
      <c r="BD51" s="4">
        <v>1.0</v>
      </c>
      <c r="BL51" s="4">
        <v>1.0</v>
      </c>
      <c r="BM51" s="4">
        <v>1.0</v>
      </c>
      <c r="BP51" s="4">
        <v>1.0</v>
      </c>
      <c r="BU51" s="4">
        <v>1.0</v>
      </c>
      <c r="CC51" s="4">
        <v>1.0</v>
      </c>
      <c r="CJ51" s="4">
        <v>1.0</v>
      </c>
      <c r="CP51" s="4">
        <v>1.0</v>
      </c>
      <c r="DF51" s="4">
        <v>1.0</v>
      </c>
      <c r="DH51" s="4">
        <v>1.0</v>
      </c>
      <c r="DP51" s="4">
        <v>1.0</v>
      </c>
      <c r="EI51" s="4">
        <v>1.0</v>
      </c>
      <c r="ET51" s="4">
        <v>1.0</v>
      </c>
      <c r="FA51" s="4">
        <v>1.0</v>
      </c>
      <c r="FC51" s="4"/>
      <c r="FE51" s="4">
        <v>1.0</v>
      </c>
      <c r="FI51" s="4"/>
      <c r="FJ51" s="4">
        <v>1.0</v>
      </c>
      <c r="FK51" s="4">
        <v>1.0</v>
      </c>
      <c r="FQ51" s="4">
        <v>1.0</v>
      </c>
    </row>
    <row r="52">
      <c r="A52" s="23">
        <v>42439.0</v>
      </c>
      <c r="B52" s="4" t="s">
        <v>266</v>
      </c>
      <c r="C52" s="4">
        <v>22.060684</v>
      </c>
      <c r="D52" s="4">
        <v>-159.318512</v>
      </c>
      <c r="E52" s="4" t="s">
        <v>274</v>
      </c>
      <c r="F52" s="24">
        <v>0.375</v>
      </c>
      <c r="G52" s="24">
        <v>0.5416666666666666</v>
      </c>
      <c r="H52" s="4">
        <v>4.0</v>
      </c>
      <c r="I52" s="4">
        <v>11.0</v>
      </c>
      <c r="J52" s="4" t="s">
        <v>198</v>
      </c>
      <c r="K52" s="4">
        <v>10.0</v>
      </c>
      <c r="L52" s="4">
        <v>23.0</v>
      </c>
      <c r="M52" s="4" t="s">
        <v>275</v>
      </c>
      <c r="Q52" s="4">
        <v>1.0</v>
      </c>
      <c r="AB52" s="4">
        <v>1.0</v>
      </c>
      <c r="AK52" s="4">
        <v>1.0</v>
      </c>
      <c r="AL52" s="4">
        <v>1.0</v>
      </c>
      <c r="AM52" s="4">
        <v>1.0</v>
      </c>
      <c r="AT52" s="4">
        <v>1.0</v>
      </c>
      <c r="BD52" s="4">
        <v>1.0</v>
      </c>
      <c r="BG52" s="4">
        <v>1.0</v>
      </c>
      <c r="BJ52" s="4">
        <v>1.0</v>
      </c>
      <c r="BL52" s="4">
        <v>1.0</v>
      </c>
      <c r="BU52" s="4">
        <v>1.0</v>
      </c>
      <c r="CR52" s="4">
        <v>1.0</v>
      </c>
      <c r="DF52" s="4">
        <v>1.0</v>
      </c>
      <c r="DL52" s="4">
        <v>1.0</v>
      </c>
      <c r="DT52" s="4"/>
      <c r="DU52" s="4">
        <v>1.0</v>
      </c>
      <c r="EI52" s="4">
        <v>1.0</v>
      </c>
      <c r="EW52" s="4">
        <v>1.0</v>
      </c>
      <c r="FA52" s="4">
        <v>1.0</v>
      </c>
      <c r="FN52" s="4">
        <v>1.0</v>
      </c>
      <c r="FP52" s="4">
        <v>1.0</v>
      </c>
      <c r="FQ52" s="4">
        <v>1.0</v>
      </c>
    </row>
    <row r="53">
      <c r="A53" s="23">
        <v>42440.0</v>
      </c>
      <c r="B53" s="4" t="s">
        <v>246</v>
      </c>
      <c r="C53" s="4">
        <v>21.2882</v>
      </c>
      <c r="D53" s="4">
        <v>-157.667999</v>
      </c>
      <c r="E53" s="4" t="s">
        <v>274</v>
      </c>
      <c r="F53" s="24">
        <v>0.4270833333333333</v>
      </c>
      <c r="G53" s="24">
        <v>0.4791666666666667</v>
      </c>
      <c r="H53" s="4">
        <v>5.0</v>
      </c>
      <c r="I53" s="4">
        <v>13.0</v>
      </c>
      <c r="J53" s="4" t="s">
        <v>198</v>
      </c>
      <c r="K53" s="4">
        <v>5.0</v>
      </c>
      <c r="L53" s="4">
        <v>18.0</v>
      </c>
      <c r="M53" s="4" t="s">
        <v>276</v>
      </c>
      <c r="AA53" s="4">
        <v>1.0</v>
      </c>
      <c r="BA53" s="4">
        <v>1.0</v>
      </c>
      <c r="BL53" s="4">
        <v>1.0</v>
      </c>
      <c r="BY53" s="4">
        <v>1.0</v>
      </c>
      <c r="DL53" s="4">
        <v>1.0</v>
      </c>
      <c r="EI53" s="4">
        <v>1.0</v>
      </c>
      <c r="FP53" s="4">
        <v>1.0</v>
      </c>
      <c r="FQ53" s="4">
        <v>1.0</v>
      </c>
      <c r="FT53" s="4"/>
      <c r="FU53" s="4">
        <v>1.0</v>
      </c>
    </row>
    <row r="54">
      <c r="A54" s="23">
        <v>42443.0</v>
      </c>
      <c r="B54" s="4" t="s">
        <v>230</v>
      </c>
      <c r="C54" s="4">
        <v>20.7537</v>
      </c>
      <c r="D54" s="4">
        <v>-156.460907</v>
      </c>
      <c r="E54" s="4" t="s">
        <v>197</v>
      </c>
      <c r="F54" s="24">
        <v>0.5520833333333334</v>
      </c>
      <c r="G54" s="24">
        <v>0.625</v>
      </c>
      <c r="H54" s="4">
        <v>3.0</v>
      </c>
      <c r="I54" s="4">
        <v>15.0</v>
      </c>
      <c r="J54" s="4" t="s">
        <v>277</v>
      </c>
      <c r="K54" s="4">
        <v>10.0</v>
      </c>
      <c r="L54" s="4">
        <v>30.0</v>
      </c>
      <c r="Q54" s="4">
        <v>1.0</v>
      </c>
      <c r="AL54" s="4">
        <v>1.0</v>
      </c>
      <c r="BL54" s="4">
        <v>1.0</v>
      </c>
      <c r="BM54" s="4">
        <v>1.0</v>
      </c>
      <c r="CN54" s="4">
        <v>1.0</v>
      </c>
      <c r="DL54" s="4">
        <v>1.0</v>
      </c>
      <c r="EW54" s="4">
        <v>1.0</v>
      </c>
      <c r="FN54" s="4">
        <v>1.0</v>
      </c>
      <c r="FO54" s="4">
        <v>1.0</v>
      </c>
      <c r="FQ54" s="4">
        <v>1.0</v>
      </c>
      <c r="FR54" s="4">
        <v>1.0</v>
      </c>
    </row>
    <row r="55">
      <c r="A55" s="23">
        <v>42464.0</v>
      </c>
      <c r="B55" s="4" t="s">
        <v>244</v>
      </c>
      <c r="C55" s="4">
        <v>21.310612</v>
      </c>
      <c r="D55" s="4">
        <v>-158.00441</v>
      </c>
      <c r="E55" s="4" t="s">
        <v>278</v>
      </c>
      <c r="F55" s="24">
        <v>0.375</v>
      </c>
      <c r="G55" s="24">
        <v>0.4583333333333333</v>
      </c>
      <c r="H55" s="4">
        <v>5.0</v>
      </c>
      <c r="I55" s="4">
        <v>12.0</v>
      </c>
      <c r="J55" s="4" t="s">
        <v>198</v>
      </c>
      <c r="K55" s="4">
        <v>6.0</v>
      </c>
      <c r="L55" s="4">
        <v>26.0</v>
      </c>
      <c r="M55" s="4" t="s">
        <v>279</v>
      </c>
      <c r="Q55" s="4">
        <v>1.0</v>
      </c>
      <c r="S55" s="4">
        <v>1.0</v>
      </c>
      <c r="BL55" s="4">
        <v>1.0</v>
      </c>
      <c r="BU55" s="4">
        <v>1.0</v>
      </c>
      <c r="BY55" s="4">
        <v>1.0</v>
      </c>
      <c r="CF55" s="4"/>
      <c r="CG55" s="4">
        <v>1.0</v>
      </c>
      <c r="CR55" s="4">
        <v>1.0</v>
      </c>
      <c r="DF55" s="4">
        <v>1.0</v>
      </c>
      <c r="DL55" s="4">
        <v>1.0</v>
      </c>
      <c r="DT55" s="4"/>
      <c r="DU55" s="4">
        <v>1.0</v>
      </c>
      <c r="EI55" s="4">
        <v>1.0</v>
      </c>
      <c r="FA55" s="4">
        <v>1.0</v>
      </c>
      <c r="FQ55" s="4">
        <v>1.0</v>
      </c>
    </row>
    <row r="56">
      <c r="A56" s="23">
        <v>42465.0</v>
      </c>
      <c r="B56" s="4" t="s">
        <v>280</v>
      </c>
      <c r="C56" s="4">
        <v>19.638599</v>
      </c>
      <c r="D56" s="4">
        <v>-156.002502</v>
      </c>
      <c r="E56" s="4" t="s">
        <v>274</v>
      </c>
      <c r="F56" s="24">
        <v>0.4305555555555556</v>
      </c>
      <c r="G56" s="24">
        <v>0.4791666666666667</v>
      </c>
      <c r="H56" s="4">
        <v>8.0</v>
      </c>
      <c r="I56" s="4">
        <v>26.0</v>
      </c>
      <c r="J56" s="4" t="s">
        <v>217</v>
      </c>
      <c r="K56" s="4">
        <v>12.0</v>
      </c>
      <c r="L56" s="4">
        <v>81.0</v>
      </c>
      <c r="M56" s="4" t="s">
        <v>281</v>
      </c>
      <c r="N56" s="4" t="s">
        <v>282</v>
      </c>
      <c r="Q56" s="4">
        <v>1.0</v>
      </c>
      <c r="R56" s="4">
        <v>1.0</v>
      </c>
      <c r="AB56" s="4">
        <v>1.0</v>
      </c>
      <c r="AK56" s="4">
        <v>1.0</v>
      </c>
      <c r="BD56" s="4">
        <v>1.0</v>
      </c>
      <c r="BJ56" s="4">
        <v>1.0</v>
      </c>
      <c r="BL56" s="4">
        <v>1.0</v>
      </c>
      <c r="CB56" s="4">
        <v>1.0</v>
      </c>
      <c r="CC56" s="4">
        <v>1.0</v>
      </c>
      <c r="CU56" s="4">
        <v>1.0</v>
      </c>
      <c r="DG56" s="4">
        <v>1.0</v>
      </c>
      <c r="FC56" s="4"/>
      <c r="FE56" s="4">
        <v>1.0</v>
      </c>
      <c r="FN56" s="4">
        <v>1.0</v>
      </c>
      <c r="FO56" s="4">
        <v>1.0</v>
      </c>
      <c r="FP56" s="4">
        <v>1.0</v>
      </c>
      <c r="FQ56" s="4">
        <v>1.0</v>
      </c>
      <c r="FR56" s="4">
        <v>1.0</v>
      </c>
    </row>
    <row r="57">
      <c r="A57" s="23">
        <v>42465.0</v>
      </c>
      <c r="B57" s="4" t="s">
        <v>244</v>
      </c>
      <c r="C57" s="4">
        <v>21.310612</v>
      </c>
      <c r="D57" s="4">
        <v>-158.00441</v>
      </c>
      <c r="E57" s="4" t="s">
        <v>274</v>
      </c>
      <c r="F57" s="24">
        <v>0.3541666666666667</v>
      </c>
      <c r="G57" s="24">
        <v>0.41875</v>
      </c>
      <c r="H57" s="4">
        <v>7.0</v>
      </c>
      <c r="I57" s="4">
        <v>20.0</v>
      </c>
      <c r="J57" s="4" t="s">
        <v>198</v>
      </c>
      <c r="K57" s="4">
        <v>10.0</v>
      </c>
      <c r="L57" s="4">
        <v>51.0</v>
      </c>
      <c r="M57" s="4" t="s">
        <v>283</v>
      </c>
      <c r="Q57" s="4">
        <v>1.0</v>
      </c>
      <c r="S57" s="4">
        <v>1.0</v>
      </c>
      <c r="V57" s="4">
        <v>1.0</v>
      </c>
      <c r="AH57" s="4">
        <v>1.0</v>
      </c>
      <c r="BD57" s="4">
        <v>1.0</v>
      </c>
      <c r="BL57" s="4">
        <v>1.0</v>
      </c>
      <c r="BU57" s="4">
        <v>1.0</v>
      </c>
      <c r="BY57" s="4">
        <v>1.0</v>
      </c>
      <c r="CB57" s="4">
        <v>1.0</v>
      </c>
      <c r="CF57" s="4"/>
      <c r="CG57" s="4">
        <v>1.0</v>
      </c>
      <c r="CN57" s="4">
        <v>1.0</v>
      </c>
      <c r="CR57" s="4">
        <v>1.0</v>
      </c>
      <c r="DF57" s="4">
        <v>1.0</v>
      </c>
      <c r="DL57" s="4">
        <v>1.0</v>
      </c>
      <c r="DN57" s="4">
        <v>1.0</v>
      </c>
      <c r="DR57" s="4">
        <v>1.0</v>
      </c>
      <c r="EB57" s="4">
        <v>1.0</v>
      </c>
      <c r="EI57" s="4">
        <v>1.0</v>
      </c>
      <c r="EJ57" s="4">
        <v>1.0</v>
      </c>
      <c r="FA57" s="4">
        <v>1.0</v>
      </c>
      <c r="FG57" s="4">
        <v>1.0</v>
      </c>
      <c r="FQ57" s="4">
        <v>1.0</v>
      </c>
    </row>
    <row r="58">
      <c r="A58" s="23">
        <v>42465.0</v>
      </c>
      <c r="B58" s="4" t="s">
        <v>244</v>
      </c>
      <c r="C58" s="4">
        <v>21.310612</v>
      </c>
      <c r="D58" s="4">
        <v>-158.00441</v>
      </c>
      <c r="E58" s="4" t="s">
        <v>278</v>
      </c>
      <c r="F58" s="24">
        <v>0.375</v>
      </c>
      <c r="G58" s="24">
        <v>0.4583333333333333</v>
      </c>
      <c r="H58" s="4">
        <v>5.0</v>
      </c>
      <c r="I58" s="4">
        <v>12.0</v>
      </c>
      <c r="J58" s="4" t="s">
        <v>198</v>
      </c>
      <c r="K58" s="4">
        <v>6.0</v>
      </c>
      <c r="L58" s="4">
        <v>29.0</v>
      </c>
      <c r="M58" s="4" t="s">
        <v>284</v>
      </c>
      <c r="Q58" s="4">
        <v>1.0</v>
      </c>
      <c r="V58" s="4">
        <v>1.0</v>
      </c>
      <c r="AA58" s="4">
        <v>1.0</v>
      </c>
      <c r="AB58" s="4">
        <v>1.0</v>
      </c>
      <c r="AD58" s="4">
        <v>1.0</v>
      </c>
      <c r="AH58" s="4">
        <v>1.0</v>
      </c>
      <c r="BD58" s="4">
        <v>1.0</v>
      </c>
      <c r="BL58" s="4">
        <v>1.0</v>
      </c>
      <c r="BU58" s="4">
        <v>1.0</v>
      </c>
      <c r="BY58" s="4">
        <v>1.0</v>
      </c>
      <c r="CF58" s="4"/>
      <c r="CG58" s="4">
        <v>1.0</v>
      </c>
      <c r="CR58" s="4">
        <v>1.0</v>
      </c>
      <c r="DF58" s="4">
        <v>1.0</v>
      </c>
      <c r="DL58" s="4">
        <v>1.0</v>
      </c>
      <c r="EB58" s="4">
        <v>1.0</v>
      </c>
      <c r="EI58" s="4">
        <v>1.0</v>
      </c>
      <c r="EJ58" s="4">
        <v>1.0</v>
      </c>
      <c r="FA58" s="4">
        <v>1.0</v>
      </c>
      <c r="FQ58" s="4">
        <v>1.0</v>
      </c>
      <c r="FV58" s="4">
        <v>1.0</v>
      </c>
    </row>
    <row r="59">
      <c r="A59" s="23">
        <v>42467.0</v>
      </c>
      <c r="B59" s="4" t="s">
        <v>201</v>
      </c>
      <c r="C59" s="4">
        <v>21.25544</v>
      </c>
      <c r="D59" s="4">
        <v>-157.810303</v>
      </c>
      <c r="E59" s="4" t="s">
        <v>274</v>
      </c>
      <c r="F59" s="24">
        <v>0.3819444444444444</v>
      </c>
      <c r="G59" s="24">
        <v>0.46875</v>
      </c>
      <c r="H59" s="4">
        <v>7.0</v>
      </c>
      <c r="I59" s="4">
        <v>10.0</v>
      </c>
      <c r="J59" s="4" t="s">
        <v>217</v>
      </c>
      <c r="K59" s="4">
        <v>6.0</v>
      </c>
      <c r="L59" s="4">
        <v>41.0</v>
      </c>
      <c r="M59" s="4" t="s">
        <v>285</v>
      </c>
      <c r="Q59" s="4">
        <v>1.0</v>
      </c>
      <c r="AA59" s="4">
        <v>1.0</v>
      </c>
      <c r="AB59" s="4">
        <v>1.0</v>
      </c>
      <c r="AL59" s="4">
        <v>1.0</v>
      </c>
      <c r="BA59" s="4">
        <v>1.0</v>
      </c>
      <c r="BC59" s="4">
        <v>1.0</v>
      </c>
      <c r="BD59" s="4">
        <v>1.0</v>
      </c>
      <c r="BL59" s="4">
        <v>1.0</v>
      </c>
      <c r="BM59" s="4">
        <v>1.0</v>
      </c>
      <c r="BP59" s="4">
        <v>1.0</v>
      </c>
      <c r="BU59" s="4">
        <v>1.0</v>
      </c>
      <c r="BV59" s="4">
        <v>1.0</v>
      </c>
      <c r="BY59" s="4">
        <v>1.0</v>
      </c>
      <c r="CM59" s="4">
        <v>1.0</v>
      </c>
      <c r="DK59" s="4">
        <v>1.0</v>
      </c>
      <c r="DN59" s="4">
        <v>1.0</v>
      </c>
      <c r="DR59" s="4">
        <v>1.0</v>
      </c>
      <c r="DT59" s="4"/>
      <c r="DU59" s="4">
        <v>1.0</v>
      </c>
      <c r="DY59" s="4">
        <v>1.0</v>
      </c>
      <c r="EB59" s="4">
        <v>1.0</v>
      </c>
      <c r="EI59" s="4">
        <v>1.0</v>
      </c>
      <c r="EY59" s="4">
        <v>1.0</v>
      </c>
      <c r="FA59" s="4">
        <v>1.0</v>
      </c>
      <c r="FB59" s="4">
        <v>1.0</v>
      </c>
      <c r="FC59" s="4"/>
      <c r="FE59" s="4">
        <v>1.0</v>
      </c>
      <c r="FH59" s="4">
        <v>1.0</v>
      </c>
      <c r="FP59" s="4">
        <v>1.0</v>
      </c>
      <c r="FQ59" s="4">
        <v>1.0</v>
      </c>
      <c r="GB59" s="4">
        <v>1.0</v>
      </c>
      <c r="GD59" s="4">
        <v>1.0</v>
      </c>
    </row>
    <row r="60">
      <c r="A60" s="23">
        <v>42467.0</v>
      </c>
      <c r="B60" s="4" t="s">
        <v>233</v>
      </c>
      <c r="C60" s="36">
        <v>21.066799</v>
      </c>
      <c r="D60" s="36">
        <v>-156.804993</v>
      </c>
      <c r="E60" s="4" t="s">
        <v>286</v>
      </c>
      <c r="F60" s="24">
        <v>0.375</v>
      </c>
      <c r="G60" s="24">
        <v>0.4388888888888889</v>
      </c>
      <c r="H60" s="4">
        <v>4.0</v>
      </c>
      <c r="I60" s="4">
        <v>17.0</v>
      </c>
      <c r="J60" s="4" t="s">
        <v>198</v>
      </c>
      <c r="K60" s="4">
        <v>16.0</v>
      </c>
      <c r="L60" s="4">
        <v>25.0</v>
      </c>
      <c r="M60" s="4" t="s">
        <v>287</v>
      </c>
      <c r="N60" s="4" t="s">
        <v>288</v>
      </c>
      <c r="Q60" s="4">
        <v>1.0</v>
      </c>
      <c r="T60" s="4">
        <v>1.0</v>
      </c>
      <c r="V60" s="4">
        <v>1.0</v>
      </c>
      <c r="BA60" s="4">
        <v>1.0</v>
      </c>
      <c r="BK60" s="4">
        <v>1.0</v>
      </c>
      <c r="BL60" s="4">
        <v>1.0</v>
      </c>
      <c r="BY60" s="4">
        <v>1.0</v>
      </c>
      <c r="CC60" s="4">
        <v>1.0</v>
      </c>
      <c r="CN60" s="4">
        <v>1.0</v>
      </c>
      <c r="DF60" s="4">
        <v>1.0</v>
      </c>
      <c r="EI60" s="4">
        <v>1.0</v>
      </c>
      <c r="FA60" s="4">
        <v>1.0</v>
      </c>
      <c r="GD60" s="4">
        <v>1.0</v>
      </c>
    </row>
    <row r="61">
      <c r="A61" s="23">
        <v>42468.0</v>
      </c>
      <c r="B61" s="4" t="s">
        <v>247</v>
      </c>
      <c r="C61" s="4">
        <v>19.488199</v>
      </c>
      <c r="D61" s="4">
        <v>-154.819305</v>
      </c>
      <c r="E61" s="4" t="s">
        <v>289</v>
      </c>
      <c r="F61" s="24">
        <v>0.3972222222222222</v>
      </c>
      <c r="G61" s="24">
        <v>0.4479166666666667</v>
      </c>
      <c r="H61" s="4">
        <v>5.0</v>
      </c>
      <c r="I61" s="4">
        <v>21.0</v>
      </c>
      <c r="J61" s="4" t="s">
        <v>198</v>
      </c>
      <c r="K61" s="4">
        <v>5.0</v>
      </c>
      <c r="L61" s="4">
        <v>23.0</v>
      </c>
      <c r="M61" s="4" t="s">
        <v>290</v>
      </c>
      <c r="AL61" s="4">
        <v>1.0</v>
      </c>
      <c r="BH61" s="4"/>
      <c r="BI61" s="4">
        <v>1.0</v>
      </c>
      <c r="BL61" s="4">
        <v>1.0</v>
      </c>
      <c r="BM61" s="4">
        <v>1.0</v>
      </c>
      <c r="BP61" s="4">
        <v>1.0</v>
      </c>
      <c r="CB61" s="4">
        <v>1.0</v>
      </c>
      <c r="DR61" s="4">
        <v>1.0</v>
      </c>
      <c r="FA61" s="4">
        <v>1.0</v>
      </c>
      <c r="FQ61" s="4">
        <v>1.0</v>
      </c>
    </row>
    <row r="62">
      <c r="A62" s="23">
        <v>42468.0</v>
      </c>
      <c r="B62" s="4" t="s">
        <v>291</v>
      </c>
      <c r="C62" s="4">
        <v>19.734331</v>
      </c>
      <c r="D62" s="4">
        <v>-155.014832</v>
      </c>
      <c r="E62" s="4" t="s">
        <v>274</v>
      </c>
      <c r="F62" s="24">
        <v>0.3819444444444444</v>
      </c>
      <c r="G62" s="24">
        <v>0.4583333333333333</v>
      </c>
      <c r="H62" s="4">
        <v>6.0</v>
      </c>
      <c r="I62" s="4">
        <v>17.0</v>
      </c>
      <c r="J62" s="4" t="s">
        <v>198</v>
      </c>
      <c r="K62" s="4">
        <v>5.0</v>
      </c>
      <c r="L62" s="4">
        <v>19.0</v>
      </c>
      <c r="M62" s="4" t="s">
        <v>292</v>
      </c>
      <c r="Q62" s="4">
        <v>1.0</v>
      </c>
      <c r="AB62" s="4">
        <v>1.0</v>
      </c>
      <c r="AF62" s="4">
        <v>1.0</v>
      </c>
      <c r="AL62" s="4">
        <v>1.0</v>
      </c>
      <c r="AM62" s="4">
        <v>1.0</v>
      </c>
      <c r="BA62" s="4">
        <v>1.0</v>
      </c>
      <c r="BJ62" s="4">
        <v>1.0</v>
      </c>
      <c r="BL62" s="4">
        <v>1.0</v>
      </c>
      <c r="BM62" s="4">
        <v>1.0</v>
      </c>
      <c r="CB62" s="4">
        <v>1.0</v>
      </c>
      <c r="CN62" s="4">
        <v>1.0</v>
      </c>
      <c r="CP62" s="4">
        <v>1.0</v>
      </c>
      <c r="DG62" s="4">
        <v>1.0</v>
      </c>
      <c r="DV62" s="4">
        <v>1.0</v>
      </c>
      <c r="FA62" s="4">
        <v>1.0</v>
      </c>
      <c r="FG62" s="4">
        <v>1.0</v>
      </c>
      <c r="FP62" s="4">
        <v>1.0</v>
      </c>
      <c r="FQ62" s="4">
        <v>1.0</v>
      </c>
      <c r="FR62" s="4">
        <v>1.0</v>
      </c>
    </row>
    <row r="63">
      <c r="A63" s="23">
        <v>42469.0</v>
      </c>
      <c r="B63" s="4" t="s">
        <v>293</v>
      </c>
      <c r="C63" s="4">
        <v>19.738602</v>
      </c>
      <c r="D63" s="4">
        <v>-155.038879</v>
      </c>
      <c r="E63" s="4" t="s">
        <v>197</v>
      </c>
      <c r="F63" s="24">
        <v>0.4076388888888889</v>
      </c>
      <c r="G63" s="24">
        <v>0.4652777777777778</v>
      </c>
      <c r="H63" s="4">
        <v>4.0</v>
      </c>
      <c r="I63" s="4">
        <v>15.0</v>
      </c>
      <c r="J63" s="4" t="s">
        <v>277</v>
      </c>
      <c r="K63" s="4">
        <v>10.0</v>
      </c>
      <c r="L63" s="4">
        <v>20.0</v>
      </c>
      <c r="M63" s="4" t="s">
        <v>294</v>
      </c>
      <c r="N63" s="4" t="s">
        <v>295</v>
      </c>
      <c r="AA63" s="4">
        <v>1.0</v>
      </c>
      <c r="AH63" s="4">
        <v>1.0</v>
      </c>
      <c r="AL63" s="4">
        <v>1.0</v>
      </c>
      <c r="BJ63" s="4">
        <v>1.0</v>
      </c>
      <c r="BL63" s="4">
        <v>1.0</v>
      </c>
      <c r="BY63" s="4">
        <v>1.0</v>
      </c>
      <c r="CC63" s="4">
        <v>1.0</v>
      </c>
      <c r="CE63" s="4">
        <v>1.0</v>
      </c>
      <c r="CM63" s="4">
        <v>1.0</v>
      </c>
      <c r="CN63" s="4">
        <v>1.0</v>
      </c>
      <c r="DF63" s="4">
        <v>1.0</v>
      </c>
      <c r="DL63" s="4">
        <v>1.0</v>
      </c>
      <c r="DT63" s="4"/>
      <c r="DU63" s="4">
        <v>1.0</v>
      </c>
      <c r="EI63" s="4">
        <v>1.0</v>
      </c>
      <c r="FO63" s="4">
        <v>1.0</v>
      </c>
      <c r="FQ63" s="4">
        <v>1.0</v>
      </c>
    </row>
    <row r="64">
      <c r="A64" s="23">
        <v>42470.0</v>
      </c>
      <c r="B64" s="4" t="s">
        <v>293</v>
      </c>
      <c r="C64" s="4">
        <v>19.738602</v>
      </c>
      <c r="D64" s="4">
        <v>-155.038879</v>
      </c>
      <c r="E64" s="4" t="s">
        <v>197</v>
      </c>
      <c r="F64" s="24">
        <v>0.4340277777777778</v>
      </c>
      <c r="G64" s="24">
        <v>0.5277777777777778</v>
      </c>
      <c r="H64" s="4">
        <v>4.0</v>
      </c>
      <c r="I64" s="4">
        <v>22.0</v>
      </c>
      <c r="J64" s="4" t="s">
        <v>198</v>
      </c>
      <c r="K64" s="4">
        <v>11.0</v>
      </c>
      <c r="L64" s="4">
        <v>35.0</v>
      </c>
      <c r="M64" s="4" t="s">
        <v>296</v>
      </c>
      <c r="Q64" s="4">
        <v>1.0</v>
      </c>
      <c r="S64" s="4">
        <v>1.0</v>
      </c>
      <c r="AA64" s="4">
        <v>1.0</v>
      </c>
      <c r="AC64" s="4">
        <v>1.0</v>
      </c>
      <c r="AG64" s="4">
        <v>1.0</v>
      </c>
      <c r="AL64" s="4">
        <v>1.0</v>
      </c>
      <c r="AY64" s="4">
        <v>1.0</v>
      </c>
      <c r="BA64" s="4">
        <v>1.0</v>
      </c>
      <c r="BF64" s="4">
        <v>1.0</v>
      </c>
      <c r="BH64" s="4"/>
      <c r="BI64" s="4">
        <v>1.0</v>
      </c>
      <c r="BJ64" s="4">
        <v>1.0</v>
      </c>
      <c r="BL64" s="4">
        <v>1.0</v>
      </c>
      <c r="BM64" s="4">
        <v>1.0</v>
      </c>
      <c r="BY64" s="4">
        <v>1.0</v>
      </c>
      <c r="CA64" s="4">
        <v>1.0</v>
      </c>
      <c r="CB64" s="4">
        <v>1.0</v>
      </c>
      <c r="CK64" s="4">
        <v>1.0</v>
      </c>
      <c r="CN64" s="4">
        <v>1.0</v>
      </c>
      <c r="DF64" s="4">
        <v>1.0</v>
      </c>
      <c r="DG64" s="4">
        <v>1.0</v>
      </c>
      <c r="DL64" s="4">
        <v>1.0</v>
      </c>
      <c r="DP64" s="4">
        <v>1.0</v>
      </c>
      <c r="EC64" s="4">
        <v>1.0</v>
      </c>
      <c r="EI64" s="4">
        <v>1.0</v>
      </c>
      <c r="EW64" s="4">
        <v>1.0</v>
      </c>
      <c r="FA64" s="4">
        <v>1.0</v>
      </c>
      <c r="FN64" s="4">
        <v>1.0</v>
      </c>
      <c r="FO64" s="4">
        <v>1.0</v>
      </c>
      <c r="FQ64" s="4">
        <v>1.0</v>
      </c>
      <c r="FR64" s="4">
        <v>1.0</v>
      </c>
    </row>
    <row r="65">
      <c r="A65" s="23">
        <v>42471.0</v>
      </c>
      <c r="B65" s="4" t="s">
        <v>266</v>
      </c>
      <c r="C65" s="4">
        <v>22.060684</v>
      </c>
      <c r="D65" s="4">
        <v>-159.318512</v>
      </c>
      <c r="E65" s="4" t="s">
        <v>297</v>
      </c>
      <c r="F65" s="24">
        <v>0.4895833333333333</v>
      </c>
      <c r="G65" s="24">
        <v>0.5416666666666666</v>
      </c>
      <c r="H65" s="4">
        <v>5.0</v>
      </c>
      <c r="I65" s="4">
        <v>12.0</v>
      </c>
      <c r="J65" s="4" t="s">
        <v>198</v>
      </c>
      <c r="K65" s="4">
        <v>5.0</v>
      </c>
      <c r="L65" s="4">
        <v>24.0</v>
      </c>
      <c r="M65" s="4" t="s">
        <v>298</v>
      </c>
      <c r="Q65" s="4">
        <v>1.0</v>
      </c>
      <c r="AL65" s="4">
        <v>1.0</v>
      </c>
      <c r="BA65" s="4">
        <v>1.0</v>
      </c>
      <c r="BL65" s="4">
        <v>1.0</v>
      </c>
      <c r="BM65" s="4">
        <v>1.0</v>
      </c>
      <c r="BY65" s="4">
        <v>1.0</v>
      </c>
      <c r="CU65" s="4">
        <v>1.0</v>
      </c>
      <c r="DT65" s="4"/>
      <c r="DU65" s="4">
        <v>1.0</v>
      </c>
      <c r="EI65" s="4">
        <v>1.0</v>
      </c>
      <c r="FQ65" s="4">
        <v>1.0</v>
      </c>
    </row>
    <row r="66">
      <c r="A66" s="23">
        <v>42471.0</v>
      </c>
      <c r="B66" s="4" t="s">
        <v>216</v>
      </c>
      <c r="C66" s="4">
        <v>21.3002</v>
      </c>
      <c r="D66" s="4">
        <v>-157.882599</v>
      </c>
      <c r="E66" s="4" t="s">
        <v>299</v>
      </c>
      <c r="F66" s="24">
        <v>0.5277777777777778</v>
      </c>
      <c r="G66" s="24">
        <v>0.5729166666666666</v>
      </c>
      <c r="H66" s="4">
        <v>4.0</v>
      </c>
      <c r="I66" s="4">
        <v>26.0</v>
      </c>
      <c r="J66" s="4" t="s">
        <v>198</v>
      </c>
      <c r="K66" s="4">
        <v>9.0</v>
      </c>
      <c r="L66" s="4">
        <v>29.0</v>
      </c>
      <c r="M66" s="4" t="s">
        <v>300</v>
      </c>
      <c r="AB66" s="4">
        <v>1.0</v>
      </c>
      <c r="AL66" s="4">
        <v>1.0</v>
      </c>
      <c r="BL66" s="4">
        <v>1.0</v>
      </c>
      <c r="BM66" s="4">
        <v>1.0</v>
      </c>
      <c r="BP66" s="4">
        <v>1.0</v>
      </c>
      <c r="BU66" s="4">
        <v>1.0</v>
      </c>
      <c r="BY66" s="4">
        <v>1.0</v>
      </c>
      <c r="CB66" s="4">
        <v>1.0</v>
      </c>
      <c r="FO66" s="4">
        <v>1.0</v>
      </c>
      <c r="FQ66" s="4">
        <v>1.0</v>
      </c>
    </row>
    <row r="67">
      <c r="A67" s="23">
        <v>42471.0</v>
      </c>
      <c r="B67" s="4" t="s">
        <v>301</v>
      </c>
      <c r="C67" s="4">
        <v>22.065599</v>
      </c>
      <c r="D67" s="4">
        <v>-159.317703</v>
      </c>
      <c r="E67" s="4" t="s">
        <v>302</v>
      </c>
      <c r="F67" s="24">
        <v>0.4895833333333333</v>
      </c>
      <c r="G67" s="24">
        <v>0.5416666666666666</v>
      </c>
      <c r="H67" s="4">
        <v>5.0</v>
      </c>
      <c r="I67" s="4">
        <v>5.0</v>
      </c>
      <c r="J67" s="4" t="s">
        <v>198</v>
      </c>
      <c r="K67" s="4">
        <v>5.0</v>
      </c>
      <c r="L67" s="4">
        <v>25.0</v>
      </c>
      <c r="Q67" s="4">
        <v>1.0</v>
      </c>
      <c r="AB67" s="4">
        <v>1.0</v>
      </c>
      <c r="AF67" s="4">
        <v>1.0</v>
      </c>
      <c r="AL67" s="4">
        <v>1.0</v>
      </c>
      <c r="AY67" s="4">
        <v>1.0</v>
      </c>
      <c r="BA67" s="4">
        <v>1.0</v>
      </c>
      <c r="BD67" s="4">
        <v>1.0</v>
      </c>
      <c r="BJ67" s="4">
        <v>1.0</v>
      </c>
      <c r="BL67" s="4">
        <v>1.0</v>
      </c>
      <c r="BM67" s="4">
        <v>1.0</v>
      </c>
      <c r="BN67" s="4">
        <v>1.0</v>
      </c>
      <c r="BU67" s="4">
        <v>1.0</v>
      </c>
      <c r="BY67" s="4">
        <v>1.0</v>
      </c>
      <c r="DL67" s="4">
        <v>1.0</v>
      </c>
      <c r="DT67" s="4"/>
      <c r="DU67" s="4">
        <v>1.0</v>
      </c>
      <c r="EI67" s="4">
        <v>1.0</v>
      </c>
      <c r="FA67" s="4">
        <v>1.0</v>
      </c>
      <c r="FN67" s="4">
        <v>1.0</v>
      </c>
      <c r="FP67" s="4">
        <v>1.0</v>
      </c>
      <c r="FQ67" s="4">
        <v>1.0</v>
      </c>
    </row>
    <row r="68">
      <c r="A68" s="23">
        <v>42475.0</v>
      </c>
      <c r="B68" s="4" t="s">
        <v>303</v>
      </c>
      <c r="C68" s="4">
        <v>20.99424</v>
      </c>
      <c r="D68" s="4">
        <v>-156.668259</v>
      </c>
      <c r="E68" s="4" t="s">
        <v>274</v>
      </c>
      <c r="F68" s="24">
        <v>0.3333333333333333</v>
      </c>
      <c r="G68" s="24">
        <v>0.4166666666666667</v>
      </c>
      <c r="H68" s="4">
        <v>4.0</v>
      </c>
      <c r="I68" s="4">
        <v>22.0</v>
      </c>
      <c r="J68" s="4" t="s">
        <v>217</v>
      </c>
      <c r="K68" s="4">
        <v>12.0</v>
      </c>
      <c r="L68" s="4">
        <v>35.0</v>
      </c>
      <c r="M68" s="4" t="s">
        <v>296</v>
      </c>
      <c r="Q68" s="4">
        <v>1.0</v>
      </c>
      <c r="S68" s="4">
        <v>1.0</v>
      </c>
      <c r="AA68" s="4">
        <v>1.0</v>
      </c>
      <c r="AC68" s="4">
        <v>1.0</v>
      </c>
      <c r="AE68" s="4">
        <v>1.0</v>
      </c>
      <c r="AL68" s="4">
        <v>1.0</v>
      </c>
      <c r="AW68" s="4">
        <v>1.0</v>
      </c>
      <c r="AY68" s="4">
        <v>1.0</v>
      </c>
      <c r="BA68" s="4">
        <v>1.0</v>
      </c>
      <c r="BF68" s="4">
        <v>1.0</v>
      </c>
      <c r="BH68" s="4">
        <v>1.0</v>
      </c>
      <c r="BJ68" s="4">
        <v>1.0</v>
      </c>
      <c r="BL68" s="4">
        <v>1.0</v>
      </c>
      <c r="BM68" s="4">
        <v>1.0</v>
      </c>
      <c r="BX68" s="4">
        <v>1.0</v>
      </c>
      <c r="CA68" s="4">
        <v>1.0</v>
      </c>
      <c r="CB68" s="4">
        <v>1.0</v>
      </c>
      <c r="CN68" s="4">
        <v>1.0</v>
      </c>
      <c r="DF68" s="4">
        <v>1.0</v>
      </c>
      <c r="DG68" s="4">
        <v>1.0</v>
      </c>
      <c r="DL68" s="4">
        <v>1.0</v>
      </c>
      <c r="DP68" s="4">
        <v>1.0</v>
      </c>
      <c r="EI68" s="4">
        <v>1.0</v>
      </c>
      <c r="EM68" s="4">
        <v>1.0</v>
      </c>
      <c r="EV68" s="4">
        <v>1.0</v>
      </c>
      <c r="FA68" s="4">
        <v>1.0</v>
      </c>
      <c r="FB68" s="4">
        <v>1.0</v>
      </c>
      <c r="FL68" s="4">
        <v>1.0</v>
      </c>
      <c r="FN68" s="4">
        <v>1.0</v>
      </c>
      <c r="FQ68" s="4">
        <v>1.0</v>
      </c>
      <c r="FR68" s="4">
        <v>1.0</v>
      </c>
    </row>
    <row r="69">
      <c r="A69" s="23">
        <v>42479.0</v>
      </c>
      <c r="B69" s="4" t="s">
        <v>201</v>
      </c>
      <c r="C69" s="4">
        <v>21.25544</v>
      </c>
      <c r="D69" s="4">
        <v>-157.810303</v>
      </c>
      <c r="E69" s="4" t="s">
        <v>274</v>
      </c>
      <c r="F69" s="24">
        <v>0.3611111111111111</v>
      </c>
      <c r="G69" s="24">
        <v>0.4166666666666667</v>
      </c>
      <c r="H69" s="4">
        <v>5.0</v>
      </c>
      <c r="I69" s="4">
        <v>14.0</v>
      </c>
      <c r="J69" s="4" t="s">
        <v>217</v>
      </c>
      <c r="K69" s="4">
        <v>7.0</v>
      </c>
      <c r="L69" s="4">
        <v>29.0</v>
      </c>
      <c r="M69" s="4" t="s">
        <v>304</v>
      </c>
      <c r="Q69" s="4">
        <v>1.0</v>
      </c>
      <c r="W69" s="4">
        <v>1.0</v>
      </c>
      <c r="AA69" s="4">
        <v>1.0</v>
      </c>
      <c r="AH69" s="4">
        <v>1.0</v>
      </c>
      <c r="AN69" s="4"/>
      <c r="AO69" s="4">
        <v>1.0</v>
      </c>
      <c r="BA69" s="4">
        <v>1.0</v>
      </c>
      <c r="BK69" s="4">
        <v>1.0</v>
      </c>
      <c r="BL69" s="4">
        <v>1.0</v>
      </c>
      <c r="BM69" s="4">
        <v>1.0</v>
      </c>
      <c r="BP69" s="4">
        <v>1.0</v>
      </c>
      <c r="BU69" s="4">
        <v>1.0</v>
      </c>
      <c r="BY69" s="4">
        <v>1.0</v>
      </c>
      <c r="CJ69" s="4">
        <v>1.0</v>
      </c>
      <c r="CR69" s="4">
        <v>1.0</v>
      </c>
      <c r="DF69" s="4">
        <v>1.0</v>
      </c>
      <c r="DL69" s="4">
        <v>1.0</v>
      </c>
      <c r="DO69" s="4">
        <v>1.0</v>
      </c>
      <c r="DT69" s="4"/>
      <c r="DU69" s="4">
        <v>1.0</v>
      </c>
      <c r="EB69" s="4">
        <v>1.0</v>
      </c>
      <c r="ED69" s="4"/>
      <c r="EE69" s="4">
        <v>1.0</v>
      </c>
      <c r="EI69" s="4">
        <v>1.0</v>
      </c>
      <c r="EJ69" s="4">
        <v>1.0</v>
      </c>
      <c r="FA69" s="4">
        <v>1.0</v>
      </c>
      <c r="FH69" s="4">
        <v>1.0</v>
      </c>
      <c r="FN69" s="4">
        <v>1.0</v>
      </c>
      <c r="FP69" s="4">
        <v>1.0</v>
      </c>
      <c r="FQ69" s="4">
        <v>1.0</v>
      </c>
      <c r="FS69" s="4">
        <v>1.0</v>
      </c>
    </row>
    <row r="70">
      <c r="A70" s="23">
        <v>42481.0</v>
      </c>
      <c r="B70" s="4" t="s">
        <v>240</v>
      </c>
      <c r="C70" s="4">
        <v>21.1059</v>
      </c>
      <c r="D70" s="4">
        <v>-156.746094</v>
      </c>
      <c r="E70" s="4" t="s">
        <v>286</v>
      </c>
      <c r="F70" s="24">
        <v>0.3736111111111111</v>
      </c>
      <c r="G70" s="24">
        <v>0.4076388888888889</v>
      </c>
      <c r="H70" s="4">
        <v>4.0</v>
      </c>
      <c r="I70" s="4">
        <v>13.0</v>
      </c>
      <c r="J70" s="4" t="s">
        <v>198</v>
      </c>
      <c r="K70" s="4">
        <v>12.0</v>
      </c>
      <c r="L70" s="4">
        <v>34.0</v>
      </c>
      <c r="M70" s="4" t="s">
        <v>305</v>
      </c>
      <c r="N70" s="4" t="s">
        <v>271</v>
      </c>
      <c r="AN70" s="4"/>
      <c r="AO70" s="4">
        <v>1.0</v>
      </c>
      <c r="BD70" s="4">
        <v>1.0</v>
      </c>
      <c r="BG70" s="4">
        <v>1.0</v>
      </c>
      <c r="BL70" s="4">
        <v>1.0</v>
      </c>
      <c r="BM70" s="4">
        <v>1.0</v>
      </c>
      <c r="CP70" s="4">
        <v>1.0</v>
      </c>
      <c r="CV70" s="4">
        <v>1.0</v>
      </c>
      <c r="DF70" s="4">
        <v>1.0</v>
      </c>
      <c r="DT70" s="4"/>
      <c r="DU70" s="4">
        <v>1.0</v>
      </c>
      <c r="DY70" s="4">
        <v>1.0</v>
      </c>
      <c r="ED70" s="4">
        <v>1.0</v>
      </c>
      <c r="EH70" s="4">
        <v>1.0</v>
      </c>
      <c r="EI70" s="4">
        <v>1.0</v>
      </c>
      <c r="EW70" s="4">
        <v>1.0</v>
      </c>
      <c r="FB70" s="4">
        <v>1.0</v>
      </c>
      <c r="FC70" s="4">
        <v>1.0</v>
      </c>
      <c r="FE70" s="4">
        <v>1.0</v>
      </c>
      <c r="FQ70" s="4">
        <v>1.0</v>
      </c>
    </row>
    <row r="71">
      <c r="A71" s="23">
        <v>42488.0</v>
      </c>
      <c r="B71" s="4" t="s">
        <v>230</v>
      </c>
      <c r="C71" s="4">
        <v>20.7537</v>
      </c>
      <c r="D71" s="4">
        <v>-156.460907</v>
      </c>
      <c r="E71" s="4" t="s">
        <v>274</v>
      </c>
      <c r="F71" s="24">
        <v>0.4111111111111111</v>
      </c>
      <c r="G71" s="24">
        <v>0.5152777777777777</v>
      </c>
      <c r="H71" s="4">
        <v>4.0</v>
      </c>
      <c r="I71" s="4">
        <v>14.0</v>
      </c>
      <c r="J71" s="4" t="s">
        <v>277</v>
      </c>
      <c r="K71" s="4">
        <v>10.0</v>
      </c>
      <c r="L71" s="4">
        <v>39.0</v>
      </c>
      <c r="M71" s="4" t="s">
        <v>306</v>
      </c>
      <c r="BJ71" s="4">
        <v>1.0</v>
      </c>
      <c r="BL71" s="4">
        <v>1.0</v>
      </c>
      <c r="BP71" s="4">
        <v>1.0</v>
      </c>
      <c r="EC71" s="4">
        <v>1.0</v>
      </c>
      <c r="FQ71" s="4">
        <v>1.0</v>
      </c>
    </row>
    <row r="72">
      <c r="A72" s="23">
        <v>42495.0</v>
      </c>
      <c r="B72" s="4" t="s">
        <v>307</v>
      </c>
      <c r="C72" s="4">
        <v>19.736111</v>
      </c>
      <c r="D72" s="4">
        <v>-155.030838</v>
      </c>
      <c r="E72" s="4" t="s">
        <v>308</v>
      </c>
      <c r="F72" s="24">
        <v>0.36180555555555555</v>
      </c>
      <c r="G72" s="24">
        <v>0.4166666666666667</v>
      </c>
      <c r="H72" s="4">
        <v>8.0</v>
      </c>
      <c r="I72" s="4">
        <v>11.0</v>
      </c>
      <c r="J72" s="4" t="s">
        <v>198</v>
      </c>
      <c r="K72" s="4">
        <v>11.0</v>
      </c>
      <c r="L72" s="4">
        <v>64.0</v>
      </c>
      <c r="M72" s="4" t="s">
        <v>309</v>
      </c>
      <c r="Q72" s="4">
        <v>1.0</v>
      </c>
      <c r="S72" s="4">
        <v>1.0</v>
      </c>
      <c r="AC72" s="4">
        <v>1.0</v>
      </c>
      <c r="BD72" s="4">
        <v>1.0</v>
      </c>
      <c r="BJ72" s="4">
        <v>1.0</v>
      </c>
      <c r="BL72" s="4">
        <v>1.0</v>
      </c>
      <c r="BU72" s="4">
        <v>1.0</v>
      </c>
      <c r="CA72" s="4">
        <v>1.0</v>
      </c>
      <c r="CN72" s="4">
        <v>1.0</v>
      </c>
      <c r="EC72" s="4">
        <v>1.0</v>
      </c>
      <c r="EI72" s="4">
        <v>1.0</v>
      </c>
      <c r="EW72" s="4">
        <v>1.0</v>
      </c>
      <c r="FK72" s="4">
        <v>1.0</v>
      </c>
      <c r="FO72" s="4">
        <v>1.0</v>
      </c>
      <c r="FP72" s="4">
        <v>1.0</v>
      </c>
      <c r="FQ72" s="4">
        <v>1.0</v>
      </c>
      <c r="FR72" s="4">
        <v>1.0</v>
      </c>
    </row>
    <row r="73">
      <c r="A73" s="23">
        <v>42510.0</v>
      </c>
      <c r="B73" s="4" t="s">
        <v>310</v>
      </c>
      <c r="C73" s="4">
        <v>19.457222</v>
      </c>
      <c r="D73" s="4">
        <v>-155.925003</v>
      </c>
      <c r="E73" s="4" t="s">
        <v>197</v>
      </c>
      <c r="F73" s="24">
        <v>0.3194444444444444</v>
      </c>
      <c r="G73" s="24">
        <v>0.3854166666666667</v>
      </c>
      <c r="H73" s="4">
        <v>4.0</v>
      </c>
      <c r="I73" s="4">
        <v>30.0</v>
      </c>
      <c r="J73" s="4" t="s">
        <v>198</v>
      </c>
      <c r="K73" s="4">
        <v>14.0</v>
      </c>
      <c r="L73" s="4">
        <v>41.0</v>
      </c>
      <c r="M73" s="4" t="s">
        <v>311</v>
      </c>
      <c r="AA73" s="4">
        <v>1.0</v>
      </c>
      <c r="AL73" s="4">
        <v>1.0</v>
      </c>
      <c r="BA73" s="4">
        <v>1.0</v>
      </c>
      <c r="BF73" s="4">
        <v>1.0</v>
      </c>
      <c r="BL73" s="4">
        <v>1.0</v>
      </c>
      <c r="CA73" s="4">
        <v>1.0</v>
      </c>
      <c r="CF73" s="4"/>
      <c r="CG73" s="4">
        <v>1.0</v>
      </c>
      <c r="DL73" s="4">
        <v>1.0</v>
      </c>
      <c r="DT73" s="4"/>
      <c r="DU73" s="4">
        <v>1.0</v>
      </c>
      <c r="EI73" s="4">
        <v>1.0</v>
      </c>
      <c r="FA73" s="4">
        <v>1.0</v>
      </c>
      <c r="FB73" s="4">
        <v>1.0</v>
      </c>
      <c r="FE73" s="4">
        <v>1.0</v>
      </c>
      <c r="FO73" s="4">
        <v>1.0</v>
      </c>
      <c r="FP73" s="4">
        <v>1.0</v>
      </c>
      <c r="FQ73" s="4">
        <v>1.0</v>
      </c>
    </row>
    <row r="74">
      <c r="A74" s="23">
        <v>42761.0</v>
      </c>
      <c r="B74" s="4" t="s">
        <v>233</v>
      </c>
      <c r="C74" s="36">
        <v>21.066799</v>
      </c>
      <c r="D74" s="36">
        <v>-156.804993</v>
      </c>
      <c r="E74" s="4" t="s">
        <v>286</v>
      </c>
      <c r="F74" s="24">
        <v>0.4166666666666667</v>
      </c>
      <c r="G74" s="24">
        <v>0.4722222222222222</v>
      </c>
      <c r="H74" s="4">
        <v>4.0</v>
      </c>
      <c r="I74" s="4">
        <v>20.0</v>
      </c>
      <c r="J74" s="4" t="s">
        <v>217</v>
      </c>
      <c r="K74" s="4">
        <v>10.0</v>
      </c>
      <c r="L74" s="4">
        <v>20.0</v>
      </c>
      <c r="M74" s="4" t="s">
        <v>316</v>
      </c>
      <c r="N74" s="4" t="s">
        <v>317</v>
      </c>
      <c r="Q74" s="4">
        <v>1.0</v>
      </c>
      <c r="X74" s="4"/>
      <c r="Y74" s="4">
        <v>1.0</v>
      </c>
      <c r="CN74" s="4">
        <v>1.0</v>
      </c>
      <c r="DL74" s="4">
        <v>1.0</v>
      </c>
      <c r="DQ74" s="4"/>
      <c r="DR74" s="4">
        <v>1.0</v>
      </c>
      <c r="FQ74" s="4">
        <v>1.0</v>
      </c>
      <c r="FV74" s="4">
        <v>1.0</v>
      </c>
    </row>
    <row r="75">
      <c r="A75" s="23">
        <v>42778.0</v>
      </c>
      <c r="B75" s="4" t="s">
        <v>201</v>
      </c>
      <c r="C75" s="4">
        <v>21.25544</v>
      </c>
      <c r="D75" s="4">
        <v>-157.810303</v>
      </c>
      <c r="E75" s="4" t="s">
        <v>197</v>
      </c>
      <c r="F75" s="24">
        <v>0.4479166666666667</v>
      </c>
      <c r="G75" s="24">
        <v>0.4895833333333333</v>
      </c>
      <c r="H75" s="4">
        <v>9.0</v>
      </c>
      <c r="I75" s="4">
        <v>12.0</v>
      </c>
      <c r="J75" s="4" t="s">
        <v>318</v>
      </c>
      <c r="K75" s="4">
        <v>7.0</v>
      </c>
      <c r="L75" s="4">
        <v>47.0</v>
      </c>
      <c r="M75" s="4" t="s">
        <v>319</v>
      </c>
      <c r="Q75" s="4">
        <v>1.0</v>
      </c>
      <c r="Z75" s="4"/>
      <c r="AA75" s="4">
        <v>1.0</v>
      </c>
      <c r="AB75" s="4">
        <v>1.0</v>
      </c>
      <c r="AH75" s="4">
        <v>1.0</v>
      </c>
      <c r="AY75" s="4">
        <v>1.0</v>
      </c>
      <c r="AZ75" s="4"/>
      <c r="BA75" s="4">
        <v>1.0</v>
      </c>
      <c r="BL75" s="4">
        <v>1.0</v>
      </c>
      <c r="BM75" s="4">
        <v>1.0</v>
      </c>
      <c r="BP75" s="4">
        <v>1.0</v>
      </c>
      <c r="BU75" s="4">
        <v>1.0</v>
      </c>
      <c r="BY75" s="4">
        <v>1.0</v>
      </c>
      <c r="CF75" s="4"/>
      <c r="CG75" s="4">
        <v>1.0</v>
      </c>
      <c r="CI75" s="4"/>
      <c r="CJ75" s="4">
        <v>1.0</v>
      </c>
      <c r="CN75" s="4">
        <v>1.0</v>
      </c>
      <c r="CR75" s="4">
        <v>1.0</v>
      </c>
      <c r="DE75" s="4"/>
      <c r="DF75" s="4">
        <v>1.0</v>
      </c>
      <c r="DI75" s="4">
        <v>1.0</v>
      </c>
      <c r="DK75" s="4">
        <v>1.0</v>
      </c>
      <c r="DL75" s="4">
        <v>1.0</v>
      </c>
      <c r="DM75" s="4">
        <v>1.0</v>
      </c>
      <c r="DN75" s="4">
        <v>1.0</v>
      </c>
      <c r="DQ75" s="4"/>
      <c r="DR75" s="4">
        <v>1.0</v>
      </c>
      <c r="DT75" s="4"/>
      <c r="DU75" s="4">
        <v>1.0</v>
      </c>
      <c r="DY75" s="4">
        <v>1.0</v>
      </c>
      <c r="EB75" s="4">
        <v>1.0</v>
      </c>
      <c r="ED75" s="4"/>
      <c r="EE75" s="4">
        <v>1.0</v>
      </c>
      <c r="EH75" s="4"/>
      <c r="EI75" s="4">
        <v>1.0</v>
      </c>
      <c r="EX75" s="4"/>
      <c r="EY75" s="4">
        <v>1.0</v>
      </c>
      <c r="EZ75" s="4">
        <v>1.0</v>
      </c>
      <c r="FA75" s="4">
        <v>1.0</v>
      </c>
      <c r="FB75" s="4">
        <v>1.0</v>
      </c>
      <c r="FH75" s="4">
        <v>1.0</v>
      </c>
      <c r="FL75" s="4">
        <v>1.0</v>
      </c>
      <c r="FP75" s="4">
        <v>1.0</v>
      </c>
      <c r="FQ75" s="4">
        <v>1.0</v>
      </c>
      <c r="GA75" s="4"/>
      <c r="GB75" s="4">
        <v>1.0</v>
      </c>
    </row>
    <row r="76">
      <c r="A76" s="23">
        <v>42788.0</v>
      </c>
      <c r="B76" s="4" t="s">
        <v>320</v>
      </c>
      <c r="C76" s="4">
        <v>22.005989</v>
      </c>
      <c r="D76" s="4">
        <v>-159.335648</v>
      </c>
      <c r="E76" s="4" t="s">
        <v>321</v>
      </c>
      <c r="F76" s="24">
        <v>0.3819444444444444</v>
      </c>
      <c r="G76" s="24">
        <v>0.48125</v>
      </c>
      <c r="H76" s="4">
        <v>2.0</v>
      </c>
      <c r="I76" s="4">
        <v>8.0</v>
      </c>
      <c r="J76" s="4" t="s">
        <v>318</v>
      </c>
      <c r="K76" s="4">
        <v>7.0</v>
      </c>
      <c r="L76" s="4">
        <v>12.0</v>
      </c>
      <c r="M76" s="4" t="s">
        <v>322</v>
      </c>
      <c r="Q76" s="4">
        <v>1.0</v>
      </c>
      <c r="AL76" s="4">
        <v>1.0</v>
      </c>
      <c r="AZ76" s="4"/>
      <c r="BA76" s="4">
        <v>1.0</v>
      </c>
      <c r="BV76" s="4">
        <v>1.0</v>
      </c>
      <c r="DK76" s="4">
        <v>1.0</v>
      </c>
      <c r="DT76" s="4"/>
      <c r="DU76" s="4">
        <v>1.0</v>
      </c>
      <c r="EH76" s="4"/>
      <c r="EI76" s="4">
        <v>1.0</v>
      </c>
      <c r="EX76" s="4"/>
      <c r="EY76" s="4">
        <v>1.0</v>
      </c>
      <c r="FD76" s="4">
        <v>1.0</v>
      </c>
      <c r="FQ76" s="4">
        <v>1.0</v>
      </c>
      <c r="FS76" s="4">
        <v>1.0</v>
      </c>
      <c r="FW76" s="4">
        <v>1.0</v>
      </c>
    </row>
    <row r="77">
      <c r="A77" s="23">
        <v>42791.0</v>
      </c>
      <c r="B77" s="4" t="s">
        <v>244</v>
      </c>
      <c r="C77" s="4">
        <v>21.310612</v>
      </c>
      <c r="D77" s="4">
        <v>-158.00441</v>
      </c>
      <c r="E77" s="4" t="s">
        <v>197</v>
      </c>
      <c r="F77" s="24">
        <v>0.4131944444444444</v>
      </c>
      <c r="G77" s="24">
        <v>0.4791666666666667</v>
      </c>
      <c r="H77" s="4">
        <v>9.0</v>
      </c>
      <c r="I77" s="4">
        <v>14.0</v>
      </c>
      <c r="J77" s="4" t="s">
        <v>318</v>
      </c>
      <c r="K77" s="4">
        <v>8.0</v>
      </c>
      <c r="L77" s="4">
        <v>54.0</v>
      </c>
      <c r="M77" s="4" t="s">
        <v>323</v>
      </c>
      <c r="Q77" s="4">
        <v>1.0</v>
      </c>
      <c r="S77" s="4">
        <v>1.0</v>
      </c>
      <c r="T77" s="4"/>
      <c r="U77" s="4">
        <v>1.0</v>
      </c>
      <c r="Z77" s="4"/>
      <c r="AA77" s="4">
        <v>1.0</v>
      </c>
      <c r="AD77" s="4">
        <v>1.0</v>
      </c>
      <c r="AH77" s="4">
        <v>1.0</v>
      </c>
      <c r="AQ77" s="4">
        <v>1.0</v>
      </c>
      <c r="AR77" s="4">
        <v>1.0</v>
      </c>
      <c r="AZ77" s="4"/>
      <c r="BA77" s="4">
        <v>1.0</v>
      </c>
      <c r="BB77" s="4">
        <v>1.0</v>
      </c>
      <c r="BD77" s="4">
        <v>1.0</v>
      </c>
      <c r="BJ77" s="4">
        <v>1.0</v>
      </c>
      <c r="BL77" s="4">
        <v>1.0</v>
      </c>
      <c r="BM77" s="4">
        <v>1.0</v>
      </c>
      <c r="BP77" s="4">
        <v>1.0</v>
      </c>
      <c r="BT77" s="4">
        <v>1.0</v>
      </c>
      <c r="BU77" s="4">
        <v>1.0</v>
      </c>
      <c r="BX77" s="4">
        <v>1.0</v>
      </c>
      <c r="BY77" s="4">
        <v>1.0</v>
      </c>
      <c r="CF77" s="4"/>
      <c r="CG77" s="4">
        <v>1.0</v>
      </c>
      <c r="CR77" s="4">
        <v>1.0</v>
      </c>
      <c r="DE77" s="4"/>
      <c r="DF77" s="4">
        <v>1.0</v>
      </c>
      <c r="DI77" s="4">
        <v>1.0</v>
      </c>
      <c r="DL77" s="4">
        <v>1.0</v>
      </c>
      <c r="DN77" s="4">
        <v>1.0</v>
      </c>
      <c r="DP77" s="4">
        <v>1.0</v>
      </c>
      <c r="DT77" s="4"/>
      <c r="DU77" s="4">
        <v>1.0</v>
      </c>
      <c r="EB77" s="4">
        <v>1.0</v>
      </c>
      <c r="EH77" s="4"/>
      <c r="EI77" s="4">
        <v>1.0</v>
      </c>
      <c r="EN77" s="4">
        <v>1.0</v>
      </c>
      <c r="EX77" s="4">
        <v>1.0</v>
      </c>
      <c r="FA77" s="4">
        <v>1.0</v>
      </c>
      <c r="FO77" s="4">
        <v>1.0</v>
      </c>
      <c r="FQ77" s="4">
        <v>1.0</v>
      </c>
      <c r="FR77" s="4">
        <v>1.0</v>
      </c>
      <c r="GA77" s="4"/>
      <c r="GB77" s="4">
        <v>1.0</v>
      </c>
    </row>
    <row r="78">
      <c r="A78" s="23">
        <v>42798.0</v>
      </c>
      <c r="B78" s="4" t="s">
        <v>230</v>
      </c>
      <c r="C78" s="4">
        <v>20.7537</v>
      </c>
      <c r="D78" s="4">
        <v>-156.460907</v>
      </c>
      <c r="E78" s="4" t="s">
        <v>197</v>
      </c>
      <c r="F78" s="24">
        <v>0.5902777777777778</v>
      </c>
      <c r="G78" s="24">
        <v>0.6770833333333334</v>
      </c>
      <c r="H78" s="4">
        <v>3.0</v>
      </c>
      <c r="I78" s="4">
        <v>21.0</v>
      </c>
      <c r="J78" s="4" t="s">
        <v>318</v>
      </c>
      <c r="K78" s="4">
        <v>16.0</v>
      </c>
      <c r="L78" s="4">
        <v>43.0</v>
      </c>
      <c r="M78" s="4" t="s">
        <v>324</v>
      </c>
      <c r="Q78" s="4">
        <v>1.0</v>
      </c>
      <c r="AL78" s="4">
        <v>1.0</v>
      </c>
      <c r="BL78" s="4">
        <v>1.0</v>
      </c>
      <c r="CI78" s="4">
        <v>1.0</v>
      </c>
      <c r="DE78" s="4"/>
      <c r="DF78" s="4">
        <v>1.0</v>
      </c>
      <c r="DO78" s="4">
        <v>1.0</v>
      </c>
      <c r="DT78" s="4"/>
      <c r="DU78" s="4">
        <v>1.0</v>
      </c>
      <c r="EC78" s="4">
        <v>1.0</v>
      </c>
      <c r="EH78" s="4">
        <v>1.0</v>
      </c>
      <c r="EW78" s="4">
        <v>1.0</v>
      </c>
      <c r="FO78" s="4">
        <v>1.0</v>
      </c>
      <c r="FQ78" s="4">
        <v>1.0</v>
      </c>
      <c r="FR78" s="4">
        <v>1.0</v>
      </c>
      <c r="FZ78" s="4">
        <v>1.0</v>
      </c>
      <c r="GA78" s="4"/>
      <c r="GB78" s="4">
        <v>1.0</v>
      </c>
    </row>
    <row r="79">
      <c r="A79" s="23">
        <v>42802.0</v>
      </c>
      <c r="B79" s="4" t="s">
        <v>244</v>
      </c>
      <c r="C79" s="4">
        <v>21.310612</v>
      </c>
      <c r="D79" s="4">
        <v>-158.00441</v>
      </c>
      <c r="E79" s="4" t="s">
        <v>278</v>
      </c>
      <c r="F79" s="24">
        <v>0.3854166666666667</v>
      </c>
      <c r="G79" s="24">
        <v>0.46875</v>
      </c>
      <c r="H79" s="4">
        <v>6.0</v>
      </c>
      <c r="I79" s="4">
        <v>10.0</v>
      </c>
      <c r="J79" s="4" t="s">
        <v>198</v>
      </c>
      <c r="K79" s="4">
        <v>5.0</v>
      </c>
      <c r="L79" s="4">
        <v>30.0</v>
      </c>
      <c r="N79" s="4" t="s">
        <v>282</v>
      </c>
      <c r="Q79" s="4">
        <v>1.0</v>
      </c>
      <c r="Z79" s="4"/>
      <c r="AA79" s="4">
        <v>1.0</v>
      </c>
      <c r="AD79" s="4">
        <v>1.0</v>
      </c>
      <c r="AH79" s="4">
        <v>1.0</v>
      </c>
      <c r="AL79" s="4">
        <v>1.0</v>
      </c>
      <c r="AZ79" s="4"/>
      <c r="BA79" s="4">
        <v>1.0</v>
      </c>
      <c r="BD79" s="4">
        <v>1.0</v>
      </c>
      <c r="BJ79" s="4">
        <v>1.0</v>
      </c>
      <c r="BL79" s="4">
        <v>1.0</v>
      </c>
      <c r="BY79" s="4">
        <v>1.0</v>
      </c>
      <c r="CR79" s="4">
        <v>1.0</v>
      </c>
      <c r="CU79" s="4">
        <v>1.0</v>
      </c>
      <c r="DE79" s="4"/>
      <c r="DF79" s="4">
        <v>1.0</v>
      </c>
      <c r="DL79" s="4">
        <v>1.0</v>
      </c>
      <c r="DN79" s="4">
        <v>1.0</v>
      </c>
      <c r="DQ79" s="4"/>
      <c r="DR79" s="4">
        <v>1.0</v>
      </c>
      <c r="EI79" s="4">
        <v>1.0</v>
      </c>
      <c r="FA79" s="4">
        <v>1.0</v>
      </c>
      <c r="FQ79" s="4">
        <v>1.0</v>
      </c>
      <c r="FT79" s="4"/>
      <c r="FU79" s="4">
        <v>1.0</v>
      </c>
    </row>
    <row r="80">
      <c r="A80" s="23">
        <v>42803.0</v>
      </c>
      <c r="B80" s="4" t="s">
        <v>244</v>
      </c>
      <c r="C80" s="4">
        <v>21.310612</v>
      </c>
      <c r="D80" s="4">
        <v>-158.00441</v>
      </c>
      <c r="E80" s="4" t="s">
        <v>326</v>
      </c>
      <c r="F80" s="24">
        <v>0.3958333333333333</v>
      </c>
      <c r="G80" s="24">
        <v>0.4791666666666667</v>
      </c>
      <c r="H80" s="4">
        <v>7.0</v>
      </c>
      <c r="I80" s="4">
        <v>14.0</v>
      </c>
      <c r="J80" s="4" t="s">
        <v>318</v>
      </c>
      <c r="K80" s="4">
        <v>5.0</v>
      </c>
      <c r="L80" s="4">
        <v>26.0</v>
      </c>
      <c r="M80" s="4" t="s">
        <v>327</v>
      </c>
      <c r="N80" s="4" t="s">
        <v>328</v>
      </c>
      <c r="Q80" s="4">
        <v>1.0</v>
      </c>
      <c r="V80" s="4"/>
      <c r="W80" s="4">
        <v>1.0</v>
      </c>
      <c r="Z80" s="4"/>
      <c r="AA80" s="4">
        <v>2.0</v>
      </c>
      <c r="AB80" s="4">
        <v>1.0</v>
      </c>
      <c r="AD80" s="4">
        <v>1.0</v>
      </c>
      <c r="AH80" s="4">
        <v>1.0</v>
      </c>
      <c r="BD80" s="4">
        <v>1.0</v>
      </c>
      <c r="BM80" s="4">
        <v>1.0</v>
      </c>
      <c r="BU80" s="4">
        <v>1.0</v>
      </c>
      <c r="BY80" s="4">
        <v>1.0</v>
      </c>
      <c r="CF80" s="4"/>
      <c r="CG80" s="4">
        <v>1.0</v>
      </c>
      <c r="CR80" s="4">
        <v>1.0</v>
      </c>
      <c r="DE80" s="4"/>
      <c r="DF80" s="4">
        <v>1.0</v>
      </c>
      <c r="DI80" s="4">
        <v>2.0</v>
      </c>
      <c r="DL80" s="4">
        <v>1.0</v>
      </c>
      <c r="DN80" s="4">
        <v>1.0</v>
      </c>
      <c r="DT80" s="4"/>
      <c r="DU80" s="4">
        <v>1.0</v>
      </c>
      <c r="EB80" s="4">
        <v>1.0</v>
      </c>
      <c r="ED80" s="4"/>
      <c r="EE80" s="4">
        <v>1.0</v>
      </c>
      <c r="EI80" s="4">
        <v>1.0</v>
      </c>
      <c r="EV80" s="4">
        <v>1.0</v>
      </c>
      <c r="FH80" s="4">
        <v>1.0</v>
      </c>
      <c r="FP80" s="4">
        <v>1.0</v>
      </c>
      <c r="FQ80" s="4">
        <v>1.0</v>
      </c>
      <c r="FY80" s="4">
        <v>1.0</v>
      </c>
      <c r="FZ80" s="4">
        <v>1.0</v>
      </c>
    </row>
    <row r="81">
      <c r="A81" s="23">
        <v>42804.0</v>
      </c>
      <c r="B81" s="4" t="s">
        <v>329</v>
      </c>
      <c r="C81" s="4">
        <v>21.1408</v>
      </c>
      <c r="D81" s="4">
        <v>-157.290115</v>
      </c>
      <c r="E81" s="4" t="s">
        <v>330</v>
      </c>
      <c r="F81" s="24">
        <v>0.4375</v>
      </c>
      <c r="G81" s="24">
        <v>0.4673611111111111</v>
      </c>
      <c r="H81" s="4">
        <v>6.0</v>
      </c>
      <c r="I81" s="4">
        <v>10.0</v>
      </c>
      <c r="J81" s="4" t="s">
        <v>318</v>
      </c>
      <c r="K81" s="4">
        <v>5.0</v>
      </c>
      <c r="L81" s="4">
        <v>27.0</v>
      </c>
      <c r="M81" s="4" t="s">
        <v>331</v>
      </c>
      <c r="N81" s="4" t="s">
        <v>282</v>
      </c>
      <c r="AB81" s="4">
        <v>1.0</v>
      </c>
      <c r="BL81" s="4">
        <v>1.0</v>
      </c>
      <c r="CF81" s="4"/>
      <c r="CG81" s="4">
        <v>1.0</v>
      </c>
      <c r="CR81" s="4">
        <v>2.0</v>
      </c>
      <c r="DN81" s="4">
        <v>1.0</v>
      </c>
      <c r="EI81" s="4">
        <v>1.0</v>
      </c>
      <c r="FA81" s="4">
        <v>1.0</v>
      </c>
      <c r="FQ81" s="4">
        <v>1.0</v>
      </c>
      <c r="FS81" s="4">
        <v>1.0</v>
      </c>
    </row>
    <row r="82">
      <c r="A82" s="23">
        <v>42804.0</v>
      </c>
      <c r="B82" s="4" t="s">
        <v>201</v>
      </c>
      <c r="C82" s="4">
        <v>21.25544</v>
      </c>
      <c r="D82" s="4">
        <v>-157.810303</v>
      </c>
      <c r="E82" s="4" t="s">
        <v>325</v>
      </c>
      <c r="F82" s="24">
        <v>0.4166666666666667</v>
      </c>
      <c r="G82" s="24">
        <v>0.4583333333333333</v>
      </c>
      <c r="H82" s="4">
        <v>6.0</v>
      </c>
      <c r="I82" s="4">
        <v>5.0</v>
      </c>
      <c r="J82" s="4" t="s">
        <v>318</v>
      </c>
      <c r="K82" s="4">
        <v>5.0</v>
      </c>
      <c r="L82" s="4">
        <v>24.0</v>
      </c>
      <c r="M82" s="4" t="s">
        <v>332</v>
      </c>
      <c r="N82" s="4" t="s">
        <v>288</v>
      </c>
      <c r="BX82" s="4">
        <v>1.0</v>
      </c>
      <c r="BY82" s="4">
        <v>1.0</v>
      </c>
      <c r="CR82" s="4">
        <v>1.0</v>
      </c>
      <c r="DA82" s="4"/>
      <c r="DB82" s="4">
        <v>1.0</v>
      </c>
      <c r="DI82" s="4">
        <v>1.0</v>
      </c>
      <c r="DK82" s="4">
        <v>1.0</v>
      </c>
      <c r="DL82" s="4">
        <v>1.0</v>
      </c>
      <c r="DQ82" s="4"/>
      <c r="DR82" s="4">
        <v>1.0</v>
      </c>
      <c r="EI82" s="4">
        <v>1.0</v>
      </c>
      <c r="FA82" s="4">
        <v>1.0</v>
      </c>
      <c r="FH82" s="4">
        <v>1.0</v>
      </c>
      <c r="FP82" s="4">
        <v>1.0</v>
      </c>
      <c r="FQ82" s="4">
        <v>1.0</v>
      </c>
    </row>
    <row r="83">
      <c r="A83" s="23">
        <v>42804.0</v>
      </c>
      <c r="B83" s="4" t="s">
        <v>219</v>
      </c>
      <c r="C83" s="4">
        <v>21.295799</v>
      </c>
      <c r="D83" s="4">
        <v>-158.103699</v>
      </c>
      <c r="E83" s="4" t="s">
        <v>333</v>
      </c>
      <c r="F83" s="24">
        <v>0.3854166666666667</v>
      </c>
      <c r="G83" s="24">
        <v>0.4479166666666667</v>
      </c>
      <c r="H83" s="4">
        <v>7.0</v>
      </c>
      <c r="I83" s="4">
        <v>10.0</v>
      </c>
      <c r="J83" s="4" t="s">
        <v>318</v>
      </c>
      <c r="K83" s="4">
        <v>5.0</v>
      </c>
      <c r="L83" s="4">
        <v>31.0</v>
      </c>
      <c r="M83" s="4" t="s">
        <v>334</v>
      </c>
      <c r="N83" s="4" t="s">
        <v>335</v>
      </c>
      <c r="Q83" s="4">
        <v>1.0</v>
      </c>
      <c r="R83" s="4">
        <v>1.0</v>
      </c>
      <c r="Z83" s="4"/>
      <c r="AA83" s="4">
        <v>1.0</v>
      </c>
      <c r="AB83" s="4">
        <v>2.0</v>
      </c>
      <c r="AC83" s="4">
        <v>1.0</v>
      </c>
      <c r="AD83" s="4">
        <v>1.0</v>
      </c>
      <c r="AH83" s="4">
        <v>1.0</v>
      </c>
      <c r="AS83" s="4">
        <v>1.0</v>
      </c>
      <c r="BB83" s="4">
        <v>1.0</v>
      </c>
      <c r="BC83" s="4">
        <v>2.0</v>
      </c>
      <c r="BD83" s="4">
        <v>1.0</v>
      </c>
      <c r="BG83" s="4">
        <v>1.0</v>
      </c>
      <c r="BL83" s="4">
        <v>1.0</v>
      </c>
      <c r="BM83" s="4">
        <v>1.0</v>
      </c>
      <c r="BP83" s="4">
        <v>1.0</v>
      </c>
      <c r="BU83" s="4">
        <v>1.0</v>
      </c>
      <c r="BY83" s="4">
        <v>1.0</v>
      </c>
      <c r="CB83" s="4">
        <v>2.0</v>
      </c>
      <c r="CR83" s="4">
        <v>1.0</v>
      </c>
      <c r="DC83" s="4">
        <v>1.0</v>
      </c>
      <c r="DE83" s="4"/>
      <c r="DF83" s="4">
        <v>1.0</v>
      </c>
      <c r="DL83" s="4">
        <v>1.0</v>
      </c>
      <c r="DQ83" s="4"/>
      <c r="DR83" s="4">
        <v>1.0</v>
      </c>
      <c r="DY83" s="4">
        <v>1.0</v>
      </c>
      <c r="EB83" s="4">
        <v>1.0</v>
      </c>
      <c r="EI83" s="4">
        <v>1.0</v>
      </c>
      <c r="EJ83" s="4">
        <v>1.0</v>
      </c>
      <c r="FA83" s="4">
        <v>1.0</v>
      </c>
      <c r="FC83" s="4"/>
      <c r="FE83" s="4">
        <v>1.0</v>
      </c>
      <c r="FH83" s="4">
        <v>1.0</v>
      </c>
      <c r="FP83" s="4">
        <v>1.0</v>
      </c>
      <c r="FQ83" s="4">
        <v>1.0</v>
      </c>
    </row>
    <row r="84">
      <c r="A84" s="23">
        <v>42806.0</v>
      </c>
      <c r="B84" s="4" t="s">
        <v>293</v>
      </c>
      <c r="C84" s="4">
        <v>19.738602</v>
      </c>
      <c r="D84" s="4">
        <v>-155.038879</v>
      </c>
      <c r="E84" s="4" t="s">
        <v>197</v>
      </c>
      <c r="F84" s="24">
        <v>0.3993055555555556</v>
      </c>
      <c r="G84" s="24">
        <v>0.43333333333333335</v>
      </c>
      <c r="H84" s="4">
        <v>6.0</v>
      </c>
      <c r="I84" s="4">
        <v>12.0</v>
      </c>
      <c r="J84" s="4" t="s">
        <v>198</v>
      </c>
      <c r="K84" s="4">
        <v>7.0</v>
      </c>
      <c r="L84" s="4">
        <v>32.0</v>
      </c>
      <c r="M84" s="4" t="s">
        <v>336</v>
      </c>
      <c r="Q84" s="4">
        <v>1.0</v>
      </c>
      <c r="Z84" s="4"/>
      <c r="AA84" s="4">
        <v>1.0</v>
      </c>
      <c r="AF84" s="4">
        <v>1.0</v>
      </c>
      <c r="AL84" s="4">
        <v>1.0</v>
      </c>
      <c r="BJ84" s="4">
        <v>1.0</v>
      </c>
      <c r="BL84" s="4">
        <v>1.0</v>
      </c>
      <c r="BQ84" s="4">
        <v>1.0</v>
      </c>
      <c r="BV84" s="4">
        <v>1.0</v>
      </c>
      <c r="CB84" s="4">
        <v>1.0</v>
      </c>
      <c r="CF84" s="4"/>
      <c r="CG84" s="4">
        <v>1.0</v>
      </c>
      <c r="CN84" s="4">
        <v>1.0</v>
      </c>
      <c r="DE84" s="4"/>
      <c r="DF84" s="4">
        <v>1.0</v>
      </c>
      <c r="DH84" s="4">
        <v>1.0</v>
      </c>
      <c r="EI84" s="4">
        <v>1.0</v>
      </c>
      <c r="EO84" s="4">
        <v>1.0</v>
      </c>
      <c r="EQ84" s="4">
        <v>1.0</v>
      </c>
      <c r="FL84" s="4">
        <v>1.0</v>
      </c>
      <c r="FQ84" s="4">
        <v>1.0</v>
      </c>
      <c r="FR84" s="4">
        <v>1.0</v>
      </c>
    </row>
    <row r="85">
      <c r="A85" s="23">
        <v>42810.0</v>
      </c>
      <c r="B85" s="4" t="s">
        <v>337</v>
      </c>
      <c r="C85" s="4">
        <v>19.957188</v>
      </c>
      <c r="D85" s="4">
        <v>-155.859497</v>
      </c>
      <c r="E85" s="4" t="s">
        <v>313</v>
      </c>
      <c r="F85" s="24">
        <v>0.48055555555555557</v>
      </c>
      <c r="G85" s="24">
        <v>0.5520833333333334</v>
      </c>
      <c r="H85" s="4">
        <v>3.0</v>
      </c>
      <c r="I85" s="4">
        <v>10.0</v>
      </c>
      <c r="J85" s="4" t="s">
        <v>318</v>
      </c>
      <c r="K85" s="4">
        <v>10.0</v>
      </c>
      <c r="L85" s="4">
        <v>30.0</v>
      </c>
      <c r="Z85" s="4"/>
      <c r="AA85" s="4">
        <v>1.0</v>
      </c>
      <c r="AK85" s="4">
        <v>1.0</v>
      </c>
      <c r="AL85" s="4">
        <v>1.0</v>
      </c>
      <c r="AM85" s="4">
        <v>1.0</v>
      </c>
      <c r="BG85" s="4">
        <v>1.0</v>
      </c>
      <c r="BL85" s="4">
        <v>1.0</v>
      </c>
      <c r="BX85" s="4">
        <v>1.0</v>
      </c>
      <c r="CB85" s="4">
        <v>1.0</v>
      </c>
      <c r="CC85" s="4">
        <v>1.0</v>
      </c>
      <c r="CJ85" s="4">
        <v>1.0</v>
      </c>
      <c r="CT85" s="4">
        <v>1.0</v>
      </c>
      <c r="DG85" s="4">
        <v>1.0</v>
      </c>
      <c r="DQ85" s="4"/>
      <c r="DR85" s="4">
        <v>1.0</v>
      </c>
      <c r="EA85" s="4">
        <v>1.0</v>
      </c>
      <c r="EI85" s="4">
        <v>1.0</v>
      </c>
      <c r="EV85" s="4">
        <v>1.0</v>
      </c>
      <c r="FA85" s="4">
        <v>1.0</v>
      </c>
      <c r="FP85" s="4">
        <v>1.0</v>
      </c>
      <c r="FQ85" s="4">
        <v>1.0</v>
      </c>
    </row>
    <row r="86">
      <c r="A86" s="23">
        <v>42823.0</v>
      </c>
      <c r="B86" s="4" t="s">
        <v>244</v>
      </c>
      <c r="C86" s="4">
        <v>21.310612</v>
      </c>
      <c r="D86" s="4">
        <v>-158.00441</v>
      </c>
      <c r="E86" s="4" t="s">
        <v>278</v>
      </c>
      <c r="F86" s="24">
        <v>0.3854166666666667</v>
      </c>
      <c r="G86" s="24">
        <v>0.46875</v>
      </c>
      <c r="H86" s="4">
        <v>6.0</v>
      </c>
      <c r="I86" s="4">
        <v>10.0</v>
      </c>
      <c r="J86" s="4" t="s">
        <v>198</v>
      </c>
      <c r="K86" s="4">
        <v>5.0</v>
      </c>
      <c r="L86" s="4">
        <v>26.0</v>
      </c>
      <c r="M86" s="4" t="s">
        <v>338</v>
      </c>
      <c r="Q86" s="4">
        <v>1.0</v>
      </c>
      <c r="AH86" s="4">
        <v>1.0</v>
      </c>
      <c r="BL86" s="4">
        <v>1.0</v>
      </c>
      <c r="BU86" s="4">
        <v>1.0</v>
      </c>
      <c r="BY86" s="4">
        <v>1.0</v>
      </c>
      <c r="DE86" s="4"/>
      <c r="DF86" s="4">
        <v>1.0</v>
      </c>
      <c r="DL86" s="4">
        <v>1.0</v>
      </c>
      <c r="DQ86" s="4"/>
      <c r="DR86" s="4">
        <v>1.0</v>
      </c>
      <c r="EI86" s="4">
        <v>1.0</v>
      </c>
      <c r="FA86" s="4">
        <v>1.0</v>
      </c>
      <c r="FQ86" s="4">
        <v>1.0</v>
      </c>
    </row>
    <row r="87">
      <c r="A87" s="23">
        <v>42826.0</v>
      </c>
      <c r="B87" s="4" t="s">
        <v>303</v>
      </c>
      <c r="C87" s="4">
        <v>20.99424</v>
      </c>
      <c r="D87" s="4">
        <v>-156.668259</v>
      </c>
      <c r="E87" s="4" t="s">
        <v>197</v>
      </c>
      <c r="F87" s="24">
        <v>0.4708333333333333</v>
      </c>
      <c r="G87" s="24">
        <v>0.5041666666666667</v>
      </c>
      <c r="H87" s="4">
        <v>3.0</v>
      </c>
      <c r="I87" s="4">
        <v>25.0</v>
      </c>
      <c r="J87" s="4" t="s">
        <v>198</v>
      </c>
      <c r="K87" s="4">
        <v>11.0</v>
      </c>
      <c r="L87" s="4">
        <v>20.0</v>
      </c>
      <c r="M87" s="4" t="s">
        <v>339</v>
      </c>
      <c r="Z87" s="4"/>
      <c r="AA87" s="4">
        <v>1.0</v>
      </c>
      <c r="AL87" s="4">
        <v>1.0</v>
      </c>
      <c r="BJ87" s="4">
        <v>1.0</v>
      </c>
      <c r="BL87" s="4">
        <v>1.0</v>
      </c>
      <c r="BP87" s="4">
        <v>1.0</v>
      </c>
      <c r="CB87" s="4">
        <v>1.0</v>
      </c>
      <c r="CC87" s="4">
        <v>1.0</v>
      </c>
      <c r="CJ87" s="4">
        <v>1.0</v>
      </c>
      <c r="DG87" s="4">
        <v>1.0</v>
      </c>
      <c r="DO87" s="4">
        <v>1.0</v>
      </c>
      <c r="EC87" s="4">
        <v>1.0</v>
      </c>
      <c r="ES87" s="4"/>
      <c r="ET87" s="4"/>
      <c r="EU87" s="4">
        <v>1.0</v>
      </c>
      <c r="FB87" s="4">
        <v>1.0</v>
      </c>
      <c r="FQ87" s="4">
        <v>1.0</v>
      </c>
      <c r="FV87" s="4">
        <v>1.0</v>
      </c>
    </row>
    <row r="88">
      <c r="A88" s="23">
        <v>42827.0</v>
      </c>
      <c r="B88" s="4" t="s">
        <v>340</v>
      </c>
      <c r="C88" s="4">
        <v>19.643276</v>
      </c>
      <c r="D88" s="4">
        <v>-156.010193</v>
      </c>
      <c r="E88" s="4" t="s">
        <v>197</v>
      </c>
      <c r="F88" s="24">
        <v>0.48680555555555555</v>
      </c>
      <c r="G88" s="24">
        <v>0.525</v>
      </c>
      <c r="H88" s="4">
        <v>3.0</v>
      </c>
      <c r="I88" s="4">
        <v>40.0</v>
      </c>
      <c r="J88" s="4" t="s">
        <v>198</v>
      </c>
      <c r="K88" s="4">
        <v>10.0</v>
      </c>
      <c r="L88" s="4">
        <v>28.0</v>
      </c>
      <c r="M88" s="4" t="s">
        <v>341</v>
      </c>
      <c r="S88" s="4">
        <v>1.0</v>
      </c>
      <c r="AC88" s="4">
        <v>1.0</v>
      </c>
      <c r="AL88" s="4">
        <v>1.0</v>
      </c>
      <c r="BL88" s="4">
        <v>1.0</v>
      </c>
      <c r="BY88" s="4">
        <v>1.0</v>
      </c>
      <c r="CB88" s="4">
        <v>1.0</v>
      </c>
      <c r="CM88" s="4">
        <v>1.0</v>
      </c>
      <c r="EI88" s="4">
        <v>1.0</v>
      </c>
      <c r="FC88" s="4"/>
      <c r="FE88" s="4">
        <v>1.0</v>
      </c>
      <c r="FL88" s="4">
        <v>1.0</v>
      </c>
      <c r="FP88" s="4">
        <v>1.0</v>
      </c>
      <c r="FQ88" s="4">
        <v>1.0</v>
      </c>
    </row>
    <row r="89">
      <c r="A89" s="23">
        <v>42831.0</v>
      </c>
      <c r="B89" s="4" t="s">
        <v>201</v>
      </c>
      <c r="C89" s="4">
        <v>21.25544</v>
      </c>
      <c r="D89" s="4">
        <v>-157.810303</v>
      </c>
      <c r="E89" s="4" t="s">
        <v>197</v>
      </c>
      <c r="F89" s="24">
        <v>0.0</v>
      </c>
      <c r="G89" s="24">
        <v>0.041666666666666664</v>
      </c>
      <c r="H89" s="4">
        <v>6.0</v>
      </c>
      <c r="I89" s="4">
        <v>11.0</v>
      </c>
      <c r="J89" s="4" t="s">
        <v>198</v>
      </c>
      <c r="K89" s="4">
        <v>12.0</v>
      </c>
      <c r="L89" s="4">
        <v>55.0</v>
      </c>
      <c r="M89" s="4" t="s">
        <v>342</v>
      </c>
      <c r="Q89" s="4">
        <v>1.0</v>
      </c>
      <c r="Z89" s="4"/>
      <c r="AA89" s="4">
        <v>1.0</v>
      </c>
      <c r="AC89" s="4">
        <v>1.0</v>
      </c>
      <c r="AE89" s="4">
        <v>1.0</v>
      </c>
      <c r="BG89" s="4">
        <v>1.0</v>
      </c>
      <c r="BL89" s="4">
        <v>1.0</v>
      </c>
      <c r="BV89" s="4">
        <v>1.0</v>
      </c>
      <c r="BY89" s="4">
        <v>1.0</v>
      </c>
      <c r="CA89" s="4">
        <v>1.0</v>
      </c>
      <c r="CR89" s="4">
        <v>1.0</v>
      </c>
      <c r="DL89" s="4">
        <v>1.0</v>
      </c>
      <c r="DS89" s="4">
        <v>1.0</v>
      </c>
      <c r="EC89" s="4">
        <v>1.0</v>
      </c>
      <c r="EI89" s="4">
        <v>1.0</v>
      </c>
      <c r="FA89" s="4">
        <v>1.0</v>
      </c>
      <c r="FB89" s="4">
        <v>1.0</v>
      </c>
      <c r="FQ89" s="4">
        <v>1.0</v>
      </c>
      <c r="FS89" s="4">
        <v>1.0</v>
      </c>
      <c r="GA89" s="4">
        <v>1.0</v>
      </c>
      <c r="GB89" s="4">
        <v>1.0</v>
      </c>
    </row>
    <row r="90">
      <c r="A90" s="23">
        <v>42834.0</v>
      </c>
      <c r="B90" s="4" t="s">
        <v>301</v>
      </c>
      <c r="C90" s="4">
        <v>22.065599</v>
      </c>
      <c r="D90" s="4">
        <v>-159.317703</v>
      </c>
      <c r="E90" s="4" t="s">
        <v>344</v>
      </c>
      <c r="F90" s="24">
        <v>0.36875</v>
      </c>
      <c r="G90" s="24">
        <v>0.41041666666666665</v>
      </c>
      <c r="H90" s="4">
        <v>4.0</v>
      </c>
      <c r="I90" s="4">
        <v>15.0</v>
      </c>
      <c r="J90" s="4" t="s">
        <v>198</v>
      </c>
      <c r="K90" s="4">
        <v>8.0</v>
      </c>
      <c r="L90" s="4">
        <v>25.0</v>
      </c>
      <c r="M90" s="4" t="s">
        <v>345</v>
      </c>
      <c r="Q90" s="4">
        <v>1.0</v>
      </c>
      <c r="Z90" s="4"/>
      <c r="AA90" s="4">
        <v>1.0</v>
      </c>
      <c r="AC90" s="4">
        <v>1.0</v>
      </c>
      <c r="AZ90" s="4"/>
      <c r="BA90" s="4">
        <v>1.0</v>
      </c>
      <c r="BM90" s="4">
        <v>1.0</v>
      </c>
      <c r="BU90" s="4">
        <v>1.0</v>
      </c>
      <c r="DL90" s="4">
        <v>1.0</v>
      </c>
      <c r="DM90" s="4">
        <v>1.0</v>
      </c>
      <c r="DQ90" s="4"/>
      <c r="DR90" s="4">
        <v>1.0</v>
      </c>
      <c r="EI90" s="4">
        <v>1.0</v>
      </c>
      <c r="FA90" s="4">
        <v>1.0</v>
      </c>
      <c r="FH90" s="4">
        <v>1.0</v>
      </c>
      <c r="FP90" s="4">
        <v>1.0</v>
      </c>
      <c r="FQ90" s="4">
        <v>1.0</v>
      </c>
      <c r="FX90" s="4">
        <v>1.0</v>
      </c>
    </row>
    <row r="91">
      <c r="A91" s="23">
        <v>42835.0</v>
      </c>
      <c r="B91" s="4" t="s">
        <v>216</v>
      </c>
      <c r="C91" s="4">
        <v>21.3002</v>
      </c>
      <c r="D91" s="4">
        <v>-157.882599</v>
      </c>
      <c r="E91" s="4" t="s">
        <v>272</v>
      </c>
      <c r="F91" s="24">
        <v>0.3888888888888889</v>
      </c>
      <c r="G91" s="24">
        <v>0.4236111111111111</v>
      </c>
      <c r="H91" s="4">
        <v>7.0</v>
      </c>
      <c r="I91" s="4">
        <v>20.0</v>
      </c>
      <c r="J91" s="4" t="s">
        <v>198</v>
      </c>
      <c r="K91" s="4">
        <v>5.0</v>
      </c>
      <c r="L91" s="4">
        <v>33.0</v>
      </c>
      <c r="M91" s="4" t="s">
        <v>346</v>
      </c>
      <c r="V91" s="4"/>
      <c r="W91" s="4">
        <v>1.0</v>
      </c>
      <c r="Z91" s="4"/>
      <c r="AA91" s="4">
        <v>1.0</v>
      </c>
      <c r="AB91" s="4">
        <v>1.0</v>
      </c>
      <c r="AH91" s="4">
        <v>1.0</v>
      </c>
      <c r="BL91" s="4">
        <v>1.0</v>
      </c>
      <c r="BU91" s="4">
        <v>1.0</v>
      </c>
      <c r="BY91" s="4">
        <v>1.0</v>
      </c>
      <c r="CB91" s="4">
        <v>1.0</v>
      </c>
      <c r="DE91" s="4"/>
      <c r="DF91" s="4">
        <v>1.0</v>
      </c>
      <c r="DG91" s="4">
        <v>1.0</v>
      </c>
      <c r="DN91" s="4">
        <v>1.0</v>
      </c>
      <c r="EB91" s="4">
        <v>1.0</v>
      </c>
      <c r="EF91" s="4">
        <v>1.0</v>
      </c>
      <c r="EI91" s="4">
        <v>1.0</v>
      </c>
      <c r="FH91" s="4">
        <v>1.0</v>
      </c>
      <c r="FQ91" s="4">
        <v>1.0</v>
      </c>
    </row>
    <row r="92">
      <c r="A92" s="23">
        <v>42836.0</v>
      </c>
      <c r="B92" s="4" t="s">
        <v>301</v>
      </c>
      <c r="C92" s="4">
        <v>22.065599</v>
      </c>
      <c r="D92" s="4">
        <v>-159.317703</v>
      </c>
      <c r="E92" s="4" t="s">
        <v>347</v>
      </c>
      <c r="F92" s="24">
        <v>0.3958333333333333</v>
      </c>
      <c r="G92" s="24">
        <v>0.44375</v>
      </c>
      <c r="H92" s="4">
        <v>6.0</v>
      </c>
      <c r="I92" s="4">
        <v>15.0</v>
      </c>
      <c r="J92" s="4" t="s">
        <v>198</v>
      </c>
      <c r="K92" s="4">
        <v>7.0</v>
      </c>
      <c r="L92" s="4">
        <v>33.0</v>
      </c>
      <c r="M92" s="4" t="s">
        <v>348</v>
      </c>
      <c r="V92" s="4"/>
      <c r="W92" s="4">
        <v>1.0</v>
      </c>
      <c r="Z92" s="4"/>
      <c r="AA92" s="4">
        <v>1.0</v>
      </c>
      <c r="AM92" s="4">
        <v>1.0</v>
      </c>
      <c r="AT92" s="4">
        <v>1.0</v>
      </c>
      <c r="AV92" s="4"/>
      <c r="AW92" s="4">
        <v>1.0</v>
      </c>
      <c r="AY92" s="4">
        <v>1.0</v>
      </c>
      <c r="AZ92" s="4"/>
      <c r="BA92" s="4">
        <v>1.0</v>
      </c>
      <c r="BL92" s="4">
        <v>1.0</v>
      </c>
      <c r="BM92" s="4">
        <v>1.0</v>
      </c>
      <c r="BT92" s="4">
        <v>1.0</v>
      </c>
      <c r="BU92" s="4">
        <v>1.0</v>
      </c>
      <c r="BY92" s="4">
        <v>1.0</v>
      </c>
      <c r="CR92" s="4">
        <v>1.0</v>
      </c>
      <c r="CU92" s="4">
        <v>1.0</v>
      </c>
      <c r="DI92" s="4">
        <v>1.0</v>
      </c>
      <c r="DK92" s="4">
        <v>1.0</v>
      </c>
      <c r="DL92" s="4">
        <v>1.0</v>
      </c>
      <c r="DQ92" s="4"/>
      <c r="DR92" s="4">
        <v>1.0</v>
      </c>
      <c r="DT92" s="4"/>
      <c r="DU92" s="4">
        <v>1.0</v>
      </c>
      <c r="DY92" s="4">
        <v>1.0</v>
      </c>
      <c r="EI92" s="4">
        <v>1.0</v>
      </c>
      <c r="ES92" s="4"/>
      <c r="ET92" s="4"/>
      <c r="EU92" s="4">
        <v>1.0</v>
      </c>
      <c r="FA92" s="4">
        <v>1.0</v>
      </c>
      <c r="FC92" s="4"/>
      <c r="FE92" s="4">
        <v>1.0</v>
      </c>
      <c r="FH92" s="4">
        <v>1.0</v>
      </c>
      <c r="FQ92" s="4">
        <v>1.0</v>
      </c>
      <c r="FX92" s="4">
        <v>1.0</v>
      </c>
    </row>
    <row r="93">
      <c r="A93" s="23">
        <v>42836.0</v>
      </c>
      <c r="B93" s="4" t="s">
        <v>266</v>
      </c>
      <c r="C93" s="4">
        <v>22.060684</v>
      </c>
      <c r="D93" s="4">
        <v>-159.318512</v>
      </c>
      <c r="E93" s="4" t="s">
        <v>297</v>
      </c>
      <c r="F93" s="24">
        <v>0.4041666666666667</v>
      </c>
      <c r="G93" s="24">
        <v>0.4409722222222222</v>
      </c>
      <c r="H93" s="4">
        <v>6.0</v>
      </c>
      <c r="I93" s="4">
        <v>14.0</v>
      </c>
      <c r="J93" s="4" t="s">
        <v>198</v>
      </c>
      <c r="K93" s="4">
        <v>8.0</v>
      </c>
      <c r="L93" s="4">
        <v>37.0</v>
      </c>
      <c r="M93" s="4" t="s">
        <v>349</v>
      </c>
      <c r="S93" s="4">
        <v>1.0</v>
      </c>
      <c r="Z93" s="4">
        <v>1.0</v>
      </c>
      <c r="AU93" s="4">
        <v>1.0</v>
      </c>
      <c r="AZ93" s="4"/>
      <c r="BA93" s="4">
        <v>1.0</v>
      </c>
      <c r="BM93" s="4">
        <v>1.0</v>
      </c>
      <c r="BU93" s="4">
        <v>1.0</v>
      </c>
      <c r="CV93" s="4"/>
      <c r="CW93" s="4"/>
      <c r="CX93" s="4"/>
      <c r="CY93" s="4">
        <v>1.0</v>
      </c>
      <c r="DL93" s="4">
        <v>1.0</v>
      </c>
      <c r="DQ93" s="4"/>
      <c r="DR93" s="4">
        <v>1.0</v>
      </c>
      <c r="DT93" s="4"/>
      <c r="DU93" s="4">
        <v>1.0</v>
      </c>
      <c r="EI93" s="4">
        <v>1.0</v>
      </c>
      <c r="FA93" s="4">
        <v>1.0</v>
      </c>
      <c r="FB93" s="4">
        <v>1.0</v>
      </c>
      <c r="FC93" s="4"/>
      <c r="FE93" s="4">
        <v>1.0</v>
      </c>
      <c r="FH93" s="4">
        <v>1.0</v>
      </c>
      <c r="FP93" s="4">
        <v>1.0</v>
      </c>
      <c r="FQ93" s="4">
        <v>1.0</v>
      </c>
      <c r="FS93" s="4">
        <v>1.0</v>
      </c>
    </row>
    <row r="94">
      <c r="A94" s="23">
        <v>42837.0</v>
      </c>
      <c r="B94" s="4" t="s">
        <v>266</v>
      </c>
      <c r="C94" s="4">
        <v>22.060684</v>
      </c>
      <c r="D94" s="4">
        <v>-159.318512</v>
      </c>
      <c r="E94" s="4" t="s">
        <v>350</v>
      </c>
      <c r="F94" s="24">
        <v>0.3611111111111111</v>
      </c>
      <c r="G94" s="24">
        <v>0.4409722222222222</v>
      </c>
      <c r="H94" s="4">
        <v>6.0</v>
      </c>
      <c r="I94" s="4">
        <v>13.0</v>
      </c>
      <c r="J94" s="4" t="s">
        <v>198</v>
      </c>
      <c r="K94" s="4">
        <v>5.0</v>
      </c>
      <c r="L94" s="4">
        <v>28.0</v>
      </c>
      <c r="M94" s="4" t="s">
        <v>351</v>
      </c>
      <c r="AM94" s="4">
        <v>1.0</v>
      </c>
      <c r="AY94" s="4">
        <v>1.0</v>
      </c>
      <c r="BM94" s="4">
        <v>1.0</v>
      </c>
      <c r="BU94" s="4">
        <v>1.0</v>
      </c>
      <c r="DC94" s="4">
        <v>1.0</v>
      </c>
      <c r="DL94" s="4">
        <v>1.0</v>
      </c>
      <c r="DT94" s="4"/>
      <c r="DU94" s="4">
        <v>1.0</v>
      </c>
      <c r="EI94" s="4">
        <v>1.0</v>
      </c>
      <c r="FP94" s="4">
        <v>1.0</v>
      </c>
      <c r="FQ94" s="4">
        <v>1.0</v>
      </c>
      <c r="GJ94" s="25">
        <f>25*O94</f>
        <v>0</v>
      </c>
      <c r="GK94" s="25">
        <f>GJ94-GI94</f>
        <v>0</v>
      </c>
    </row>
    <row r="95">
      <c r="A95" s="23">
        <v>42837.0</v>
      </c>
      <c r="B95" s="4" t="s">
        <v>355</v>
      </c>
      <c r="C95" s="4">
        <v>21.2843</v>
      </c>
      <c r="D95" s="4">
        <v>-157.675293</v>
      </c>
      <c r="E95" s="4" t="s">
        <v>356</v>
      </c>
      <c r="F95" s="24">
        <v>0.39791666666666664</v>
      </c>
      <c r="G95" s="24">
        <v>0.4409722222222222</v>
      </c>
      <c r="H95" s="4">
        <v>7.0</v>
      </c>
      <c r="I95" s="4">
        <v>25.0</v>
      </c>
      <c r="J95" s="4" t="s">
        <v>198</v>
      </c>
      <c r="K95" s="4">
        <v>4.0</v>
      </c>
      <c r="L95" s="4">
        <v>23.0</v>
      </c>
      <c r="M95" s="4" t="s">
        <v>357</v>
      </c>
      <c r="AA95" s="4">
        <v>1.0</v>
      </c>
      <c r="AB95" s="4">
        <v>1.0</v>
      </c>
      <c r="AC95" s="4">
        <v>1.0</v>
      </c>
      <c r="AF95" s="4">
        <v>1.0</v>
      </c>
      <c r="BJ95" s="4">
        <v>1.0</v>
      </c>
      <c r="BL95" s="4">
        <v>1.0</v>
      </c>
      <c r="BY95" s="4">
        <v>1.0</v>
      </c>
      <c r="CF95" s="4"/>
      <c r="CG95" s="4">
        <v>1.0</v>
      </c>
      <c r="EI95" s="4">
        <v>1.0</v>
      </c>
      <c r="EJ95" s="4">
        <v>1.0</v>
      </c>
      <c r="FA95" s="4">
        <v>1.0</v>
      </c>
      <c r="FC95" s="4"/>
      <c r="FE95" s="4">
        <v>1.0</v>
      </c>
      <c r="FP95" s="4">
        <v>1.0</v>
      </c>
      <c r="FQ95" s="4">
        <v>1.0</v>
      </c>
      <c r="FS95" s="4">
        <v>1.0</v>
      </c>
    </row>
    <row r="96">
      <c r="A96" s="23">
        <v>42838.0</v>
      </c>
      <c r="B96" s="4" t="s">
        <v>259</v>
      </c>
      <c r="C96" s="4">
        <v>19.737894</v>
      </c>
      <c r="D96" s="4">
        <v>-155.034058</v>
      </c>
      <c r="E96" s="4" t="s">
        <v>358</v>
      </c>
      <c r="F96" s="24">
        <v>0.4027777777777778</v>
      </c>
      <c r="G96" s="24">
        <v>0.47847222222222224</v>
      </c>
      <c r="H96" s="4">
        <v>4.0</v>
      </c>
      <c r="I96" s="4">
        <v>60.0</v>
      </c>
      <c r="J96" s="4" t="s">
        <v>360</v>
      </c>
      <c r="K96" s="4">
        <v>10.0</v>
      </c>
      <c r="L96" s="4">
        <v>27.0</v>
      </c>
      <c r="M96" s="4" t="s">
        <v>361</v>
      </c>
      <c r="AB96" s="4">
        <v>1.0</v>
      </c>
      <c r="AE96" s="4">
        <v>1.0</v>
      </c>
      <c r="AH96" s="4">
        <v>1.0</v>
      </c>
      <c r="BJ96" s="4">
        <v>1.0</v>
      </c>
      <c r="BL96" s="4">
        <v>1.0</v>
      </c>
      <c r="BM96" s="4">
        <v>1.0</v>
      </c>
      <c r="BP96" s="4">
        <v>1.0</v>
      </c>
      <c r="CF96" s="4"/>
      <c r="CG96" s="4">
        <v>1.0</v>
      </c>
      <c r="CN96" s="4">
        <v>1.0</v>
      </c>
      <c r="EC96" s="4">
        <v>1.0</v>
      </c>
      <c r="FA96" s="4">
        <v>1.0</v>
      </c>
      <c r="FC96" s="4"/>
      <c r="FE96" s="4">
        <v>1.0</v>
      </c>
      <c r="FQ96" s="4">
        <v>1.0</v>
      </c>
      <c r="FS96" s="4">
        <v>1.0</v>
      </c>
      <c r="FT96" s="4"/>
      <c r="FU96" s="4">
        <v>1.0</v>
      </c>
    </row>
    <row r="97">
      <c r="A97" s="23">
        <v>42838.0</v>
      </c>
      <c r="B97" s="4" t="s">
        <v>352</v>
      </c>
      <c r="C97" s="4">
        <v>21.7057</v>
      </c>
      <c r="D97" s="4">
        <v>-157.995697</v>
      </c>
      <c r="E97" s="4" t="s">
        <v>353</v>
      </c>
      <c r="F97" s="24">
        <v>0.4375</v>
      </c>
      <c r="G97" s="24">
        <v>0.4791666666666667</v>
      </c>
      <c r="H97" s="4">
        <v>9.0</v>
      </c>
      <c r="I97" s="4">
        <v>16.0</v>
      </c>
      <c r="J97" s="4" t="s">
        <v>198</v>
      </c>
      <c r="K97" s="4">
        <v>10.0</v>
      </c>
      <c r="L97" s="4">
        <v>40.0</v>
      </c>
      <c r="M97" s="4" t="s">
        <v>363</v>
      </c>
      <c r="N97" s="4" t="s">
        <v>364</v>
      </c>
      <c r="AH97" s="4">
        <v>1.0</v>
      </c>
      <c r="AM97" s="4">
        <v>1.0</v>
      </c>
      <c r="AT97" s="4">
        <v>1.0</v>
      </c>
      <c r="BL97" s="4">
        <v>1.0</v>
      </c>
      <c r="BM97" s="4">
        <v>1.0</v>
      </c>
      <c r="BU97" s="4">
        <v>1.0</v>
      </c>
      <c r="CB97" s="4">
        <v>1.0</v>
      </c>
      <c r="CC97" s="4">
        <v>1.0</v>
      </c>
      <c r="CR97" s="4">
        <v>1.0</v>
      </c>
      <c r="DL97" s="4">
        <v>1.0</v>
      </c>
      <c r="DT97" s="4"/>
      <c r="DU97" s="4">
        <v>1.0</v>
      </c>
      <c r="DY97" s="4">
        <v>1.0</v>
      </c>
      <c r="EI97" s="4">
        <v>1.0</v>
      </c>
      <c r="FA97" s="4">
        <v>1.0</v>
      </c>
      <c r="FG97" s="4">
        <v>1.0</v>
      </c>
      <c r="FP97" s="4">
        <v>1.0</v>
      </c>
      <c r="FQ97" s="4">
        <v>1.0</v>
      </c>
      <c r="FY97" s="4">
        <v>1.0</v>
      </c>
    </row>
    <row r="98">
      <c r="A98" s="23">
        <v>42844.0</v>
      </c>
      <c r="B98" s="4" t="s">
        <v>244</v>
      </c>
      <c r="C98" s="4">
        <v>21.310612</v>
      </c>
      <c r="D98" s="4">
        <v>-158.00441</v>
      </c>
      <c r="E98" s="4" t="s">
        <v>278</v>
      </c>
      <c r="F98" s="24">
        <v>0.3854166666666667</v>
      </c>
      <c r="G98" s="24">
        <v>0.46875</v>
      </c>
      <c r="H98" s="4">
        <v>6.0</v>
      </c>
      <c r="I98" s="4">
        <v>6.0</v>
      </c>
      <c r="J98" s="4" t="s">
        <v>198</v>
      </c>
      <c r="K98" s="4">
        <v>5.0</v>
      </c>
      <c r="L98" s="4">
        <v>24.0</v>
      </c>
      <c r="M98" s="4" t="s">
        <v>365</v>
      </c>
      <c r="N98" s="4" t="s">
        <v>295</v>
      </c>
      <c r="Q98" s="4">
        <v>1.0</v>
      </c>
      <c r="AD98" s="4">
        <v>1.0</v>
      </c>
      <c r="AH98" s="4">
        <v>1.0</v>
      </c>
      <c r="AV98" s="4">
        <v>1.0</v>
      </c>
      <c r="AZ98" s="4"/>
      <c r="BA98" s="4">
        <v>1.0</v>
      </c>
      <c r="BL98" s="4">
        <v>1.0</v>
      </c>
      <c r="BU98" s="4">
        <v>1.0</v>
      </c>
      <c r="BY98" s="4">
        <v>1.0</v>
      </c>
      <c r="DE98" s="4"/>
      <c r="DF98" s="4">
        <v>1.0</v>
      </c>
      <c r="DL98" s="4">
        <v>1.0</v>
      </c>
      <c r="DQ98" s="4"/>
      <c r="DR98" s="4">
        <v>1.0</v>
      </c>
      <c r="EB98" s="4">
        <v>1.0</v>
      </c>
      <c r="EI98" s="4">
        <v>1.0</v>
      </c>
      <c r="EW98" s="4">
        <v>1.0</v>
      </c>
      <c r="FC98" s="4"/>
      <c r="FE98" s="4">
        <v>1.0</v>
      </c>
      <c r="FH98" s="4">
        <v>1.0</v>
      </c>
      <c r="FQ98" s="4">
        <v>1.0</v>
      </c>
      <c r="FT98" s="4"/>
      <c r="FU98" s="4">
        <v>1.0</v>
      </c>
    </row>
    <row r="99">
      <c r="A99" s="23">
        <v>42844.0</v>
      </c>
      <c r="B99" s="4" t="s">
        <v>369</v>
      </c>
      <c r="C99" s="4">
        <v>21.888725</v>
      </c>
      <c r="D99" s="4">
        <v>-159.416412</v>
      </c>
      <c r="E99" s="4" t="s">
        <v>321</v>
      </c>
      <c r="F99" s="24">
        <v>0.3541666666666667</v>
      </c>
      <c r="G99" s="24">
        <v>0.5</v>
      </c>
      <c r="H99" s="4">
        <v>5.0</v>
      </c>
      <c r="I99" s="4">
        <v>18.0</v>
      </c>
      <c r="J99" s="4" t="s">
        <v>217</v>
      </c>
      <c r="K99" s="4">
        <v>5.0</v>
      </c>
      <c r="L99" s="4">
        <v>19.0</v>
      </c>
      <c r="M99" s="4" t="s">
        <v>370</v>
      </c>
      <c r="AA99" s="4">
        <v>1.0</v>
      </c>
      <c r="AH99" s="4">
        <v>1.0</v>
      </c>
      <c r="AM99" s="4">
        <v>1.0</v>
      </c>
      <c r="BG99" s="4">
        <v>1.0</v>
      </c>
      <c r="BN99" s="4"/>
      <c r="BO99" s="4">
        <v>1.0</v>
      </c>
      <c r="BU99" s="4">
        <v>1.0</v>
      </c>
      <c r="BY99" s="4">
        <v>1.0</v>
      </c>
      <c r="CR99" s="4">
        <v>1.0</v>
      </c>
      <c r="DQ99" s="4"/>
      <c r="DR99" s="4">
        <v>1.0</v>
      </c>
      <c r="DT99" s="4"/>
      <c r="DU99" s="4">
        <v>1.0</v>
      </c>
      <c r="EI99" s="4">
        <v>1.0</v>
      </c>
      <c r="FH99" s="4">
        <v>1.0</v>
      </c>
      <c r="FQ99" s="4">
        <v>1.0</v>
      </c>
    </row>
    <row r="100">
      <c r="A100" s="23">
        <v>42850.0</v>
      </c>
      <c r="B100" s="4" t="s">
        <v>244</v>
      </c>
      <c r="C100" s="4">
        <v>21.310612</v>
      </c>
      <c r="D100" s="4">
        <v>-158.00441</v>
      </c>
      <c r="E100" s="4" t="s">
        <v>326</v>
      </c>
      <c r="F100" s="24">
        <v>0.3958333333333333</v>
      </c>
      <c r="G100" s="24">
        <v>0.4583333333333333</v>
      </c>
      <c r="H100" s="4">
        <v>7.0</v>
      </c>
      <c r="I100" s="4">
        <v>10.0</v>
      </c>
      <c r="J100" s="4" t="s">
        <v>318</v>
      </c>
      <c r="K100" s="4">
        <v>5.0</v>
      </c>
      <c r="L100" s="4">
        <v>34.0</v>
      </c>
      <c r="M100" s="4" t="s">
        <v>371</v>
      </c>
      <c r="Q100" s="4">
        <v>1.0</v>
      </c>
      <c r="AA100" s="4">
        <v>1.0</v>
      </c>
      <c r="AB100" s="4">
        <v>1.0</v>
      </c>
      <c r="AD100" s="4">
        <v>1.0</v>
      </c>
      <c r="AH100" s="4">
        <v>1.0</v>
      </c>
      <c r="AL100" s="4">
        <v>1.0</v>
      </c>
      <c r="AM100" s="4">
        <v>1.0</v>
      </c>
      <c r="AS100" s="4">
        <v>1.0</v>
      </c>
      <c r="AZ100" s="4"/>
      <c r="BA100" s="4">
        <v>1.0</v>
      </c>
      <c r="BL100" s="4">
        <v>1.0</v>
      </c>
      <c r="BU100" s="4">
        <v>1.0</v>
      </c>
      <c r="BY100" s="4">
        <v>1.0</v>
      </c>
      <c r="CO100" s="4"/>
      <c r="CP100" s="4"/>
      <c r="CQ100" s="4">
        <v>1.0</v>
      </c>
      <c r="CV100" s="4"/>
      <c r="CW100" s="4"/>
      <c r="CX100" s="4">
        <v>1.0</v>
      </c>
      <c r="DE100" s="4"/>
      <c r="DF100" s="4">
        <v>1.0</v>
      </c>
      <c r="DL100" s="4">
        <v>1.0</v>
      </c>
      <c r="DN100" s="4">
        <v>1.0</v>
      </c>
      <c r="DT100" s="4"/>
      <c r="DU100" s="4">
        <v>1.0</v>
      </c>
      <c r="EI100" s="4">
        <v>1.0</v>
      </c>
      <c r="EJ100" s="4">
        <v>1.0</v>
      </c>
      <c r="EN100" s="4">
        <v>1.0</v>
      </c>
      <c r="FA100" s="4">
        <v>1.0</v>
      </c>
      <c r="FQ100" s="4">
        <v>1.0</v>
      </c>
      <c r="FT100" s="4"/>
      <c r="FU100" s="4">
        <v>1.0</v>
      </c>
    </row>
    <row r="101">
      <c r="A101" s="23">
        <v>42850.0</v>
      </c>
      <c r="B101" s="4" t="s">
        <v>250</v>
      </c>
      <c r="C101" s="4">
        <v>21.4104</v>
      </c>
      <c r="D101" s="4">
        <v>-158.177704</v>
      </c>
      <c r="E101" s="4" t="s">
        <v>372</v>
      </c>
      <c r="F101" s="24">
        <v>0.3888888888888889</v>
      </c>
      <c r="G101" s="24">
        <v>0.4791666666666667</v>
      </c>
      <c r="H101" s="4">
        <v>6.0</v>
      </c>
      <c r="I101" s="4">
        <v>20.0</v>
      </c>
      <c r="J101" s="4" t="s">
        <v>198</v>
      </c>
      <c r="K101" s="4">
        <v>5.0</v>
      </c>
      <c r="L101" s="4">
        <v>23.0</v>
      </c>
      <c r="M101" s="4" t="s">
        <v>373</v>
      </c>
      <c r="Q101" s="4">
        <v>1.0</v>
      </c>
      <c r="AB101" s="4">
        <v>1.0</v>
      </c>
      <c r="BR101" s="4">
        <v>1.0</v>
      </c>
      <c r="BY101" s="4">
        <v>1.0</v>
      </c>
      <c r="CB101" s="4">
        <v>1.0</v>
      </c>
      <c r="CJ101" s="4">
        <v>1.0</v>
      </c>
      <c r="CM101" s="4">
        <v>1.0</v>
      </c>
      <c r="CN101" s="4">
        <v>1.0</v>
      </c>
      <c r="DE101" s="4"/>
      <c r="DF101" s="4">
        <v>1.0</v>
      </c>
      <c r="DI101" s="4">
        <v>1.0</v>
      </c>
      <c r="DK101" s="4">
        <v>1.0</v>
      </c>
      <c r="DL101" s="4">
        <v>1.0</v>
      </c>
      <c r="DQ101" s="4"/>
      <c r="DR101" s="4">
        <v>1.0</v>
      </c>
      <c r="EJ101" s="4">
        <v>1.0</v>
      </c>
      <c r="EW101" s="4">
        <v>1.0</v>
      </c>
      <c r="EX101" s="4">
        <v>1.0</v>
      </c>
      <c r="FP101" s="4">
        <v>1.0</v>
      </c>
      <c r="FQ101" s="4">
        <v>1.0</v>
      </c>
      <c r="FY101" s="4">
        <v>1.0</v>
      </c>
      <c r="GB101" s="4">
        <v>1.0</v>
      </c>
    </row>
    <row r="102">
      <c r="A102" s="23">
        <v>42850.0</v>
      </c>
      <c r="B102" s="4" t="s">
        <v>374</v>
      </c>
      <c r="C102" s="4">
        <v>20.738001</v>
      </c>
      <c r="D102" s="4">
        <v>-156.895004</v>
      </c>
      <c r="E102" s="4" t="s">
        <v>375</v>
      </c>
      <c r="F102" s="24">
        <v>0.40625</v>
      </c>
      <c r="G102" s="24">
        <v>0.46875</v>
      </c>
      <c r="H102" s="4">
        <v>5.0</v>
      </c>
      <c r="I102" s="4">
        <v>20.0</v>
      </c>
      <c r="J102" s="4" t="s">
        <v>318</v>
      </c>
      <c r="K102" s="4">
        <v>5.0</v>
      </c>
      <c r="L102" s="4">
        <v>20.0</v>
      </c>
      <c r="M102" s="4" t="s">
        <v>376</v>
      </c>
      <c r="Q102" s="4">
        <v>1.0</v>
      </c>
      <c r="R102" s="4">
        <v>1.0</v>
      </c>
      <c r="AA102" s="4">
        <v>1.0</v>
      </c>
      <c r="AC102" s="4">
        <v>1.0</v>
      </c>
      <c r="AG102" s="4">
        <v>1.0</v>
      </c>
      <c r="AL102" s="4">
        <v>1.0</v>
      </c>
      <c r="AY102" s="4">
        <v>1.0</v>
      </c>
      <c r="BD102" s="4">
        <v>1.0</v>
      </c>
      <c r="BL102" s="4">
        <v>1.0</v>
      </c>
      <c r="BU102" s="4">
        <v>1.0</v>
      </c>
      <c r="BV102" s="4">
        <v>1.0</v>
      </c>
      <c r="BX102" s="4">
        <v>1.0</v>
      </c>
      <c r="BY102" s="4">
        <v>1.0</v>
      </c>
      <c r="CB102" s="4">
        <v>1.0</v>
      </c>
      <c r="CO102" s="4">
        <v>1.0</v>
      </c>
      <c r="CY102" s="4">
        <v>1.0</v>
      </c>
      <c r="DA102" s="4">
        <v>1.0</v>
      </c>
      <c r="DE102" s="4"/>
      <c r="DF102" s="4">
        <v>1.0</v>
      </c>
      <c r="DI102" s="4">
        <v>1.0</v>
      </c>
      <c r="DO102" s="4">
        <v>1.0</v>
      </c>
      <c r="DV102" s="4">
        <v>1.0</v>
      </c>
      <c r="EC102" s="4">
        <v>1.0</v>
      </c>
      <c r="EI102" s="4">
        <v>1.0</v>
      </c>
      <c r="EY102" s="4">
        <v>1.0</v>
      </c>
      <c r="FA102" s="4">
        <v>1.0</v>
      </c>
      <c r="FC102" s="4"/>
      <c r="FE102" s="4">
        <v>1.0</v>
      </c>
      <c r="FP102" s="4">
        <v>1.0</v>
      </c>
      <c r="FQ102" s="4">
        <v>1.0</v>
      </c>
    </row>
    <row r="103">
      <c r="A103" s="23">
        <v>42851.0</v>
      </c>
      <c r="B103" s="4" t="s">
        <v>369</v>
      </c>
      <c r="C103" s="4">
        <v>21.888725</v>
      </c>
      <c r="D103" s="4">
        <v>-159.416412</v>
      </c>
      <c r="E103" s="4" t="s">
        <v>321</v>
      </c>
      <c r="F103" s="24">
        <v>0.375</v>
      </c>
      <c r="G103" s="24">
        <v>0.5625</v>
      </c>
      <c r="H103" s="4">
        <v>5.0</v>
      </c>
      <c r="I103" s="4">
        <v>10.0</v>
      </c>
      <c r="J103" s="4" t="s">
        <v>217</v>
      </c>
      <c r="K103" s="4">
        <v>5.0</v>
      </c>
      <c r="L103" s="4">
        <v>23.0</v>
      </c>
      <c r="M103" s="4" t="s">
        <v>380</v>
      </c>
      <c r="AA103" s="4">
        <v>1.0</v>
      </c>
      <c r="AB103" s="4">
        <v>1.0</v>
      </c>
      <c r="AG103" s="4">
        <v>1.0</v>
      </c>
      <c r="AH103" s="4">
        <v>1.0</v>
      </c>
      <c r="AZ103" s="4"/>
      <c r="BA103" s="4">
        <v>1.0</v>
      </c>
      <c r="BG103" s="4">
        <v>1.0</v>
      </c>
      <c r="BL103" s="4">
        <v>1.0</v>
      </c>
      <c r="BN103" s="4"/>
      <c r="BO103" s="4">
        <v>1.0</v>
      </c>
      <c r="BU103" s="4">
        <v>1.0</v>
      </c>
      <c r="BY103" s="4">
        <v>1.0</v>
      </c>
      <c r="CR103" s="4">
        <v>1.0</v>
      </c>
      <c r="DE103" s="4"/>
      <c r="DF103" s="4">
        <v>1.0</v>
      </c>
      <c r="DL103" s="4">
        <v>1.0</v>
      </c>
      <c r="DQ103" s="4"/>
      <c r="DR103" s="4">
        <v>1.0</v>
      </c>
      <c r="DT103" s="4"/>
      <c r="DU103" s="4">
        <v>1.0</v>
      </c>
      <c r="EI103" s="4">
        <v>1.0</v>
      </c>
      <c r="FA103" s="4">
        <v>1.0</v>
      </c>
      <c r="FH103" s="4">
        <v>1.0</v>
      </c>
      <c r="FQ103" s="4">
        <v>1.0</v>
      </c>
    </row>
    <row r="104">
      <c r="A104" s="23">
        <v>42851.0</v>
      </c>
      <c r="B104" s="4" t="s">
        <v>340</v>
      </c>
      <c r="C104" s="4">
        <v>19.643276</v>
      </c>
      <c r="D104" s="4">
        <v>-156.010193</v>
      </c>
      <c r="E104" s="4" t="s">
        <v>381</v>
      </c>
      <c r="F104" s="24">
        <v>0.3854166666666667</v>
      </c>
      <c r="G104" s="24">
        <v>0.4583333333333333</v>
      </c>
      <c r="H104" s="4">
        <v>7.0</v>
      </c>
      <c r="I104" s="4">
        <v>21.0</v>
      </c>
      <c r="J104" s="4" t="s">
        <v>198</v>
      </c>
      <c r="K104" s="4">
        <v>11.0</v>
      </c>
      <c r="L104" s="4">
        <v>75.0</v>
      </c>
      <c r="M104" s="4" t="s">
        <v>382</v>
      </c>
      <c r="S104" s="4">
        <v>1.0</v>
      </c>
      <c r="AF104" s="4">
        <v>1.0</v>
      </c>
      <c r="AL104" s="4">
        <v>1.0</v>
      </c>
      <c r="BL104" s="4">
        <v>1.0</v>
      </c>
      <c r="BQ104" s="4">
        <v>1.0</v>
      </c>
      <c r="CB104" s="4">
        <v>1.0</v>
      </c>
      <c r="EI104" s="4">
        <v>1.0</v>
      </c>
      <c r="EY104" s="4">
        <v>1.0</v>
      </c>
      <c r="FC104" s="4"/>
      <c r="FE104" s="4">
        <v>1.0</v>
      </c>
      <c r="FL104" s="4">
        <v>1.0</v>
      </c>
      <c r="FP104" s="4">
        <v>1.0</v>
      </c>
      <c r="FQ104" s="4">
        <v>1.0</v>
      </c>
      <c r="FY104" s="4">
        <v>1.0</v>
      </c>
    </row>
    <row r="105">
      <c r="A105" s="23">
        <v>42851.0</v>
      </c>
      <c r="B105" s="4" t="s">
        <v>293</v>
      </c>
      <c r="C105" s="4">
        <v>19.738602</v>
      </c>
      <c r="D105" s="4">
        <v>-155.038879</v>
      </c>
      <c r="E105" s="4" t="s">
        <v>383</v>
      </c>
      <c r="F105" s="24">
        <v>0.3993055555555556</v>
      </c>
      <c r="G105" s="24">
        <v>0.4548611111111111</v>
      </c>
      <c r="H105" s="4">
        <v>5.0</v>
      </c>
      <c r="I105" s="4">
        <v>22.0</v>
      </c>
      <c r="J105" s="4" t="s">
        <v>198</v>
      </c>
      <c r="K105" s="4">
        <v>6.0</v>
      </c>
      <c r="L105" s="4">
        <v>28.0</v>
      </c>
      <c r="M105" s="4" t="s">
        <v>384</v>
      </c>
      <c r="BJ105" s="4">
        <v>1.0</v>
      </c>
      <c r="BL105" s="4">
        <v>1.0</v>
      </c>
      <c r="CB105" s="4">
        <v>1.0</v>
      </c>
      <c r="CN105" s="4">
        <v>1.0</v>
      </c>
      <c r="EI105" s="4">
        <v>1.0</v>
      </c>
      <c r="EO105" s="4">
        <v>1.0</v>
      </c>
      <c r="FQ105" s="4">
        <v>1.0</v>
      </c>
      <c r="FR105" s="4">
        <v>1.0</v>
      </c>
    </row>
    <row r="106">
      <c r="A106" s="23">
        <v>42851.0</v>
      </c>
      <c r="B106" s="4" t="s">
        <v>216</v>
      </c>
      <c r="C106" s="4">
        <v>21.3002</v>
      </c>
      <c r="D106" s="4">
        <v>-157.882599</v>
      </c>
      <c r="E106" s="4" t="s">
        <v>385</v>
      </c>
      <c r="F106" s="24">
        <v>0.4027777777777778</v>
      </c>
      <c r="G106" s="24">
        <v>0.4479166666666667</v>
      </c>
      <c r="H106" s="4">
        <v>7.0</v>
      </c>
      <c r="I106" s="4">
        <v>16.0</v>
      </c>
      <c r="J106" s="4" t="s">
        <v>217</v>
      </c>
      <c r="K106" s="4">
        <v>5.0</v>
      </c>
      <c r="L106" s="4">
        <v>28.0</v>
      </c>
      <c r="M106" s="4" t="s">
        <v>386</v>
      </c>
      <c r="N106" s="4" t="s">
        <v>387</v>
      </c>
      <c r="AA106" s="4">
        <v>2.0</v>
      </c>
      <c r="AL106" s="4">
        <v>1.0</v>
      </c>
      <c r="BL106" s="4">
        <v>1.0</v>
      </c>
      <c r="BV106" s="4">
        <v>1.0</v>
      </c>
      <c r="CB106" s="4">
        <v>1.0</v>
      </c>
      <c r="CC106" s="4">
        <v>1.0</v>
      </c>
      <c r="DH106" s="4">
        <v>1.0</v>
      </c>
      <c r="DN106" s="4">
        <v>1.0</v>
      </c>
      <c r="DQ106" s="4"/>
      <c r="DR106" s="4">
        <v>1.0</v>
      </c>
      <c r="EB106" s="4">
        <v>1.0</v>
      </c>
      <c r="EI106" s="4">
        <v>1.0</v>
      </c>
      <c r="FH106" s="4">
        <v>1.0</v>
      </c>
      <c r="FQ106" s="4">
        <v>1.0</v>
      </c>
    </row>
    <row r="107">
      <c r="A107" s="23">
        <v>42852.0</v>
      </c>
      <c r="B107" s="4" t="s">
        <v>293</v>
      </c>
      <c r="C107" s="4">
        <v>19.738602</v>
      </c>
      <c r="D107" s="4">
        <v>-155.038879</v>
      </c>
      <c r="F107" s="24">
        <v>0.3611111111111111</v>
      </c>
      <c r="G107" s="24">
        <v>0.4583333333333333</v>
      </c>
      <c r="H107" s="4">
        <v>3.0</v>
      </c>
      <c r="I107" s="4">
        <v>10.0</v>
      </c>
      <c r="J107" s="4" t="s">
        <v>198</v>
      </c>
      <c r="K107" s="4">
        <v>5.0</v>
      </c>
      <c r="L107" s="4">
        <v>8.0</v>
      </c>
      <c r="M107" s="4" t="s">
        <v>388</v>
      </c>
      <c r="N107" s="4" t="s">
        <v>295</v>
      </c>
      <c r="BJ107" s="4">
        <v>1.0</v>
      </c>
      <c r="BL107" s="4">
        <v>1.0</v>
      </c>
      <c r="CB107" s="4">
        <v>1.0</v>
      </c>
      <c r="CN107" s="4">
        <v>1.0</v>
      </c>
      <c r="DL107" s="4">
        <v>1.0</v>
      </c>
      <c r="DQ107" s="4">
        <v>1.0</v>
      </c>
      <c r="ES107" s="4"/>
      <c r="ET107" s="4"/>
      <c r="EU107" s="4">
        <v>1.0</v>
      </c>
      <c r="FA107" s="4">
        <v>1.0</v>
      </c>
      <c r="FQ107" s="4">
        <v>1.0</v>
      </c>
      <c r="FT107" s="4"/>
      <c r="FU107" s="4">
        <v>1.0</v>
      </c>
    </row>
    <row r="108">
      <c r="A108" s="23">
        <v>42852.0</v>
      </c>
      <c r="B108" s="4" t="s">
        <v>201</v>
      </c>
      <c r="C108" s="4">
        <v>21.25544</v>
      </c>
      <c r="D108" s="4">
        <v>-157.810303</v>
      </c>
      <c r="E108" s="4" t="s">
        <v>389</v>
      </c>
      <c r="F108" s="24">
        <v>0.3784722222222222</v>
      </c>
      <c r="G108" s="24">
        <v>0.4236111111111111</v>
      </c>
      <c r="H108" s="4">
        <v>7.0</v>
      </c>
      <c r="I108" s="4">
        <v>12.0</v>
      </c>
      <c r="J108" s="4" t="s">
        <v>198</v>
      </c>
      <c r="K108" s="4">
        <v>6.0</v>
      </c>
      <c r="L108" s="4">
        <v>31.0</v>
      </c>
      <c r="M108" s="4" t="s">
        <v>390</v>
      </c>
      <c r="AE108" s="4">
        <v>1.0</v>
      </c>
      <c r="AY108" s="4">
        <v>1.0</v>
      </c>
      <c r="BU108" s="4">
        <v>1.0</v>
      </c>
      <c r="BY108" s="4">
        <v>1.0</v>
      </c>
      <c r="DE108" s="4"/>
      <c r="DF108" s="4">
        <v>1.0</v>
      </c>
      <c r="DR108" s="4">
        <v>1.0</v>
      </c>
      <c r="EI108" s="4">
        <v>1.0</v>
      </c>
      <c r="FA108" s="4">
        <v>1.0</v>
      </c>
      <c r="FD108" s="4">
        <v>1.0</v>
      </c>
      <c r="FP108" s="4">
        <v>1.0</v>
      </c>
      <c r="FQ108" s="4">
        <v>1.0</v>
      </c>
    </row>
    <row r="109">
      <c r="A109" s="23">
        <v>42853.0</v>
      </c>
      <c r="B109" s="4" t="s">
        <v>374</v>
      </c>
      <c r="C109" s="4">
        <v>20.738001</v>
      </c>
      <c r="D109" s="4">
        <v>-156.895004</v>
      </c>
      <c r="E109" s="4" t="s">
        <v>391</v>
      </c>
      <c r="F109" s="24">
        <v>0.4708333333333333</v>
      </c>
      <c r="G109" s="24">
        <v>0.4986111111111111</v>
      </c>
      <c r="H109" s="4">
        <v>2.0</v>
      </c>
      <c r="I109" s="4">
        <v>25.0</v>
      </c>
      <c r="J109" s="4" t="s">
        <v>198</v>
      </c>
      <c r="K109" s="4">
        <v>13.0</v>
      </c>
      <c r="L109" s="4">
        <v>11.0</v>
      </c>
      <c r="M109" s="4" t="s">
        <v>392</v>
      </c>
      <c r="BL109" s="4">
        <v>1.0</v>
      </c>
      <c r="CF109" s="4"/>
      <c r="CG109" s="4">
        <v>1.0</v>
      </c>
      <c r="CT109" s="4">
        <v>1.0</v>
      </c>
      <c r="EI109" s="4">
        <v>1.0</v>
      </c>
      <c r="FL109" s="4">
        <v>1.0</v>
      </c>
      <c r="FQ109" s="4">
        <v>1.0</v>
      </c>
      <c r="FS109" s="4">
        <v>1.0</v>
      </c>
    </row>
    <row r="110">
      <c r="A110" s="23">
        <v>42860.0</v>
      </c>
      <c r="B110" s="4" t="s">
        <v>244</v>
      </c>
      <c r="C110" s="4">
        <v>21.310612</v>
      </c>
      <c r="D110" s="4">
        <v>-158.00441</v>
      </c>
      <c r="E110" s="4" t="s">
        <v>278</v>
      </c>
      <c r="F110" s="24">
        <v>0.3854166666666667</v>
      </c>
      <c r="G110" s="24">
        <v>0.4583333333333333</v>
      </c>
      <c r="H110" s="4">
        <v>6.0</v>
      </c>
      <c r="I110" s="4">
        <v>12.0</v>
      </c>
      <c r="J110" s="4" t="s">
        <v>198</v>
      </c>
      <c r="K110" s="4">
        <v>5.0</v>
      </c>
      <c r="L110" s="4">
        <v>25.0</v>
      </c>
      <c r="M110" s="4" t="s">
        <v>393</v>
      </c>
      <c r="Q110" s="4">
        <v>1.0</v>
      </c>
      <c r="AA110" s="4">
        <v>1.0</v>
      </c>
      <c r="AB110" s="4">
        <v>1.0</v>
      </c>
      <c r="AD110" s="4">
        <v>1.0</v>
      </c>
      <c r="AH110" s="4">
        <v>1.0</v>
      </c>
      <c r="AZ110" s="4"/>
      <c r="BA110" s="4">
        <v>1.0</v>
      </c>
      <c r="BD110" s="4">
        <v>1.0</v>
      </c>
      <c r="BE110" s="4">
        <v>1.0</v>
      </c>
      <c r="BL110" s="4">
        <v>1.0</v>
      </c>
      <c r="BR110" s="4">
        <v>1.0</v>
      </c>
      <c r="BU110" s="4">
        <v>1.0</v>
      </c>
      <c r="BY110" s="4">
        <v>1.0</v>
      </c>
      <c r="CR110" s="4">
        <v>1.0</v>
      </c>
      <c r="DE110" s="4"/>
      <c r="DF110" s="4">
        <v>1.0</v>
      </c>
      <c r="DL110" s="4">
        <v>1.0</v>
      </c>
      <c r="DN110" s="4">
        <v>1.0</v>
      </c>
      <c r="DT110" s="4"/>
      <c r="DU110" s="4">
        <v>1.0</v>
      </c>
      <c r="EI110" s="4">
        <v>1.0</v>
      </c>
      <c r="FH110" s="4">
        <v>1.0</v>
      </c>
      <c r="FM110" s="4">
        <v>1.0</v>
      </c>
      <c r="FQ110" s="4">
        <v>1.0</v>
      </c>
    </row>
    <row r="111">
      <c r="A111" s="23">
        <v>42860.0</v>
      </c>
      <c r="B111" s="4" t="s">
        <v>394</v>
      </c>
      <c r="C111" s="4">
        <v>19.637501</v>
      </c>
      <c r="D111" s="4">
        <v>-155.993896</v>
      </c>
      <c r="E111" s="4" t="s">
        <v>367</v>
      </c>
      <c r="F111" s="24">
        <v>0.5104166666666666</v>
      </c>
      <c r="G111" s="24">
        <v>0.5104166666666666</v>
      </c>
      <c r="H111" s="4">
        <v>5.0</v>
      </c>
      <c r="I111" s="4">
        <v>25.0</v>
      </c>
      <c r="J111" s="4" t="s">
        <v>198</v>
      </c>
      <c r="K111" s="4">
        <v>10.0</v>
      </c>
      <c r="L111" s="4">
        <v>44.0</v>
      </c>
      <c r="M111" s="4" t="s">
        <v>395</v>
      </c>
      <c r="N111" s="4" t="s">
        <v>396</v>
      </c>
      <c r="R111" s="4">
        <v>1.0</v>
      </c>
      <c r="AL111" s="4">
        <v>1.0</v>
      </c>
      <c r="AW111" s="4">
        <v>1.0</v>
      </c>
      <c r="AZ111" s="4"/>
      <c r="BA111" s="4">
        <v>1.0</v>
      </c>
      <c r="BL111" s="4">
        <v>1.0</v>
      </c>
      <c r="BQ111" s="4">
        <v>1.0</v>
      </c>
      <c r="CB111" s="4">
        <v>1.0</v>
      </c>
      <c r="CC111" s="4">
        <v>1.0</v>
      </c>
      <c r="CR111" s="4">
        <v>1.0</v>
      </c>
      <c r="EI111" s="4">
        <v>1.0</v>
      </c>
      <c r="EW111" s="4">
        <v>1.0</v>
      </c>
      <c r="EY111" s="4">
        <v>1.0</v>
      </c>
      <c r="FA111" s="4">
        <v>1.0</v>
      </c>
      <c r="FQ111" s="4">
        <v>1.0</v>
      </c>
      <c r="FT111" s="4"/>
      <c r="FU111" s="4">
        <v>1.0</v>
      </c>
      <c r="FW111" s="4">
        <v>1.0</v>
      </c>
      <c r="FZ111" s="4">
        <v>1.0</v>
      </c>
    </row>
    <row r="112">
      <c r="A112" s="23">
        <v>42865.0</v>
      </c>
      <c r="B112" s="4" t="s">
        <v>230</v>
      </c>
      <c r="C112" s="4">
        <v>20.7537</v>
      </c>
      <c r="D112" s="4">
        <v>-156.460907</v>
      </c>
      <c r="E112" s="4" t="s">
        <v>397</v>
      </c>
      <c r="F112" s="24">
        <v>0.3958333333333333</v>
      </c>
      <c r="G112" s="24">
        <v>0.4652777777777778</v>
      </c>
      <c r="H112" s="4">
        <v>4.0</v>
      </c>
      <c r="I112" s="4">
        <v>15.0</v>
      </c>
      <c r="J112" s="4" t="s">
        <v>398</v>
      </c>
      <c r="K112" s="4">
        <v>7.0</v>
      </c>
      <c r="L112" s="4">
        <v>24.0</v>
      </c>
      <c r="M112" s="4" t="s">
        <v>399</v>
      </c>
      <c r="Q112" s="4">
        <v>1.0</v>
      </c>
      <c r="BL112" s="4">
        <v>1.0</v>
      </c>
      <c r="CT112" s="4">
        <v>1.0</v>
      </c>
      <c r="DE112" s="4">
        <v>1.0</v>
      </c>
      <c r="DF112" s="4">
        <v>1.0</v>
      </c>
      <c r="DN112" s="4">
        <v>1.0</v>
      </c>
      <c r="ES112" s="4"/>
      <c r="ET112" s="4"/>
      <c r="EU112" s="4">
        <v>1.0</v>
      </c>
      <c r="FQ112" s="4">
        <v>1.0</v>
      </c>
      <c r="FT112" s="4"/>
      <c r="FU112" s="4">
        <v>1.0</v>
      </c>
    </row>
    <row r="113">
      <c r="A113" s="23">
        <v>42866.0</v>
      </c>
      <c r="B113" s="4" t="s">
        <v>400</v>
      </c>
      <c r="C113" s="4">
        <v>21.900562</v>
      </c>
      <c r="D113" s="4">
        <v>-159.609818</v>
      </c>
      <c r="E113" s="4" t="s">
        <v>401</v>
      </c>
      <c r="F113" s="24">
        <v>0.3680555555555556</v>
      </c>
      <c r="G113" s="24">
        <v>0.4131944444444444</v>
      </c>
      <c r="H113" s="4">
        <v>6.0</v>
      </c>
      <c r="I113" s="4">
        <v>15.0</v>
      </c>
      <c r="J113" s="4" t="s">
        <v>198</v>
      </c>
      <c r="K113" s="4">
        <v>5.0</v>
      </c>
      <c r="L113" s="4">
        <v>25.0</v>
      </c>
      <c r="M113" s="4" t="s">
        <v>402</v>
      </c>
      <c r="AA113" s="4">
        <v>1.0</v>
      </c>
      <c r="AB113" s="4">
        <v>1.0</v>
      </c>
      <c r="BL113" s="4">
        <v>1.0</v>
      </c>
      <c r="BU113" s="4">
        <v>1.0</v>
      </c>
      <c r="BV113" s="4">
        <v>1.0</v>
      </c>
      <c r="CJ113" s="4">
        <v>1.0</v>
      </c>
      <c r="DD113" s="4">
        <v>1.0</v>
      </c>
      <c r="DI113" s="4">
        <v>1.0</v>
      </c>
      <c r="DM113" s="4">
        <v>1.0</v>
      </c>
      <c r="DR113" s="4">
        <v>1.0</v>
      </c>
      <c r="EI113" s="4">
        <v>1.0</v>
      </c>
      <c r="FA113" s="4">
        <v>1.0</v>
      </c>
      <c r="FB113" s="4">
        <v>1.0</v>
      </c>
      <c r="FQ113" s="4">
        <v>1.0</v>
      </c>
      <c r="FS113" s="4">
        <v>1.0</v>
      </c>
    </row>
    <row r="114">
      <c r="A114" s="23">
        <v>42866.0</v>
      </c>
      <c r="B114" s="4" t="s">
        <v>244</v>
      </c>
      <c r="C114" s="4">
        <v>21.310612</v>
      </c>
      <c r="D114" s="4">
        <v>-158.00441</v>
      </c>
      <c r="E114" s="4" t="s">
        <v>278</v>
      </c>
      <c r="F114" s="24">
        <v>0.3854166666666667</v>
      </c>
      <c r="G114" s="24">
        <v>0.4583333333333333</v>
      </c>
      <c r="H114" s="4">
        <v>6.0</v>
      </c>
      <c r="I114" s="4">
        <v>11.0</v>
      </c>
      <c r="J114" s="4" t="s">
        <v>198</v>
      </c>
      <c r="K114" s="4">
        <v>5.0</v>
      </c>
      <c r="L114" s="4">
        <v>24.0</v>
      </c>
      <c r="M114" s="4" t="s">
        <v>403</v>
      </c>
      <c r="Q114" s="4">
        <v>1.0</v>
      </c>
      <c r="AA114" s="4">
        <v>1.0</v>
      </c>
      <c r="AD114" s="4">
        <v>1.0</v>
      </c>
      <c r="AH114" s="4">
        <v>1.0</v>
      </c>
      <c r="AM114" s="4">
        <v>1.0</v>
      </c>
      <c r="AZ114" s="4"/>
      <c r="BA114" s="4">
        <v>1.0</v>
      </c>
      <c r="BD114" s="4">
        <v>1.0</v>
      </c>
      <c r="BL114" s="4">
        <v>1.0</v>
      </c>
      <c r="BN114" s="4"/>
      <c r="BO114" s="4">
        <v>1.0</v>
      </c>
      <c r="BP114" s="4">
        <v>1.0</v>
      </c>
      <c r="BU114" s="4">
        <v>1.0</v>
      </c>
      <c r="BY114" s="4">
        <v>1.0</v>
      </c>
      <c r="CJ114" s="4">
        <v>1.0</v>
      </c>
      <c r="CN114" s="4">
        <v>1.0</v>
      </c>
      <c r="DF114" s="4">
        <v>1.0</v>
      </c>
      <c r="DL114" s="4">
        <v>1.0</v>
      </c>
      <c r="DN114" s="4">
        <v>1.0</v>
      </c>
      <c r="DT114" s="4"/>
      <c r="DU114" s="4">
        <v>1.0</v>
      </c>
      <c r="EB114" s="4">
        <v>1.0</v>
      </c>
      <c r="EI114" s="4">
        <v>1.0</v>
      </c>
      <c r="EW114" s="4">
        <v>1.0</v>
      </c>
      <c r="FA114" s="4">
        <v>1.0</v>
      </c>
      <c r="FG114" s="4">
        <v>1.0</v>
      </c>
      <c r="FH114" s="4">
        <v>1.0</v>
      </c>
      <c r="FQ114" s="4">
        <v>1.0</v>
      </c>
      <c r="FT114" s="4"/>
      <c r="FU114" s="4">
        <v>1.0</v>
      </c>
      <c r="GC114" s="4">
        <v>1.0</v>
      </c>
    </row>
    <row r="115">
      <c r="A115" s="23">
        <v>42867.0</v>
      </c>
      <c r="B115" s="4" t="s">
        <v>216</v>
      </c>
      <c r="C115" s="4">
        <v>21.3002</v>
      </c>
      <c r="D115" s="4">
        <v>-157.882599</v>
      </c>
      <c r="E115" s="4" t="s">
        <v>299</v>
      </c>
      <c r="F115" s="24">
        <v>0.4583333333333333</v>
      </c>
      <c r="G115" s="24">
        <v>0.5104166666666666</v>
      </c>
      <c r="H115" s="4">
        <v>4.0</v>
      </c>
      <c r="I115" s="4">
        <v>20.0</v>
      </c>
      <c r="J115" s="4" t="s">
        <v>217</v>
      </c>
      <c r="K115" s="4">
        <v>10.0</v>
      </c>
      <c r="L115" s="4">
        <v>32.0</v>
      </c>
      <c r="M115" s="4" t="s">
        <v>404</v>
      </c>
      <c r="R115" s="4">
        <v>1.0</v>
      </c>
      <c r="AH115" s="4">
        <v>1.0</v>
      </c>
      <c r="AL115" s="4">
        <v>1.0</v>
      </c>
      <c r="BL115" s="4">
        <v>1.0</v>
      </c>
      <c r="BM115" s="4">
        <v>1.0</v>
      </c>
      <c r="BP115" s="4">
        <v>1.0</v>
      </c>
      <c r="CB115" s="4">
        <v>1.0</v>
      </c>
      <c r="DR115" s="4">
        <v>1.0</v>
      </c>
      <c r="EB115" s="4">
        <v>1.0</v>
      </c>
      <c r="EI115" s="4">
        <v>1.0</v>
      </c>
      <c r="FI115" s="4"/>
      <c r="FJ115" s="4"/>
      <c r="FK115" s="4">
        <v>1.0</v>
      </c>
      <c r="FP115" s="4">
        <v>1.0</v>
      </c>
      <c r="FQ115" s="4">
        <v>1.0</v>
      </c>
    </row>
    <row r="116">
      <c r="A116" s="23">
        <v>42879.0</v>
      </c>
      <c r="B116" s="4" t="s">
        <v>247</v>
      </c>
      <c r="C116" s="4">
        <v>19.488199</v>
      </c>
      <c r="D116" s="4">
        <v>-154.819305</v>
      </c>
      <c r="E116" s="4" t="s">
        <v>289</v>
      </c>
      <c r="F116" s="24">
        <v>0.3854166666666667</v>
      </c>
      <c r="G116" s="24">
        <v>0.46875</v>
      </c>
      <c r="H116" s="4">
        <v>5.0</v>
      </c>
      <c r="I116" s="4">
        <v>20.0</v>
      </c>
      <c r="J116" s="4" t="s">
        <v>198</v>
      </c>
      <c r="K116" s="4">
        <v>5.0</v>
      </c>
      <c r="L116" s="4">
        <v>25.0</v>
      </c>
      <c r="AE116" s="4">
        <v>1.0</v>
      </c>
      <c r="AH116" s="4">
        <v>1.0</v>
      </c>
      <c r="AL116" s="4">
        <v>1.0</v>
      </c>
      <c r="BL116" s="4">
        <v>1.0</v>
      </c>
      <c r="BM116" s="4">
        <v>1.0</v>
      </c>
      <c r="CB116" s="4">
        <v>1.0</v>
      </c>
      <c r="EJ116" s="4">
        <v>1.0</v>
      </c>
      <c r="EO116" s="4">
        <v>1.0</v>
      </c>
      <c r="EQ116" s="4">
        <v>1.0</v>
      </c>
      <c r="FC116" s="4"/>
      <c r="FE116" s="4">
        <v>1.0</v>
      </c>
      <c r="FH116" s="4">
        <v>1.0</v>
      </c>
      <c r="FL116" s="4">
        <v>1.0</v>
      </c>
      <c r="FQ116" s="4">
        <v>1.0</v>
      </c>
    </row>
    <row r="117">
      <c r="A117" s="23">
        <v>42908.0</v>
      </c>
      <c r="B117" s="4" t="s">
        <v>246</v>
      </c>
      <c r="C117" s="4">
        <v>21.2882</v>
      </c>
      <c r="D117" s="4">
        <v>-157.667999</v>
      </c>
      <c r="E117" s="4" t="s">
        <v>197</v>
      </c>
      <c r="F117" s="24">
        <v>0.3194444444444444</v>
      </c>
      <c r="G117" s="24">
        <v>0.3958333333333333</v>
      </c>
      <c r="H117" s="4">
        <v>3.0</v>
      </c>
      <c r="I117" s="4">
        <v>20.0</v>
      </c>
      <c r="J117" s="4" t="s">
        <v>217</v>
      </c>
      <c r="K117" s="4">
        <v>10.0</v>
      </c>
      <c r="L117" s="4">
        <v>26.0</v>
      </c>
      <c r="M117" s="4" t="s">
        <v>405</v>
      </c>
      <c r="T117" s="4">
        <v>1.0</v>
      </c>
      <c r="V117" s="4"/>
      <c r="W117" s="4">
        <v>1.0</v>
      </c>
      <c r="AA117" s="4">
        <v>1.0</v>
      </c>
      <c r="AG117" s="4">
        <v>1.0</v>
      </c>
      <c r="AL117" s="4">
        <v>1.0</v>
      </c>
      <c r="AV117" s="4">
        <v>1.0</v>
      </c>
      <c r="AZ117" s="4"/>
      <c r="BA117" s="4">
        <v>1.0</v>
      </c>
      <c r="BC117" s="4">
        <v>1.0</v>
      </c>
      <c r="BE117" s="4">
        <v>1.0</v>
      </c>
      <c r="BJ117" s="4">
        <v>1.0</v>
      </c>
      <c r="BL117" s="4">
        <v>1.0</v>
      </c>
      <c r="BM117" s="4">
        <v>1.0</v>
      </c>
      <c r="BP117" s="4">
        <v>1.0</v>
      </c>
      <c r="BY117" s="4">
        <v>1.0</v>
      </c>
      <c r="CB117" s="4">
        <v>1.0</v>
      </c>
      <c r="CF117" s="4"/>
      <c r="CG117" s="4">
        <v>1.0</v>
      </c>
      <c r="CJ117" s="4">
        <v>1.0</v>
      </c>
      <c r="CK117" s="4">
        <v>1.0</v>
      </c>
      <c r="CP117" s="4"/>
      <c r="CQ117" s="4">
        <v>1.0</v>
      </c>
      <c r="CT117" s="4">
        <v>1.0</v>
      </c>
      <c r="DD117" s="4">
        <v>1.0</v>
      </c>
      <c r="DF117" s="4">
        <v>1.0</v>
      </c>
      <c r="DL117" s="4">
        <v>1.0</v>
      </c>
      <c r="DM117" s="4">
        <v>1.0</v>
      </c>
      <c r="DN117" s="4">
        <v>1.0</v>
      </c>
      <c r="DT117" s="4"/>
      <c r="DU117" s="4">
        <v>1.0</v>
      </c>
      <c r="EI117" s="4">
        <v>1.0</v>
      </c>
      <c r="EJ117" s="4">
        <v>1.0</v>
      </c>
      <c r="EK117" s="4"/>
      <c r="EL117" s="4">
        <v>1.0</v>
      </c>
      <c r="ES117" s="4"/>
      <c r="ET117" s="4"/>
      <c r="EU117" s="4">
        <v>1.0</v>
      </c>
      <c r="FC117" s="4"/>
      <c r="FD117" s="4">
        <v>1.0</v>
      </c>
      <c r="FE117" s="4">
        <v>1.0</v>
      </c>
      <c r="FL117" s="4">
        <v>1.0</v>
      </c>
      <c r="FP117" s="4">
        <v>1.0</v>
      </c>
      <c r="FQ117" s="4">
        <v>1.0</v>
      </c>
      <c r="GA117" s="4">
        <v>1.0</v>
      </c>
      <c r="GD117" s="4">
        <v>1.0</v>
      </c>
    </row>
    <row r="118">
      <c r="A118" s="23">
        <v>42910.0</v>
      </c>
      <c r="B118" s="4" t="s">
        <v>219</v>
      </c>
      <c r="C118" s="4">
        <v>21.295799</v>
      </c>
      <c r="D118" s="4">
        <v>-158.103699</v>
      </c>
      <c r="E118" s="4" t="s">
        <v>197</v>
      </c>
      <c r="F118" s="24">
        <v>0.3472222222222222</v>
      </c>
      <c r="G118" s="24">
        <v>0.4583333333333333</v>
      </c>
      <c r="H118" s="4">
        <v>4.0</v>
      </c>
      <c r="I118" s="4">
        <v>24.0</v>
      </c>
      <c r="J118" s="4" t="s">
        <v>227</v>
      </c>
      <c r="K118" s="4">
        <v>8.0</v>
      </c>
      <c r="L118" s="4">
        <v>27.0</v>
      </c>
      <c r="M118" s="4" t="s">
        <v>406</v>
      </c>
      <c r="Q118" s="4">
        <v>1.0</v>
      </c>
      <c r="V118" s="4"/>
      <c r="W118" s="4">
        <v>1.0</v>
      </c>
      <c r="AA118" s="4">
        <v>1.0</v>
      </c>
      <c r="AD118" s="4">
        <v>1.0</v>
      </c>
      <c r="AH118" s="4">
        <v>1.0</v>
      </c>
      <c r="AL118" s="4">
        <v>1.0</v>
      </c>
      <c r="AV118" s="4">
        <v>1.0</v>
      </c>
      <c r="AZ118" s="4">
        <v>1.0</v>
      </c>
      <c r="BA118" s="4">
        <v>1.0</v>
      </c>
      <c r="BB118" s="4">
        <v>1.0</v>
      </c>
      <c r="BC118" s="4">
        <v>1.0</v>
      </c>
      <c r="BD118" s="4">
        <v>1.0</v>
      </c>
      <c r="BG118" s="4">
        <v>1.0</v>
      </c>
      <c r="BL118" s="4">
        <v>1.0</v>
      </c>
      <c r="BM118" s="4">
        <v>1.0</v>
      </c>
      <c r="BP118" s="4">
        <v>1.0</v>
      </c>
      <c r="BU118" s="4">
        <v>1.0</v>
      </c>
      <c r="BV118" s="4">
        <v>1.0</v>
      </c>
      <c r="BW118" s="4">
        <v>1.0</v>
      </c>
      <c r="BX118" s="4">
        <v>1.0</v>
      </c>
      <c r="BY118" s="4">
        <v>1.0</v>
      </c>
      <c r="CP118" s="4"/>
      <c r="CQ118" s="4">
        <v>1.0</v>
      </c>
      <c r="CR118" s="4">
        <v>1.0</v>
      </c>
      <c r="CZ118" s="4">
        <v>1.0</v>
      </c>
      <c r="DC118" s="4">
        <v>1.0</v>
      </c>
      <c r="DD118" s="4">
        <v>1.0</v>
      </c>
      <c r="DF118" s="4">
        <v>1.0</v>
      </c>
      <c r="DI118" s="4">
        <v>1.0</v>
      </c>
      <c r="DJ118" s="4">
        <v>1.0</v>
      </c>
      <c r="DK118" s="4">
        <v>1.0</v>
      </c>
      <c r="DL118" s="4">
        <v>1.0</v>
      </c>
      <c r="DN118" s="4">
        <v>1.0</v>
      </c>
      <c r="DP118" s="4">
        <v>1.0</v>
      </c>
      <c r="DR118" s="4">
        <v>1.0</v>
      </c>
      <c r="DT118" s="4"/>
      <c r="DU118" s="4">
        <v>1.0</v>
      </c>
      <c r="EB118" s="4">
        <v>1.0</v>
      </c>
      <c r="EI118" s="4">
        <v>1.0</v>
      </c>
      <c r="EJ118" s="4">
        <v>1.0</v>
      </c>
      <c r="EK118" s="4">
        <v>1.0</v>
      </c>
      <c r="ES118" s="4">
        <v>1.0</v>
      </c>
      <c r="EZ118" s="4">
        <v>1.0</v>
      </c>
      <c r="FA118" s="4">
        <v>1.0</v>
      </c>
      <c r="FC118" s="4"/>
      <c r="FD118" s="4">
        <v>1.0</v>
      </c>
      <c r="FE118" s="4">
        <v>1.0</v>
      </c>
      <c r="FH118" s="4">
        <v>1.0</v>
      </c>
      <c r="FL118" s="4">
        <v>1.0</v>
      </c>
      <c r="FP118" s="4">
        <v>1.0</v>
      </c>
      <c r="FQ118" s="4">
        <v>1.0</v>
      </c>
      <c r="GD118" s="4">
        <v>1.0</v>
      </c>
    </row>
    <row r="119">
      <c r="A119" s="23">
        <v>42911.0</v>
      </c>
      <c r="B119" s="4" t="s">
        <v>250</v>
      </c>
      <c r="C119" s="4">
        <v>21.4104</v>
      </c>
      <c r="D119" s="4">
        <v>-158.177704</v>
      </c>
      <c r="E119" s="4" t="s">
        <v>197</v>
      </c>
      <c r="F119" s="24">
        <v>0.375</v>
      </c>
      <c r="G119" s="24">
        <v>0.4583333333333333</v>
      </c>
      <c r="H119" s="4">
        <v>3.0</v>
      </c>
      <c r="I119" s="4">
        <v>33.0</v>
      </c>
      <c r="J119" s="4" t="s">
        <v>227</v>
      </c>
      <c r="K119" s="4">
        <v>12.0</v>
      </c>
      <c r="L119" s="4">
        <v>26.0</v>
      </c>
      <c r="M119" s="4" t="s">
        <v>407</v>
      </c>
      <c r="Q119" s="4">
        <v>1.0</v>
      </c>
      <c r="AA119" s="4">
        <v>1.0</v>
      </c>
      <c r="AC119" s="4">
        <v>1.0</v>
      </c>
      <c r="AL119" s="4">
        <v>1.0</v>
      </c>
      <c r="AV119" s="4">
        <v>1.0</v>
      </c>
      <c r="AX119" s="4">
        <v>1.0</v>
      </c>
      <c r="BA119" s="4">
        <v>1.0</v>
      </c>
      <c r="BJ119" s="4">
        <v>1.0</v>
      </c>
      <c r="BL119" s="4">
        <v>1.0</v>
      </c>
      <c r="BM119" s="4">
        <v>1.0</v>
      </c>
      <c r="BP119" s="4">
        <v>1.0</v>
      </c>
      <c r="BY119" s="4">
        <v>1.0</v>
      </c>
      <c r="CB119" s="4">
        <v>1.0</v>
      </c>
      <c r="CC119" s="4">
        <v>1.0</v>
      </c>
      <c r="CI119" s="4">
        <v>1.0</v>
      </c>
      <c r="CJ119" s="4">
        <v>1.0</v>
      </c>
      <c r="CK119" s="4">
        <v>1.0</v>
      </c>
      <c r="CM119" s="4">
        <v>1.0</v>
      </c>
      <c r="CN119" s="4">
        <v>1.0</v>
      </c>
      <c r="CP119" s="4">
        <v>1.0</v>
      </c>
      <c r="CZ119" s="4">
        <v>1.0</v>
      </c>
      <c r="DD119" s="4">
        <v>1.0</v>
      </c>
      <c r="DE119" s="4">
        <v>1.0</v>
      </c>
      <c r="DF119" s="4">
        <v>1.0</v>
      </c>
      <c r="DL119" s="4">
        <v>1.0</v>
      </c>
      <c r="EJ119" s="4">
        <v>1.0</v>
      </c>
      <c r="EK119" s="4">
        <v>1.0</v>
      </c>
      <c r="ET119" s="4"/>
      <c r="EU119" s="4">
        <v>1.0</v>
      </c>
      <c r="EW119" s="4">
        <v>1.0</v>
      </c>
      <c r="FI119" s="4"/>
      <c r="FJ119" s="4"/>
      <c r="FK119" s="4">
        <v>1.0</v>
      </c>
      <c r="FQ119" s="4">
        <v>1.0</v>
      </c>
      <c r="FR119" s="4">
        <v>1.0</v>
      </c>
    </row>
    <row r="120">
      <c r="A120" s="23">
        <v>43147.0</v>
      </c>
      <c r="B120" s="4" t="s">
        <v>201</v>
      </c>
      <c r="C120" s="4">
        <v>21.25544</v>
      </c>
      <c r="D120" s="4">
        <v>-157.810303</v>
      </c>
      <c r="E120" s="4" t="s">
        <v>389</v>
      </c>
      <c r="F120" s="24">
        <v>0.4583333333333333</v>
      </c>
      <c r="G120" s="24">
        <v>0.5208333333333334</v>
      </c>
      <c r="H120" s="4">
        <v>10.0</v>
      </c>
      <c r="I120" s="4">
        <v>15.0</v>
      </c>
      <c r="J120" s="4" t="s">
        <v>198</v>
      </c>
      <c r="K120" s="4">
        <v>5.0</v>
      </c>
      <c r="L120" s="4">
        <v>35.0</v>
      </c>
      <c r="M120" s="4" t="s">
        <v>408</v>
      </c>
      <c r="Q120" s="4">
        <v>1.0</v>
      </c>
      <c r="AD120" s="4">
        <v>1.0</v>
      </c>
      <c r="AE120" s="4">
        <v>1.0</v>
      </c>
      <c r="AH120" s="4">
        <v>1.0</v>
      </c>
      <c r="BD120" s="4">
        <v>1.0</v>
      </c>
      <c r="BL120" s="4">
        <v>1.0</v>
      </c>
      <c r="BP120" s="4">
        <v>1.0</v>
      </c>
      <c r="BU120" s="4">
        <v>1.0</v>
      </c>
      <c r="BX120" s="4">
        <v>1.0</v>
      </c>
      <c r="BY120" s="4">
        <v>1.0</v>
      </c>
      <c r="CO120" s="4"/>
      <c r="CP120" s="4"/>
      <c r="CQ120" s="4"/>
      <c r="CR120" s="4">
        <v>1.0</v>
      </c>
      <c r="DE120" s="4"/>
      <c r="DF120" s="4">
        <v>1.0</v>
      </c>
      <c r="DL120" s="4">
        <v>1.0</v>
      </c>
      <c r="DQ120" s="4"/>
      <c r="DR120" s="4">
        <v>1.0</v>
      </c>
      <c r="DT120" s="4"/>
      <c r="DU120" s="4">
        <v>1.0</v>
      </c>
      <c r="DZ120" s="4">
        <v>1.0</v>
      </c>
      <c r="EB120" s="4">
        <v>1.0</v>
      </c>
      <c r="ED120" s="4"/>
      <c r="EE120" s="4"/>
      <c r="EF120" s="4"/>
      <c r="EG120" s="4"/>
      <c r="EH120" s="4"/>
      <c r="EI120" s="4">
        <v>1.0</v>
      </c>
      <c r="EK120" s="4"/>
      <c r="EL120" s="4"/>
      <c r="EM120" s="4">
        <v>1.0</v>
      </c>
      <c r="FA120" s="4">
        <v>1.0</v>
      </c>
      <c r="FB120" s="4">
        <v>1.0</v>
      </c>
      <c r="FH120" s="4">
        <v>1.0</v>
      </c>
      <c r="FP120" s="4">
        <v>1.0</v>
      </c>
      <c r="FQ120" s="4">
        <v>1.0</v>
      </c>
      <c r="GC120" s="4">
        <v>1.0</v>
      </c>
    </row>
    <row r="121">
      <c r="A121" s="23">
        <v>43148.0</v>
      </c>
      <c r="B121" s="4" t="s">
        <v>244</v>
      </c>
      <c r="C121" s="4">
        <v>21.310612</v>
      </c>
      <c r="D121" s="4">
        <v>-158.00441</v>
      </c>
      <c r="E121" s="4" t="s">
        <v>197</v>
      </c>
      <c r="F121" s="24">
        <v>0.4986111111111111</v>
      </c>
      <c r="G121" s="24">
        <v>0.56875</v>
      </c>
      <c r="H121" s="4">
        <v>3.0</v>
      </c>
      <c r="I121" s="4">
        <v>11.0</v>
      </c>
      <c r="J121" s="4" t="s">
        <v>198</v>
      </c>
      <c r="K121" s="4">
        <v>11.0</v>
      </c>
      <c r="L121" s="4">
        <v>29.0</v>
      </c>
      <c r="M121" s="4" t="s">
        <v>409</v>
      </c>
      <c r="Q121" s="4">
        <v>1.0</v>
      </c>
      <c r="X121" s="4"/>
      <c r="Y121" s="4"/>
      <c r="Z121" s="4"/>
      <c r="AA121" s="4">
        <v>1.0</v>
      </c>
      <c r="AD121" s="4">
        <v>1.0</v>
      </c>
      <c r="AH121" s="4">
        <v>1.0</v>
      </c>
      <c r="AI121" s="4"/>
      <c r="AJ121" s="4"/>
      <c r="AK121" s="4"/>
      <c r="AL121" s="4">
        <v>1.0</v>
      </c>
      <c r="AP121" s="4"/>
      <c r="AQ121" s="4">
        <v>1.0</v>
      </c>
      <c r="AR121" s="4">
        <v>1.0</v>
      </c>
      <c r="AZ121" s="4"/>
      <c r="BA121" s="4">
        <v>1.0</v>
      </c>
      <c r="BB121" s="4">
        <v>1.0</v>
      </c>
      <c r="BD121" s="4">
        <v>1.0</v>
      </c>
      <c r="BL121" s="4">
        <v>1.0</v>
      </c>
      <c r="BP121" s="4">
        <v>1.0</v>
      </c>
      <c r="BT121" s="4">
        <v>1.0</v>
      </c>
      <c r="BU121" s="4">
        <v>1.0</v>
      </c>
      <c r="BV121" s="4">
        <v>1.0</v>
      </c>
      <c r="BW121" s="4">
        <v>1.0</v>
      </c>
      <c r="BX121" s="4">
        <v>1.0</v>
      </c>
      <c r="BY121" s="4">
        <v>1.0</v>
      </c>
      <c r="CO121" s="4"/>
      <c r="CP121" s="4"/>
      <c r="CQ121" s="4">
        <v>1.0</v>
      </c>
      <c r="CR121" s="4">
        <v>1.0</v>
      </c>
      <c r="CS121" s="4">
        <v>1.0</v>
      </c>
      <c r="CU121" s="4">
        <v>1.0</v>
      </c>
      <c r="DC121" s="4">
        <v>1.0</v>
      </c>
      <c r="DE121" s="4"/>
      <c r="DF121" s="4">
        <v>1.0</v>
      </c>
      <c r="DJ121" s="4"/>
      <c r="DK121" s="4">
        <v>1.0</v>
      </c>
      <c r="DL121" s="4">
        <v>1.0</v>
      </c>
      <c r="DN121" s="4">
        <v>1.0</v>
      </c>
      <c r="DT121" s="4"/>
      <c r="DU121" s="4">
        <v>1.0</v>
      </c>
      <c r="EB121" s="4">
        <v>1.0</v>
      </c>
      <c r="ED121" s="4"/>
      <c r="EE121" s="4"/>
      <c r="EF121" s="4"/>
      <c r="EG121" s="4"/>
      <c r="EH121" s="4"/>
      <c r="EI121" s="4">
        <v>1.0</v>
      </c>
      <c r="EN121" s="4">
        <v>1.0</v>
      </c>
      <c r="FQ121" s="4">
        <v>1.0</v>
      </c>
      <c r="FT121" s="4"/>
      <c r="FU121" s="4">
        <v>1.0</v>
      </c>
    </row>
    <row r="122">
      <c r="A122" s="23">
        <v>43160.0</v>
      </c>
      <c r="B122" s="4" t="s">
        <v>219</v>
      </c>
      <c r="C122" s="4">
        <v>21.295799</v>
      </c>
      <c r="D122" s="4">
        <v>-158.103699</v>
      </c>
      <c r="E122" s="4" t="s">
        <v>333</v>
      </c>
      <c r="F122" s="24">
        <v>0.375</v>
      </c>
      <c r="G122" s="24">
        <v>0.4513888888888889</v>
      </c>
      <c r="H122" s="4">
        <v>10.0</v>
      </c>
      <c r="I122" s="4">
        <v>10.0</v>
      </c>
      <c r="J122" s="4" t="s">
        <v>318</v>
      </c>
      <c r="K122" s="4">
        <v>5.0</v>
      </c>
      <c r="L122" s="4">
        <v>46.0</v>
      </c>
      <c r="M122" s="4" t="s">
        <v>410</v>
      </c>
      <c r="N122" s="4" t="s">
        <v>411</v>
      </c>
      <c r="Q122" s="4">
        <v>1.0</v>
      </c>
      <c r="T122" s="4"/>
      <c r="U122" s="4"/>
      <c r="V122" s="4"/>
      <c r="W122" s="4">
        <v>1.0</v>
      </c>
      <c r="X122" s="4"/>
      <c r="Y122" s="4">
        <v>1.0</v>
      </c>
      <c r="Z122" s="4"/>
      <c r="AA122" s="4">
        <v>1.0</v>
      </c>
      <c r="AB122" s="4">
        <v>1.0</v>
      </c>
      <c r="AD122" s="4">
        <v>1.0</v>
      </c>
      <c r="AH122" s="4">
        <v>1.0</v>
      </c>
      <c r="AM122" s="4">
        <v>1.0</v>
      </c>
      <c r="BB122" s="4">
        <v>1.0</v>
      </c>
      <c r="BC122" s="4">
        <v>1.0</v>
      </c>
      <c r="BD122" s="4">
        <v>1.0</v>
      </c>
      <c r="BL122" s="4">
        <v>1.0</v>
      </c>
      <c r="BM122" s="4">
        <v>1.0</v>
      </c>
      <c r="BP122" s="4">
        <v>1.0</v>
      </c>
      <c r="BU122" s="4">
        <v>1.0</v>
      </c>
      <c r="BY122" s="4">
        <v>1.0</v>
      </c>
      <c r="CR122" s="4">
        <v>1.0</v>
      </c>
      <c r="CT122" s="4">
        <v>1.0</v>
      </c>
      <c r="DC122" s="4">
        <v>1.0</v>
      </c>
      <c r="DE122" s="4"/>
      <c r="DF122" s="4">
        <v>1.0</v>
      </c>
      <c r="DL122" s="4">
        <v>1.0</v>
      </c>
      <c r="DM122" s="4">
        <v>1.0</v>
      </c>
      <c r="DN122" s="4">
        <v>1.0</v>
      </c>
      <c r="DO122" s="4">
        <v>1.0</v>
      </c>
      <c r="DQ122" s="4"/>
      <c r="DR122" s="4">
        <v>1.0</v>
      </c>
      <c r="DT122" s="4"/>
      <c r="DU122" s="4">
        <v>1.0</v>
      </c>
      <c r="EB122" s="4">
        <v>1.0</v>
      </c>
      <c r="ED122" s="4"/>
      <c r="EE122" s="4"/>
      <c r="EF122" s="4"/>
      <c r="EG122" s="4"/>
      <c r="EH122" s="4"/>
      <c r="EI122" s="4">
        <v>1.0</v>
      </c>
      <c r="FA122" s="4">
        <v>1.0</v>
      </c>
      <c r="FC122" s="4"/>
      <c r="FE122" s="4">
        <v>1.0</v>
      </c>
      <c r="FH122" s="4">
        <v>1.0</v>
      </c>
      <c r="FQ122" s="4">
        <v>1.0</v>
      </c>
      <c r="GC122" s="4">
        <v>1.0</v>
      </c>
    </row>
    <row r="123">
      <c r="A123" s="23">
        <v>43160.0</v>
      </c>
      <c r="B123" s="4" t="s">
        <v>233</v>
      </c>
      <c r="C123" s="36">
        <v>21.066799</v>
      </c>
      <c r="D123" s="36">
        <v>-156.804993</v>
      </c>
      <c r="E123" s="4" t="s">
        <v>286</v>
      </c>
      <c r="F123" s="24">
        <v>0.3958333333333333</v>
      </c>
      <c r="G123" s="24">
        <v>0.4388888888888889</v>
      </c>
      <c r="H123" s="4">
        <v>4.0</v>
      </c>
      <c r="I123" s="4">
        <v>9.0</v>
      </c>
      <c r="J123" s="4" t="s">
        <v>198</v>
      </c>
      <c r="K123" s="4">
        <v>9.0</v>
      </c>
      <c r="L123" s="4">
        <v>28.0</v>
      </c>
      <c r="M123" s="4" t="s">
        <v>412</v>
      </c>
      <c r="X123" s="4"/>
      <c r="Y123" s="4">
        <v>1.0</v>
      </c>
      <c r="AP123" s="4"/>
      <c r="AZ123" s="4"/>
      <c r="BA123" s="4">
        <v>1.0</v>
      </c>
      <c r="BH123" s="4"/>
      <c r="BI123" s="4"/>
      <c r="BJ123" s="4"/>
      <c r="BL123" s="4">
        <v>1.0</v>
      </c>
      <c r="BU123" s="4"/>
      <c r="BY123" s="4">
        <v>1.0</v>
      </c>
      <c r="CB123" s="4"/>
      <c r="CC123" s="4"/>
      <c r="CD123" s="4"/>
      <c r="CE123" s="4"/>
      <c r="CH123" s="4"/>
      <c r="CN123" s="4">
        <v>1.0</v>
      </c>
      <c r="DL123" s="4">
        <v>1.0</v>
      </c>
      <c r="DW123" s="4"/>
      <c r="ED123" s="4"/>
      <c r="EE123" s="4"/>
      <c r="EH123" s="4"/>
      <c r="EI123" s="4">
        <v>1.0</v>
      </c>
      <c r="EO123" s="4"/>
      <c r="ER123" s="4"/>
      <c r="FA123" s="4">
        <v>1.0</v>
      </c>
      <c r="FC123" s="4"/>
      <c r="FE123" s="4">
        <v>1.0</v>
      </c>
      <c r="FF123" s="4"/>
      <c r="FG123" s="4">
        <v>1.0</v>
      </c>
      <c r="FL123" s="4"/>
      <c r="FQ123" s="4">
        <v>1.0</v>
      </c>
    </row>
    <row r="124">
      <c r="A124" s="23">
        <v>43163.0</v>
      </c>
      <c r="B124" s="4" t="s">
        <v>293</v>
      </c>
      <c r="C124" s="4">
        <v>19.738602</v>
      </c>
      <c r="D124" s="4">
        <v>-155.038879</v>
      </c>
      <c r="E124" s="4" t="s">
        <v>197</v>
      </c>
      <c r="F124" s="24">
        <v>0.4270833333333333</v>
      </c>
      <c r="G124" s="24">
        <v>0.53125</v>
      </c>
      <c r="H124" s="4">
        <v>3.0</v>
      </c>
      <c r="I124" s="4">
        <v>21.0</v>
      </c>
      <c r="J124" s="4" t="s">
        <v>415</v>
      </c>
      <c r="K124" s="4">
        <v>14.0</v>
      </c>
      <c r="L124" s="4">
        <v>25.0</v>
      </c>
      <c r="M124" s="4" t="s">
        <v>416</v>
      </c>
      <c r="AP124" s="4">
        <v>1.0</v>
      </c>
      <c r="BH124" s="4"/>
      <c r="BI124" s="4"/>
      <c r="BJ124" s="4">
        <v>1.0</v>
      </c>
      <c r="BL124" s="4">
        <v>1.0</v>
      </c>
      <c r="BU124" s="4">
        <v>1.0</v>
      </c>
      <c r="CB124" s="4">
        <v>1.0</v>
      </c>
      <c r="CC124" s="4">
        <v>1.0</v>
      </c>
      <c r="CD124" s="4">
        <v>1.0</v>
      </c>
      <c r="CE124" s="4">
        <v>1.0</v>
      </c>
      <c r="CH124" s="4">
        <v>1.0</v>
      </c>
      <c r="CN124" s="4">
        <v>1.0</v>
      </c>
      <c r="DW124" s="4">
        <v>1.0</v>
      </c>
      <c r="ED124" s="4"/>
      <c r="EE124" s="4">
        <v>1.0</v>
      </c>
      <c r="EO124" s="4">
        <v>1.0</v>
      </c>
      <c r="ER124" s="4">
        <v>1.0</v>
      </c>
      <c r="FF124" s="4">
        <v>1.0</v>
      </c>
      <c r="FL124" s="4">
        <v>1.0</v>
      </c>
      <c r="FQ124" s="4">
        <v>1.0</v>
      </c>
    </row>
    <row r="125">
      <c r="A125" s="23">
        <v>43207.0</v>
      </c>
      <c r="B125" s="4" t="s">
        <v>244</v>
      </c>
      <c r="C125" s="4">
        <v>21.310612</v>
      </c>
      <c r="D125" s="4">
        <v>-158.00441</v>
      </c>
      <c r="E125" s="4" t="s">
        <v>326</v>
      </c>
      <c r="F125" s="24">
        <v>0.3854166666666667</v>
      </c>
      <c r="G125" s="24">
        <v>0.4444444444444444</v>
      </c>
      <c r="H125" s="4">
        <v>9.0</v>
      </c>
      <c r="I125" s="4">
        <v>8.0</v>
      </c>
      <c r="J125" s="4" t="s">
        <v>198</v>
      </c>
      <c r="K125" s="4">
        <v>5.0</v>
      </c>
      <c r="L125" s="4">
        <v>30.0</v>
      </c>
      <c r="M125" s="4" t="s">
        <v>417</v>
      </c>
      <c r="N125" s="4" t="s">
        <v>396</v>
      </c>
      <c r="T125" s="4"/>
      <c r="U125" s="4"/>
      <c r="V125" s="4"/>
      <c r="W125" s="4">
        <v>1.0</v>
      </c>
      <c r="Z125" s="4"/>
      <c r="AA125" s="4">
        <v>1.0</v>
      </c>
      <c r="AD125" s="4">
        <v>1.0</v>
      </c>
      <c r="AH125" s="4">
        <v>1.0</v>
      </c>
      <c r="BB125" s="4">
        <v>1.0</v>
      </c>
      <c r="BD125" s="4">
        <v>1.0</v>
      </c>
      <c r="BL125" s="4">
        <v>1.0</v>
      </c>
      <c r="BU125" s="4">
        <v>1.0</v>
      </c>
      <c r="BY125" s="4">
        <v>1.0</v>
      </c>
      <c r="CI125" s="4"/>
      <c r="CJ125" s="4">
        <v>1.0</v>
      </c>
      <c r="CR125" s="4">
        <v>1.0</v>
      </c>
      <c r="DL125" s="4">
        <v>1.0</v>
      </c>
      <c r="DN125" s="4">
        <v>1.0</v>
      </c>
      <c r="DT125" s="4"/>
      <c r="DU125" s="4">
        <v>1.0</v>
      </c>
      <c r="DY125" s="4">
        <v>1.0</v>
      </c>
      <c r="EB125" s="4">
        <v>1.0</v>
      </c>
      <c r="EF125" s="4"/>
      <c r="EG125" s="4"/>
      <c r="EH125" s="4"/>
      <c r="EI125" s="4">
        <v>1.0</v>
      </c>
      <c r="FA125" s="4">
        <v>1.0</v>
      </c>
      <c r="FH125" s="4">
        <v>1.0</v>
      </c>
      <c r="FQ125" s="4">
        <v>1.0</v>
      </c>
      <c r="FT125" s="4"/>
      <c r="FU125" s="4">
        <v>1.0</v>
      </c>
    </row>
    <row r="126">
      <c r="A126" s="23">
        <v>43212.0</v>
      </c>
      <c r="B126" s="4" t="s">
        <v>293</v>
      </c>
      <c r="C126" s="4">
        <v>19.738602</v>
      </c>
      <c r="D126" s="4">
        <v>-155.038879</v>
      </c>
      <c r="E126" s="4" t="s">
        <v>418</v>
      </c>
      <c r="F126" s="24">
        <v>0.5541666666666667</v>
      </c>
      <c r="G126" s="24">
        <v>0.6458333333333334</v>
      </c>
      <c r="H126" s="4">
        <v>3.0</v>
      </c>
      <c r="I126" s="4">
        <v>18.0</v>
      </c>
      <c r="J126" s="4" t="s">
        <v>415</v>
      </c>
      <c r="K126" s="4">
        <v>10.0</v>
      </c>
      <c r="L126" s="4">
        <v>23.0</v>
      </c>
      <c r="M126" s="4" t="s">
        <v>419</v>
      </c>
      <c r="BH126" s="4"/>
      <c r="BI126" s="4"/>
      <c r="BJ126" s="4">
        <v>1.0</v>
      </c>
      <c r="BL126" s="4">
        <v>1.0</v>
      </c>
      <c r="CB126" s="4">
        <v>1.0</v>
      </c>
      <c r="CC126" s="4">
        <v>1.0</v>
      </c>
      <c r="CU126" s="4">
        <v>1.0</v>
      </c>
      <c r="FL126" s="4">
        <v>1.0</v>
      </c>
      <c r="FM126" s="4"/>
      <c r="FN126" s="4">
        <v>1.0</v>
      </c>
      <c r="FQ126" s="4">
        <v>1.0</v>
      </c>
    </row>
    <row r="127">
      <c r="A127" s="23">
        <v>43214.0</v>
      </c>
      <c r="B127" s="4" t="s">
        <v>244</v>
      </c>
      <c r="C127" s="4">
        <v>21.310612</v>
      </c>
      <c r="D127" s="4">
        <v>-158.00441</v>
      </c>
      <c r="E127" s="4" t="s">
        <v>326</v>
      </c>
      <c r="F127" s="24">
        <v>0.375</v>
      </c>
      <c r="G127" s="24">
        <v>0.4444444444444444</v>
      </c>
      <c r="H127" s="4">
        <v>6.0</v>
      </c>
      <c r="I127" s="4">
        <v>8.0</v>
      </c>
      <c r="J127" s="4" t="s">
        <v>217</v>
      </c>
      <c r="K127" s="4">
        <v>4.0</v>
      </c>
      <c r="L127" s="4">
        <v>20.0</v>
      </c>
      <c r="M127" s="4" t="s">
        <v>421</v>
      </c>
      <c r="Q127" s="4">
        <v>1.0</v>
      </c>
      <c r="Z127" s="4"/>
      <c r="AA127" s="4">
        <v>1.0</v>
      </c>
      <c r="AB127" s="4">
        <v>1.0</v>
      </c>
      <c r="AD127" s="4">
        <v>1.0</v>
      </c>
      <c r="AH127" s="4">
        <v>1.0</v>
      </c>
      <c r="BD127" s="4">
        <v>1.0</v>
      </c>
      <c r="BU127" s="4">
        <v>1.0</v>
      </c>
      <c r="BY127" s="4">
        <v>1.0</v>
      </c>
      <c r="CN127" s="4">
        <v>1.0</v>
      </c>
      <c r="CR127" s="4">
        <v>1.0</v>
      </c>
      <c r="DE127" s="4"/>
      <c r="DF127" s="4">
        <v>1.0</v>
      </c>
      <c r="DL127" s="4">
        <v>1.0</v>
      </c>
      <c r="DN127" s="4">
        <v>1.0</v>
      </c>
      <c r="DT127" s="4"/>
      <c r="DU127" s="4">
        <v>1.0</v>
      </c>
      <c r="EB127" s="4">
        <v>1.0</v>
      </c>
      <c r="EF127" s="4"/>
      <c r="EG127" s="4">
        <v>1.0</v>
      </c>
      <c r="EH127" s="4"/>
      <c r="EI127" s="4">
        <v>1.0</v>
      </c>
      <c r="ES127" s="4"/>
      <c r="ET127" s="4"/>
      <c r="EU127" s="4">
        <v>1.0</v>
      </c>
      <c r="EV127" s="4">
        <v>1.0</v>
      </c>
      <c r="FA127" s="4">
        <v>1.0</v>
      </c>
      <c r="FC127" s="4"/>
      <c r="FE127" s="4">
        <v>1.0</v>
      </c>
      <c r="FP127" s="4">
        <v>1.0</v>
      </c>
      <c r="FQ127" s="4">
        <v>1.0</v>
      </c>
      <c r="GC127" s="4">
        <v>1.0</v>
      </c>
    </row>
    <row r="128">
      <c r="A128" s="23">
        <v>43214.0</v>
      </c>
      <c r="B128" s="4" t="s">
        <v>201</v>
      </c>
      <c r="C128" s="4">
        <v>21.25544</v>
      </c>
      <c r="D128" s="4">
        <v>-157.810303</v>
      </c>
      <c r="E128" s="4" t="s">
        <v>422</v>
      </c>
      <c r="F128" s="24">
        <v>0.3854166666666667</v>
      </c>
      <c r="G128" s="24">
        <v>0.4097222222222222</v>
      </c>
      <c r="H128" s="4">
        <v>7.0</v>
      </c>
      <c r="I128" s="4">
        <v>12.0</v>
      </c>
      <c r="J128" s="4" t="s">
        <v>198</v>
      </c>
      <c r="K128" s="4">
        <v>5.0</v>
      </c>
      <c r="L128" s="4">
        <v>25.0</v>
      </c>
      <c r="M128" s="4" t="s">
        <v>423</v>
      </c>
      <c r="N128" s="4" t="s">
        <v>424</v>
      </c>
      <c r="AD128" s="4">
        <v>1.0</v>
      </c>
      <c r="AH128" s="4">
        <v>1.0</v>
      </c>
      <c r="AU128" s="4">
        <v>1.0</v>
      </c>
      <c r="AZ128" s="4"/>
      <c r="BA128" s="4">
        <v>1.0</v>
      </c>
      <c r="BD128" s="4">
        <v>1.0</v>
      </c>
      <c r="BE128" s="4">
        <v>1.0</v>
      </c>
      <c r="BL128" s="4">
        <v>1.0</v>
      </c>
      <c r="BP128" s="4">
        <v>1.0</v>
      </c>
      <c r="BU128" s="4">
        <v>1.0</v>
      </c>
      <c r="BY128" s="4">
        <v>1.0</v>
      </c>
      <c r="CD128" s="4">
        <v>1.0</v>
      </c>
      <c r="DL128" s="4">
        <v>1.0</v>
      </c>
      <c r="DQ128" s="4"/>
      <c r="DR128" s="4">
        <v>1.0</v>
      </c>
      <c r="EH128" s="4"/>
      <c r="EI128" s="4">
        <v>1.0</v>
      </c>
      <c r="FA128" s="4">
        <v>1.0</v>
      </c>
      <c r="FC128" s="4"/>
      <c r="FE128" s="4">
        <v>1.0</v>
      </c>
      <c r="FP128" s="4">
        <v>1.0</v>
      </c>
      <c r="FQ128" s="4">
        <v>1.0</v>
      </c>
      <c r="FT128" s="4"/>
      <c r="FU128" s="4">
        <v>1.0</v>
      </c>
      <c r="FX128" s="4"/>
      <c r="FY128" s="4">
        <v>1.0</v>
      </c>
      <c r="GC128" s="4">
        <v>1.0</v>
      </c>
    </row>
    <row r="129">
      <c r="A129" s="23">
        <v>43215.0</v>
      </c>
      <c r="B129" s="4" t="s">
        <v>340</v>
      </c>
      <c r="C129" s="4">
        <v>19.643276</v>
      </c>
      <c r="D129" s="4">
        <v>-156.010193</v>
      </c>
      <c r="E129" s="4" t="s">
        <v>381</v>
      </c>
      <c r="F129" s="24">
        <v>0.3159722222222222</v>
      </c>
      <c r="G129" s="24">
        <v>0.34375</v>
      </c>
      <c r="H129" s="4">
        <v>5.0</v>
      </c>
      <c r="I129" s="4">
        <v>21.0</v>
      </c>
      <c r="J129" s="4" t="s">
        <v>198</v>
      </c>
      <c r="K129" s="4">
        <v>11.0</v>
      </c>
      <c r="L129" s="4">
        <v>50.0</v>
      </c>
      <c r="M129" s="4" t="s">
        <v>425</v>
      </c>
      <c r="R129" s="4">
        <v>1.0</v>
      </c>
      <c r="AI129" s="4"/>
      <c r="AJ129" s="4"/>
      <c r="AK129" s="4"/>
      <c r="AL129" s="4">
        <v>1.0</v>
      </c>
      <c r="BL129" s="4">
        <v>1.0</v>
      </c>
      <c r="CB129" s="4">
        <v>1.0</v>
      </c>
      <c r="CC129" s="4">
        <v>1.0</v>
      </c>
      <c r="EA129" s="4">
        <v>1.0</v>
      </c>
      <c r="FC129" s="4"/>
      <c r="FE129" s="4">
        <v>1.0</v>
      </c>
      <c r="FL129" s="4">
        <v>1.0</v>
      </c>
      <c r="FP129" s="4">
        <v>1.0</v>
      </c>
      <c r="FQ129" s="4">
        <v>1.0</v>
      </c>
      <c r="FR129" s="4">
        <v>1.0</v>
      </c>
    </row>
    <row r="130">
      <c r="A130" s="23">
        <v>43216.0</v>
      </c>
      <c r="B130" s="4" t="s">
        <v>329</v>
      </c>
      <c r="C130" s="4">
        <v>21.1408</v>
      </c>
      <c r="D130" s="4">
        <v>-157.290115</v>
      </c>
      <c r="E130" s="4" t="s">
        <v>330</v>
      </c>
      <c r="F130" s="24">
        <v>0.3958333333333333</v>
      </c>
      <c r="G130" s="24">
        <v>0.4236111111111111</v>
      </c>
      <c r="H130" s="4">
        <v>5.0</v>
      </c>
      <c r="I130" s="4">
        <v>9.5</v>
      </c>
      <c r="J130" s="4" t="s">
        <v>318</v>
      </c>
      <c r="K130" s="4">
        <v>5.0</v>
      </c>
      <c r="L130" s="4">
        <v>23.0</v>
      </c>
      <c r="M130" s="4" t="s">
        <v>426</v>
      </c>
      <c r="R130" s="4">
        <v>1.0</v>
      </c>
      <c r="BD130" s="4">
        <v>1.0</v>
      </c>
      <c r="BY130" s="4">
        <v>1.0</v>
      </c>
      <c r="CR130" s="4">
        <v>1.0</v>
      </c>
      <c r="DL130" s="4">
        <v>1.0</v>
      </c>
      <c r="DN130" s="4">
        <v>1.0</v>
      </c>
      <c r="EH130" s="4"/>
      <c r="EI130" s="4">
        <v>1.0</v>
      </c>
      <c r="FD130" s="4">
        <v>1.0</v>
      </c>
      <c r="FO130" s="4">
        <v>1.0</v>
      </c>
      <c r="FQ130" s="4">
        <v>1.0</v>
      </c>
    </row>
    <row r="131">
      <c r="A131" s="23">
        <v>43230.0</v>
      </c>
      <c r="B131" s="4" t="s">
        <v>201</v>
      </c>
      <c r="C131" s="4">
        <v>21.25544</v>
      </c>
      <c r="D131" s="4">
        <v>-157.810303</v>
      </c>
      <c r="E131" s="4" t="s">
        <v>299</v>
      </c>
      <c r="F131" s="24">
        <v>0.3611111111111111</v>
      </c>
      <c r="G131" s="24">
        <v>0.4027777777777778</v>
      </c>
      <c r="H131" s="4">
        <v>5.0</v>
      </c>
      <c r="I131" s="4">
        <v>16.0</v>
      </c>
      <c r="J131" s="4" t="s">
        <v>217</v>
      </c>
      <c r="K131" s="4">
        <v>8.0</v>
      </c>
      <c r="L131" s="4">
        <v>25.0</v>
      </c>
      <c r="M131" s="4" t="s">
        <v>427</v>
      </c>
      <c r="R131" s="4">
        <v>1.0</v>
      </c>
      <c r="AZ131" s="4"/>
      <c r="BA131" s="4">
        <v>1.0</v>
      </c>
      <c r="BM131" s="4">
        <v>1.0</v>
      </c>
      <c r="BP131" s="4">
        <v>1.0</v>
      </c>
      <c r="BY131" s="4">
        <v>1.0</v>
      </c>
      <c r="DE131" s="4"/>
      <c r="DF131" s="4">
        <v>1.0</v>
      </c>
      <c r="DL131" s="4">
        <v>1.0</v>
      </c>
      <c r="DO131" s="4">
        <v>1.0</v>
      </c>
      <c r="DT131" s="4"/>
      <c r="DU131" s="4">
        <v>1.0</v>
      </c>
      <c r="ED131" s="4"/>
      <c r="EE131" s="4">
        <v>1.0</v>
      </c>
      <c r="EH131" s="4"/>
      <c r="EI131" s="4">
        <v>1.0</v>
      </c>
      <c r="EX131" s="4"/>
      <c r="EY131" s="4">
        <v>1.0</v>
      </c>
      <c r="FA131" s="4">
        <v>1.0</v>
      </c>
      <c r="FP131" s="4">
        <v>1.0</v>
      </c>
      <c r="FQ131" s="4">
        <v>1.0</v>
      </c>
    </row>
    <row r="132">
      <c r="A132" s="23">
        <v>43231.0</v>
      </c>
      <c r="B132" s="4" t="s">
        <v>201</v>
      </c>
      <c r="C132" s="4">
        <v>21.25544</v>
      </c>
      <c r="D132" s="4">
        <v>-157.810303</v>
      </c>
      <c r="E132" s="4" t="s">
        <v>299</v>
      </c>
      <c r="F132" s="24">
        <v>0.375</v>
      </c>
      <c r="G132" s="24">
        <v>0.4097222222222222</v>
      </c>
      <c r="H132" s="4">
        <v>5.0</v>
      </c>
      <c r="I132" s="4">
        <v>16.0</v>
      </c>
      <c r="J132" s="4" t="s">
        <v>198</v>
      </c>
      <c r="K132" s="4">
        <v>7.0</v>
      </c>
      <c r="L132" s="4">
        <v>26.0</v>
      </c>
      <c r="M132" s="4" t="s">
        <v>430</v>
      </c>
      <c r="Q132" s="4">
        <v>1.0</v>
      </c>
      <c r="Z132" s="4"/>
      <c r="AA132" s="4">
        <v>1.0</v>
      </c>
      <c r="AH132" s="4">
        <v>1.0</v>
      </c>
      <c r="AI132" s="4"/>
      <c r="AJ132" s="4">
        <v>1.0</v>
      </c>
      <c r="AT132" s="4">
        <v>1.0</v>
      </c>
      <c r="BH132" s="4"/>
      <c r="BI132" s="4"/>
      <c r="BJ132" s="4">
        <v>1.0</v>
      </c>
      <c r="BL132" s="4">
        <v>1.0</v>
      </c>
      <c r="BP132" s="4">
        <v>1.0</v>
      </c>
      <c r="BU132" s="4">
        <v>1.0</v>
      </c>
      <c r="BY132" s="4">
        <v>1.0</v>
      </c>
      <c r="DD132" s="4">
        <v>1.0</v>
      </c>
      <c r="DJ132" s="4">
        <v>1.0</v>
      </c>
      <c r="DL132" s="4">
        <v>1.0</v>
      </c>
      <c r="DN132" s="4">
        <v>1.0</v>
      </c>
      <c r="DQ132" s="4"/>
      <c r="DR132" s="4">
        <v>1.0</v>
      </c>
      <c r="EB132" s="4">
        <v>1.0</v>
      </c>
      <c r="ED132" s="4"/>
      <c r="EE132" s="4">
        <v>1.0</v>
      </c>
      <c r="EH132" s="4"/>
      <c r="EI132" s="4">
        <v>1.0</v>
      </c>
      <c r="EX132" s="4"/>
      <c r="EY132" s="4">
        <v>1.0</v>
      </c>
      <c r="FA132" s="4">
        <v>1.0</v>
      </c>
      <c r="FP132" s="4">
        <v>1.0</v>
      </c>
      <c r="FQ132" s="4">
        <v>1.0</v>
      </c>
      <c r="FT132" s="4"/>
      <c r="FU132" s="4">
        <v>1.0</v>
      </c>
      <c r="FX132" s="4">
        <v>1.0</v>
      </c>
    </row>
    <row r="133">
      <c r="A133" s="23">
        <v>43234.0</v>
      </c>
      <c r="B133" s="4" t="s">
        <v>216</v>
      </c>
      <c r="C133" s="4">
        <v>21.3002</v>
      </c>
      <c r="D133" s="4">
        <v>-157.882599</v>
      </c>
      <c r="E133" s="4" t="s">
        <v>272</v>
      </c>
      <c r="F133" s="24">
        <v>0.38263888888888886</v>
      </c>
      <c r="G133" s="24">
        <v>0.41944444444444445</v>
      </c>
      <c r="H133" s="4">
        <v>6.0</v>
      </c>
      <c r="I133" s="4">
        <v>26.0</v>
      </c>
      <c r="J133" s="4" t="s">
        <v>198</v>
      </c>
      <c r="K133" s="4">
        <v>5.0</v>
      </c>
      <c r="L133" s="4">
        <v>27.0</v>
      </c>
      <c r="M133" s="4" t="s">
        <v>431</v>
      </c>
      <c r="N133" s="4" t="s">
        <v>432</v>
      </c>
      <c r="AH133" s="4">
        <v>2.0</v>
      </c>
      <c r="BD133" s="4">
        <v>1.0</v>
      </c>
      <c r="BG133" s="4">
        <v>1.0</v>
      </c>
      <c r="BH133" s="4"/>
      <c r="BI133" s="4">
        <v>1.0</v>
      </c>
      <c r="BK133" s="4">
        <v>1.0</v>
      </c>
      <c r="BL133" s="4">
        <v>1.0</v>
      </c>
      <c r="BP133" s="4">
        <v>1.0</v>
      </c>
      <c r="BU133" s="4">
        <v>1.0</v>
      </c>
      <c r="CD133" s="4">
        <v>1.0</v>
      </c>
      <c r="EB133" s="4">
        <v>1.0</v>
      </c>
      <c r="EH133" s="4"/>
      <c r="EI133" s="4">
        <v>1.0</v>
      </c>
      <c r="EW133" s="4">
        <v>1.0</v>
      </c>
      <c r="FI133" s="4"/>
      <c r="FJ133" s="4"/>
      <c r="FK133" s="4">
        <v>2.0</v>
      </c>
      <c r="FQ133" s="4">
        <v>1.0</v>
      </c>
    </row>
    <row r="134">
      <c r="A134" s="23">
        <v>43236.0</v>
      </c>
      <c r="B134" s="4" t="s">
        <v>266</v>
      </c>
      <c r="C134" s="4">
        <v>22.060684</v>
      </c>
      <c r="D134" s="4">
        <v>-159.318512</v>
      </c>
      <c r="E134" s="4" t="s">
        <v>347</v>
      </c>
      <c r="F134" s="24">
        <v>0.40625</v>
      </c>
      <c r="G134" s="24">
        <v>0.45555555555555555</v>
      </c>
      <c r="H134" s="4">
        <v>10.0</v>
      </c>
      <c r="I134" s="4">
        <v>7.0</v>
      </c>
      <c r="J134" s="4" t="s">
        <v>198</v>
      </c>
      <c r="K134" s="4">
        <v>10.0</v>
      </c>
      <c r="L134" s="4">
        <v>69.0</v>
      </c>
      <c r="M134" s="4" t="s">
        <v>433</v>
      </c>
      <c r="T134" s="4"/>
      <c r="U134" s="4"/>
      <c r="V134" s="4"/>
      <c r="W134" s="4">
        <v>1.0</v>
      </c>
      <c r="Z134" s="4"/>
      <c r="AA134" s="4">
        <v>1.0</v>
      </c>
      <c r="AB134" s="4">
        <v>1.0</v>
      </c>
      <c r="AC134" s="4">
        <v>1.0</v>
      </c>
      <c r="AH134" s="4">
        <v>1.0</v>
      </c>
      <c r="AK134" s="4"/>
      <c r="AL134" s="4">
        <v>1.0</v>
      </c>
      <c r="AM134" s="4">
        <v>1.0</v>
      </c>
      <c r="AS134" s="4">
        <v>1.0</v>
      </c>
      <c r="AZ134" s="4"/>
      <c r="BA134" s="4">
        <v>1.0</v>
      </c>
      <c r="BD134" s="4">
        <v>1.0</v>
      </c>
      <c r="BJ134" s="4">
        <v>1.0</v>
      </c>
      <c r="BM134" s="4">
        <v>1.0</v>
      </c>
      <c r="BS134" s="4">
        <v>1.0</v>
      </c>
      <c r="BU134" s="4">
        <v>1.0</v>
      </c>
      <c r="BV134" s="4">
        <v>1.0</v>
      </c>
      <c r="BY134" s="4">
        <v>1.0</v>
      </c>
      <c r="CC134" s="4">
        <v>1.0</v>
      </c>
      <c r="CE134" s="4">
        <v>1.0</v>
      </c>
      <c r="CI134" s="4"/>
      <c r="CJ134" s="4">
        <v>1.0</v>
      </c>
      <c r="CR134" s="4">
        <v>1.0</v>
      </c>
      <c r="DC134" s="4">
        <v>1.0</v>
      </c>
      <c r="DE134" s="4"/>
      <c r="DF134" s="4">
        <v>1.0</v>
      </c>
      <c r="DL134" s="4">
        <v>1.0</v>
      </c>
      <c r="DQ134" s="4"/>
      <c r="DR134" s="4">
        <v>1.0</v>
      </c>
      <c r="DT134" s="4"/>
      <c r="DU134" s="4">
        <v>1.0</v>
      </c>
      <c r="DZ134" s="4">
        <v>1.0</v>
      </c>
      <c r="EH134" s="4"/>
      <c r="EI134" s="4">
        <v>1.0</v>
      </c>
      <c r="ES134" s="4"/>
      <c r="ET134" s="4"/>
      <c r="EU134" s="4">
        <v>1.0</v>
      </c>
      <c r="FA134" s="4">
        <v>1.0</v>
      </c>
      <c r="FC134" s="4"/>
      <c r="FE134" s="4">
        <v>1.0</v>
      </c>
      <c r="FP134" s="4">
        <v>1.0</v>
      </c>
      <c r="FQ134" s="4">
        <v>1.0</v>
      </c>
      <c r="FW134" s="4">
        <v>1.0</v>
      </c>
      <c r="GA134" s="4"/>
      <c r="GB134" s="4">
        <v>1.0</v>
      </c>
      <c r="GC134" s="4">
        <v>1.0</v>
      </c>
    </row>
    <row r="135">
      <c r="A135" s="23">
        <v>43238.0</v>
      </c>
      <c r="B135" s="4" t="s">
        <v>201</v>
      </c>
      <c r="C135" s="4">
        <v>21.25544</v>
      </c>
      <c r="D135" s="4">
        <v>-157.810303</v>
      </c>
      <c r="E135" s="4" t="s">
        <v>325</v>
      </c>
      <c r="F135" s="24">
        <v>0.4270833333333333</v>
      </c>
      <c r="G135" s="24">
        <v>0.4673611111111111</v>
      </c>
      <c r="H135" s="4">
        <v>5.0</v>
      </c>
      <c r="I135" s="4">
        <v>10.0</v>
      </c>
      <c r="J135" s="4" t="s">
        <v>318</v>
      </c>
      <c r="K135" s="4">
        <v>5.0</v>
      </c>
      <c r="L135" s="4">
        <v>25.0</v>
      </c>
      <c r="Q135" s="4">
        <v>1.0</v>
      </c>
      <c r="AH135" s="4">
        <v>1.0</v>
      </c>
      <c r="AK135" s="4">
        <v>1.0</v>
      </c>
      <c r="AN135" s="4"/>
      <c r="AO135" s="4">
        <v>1.0</v>
      </c>
      <c r="AY135" s="4">
        <v>1.0</v>
      </c>
      <c r="BB135" s="4">
        <v>1.0</v>
      </c>
      <c r="BK135" s="4">
        <v>1.0</v>
      </c>
      <c r="BL135" s="4">
        <v>1.0</v>
      </c>
      <c r="BP135" s="4">
        <v>1.0</v>
      </c>
      <c r="BV135" s="4">
        <v>1.0</v>
      </c>
      <c r="BW135" s="4">
        <v>1.0</v>
      </c>
      <c r="CH135" s="4">
        <v>1.0</v>
      </c>
      <c r="CI135" s="4"/>
      <c r="CJ135" s="4">
        <v>1.0</v>
      </c>
      <c r="CR135" s="4">
        <v>1.0</v>
      </c>
      <c r="DC135" s="4">
        <v>1.0</v>
      </c>
      <c r="DE135" s="4"/>
      <c r="DF135" s="4">
        <v>1.0</v>
      </c>
      <c r="DQ135" s="4"/>
      <c r="DR135" s="4">
        <v>1.0</v>
      </c>
      <c r="DT135" s="4"/>
      <c r="DU135" s="4">
        <v>1.0</v>
      </c>
      <c r="DY135" s="4">
        <v>1.0</v>
      </c>
      <c r="EB135" s="4">
        <v>1.0</v>
      </c>
      <c r="EH135" s="4"/>
      <c r="EI135" s="4">
        <v>1.0</v>
      </c>
      <c r="EW135" s="4">
        <v>1.0</v>
      </c>
      <c r="FA135" s="4">
        <v>1.0</v>
      </c>
      <c r="FL135" s="4">
        <v>1.0</v>
      </c>
      <c r="FQ135" s="4">
        <v>1.0</v>
      </c>
    </row>
    <row r="136">
      <c r="A136" s="23">
        <v>43238.0</v>
      </c>
      <c r="B136" s="4" t="s">
        <v>259</v>
      </c>
      <c r="C136" s="4">
        <v>19.737894</v>
      </c>
      <c r="D136" s="4">
        <v>-155.034058</v>
      </c>
      <c r="E136" s="4" t="s">
        <v>358</v>
      </c>
      <c r="F136" s="24">
        <v>0.3888888888888889</v>
      </c>
      <c r="G136" s="24">
        <v>0.4166666666666667</v>
      </c>
      <c r="H136" s="4">
        <v>7.0</v>
      </c>
      <c r="I136" s="4">
        <v>20.0</v>
      </c>
      <c r="J136" s="4" t="s">
        <v>198</v>
      </c>
      <c r="K136" s="4">
        <v>12.0</v>
      </c>
      <c r="L136" s="4">
        <v>52.0</v>
      </c>
      <c r="M136" s="4" t="s">
        <v>434</v>
      </c>
      <c r="N136" s="4" t="s">
        <v>435</v>
      </c>
      <c r="R136" s="4">
        <v>1.0</v>
      </c>
      <c r="AE136" s="4">
        <v>1.0</v>
      </c>
      <c r="AF136" s="4">
        <v>1.0</v>
      </c>
      <c r="AK136" s="4">
        <v>1.0</v>
      </c>
      <c r="AN136" s="4"/>
      <c r="AO136" s="4">
        <v>1.0</v>
      </c>
      <c r="AZ136" s="4"/>
      <c r="BA136" s="4">
        <v>1.0</v>
      </c>
      <c r="BJ136" s="4">
        <v>1.0</v>
      </c>
      <c r="BK136" s="4">
        <v>1.0</v>
      </c>
      <c r="BL136" s="4">
        <v>1.0</v>
      </c>
      <c r="CB136" s="4">
        <v>1.0</v>
      </c>
      <c r="CC136" s="4">
        <v>1.0</v>
      </c>
      <c r="CT136" s="4">
        <v>1.0</v>
      </c>
      <c r="DG136" s="4">
        <v>1.0</v>
      </c>
      <c r="EC136" s="4">
        <v>1.0</v>
      </c>
      <c r="EF136" s="4"/>
      <c r="EG136" s="4">
        <v>1.0</v>
      </c>
      <c r="EW136" s="4">
        <v>1.0</v>
      </c>
      <c r="FB136" s="4">
        <v>1.0</v>
      </c>
      <c r="FC136" s="4"/>
      <c r="FE136" s="4">
        <v>2.0</v>
      </c>
      <c r="FL136" s="4">
        <v>1.0</v>
      </c>
      <c r="FO136" s="4">
        <v>1.0</v>
      </c>
      <c r="FQ136" s="4">
        <v>1.0</v>
      </c>
      <c r="FR136" s="4">
        <v>1.0</v>
      </c>
      <c r="FT136" s="4"/>
      <c r="FU136" s="4">
        <v>1.0</v>
      </c>
      <c r="FW136" s="4">
        <v>1.0</v>
      </c>
      <c r="GA136" s="4"/>
      <c r="GB136" s="4">
        <v>1.0</v>
      </c>
      <c r="GC136" s="4">
        <v>1.0</v>
      </c>
    </row>
    <row r="137">
      <c r="A137" s="23">
        <v>43311.0</v>
      </c>
      <c r="B137" s="4" t="s">
        <v>246</v>
      </c>
      <c r="C137" s="4">
        <v>21.2882</v>
      </c>
      <c r="D137" s="4">
        <v>-157.667999</v>
      </c>
      <c r="E137" s="4" t="s">
        <v>353</v>
      </c>
      <c r="F137" s="24">
        <v>0.3902777777777778</v>
      </c>
      <c r="G137" s="24">
        <v>0.4479166666666667</v>
      </c>
      <c r="H137" s="4">
        <v>6.0</v>
      </c>
      <c r="I137" s="4">
        <v>17.0</v>
      </c>
      <c r="J137" s="4" t="s">
        <v>198</v>
      </c>
      <c r="K137" s="4">
        <v>6.0</v>
      </c>
      <c r="L137" s="4">
        <v>26.0</v>
      </c>
      <c r="M137" s="4" t="s">
        <v>436</v>
      </c>
      <c r="N137" s="4" t="s">
        <v>437</v>
      </c>
      <c r="Q137" s="4">
        <v>1.0</v>
      </c>
      <c r="R137" s="4">
        <v>1.0</v>
      </c>
      <c r="AB137" s="4">
        <v>1.0</v>
      </c>
      <c r="BG137" s="4">
        <v>1.0</v>
      </c>
      <c r="BJ137" s="4">
        <v>1.0</v>
      </c>
      <c r="BK137" s="4">
        <v>1.0</v>
      </c>
      <c r="BL137" s="4">
        <v>1.0</v>
      </c>
      <c r="BM137" s="4">
        <v>1.0</v>
      </c>
      <c r="BZ137" s="4">
        <v>1.0</v>
      </c>
      <c r="CB137" s="4">
        <v>1.0</v>
      </c>
      <c r="DE137" s="4"/>
      <c r="DF137" s="4">
        <v>1.0</v>
      </c>
      <c r="DL137" s="4">
        <v>1.0</v>
      </c>
      <c r="DN137" s="4">
        <v>1.0</v>
      </c>
      <c r="DY137" s="4">
        <v>1.0</v>
      </c>
      <c r="EH137" s="4"/>
      <c r="EI137" s="4">
        <v>1.0</v>
      </c>
      <c r="EX137" s="4"/>
      <c r="EY137" s="4">
        <v>1.0</v>
      </c>
      <c r="FA137" s="4">
        <v>1.0</v>
      </c>
      <c r="FL137" s="4">
        <v>1.0</v>
      </c>
      <c r="FM137" s="4"/>
      <c r="FN137" s="4">
        <v>1.0</v>
      </c>
      <c r="FP137" s="4">
        <v>1.0</v>
      </c>
      <c r="FQ137" s="4">
        <v>1.0</v>
      </c>
      <c r="FT137" s="4"/>
      <c r="FU137" s="4">
        <v>1.0</v>
      </c>
      <c r="GC137" s="4">
        <v>1.0</v>
      </c>
    </row>
    <row r="138">
      <c r="A138" s="23">
        <v>43485.0</v>
      </c>
      <c r="B138" s="4" t="s">
        <v>201</v>
      </c>
      <c r="C138" s="4">
        <v>21.25544</v>
      </c>
      <c r="D138" s="4">
        <v>-157.8103</v>
      </c>
      <c r="E138" s="4" t="s">
        <v>418</v>
      </c>
      <c r="F138" s="24">
        <v>0.40625</v>
      </c>
      <c r="G138" s="24">
        <v>0.4479166666666667</v>
      </c>
      <c r="H138" s="4">
        <v>6.0</v>
      </c>
      <c r="I138" s="4">
        <v>10.0</v>
      </c>
      <c r="J138" s="4" t="s">
        <v>318</v>
      </c>
      <c r="K138" s="4">
        <v>10.0</v>
      </c>
      <c r="L138" s="4">
        <v>52.0</v>
      </c>
      <c r="M138" s="4" t="s">
        <v>438</v>
      </c>
      <c r="Q138" s="4">
        <v>1.0</v>
      </c>
      <c r="S138" s="4">
        <v>1.0</v>
      </c>
      <c r="AE138" s="4">
        <v>1.0</v>
      </c>
      <c r="AG138" s="4"/>
      <c r="AH138" s="4">
        <v>1.0</v>
      </c>
      <c r="BE138" s="4"/>
      <c r="BF138" s="4"/>
      <c r="BG138" s="4"/>
      <c r="BH138" s="4"/>
      <c r="BI138" s="4"/>
      <c r="BJ138" s="4"/>
      <c r="BK138" s="4"/>
      <c r="BL138" s="4">
        <v>1.0</v>
      </c>
      <c r="BP138" s="4">
        <v>1.0</v>
      </c>
      <c r="BQ138" s="4"/>
      <c r="BR138" s="4"/>
      <c r="BS138" s="4"/>
      <c r="BT138" s="4"/>
      <c r="BU138" s="4">
        <v>1.0</v>
      </c>
      <c r="BV138" s="4"/>
      <c r="BX138" s="4"/>
      <c r="BY138" s="4">
        <v>1.0</v>
      </c>
      <c r="BZ138" s="4"/>
      <c r="CA138" s="4">
        <v>1.0</v>
      </c>
      <c r="CH138" s="4"/>
      <c r="CI138" s="4"/>
      <c r="CJ138" s="4"/>
      <c r="CK138" s="4"/>
      <c r="CL138" s="4"/>
      <c r="CM138" s="4"/>
      <c r="CN138" s="4"/>
      <c r="CO138" s="4"/>
      <c r="CP138" s="4"/>
      <c r="CQ138" s="4"/>
      <c r="CR138" s="4">
        <v>1.0</v>
      </c>
      <c r="DA138" s="4"/>
      <c r="DB138" s="4">
        <v>1.0</v>
      </c>
      <c r="DC138" s="4"/>
      <c r="DD138" s="4"/>
      <c r="DE138" s="4"/>
      <c r="DF138" s="4">
        <v>1.0</v>
      </c>
      <c r="DH138" s="4"/>
      <c r="DI138" s="4"/>
      <c r="DJ138" s="4"/>
      <c r="DK138" s="4"/>
      <c r="DL138" s="4">
        <v>1.0</v>
      </c>
      <c r="DM138" s="4">
        <v>1.0</v>
      </c>
      <c r="DN138" s="4"/>
      <c r="DO138" s="4">
        <v>1.0</v>
      </c>
      <c r="DP138" s="4"/>
      <c r="DQ138" s="4"/>
      <c r="DR138" s="4">
        <v>1.0</v>
      </c>
      <c r="DS138" s="4"/>
      <c r="DT138" s="4"/>
      <c r="DU138" s="4">
        <v>1.0</v>
      </c>
      <c r="DV138" s="4"/>
      <c r="DW138" s="4"/>
      <c r="DX138" s="4"/>
      <c r="DY138" s="4"/>
      <c r="DZ138" s="4">
        <v>1.0</v>
      </c>
      <c r="EA138" s="4"/>
      <c r="EB138" s="4"/>
      <c r="EC138" s="4"/>
      <c r="ED138" s="4"/>
      <c r="EE138" s="4"/>
      <c r="EF138" s="4"/>
      <c r="EG138" s="4"/>
      <c r="EH138" s="4"/>
      <c r="EI138" s="4">
        <v>1.0</v>
      </c>
      <c r="EJ138" s="4"/>
      <c r="EK138" s="4"/>
      <c r="EL138" s="4"/>
      <c r="EM138" s="4"/>
      <c r="EN138" s="4"/>
      <c r="EO138" s="4"/>
      <c r="EP138" s="4"/>
      <c r="EQ138" s="4"/>
      <c r="ER138" s="4"/>
      <c r="ES138" s="4"/>
      <c r="ET138" s="4"/>
      <c r="EU138" s="4"/>
      <c r="EV138" s="4"/>
      <c r="EW138" s="4"/>
      <c r="EX138" s="4"/>
      <c r="EY138" s="4"/>
      <c r="EZ138" s="4"/>
      <c r="FA138" s="4">
        <v>1.0</v>
      </c>
      <c r="FB138" s="4">
        <v>1.0</v>
      </c>
      <c r="FF138" s="4"/>
      <c r="FG138" s="4">
        <v>1.0</v>
      </c>
      <c r="FH138" s="4">
        <v>1.0</v>
      </c>
      <c r="FI138" s="4"/>
      <c r="FJ138" s="4"/>
      <c r="FK138" s="4"/>
      <c r="FL138" s="4">
        <v>1.0</v>
      </c>
      <c r="FM138" s="4"/>
      <c r="FN138" s="4"/>
      <c r="FO138" s="4"/>
      <c r="FP138" s="4">
        <v>1.0</v>
      </c>
      <c r="FQ138" s="4">
        <v>1.0</v>
      </c>
      <c r="FZ138" s="4"/>
      <c r="GA138" s="4"/>
      <c r="GB138" s="4">
        <v>1.0</v>
      </c>
      <c r="GE138" s="25">
        <f>Count(Q138:GC138)</f>
        <v>27</v>
      </c>
    </row>
    <row r="139">
      <c r="A139" s="23">
        <v>43517.0</v>
      </c>
      <c r="B139" s="4" t="s">
        <v>440</v>
      </c>
      <c r="C139" s="4">
        <v>21.311893</v>
      </c>
      <c r="D139" s="4">
        <v>-157.895142</v>
      </c>
      <c r="E139" s="4" t="s">
        <v>418</v>
      </c>
      <c r="F139" s="24">
        <v>0.4583333333333333</v>
      </c>
      <c r="G139" s="24">
        <v>0.49027777777777776</v>
      </c>
      <c r="H139" s="4">
        <v>5.0</v>
      </c>
      <c r="I139" s="4">
        <v>10.0</v>
      </c>
      <c r="J139" s="4" t="s">
        <v>318</v>
      </c>
      <c r="K139" s="4">
        <v>5.0</v>
      </c>
      <c r="L139" s="4">
        <v>25.0</v>
      </c>
      <c r="AG139" s="4"/>
      <c r="AH139" s="4">
        <v>1.0</v>
      </c>
      <c r="AS139" s="4"/>
      <c r="AT139" s="4"/>
      <c r="AU139" s="4"/>
      <c r="AV139" s="4"/>
      <c r="AW139" s="4"/>
      <c r="AX139" s="4"/>
      <c r="AY139" s="4">
        <v>1.0</v>
      </c>
      <c r="AZ139" s="4"/>
      <c r="BA139" s="4"/>
      <c r="BB139" s="4"/>
      <c r="BC139" s="4"/>
      <c r="BD139" s="4">
        <v>1.0</v>
      </c>
      <c r="BE139" s="4"/>
      <c r="BF139" s="4"/>
      <c r="BG139" s="4"/>
      <c r="BH139" s="4"/>
      <c r="BI139" s="4"/>
      <c r="BJ139" s="4"/>
      <c r="BK139" s="4">
        <v>1.0</v>
      </c>
      <c r="BL139" s="4">
        <v>1.0</v>
      </c>
      <c r="BQ139" s="4"/>
      <c r="BR139" s="4"/>
      <c r="BS139" s="4"/>
      <c r="BT139" s="4"/>
      <c r="BU139" s="4">
        <v>1.0</v>
      </c>
      <c r="BV139" s="4"/>
      <c r="BX139" s="4"/>
      <c r="BY139" s="4">
        <v>1.0</v>
      </c>
      <c r="CU139" s="4"/>
      <c r="CV139" s="4"/>
      <c r="CW139" s="4"/>
      <c r="CX139" s="4"/>
      <c r="CY139" s="4"/>
      <c r="CZ139" s="4">
        <v>1.0</v>
      </c>
      <c r="DP139" s="4"/>
      <c r="DQ139" s="4"/>
      <c r="DR139" s="4">
        <v>1.0</v>
      </c>
      <c r="EJ139" s="4"/>
      <c r="EK139" s="4"/>
      <c r="EL139" s="4"/>
      <c r="EM139" s="4"/>
      <c r="EN139" s="4"/>
      <c r="EO139" s="4"/>
      <c r="EP139" s="4"/>
      <c r="EQ139" s="4"/>
      <c r="ER139" s="4"/>
      <c r="ES139" s="4"/>
      <c r="ET139" s="4"/>
      <c r="EU139" s="4"/>
      <c r="EV139" s="4"/>
      <c r="EW139" s="4"/>
      <c r="EX139" s="4"/>
      <c r="EY139" s="4"/>
      <c r="EZ139" s="4"/>
      <c r="FA139" s="4">
        <v>1.0</v>
      </c>
      <c r="FD139" s="4">
        <v>1.0</v>
      </c>
      <c r="FQ139" s="4">
        <v>1.0</v>
      </c>
      <c r="FV139" s="4">
        <v>1.0</v>
      </c>
      <c r="GC139" s="4">
        <v>1.0</v>
      </c>
    </row>
    <row r="140">
      <c r="A140" s="23">
        <v>43519.0</v>
      </c>
      <c r="B140" s="4" t="s">
        <v>266</v>
      </c>
      <c r="C140" s="36">
        <v>22.060684</v>
      </c>
      <c r="D140" s="36">
        <v>-159.318512</v>
      </c>
      <c r="E140" s="4" t="s">
        <v>297</v>
      </c>
      <c r="F140" s="24">
        <v>0.36875</v>
      </c>
      <c r="G140" s="24">
        <v>0.40625</v>
      </c>
      <c r="H140" s="4">
        <v>4.0</v>
      </c>
      <c r="I140" s="4">
        <v>20.0</v>
      </c>
      <c r="J140" s="4" t="s">
        <v>198</v>
      </c>
      <c r="K140" s="4">
        <v>5.0</v>
      </c>
      <c r="L140" s="4">
        <v>19.0</v>
      </c>
      <c r="M140" s="4" t="s">
        <v>441</v>
      </c>
      <c r="Q140" s="4">
        <v>1.0</v>
      </c>
      <c r="Z140" s="4"/>
      <c r="AA140" s="4">
        <v>1.0</v>
      </c>
      <c r="AC140" s="4">
        <v>1.0</v>
      </c>
      <c r="AF140" s="4"/>
      <c r="AV140" s="4"/>
      <c r="AW140" s="4">
        <v>1.0</v>
      </c>
      <c r="AZ140" s="4"/>
      <c r="BA140" s="4">
        <v>1.0</v>
      </c>
      <c r="BE140" s="4"/>
      <c r="BF140" s="4"/>
      <c r="BG140" s="4"/>
      <c r="BH140" s="4"/>
      <c r="BI140" s="4"/>
      <c r="BJ140" s="4"/>
      <c r="BL140" s="4">
        <v>1.0</v>
      </c>
      <c r="BM140" s="4">
        <v>1.0</v>
      </c>
      <c r="BP140" s="4"/>
      <c r="BQ140" s="4"/>
      <c r="BU140" s="4">
        <v>1.0</v>
      </c>
      <c r="CB140" s="4"/>
      <c r="CC140" s="4"/>
      <c r="CD140" s="4"/>
      <c r="CE140" s="4"/>
      <c r="CH140" s="4"/>
      <c r="CI140" s="4"/>
      <c r="CJ140" s="4"/>
      <c r="CK140" s="4"/>
      <c r="CL140" s="4"/>
      <c r="CM140" s="4"/>
      <c r="CN140" s="4"/>
      <c r="DL140" s="4">
        <v>1.0</v>
      </c>
      <c r="DM140" s="4">
        <v>1.0</v>
      </c>
      <c r="DQ140" s="4"/>
      <c r="DR140" s="4">
        <v>1.0</v>
      </c>
      <c r="DS140" s="4"/>
      <c r="DV140" s="4"/>
      <c r="DW140" s="4"/>
      <c r="EA140" s="4"/>
      <c r="EB140" s="4"/>
      <c r="EC140" s="4"/>
      <c r="EH140" s="4"/>
      <c r="EI140" s="4">
        <v>1.0</v>
      </c>
      <c r="EJ140" s="4"/>
      <c r="EK140" s="4"/>
      <c r="EL140" s="4"/>
      <c r="EM140" s="4"/>
      <c r="EN140" s="4"/>
      <c r="EO140" s="4"/>
      <c r="EP140" s="4"/>
      <c r="EQ140" s="4"/>
      <c r="FA140" s="4">
        <v>1.0</v>
      </c>
      <c r="FH140" s="4">
        <v>1.0</v>
      </c>
      <c r="FI140" s="4"/>
      <c r="FJ140" s="4"/>
      <c r="FK140" s="4"/>
      <c r="FL140" s="4"/>
      <c r="FP140" s="4">
        <v>1.0</v>
      </c>
      <c r="FQ140" s="4">
        <v>1.0</v>
      </c>
      <c r="FX140" s="4">
        <v>1.0</v>
      </c>
    </row>
    <row r="141">
      <c r="A141" s="23">
        <v>43519.0</v>
      </c>
      <c r="B141" s="4" t="s">
        <v>266</v>
      </c>
      <c r="C141" s="36">
        <v>22.060684</v>
      </c>
      <c r="D141" s="36">
        <v>-159.318512</v>
      </c>
      <c r="E141" s="4" t="s">
        <v>347</v>
      </c>
      <c r="F141" s="24">
        <v>0.5347222222222222</v>
      </c>
      <c r="G141" s="24">
        <v>0.6041666666666666</v>
      </c>
      <c r="H141" s="4">
        <v>3.0</v>
      </c>
      <c r="I141" s="4">
        <v>20.0</v>
      </c>
      <c r="J141" s="4" t="s">
        <v>198</v>
      </c>
      <c r="K141" s="4">
        <v>20.0</v>
      </c>
      <c r="L141" s="4">
        <v>10.0</v>
      </c>
      <c r="M141" s="4" t="s">
        <v>442</v>
      </c>
      <c r="N141" s="4" t="s">
        <v>443</v>
      </c>
      <c r="AF141" s="4"/>
      <c r="AV141" s="4"/>
      <c r="AW141" s="4">
        <v>1.0</v>
      </c>
      <c r="BE141" s="4"/>
      <c r="BF141" s="4"/>
      <c r="BG141" s="4"/>
      <c r="BH141" s="4"/>
      <c r="BI141" s="4"/>
      <c r="BJ141" s="4">
        <v>1.0</v>
      </c>
      <c r="BL141" s="4">
        <v>1.0</v>
      </c>
      <c r="BP141" s="4"/>
      <c r="BQ141" s="4"/>
      <c r="BU141" s="4">
        <v>1.0</v>
      </c>
      <c r="CB141" s="4"/>
      <c r="CC141" s="4"/>
      <c r="CD141" s="4"/>
      <c r="CE141" s="4"/>
      <c r="CH141" s="4"/>
      <c r="CI141" s="4"/>
      <c r="CJ141" s="4"/>
      <c r="CK141" s="4"/>
      <c r="CL141" s="4"/>
      <c r="CM141" s="4"/>
      <c r="CN141" s="4"/>
      <c r="DL141" s="4">
        <v>1.0</v>
      </c>
      <c r="DQ141" s="4"/>
      <c r="DR141" s="4">
        <v>1.0</v>
      </c>
      <c r="DS141" s="4"/>
      <c r="DV141" s="4"/>
      <c r="DW141" s="4"/>
      <c r="EA141" s="4"/>
      <c r="EB141" s="4"/>
      <c r="EC141" s="4"/>
      <c r="EH141" s="4"/>
      <c r="EI141" s="4">
        <v>1.0</v>
      </c>
      <c r="EJ141" s="4"/>
      <c r="EK141" s="4"/>
      <c r="EL141" s="4"/>
      <c r="EM141" s="4"/>
      <c r="EN141" s="4"/>
      <c r="EO141" s="4"/>
      <c r="EP141" s="4"/>
      <c r="EQ141" s="4"/>
      <c r="FH141" s="4">
        <v>1.0</v>
      </c>
      <c r="FI141" s="4"/>
      <c r="FJ141" s="4"/>
      <c r="FK141" s="4"/>
      <c r="FL141" s="4"/>
      <c r="FP141" s="4">
        <v>1.0</v>
      </c>
      <c r="FQ141" s="4">
        <v>1.0</v>
      </c>
    </row>
    <row r="142">
      <c r="A142" s="23">
        <v>43520.0</v>
      </c>
      <c r="B142" s="4" t="s">
        <v>293</v>
      </c>
      <c r="C142" s="4">
        <v>19.738602</v>
      </c>
      <c r="D142" s="4">
        <v>-155.038879</v>
      </c>
      <c r="E142" s="4" t="s">
        <v>418</v>
      </c>
      <c r="F142" s="24">
        <v>0.5520833333333334</v>
      </c>
      <c r="G142" s="24">
        <v>0.59375</v>
      </c>
      <c r="H142" s="4">
        <v>3.0</v>
      </c>
      <c r="I142" s="4">
        <v>13.0</v>
      </c>
      <c r="J142" s="4" t="s">
        <v>198</v>
      </c>
      <c r="K142" s="4">
        <v>11.0</v>
      </c>
      <c r="L142" s="4">
        <v>25.0</v>
      </c>
      <c r="M142" s="4" t="s">
        <v>444</v>
      </c>
      <c r="AF142" s="4">
        <v>1.0</v>
      </c>
      <c r="BE142" s="4"/>
      <c r="BF142" s="4"/>
      <c r="BG142" s="4"/>
      <c r="BH142" s="4"/>
      <c r="BI142" s="4"/>
      <c r="BJ142" s="4">
        <v>1.0</v>
      </c>
      <c r="BL142" s="4">
        <v>1.0</v>
      </c>
      <c r="BP142" s="4">
        <v>1.0</v>
      </c>
      <c r="BQ142" s="4">
        <v>1.0</v>
      </c>
      <c r="CB142" s="4">
        <v>1.0</v>
      </c>
      <c r="CC142" s="4"/>
      <c r="CD142" s="4"/>
      <c r="CE142" s="4">
        <v>1.0</v>
      </c>
      <c r="CH142" s="4"/>
      <c r="CI142" s="4"/>
      <c r="CJ142" s="4"/>
      <c r="CK142" s="4"/>
      <c r="CL142" s="4"/>
      <c r="CM142" s="4"/>
      <c r="CN142" s="4">
        <v>1.0</v>
      </c>
      <c r="DS142" s="4"/>
      <c r="DV142" s="4"/>
      <c r="DW142" s="4">
        <v>1.0</v>
      </c>
      <c r="EA142" s="4"/>
      <c r="EB142" s="4"/>
      <c r="EC142" s="4">
        <v>1.0</v>
      </c>
      <c r="EJ142" s="4"/>
      <c r="EK142" s="4"/>
      <c r="EL142" s="4"/>
      <c r="EM142" s="4"/>
      <c r="EN142" s="4"/>
      <c r="EO142" s="4">
        <v>1.0</v>
      </c>
      <c r="EP142" s="4"/>
      <c r="EQ142" s="4">
        <v>1.0</v>
      </c>
      <c r="FI142" s="4"/>
      <c r="FJ142" s="4"/>
      <c r="FK142" s="4"/>
      <c r="FL142" s="4">
        <v>1.0</v>
      </c>
      <c r="FQ142" s="4">
        <v>1.0</v>
      </c>
    </row>
    <row r="143">
      <c r="A143" s="23">
        <v>43525.0</v>
      </c>
      <c r="B143" s="4" t="s">
        <v>244</v>
      </c>
      <c r="C143" s="4">
        <v>21.310612</v>
      </c>
      <c r="D143" s="4">
        <v>-158.00441</v>
      </c>
      <c r="E143" s="4" t="s">
        <v>278</v>
      </c>
      <c r="F143" s="24">
        <v>0.3854166666666667</v>
      </c>
      <c r="G143" s="24">
        <v>0.4722222222222222</v>
      </c>
      <c r="H143" s="4">
        <v>8.0</v>
      </c>
      <c r="I143" s="4">
        <v>10.0</v>
      </c>
      <c r="J143" s="4" t="s">
        <v>318</v>
      </c>
      <c r="K143" s="4">
        <v>6.0</v>
      </c>
      <c r="L143" s="4">
        <v>32.0</v>
      </c>
      <c r="M143" s="4" t="s">
        <v>445</v>
      </c>
      <c r="N143" s="4" t="s">
        <v>446</v>
      </c>
      <c r="Q143" s="4">
        <v>1.0</v>
      </c>
      <c r="T143" s="4"/>
      <c r="U143" s="4"/>
      <c r="V143" s="4"/>
      <c r="W143" s="4"/>
      <c r="X143" s="4"/>
      <c r="Y143" s="4"/>
      <c r="Z143" s="4"/>
      <c r="AA143" s="4">
        <v>1.0</v>
      </c>
      <c r="AD143" s="4">
        <v>1.0</v>
      </c>
      <c r="AI143" s="4"/>
      <c r="AJ143" s="4"/>
      <c r="AK143" s="4"/>
      <c r="AL143" s="4">
        <v>1.0</v>
      </c>
      <c r="AS143" s="4">
        <v>1.0</v>
      </c>
      <c r="AZ143" s="4"/>
      <c r="BA143" s="4">
        <v>1.0</v>
      </c>
      <c r="BB143" s="4"/>
      <c r="BC143" s="4">
        <v>1.0</v>
      </c>
      <c r="BD143" s="4">
        <v>1.0</v>
      </c>
      <c r="BE143" s="4"/>
      <c r="BF143" s="4"/>
      <c r="BG143" s="4"/>
      <c r="BH143" s="4"/>
      <c r="BI143" s="4"/>
      <c r="BJ143" s="4">
        <v>1.0</v>
      </c>
      <c r="BL143" s="4">
        <v>1.0</v>
      </c>
      <c r="BR143" s="4"/>
      <c r="BS143" s="4"/>
      <c r="BT143" s="4"/>
      <c r="BU143" s="4">
        <v>1.0</v>
      </c>
      <c r="BW143" s="4">
        <v>1.0</v>
      </c>
      <c r="CH143" s="4"/>
      <c r="CI143" s="4"/>
      <c r="CJ143" s="4"/>
      <c r="CK143" s="4"/>
      <c r="CL143" s="4">
        <v>1.0</v>
      </c>
      <c r="DA143" s="4"/>
      <c r="DB143" s="4">
        <v>1.0</v>
      </c>
      <c r="DC143" s="4"/>
      <c r="DD143" s="4">
        <v>1.0</v>
      </c>
      <c r="DE143" s="4"/>
      <c r="DF143" s="4">
        <v>1.0</v>
      </c>
      <c r="DH143" s="4"/>
      <c r="DI143" s="4"/>
      <c r="DJ143" s="4"/>
      <c r="DK143" s="4"/>
      <c r="DL143" s="4">
        <v>1.0</v>
      </c>
      <c r="EA143" s="4"/>
      <c r="EB143" s="4">
        <v>1.0</v>
      </c>
      <c r="EC143" s="4">
        <v>1.0</v>
      </c>
      <c r="ED143" s="4"/>
      <c r="EE143" s="4"/>
      <c r="EF143" s="4"/>
      <c r="EG143" s="4"/>
      <c r="EH143" s="4"/>
      <c r="EI143" s="4">
        <v>1.0</v>
      </c>
      <c r="EJ143" s="4">
        <v>1.0</v>
      </c>
      <c r="EK143" s="4"/>
      <c r="EL143" s="4"/>
      <c r="EM143" s="4"/>
      <c r="EN143" s="4">
        <v>1.0</v>
      </c>
      <c r="ER143" s="4"/>
      <c r="ES143" s="4"/>
      <c r="ET143" s="4"/>
      <c r="EU143" s="4"/>
      <c r="EV143" s="4">
        <v>1.0</v>
      </c>
      <c r="EW143" s="4">
        <v>1.0</v>
      </c>
      <c r="FI143" s="4"/>
      <c r="FJ143" s="4"/>
      <c r="FK143" s="4">
        <v>1.0</v>
      </c>
      <c r="FM143" s="4"/>
      <c r="FN143" s="4"/>
      <c r="FO143" s="4">
        <v>1.0</v>
      </c>
      <c r="FQ143" s="4">
        <v>1.0</v>
      </c>
    </row>
    <row r="144">
      <c r="A144" s="23">
        <v>43528.0</v>
      </c>
      <c r="B144" s="4" t="s">
        <v>400</v>
      </c>
      <c r="C144" s="4">
        <v>21.900562</v>
      </c>
      <c r="D144" s="4">
        <v>-159.609818</v>
      </c>
      <c r="E144" s="4" t="s">
        <v>401</v>
      </c>
      <c r="F144" s="24">
        <v>0.3958333333333333</v>
      </c>
      <c r="G144" s="24">
        <v>0.4409722222222222</v>
      </c>
      <c r="H144" s="4">
        <v>6.0</v>
      </c>
      <c r="I144" s="4">
        <v>14.0</v>
      </c>
      <c r="J144" s="4" t="s">
        <v>198</v>
      </c>
      <c r="K144" s="4">
        <v>14.0</v>
      </c>
      <c r="L144" s="4">
        <v>43.0</v>
      </c>
      <c r="M144" s="4" t="s">
        <v>447</v>
      </c>
      <c r="N144" s="4" t="s">
        <v>448</v>
      </c>
      <c r="O144" s="4"/>
      <c r="P144" s="4" t="s">
        <v>449</v>
      </c>
      <c r="AZ144" s="4"/>
      <c r="BA144" s="4">
        <v>1.0</v>
      </c>
      <c r="BE144" s="4"/>
      <c r="BF144" s="4"/>
      <c r="BG144" s="4">
        <v>1.0</v>
      </c>
      <c r="BV144" s="4">
        <v>1.0</v>
      </c>
      <c r="DH144" s="4"/>
      <c r="DI144" s="4">
        <v>1.0</v>
      </c>
      <c r="DJ144" s="4"/>
      <c r="DK144" s="4">
        <v>1.0</v>
      </c>
      <c r="DP144" s="4"/>
      <c r="DQ144" s="4"/>
      <c r="DR144" s="4">
        <v>2.0</v>
      </c>
      <c r="DT144" s="4"/>
      <c r="DU144" s="4">
        <v>1.0</v>
      </c>
      <c r="EC144" s="4">
        <v>1.0</v>
      </c>
      <c r="ED144" s="4"/>
      <c r="EE144" s="4"/>
      <c r="EF144" s="4"/>
      <c r="EG144" s="4"/>
      <c r="EH144" s="4"/>
      <c r="EI144" s="4">
        <v>1.0</v>
      </c>
      <c r="EX144" s="4"/>
      <c r="EY144" s="4"/>
      <c r="EZ144" s="4"/>
      <c r="FA144" s="4">
        <v>1.0</v>
      </c>
      <c r="FP144" s="4">
        <v>1.0</v>
      </c>
      <c r="FQ144" s="4">
        <v>1.0</v>
      </c>
    </row>
    <row r="145">
      <c r="A145" s="23">
        <v>43531.0</v>
      </c>
      <c r="B145" s="4" t="s">
        <v>266</v>
      </c>
      <c r="C145" s="4">
        <v>22.060684</v>
      </c>
      <c r="D145" s="4">
        <v>-159.318512</v>
      </c>
      <c r="E145" s="4" t="s">
        <v>418</v>
      </c>
      <c r="F145" s="24">
        <v>0.4375</v>
      </c>
      <c r="G145" s="24">
        <v>0.5020833333333333</v>
      </c>
      <c r="H145" s="4">
        <v>7.0</v>
      </c>
      <c r="I145" s="4">
        <v>18.0</v>
      </c>
      <c r="J145" s="4" t="s">
        <v>198</v>
      </c>
      <c r="K145" s="4">
        <v>10.0</v>
      </c>
      <c r="L145" s="4">
        <v>56.0</v>
      </c>
      <c r="M145" s="4" t="s">
        <v>450</v>
      </c>
      <c r="T145" s="4"/>
      <c r="U145" s="4"/>
      <c r="V145" s="4"/>
      <c r="W145" s="4">
        <v>1.0</v>
      </c>
      <c r="AG145" s="4"/>
      <c r="AH145" s="4">
        <v>1.0</v>
      </c>
      <c r="AZ145" s="4"/>
      <c r="BA145" s="4">
        <v>1.0</v>
      </c>
      <c r="BL145" s="4">
        <v>1.0</v>
      </c>
      <c r="BM145" s="4">
        <v>1.0</v>
      </c>
      <c r="BR145" s="4"/>
      <c r="BS145" s="4"/>
      <c r="BT145" s="4"/>
      <c r="BU145" s="4">
        <v>1.0</v>
      </c>
      <c r="CC145" s="4"/>
      <c r="CD145" s="4">
        <v>1.0</v>
      </c>
      <c r="DJ145" s="4"/>
      <c r="DK145" s="4">
        <v>1.0</v>
      </c>
      <c r="DL145" s="4">
        <v>1.0</v>
      </c>
      <c r="DP145" s="4"/>
      <c r="DQ145" s="4"/>
      <c r="DR145" s="4">
        <v>1.0</v>
      </c>
      <c r="DT145" s="4"/>
      <c r="DU145" s="4">
        <v>1.0</v>
      </c>
      <c r="ED145" s="4"/>
      <c r="EE145" s="4"/>
      <c r="EF145" s="4"/>
      <c r="EG145" s="4"/>
      <c r="EH145" s="4"/>
      <c r="EI145" s="4">
        <v>1.0</v>
      </c>
      <c r="EX145" s="4"/>
      <c r="EY145" s="4"/>
      <c r="EZ145" s="4"/>
      <c r="FA145" s="4">
        <v>1.0</v>
      </c>
      <c r="FB145" s="4">
        <v>1.0</v>
      </c>
      <c r="FL145" s="4">
        <v>1.0</v>
      </c>
      <c r="FP145" s="4">
        <v>1.0</v>
      </c>
      <c r="FQ145" s="4">
        <v>1.0</v>
      </c>
    </row>
    <row r="146">
      <c r="A146" s="23">
        <v>43531.0</v>
      </c>
      <c r="B146" s="4" t="s">
        <v>233</v>
      </c>
      <c r="C146" s="4">
        <v>21.066799</v>
      </c>
      <c r="D146" s="4">
        <v>-156.804993</v>
      </c>
      <c r="E146" s="4" t="s">
        <v>286</v>
      </c>
      <c r="F146" s="24">
        <v>0.4354166666666667</v>
      </c>
      <c r="G146" s="24">
        <v>0.47430555555555554</v>
      </c>
      <c r="H146" s="4">
        <v>4.0</v>
      </c>
      <c r="I146" s="4">
        <v>24.0</v>
      </c>
      <c r="J146" s="4" t="s">
        <v>227</v>
      </c>
      <c r="K146" s="4">
        <v>9.0</v>
      </c>
      <c r="L146" s="4">
        <v>25.0</v>
      </c>
      <c r="M146" s="4" t="s">
        <v>451</v>
      </c>
      <c r="N146" s="4" t="s">
        <v>452</v>
      </c>
      <c r="Q146" s="4">
        <v>1.0</v>
      </c>
      <c r="AI146" s="4"/>
      <c r="AJ146" s="4"/>
      <c r="AK146" s="4"/>
      <c r="AL146" s="4">
        <v>1.0</v>
      </c>
      <c r="BL146" s="4">
        <v>1.0</v>
      </c>
      <c r="CF146" s="4"/>
      <c r="CG146" s="4">
        <v>1.0</v>
      </c>
      <c r="CM146" s="4"/>
      <c r="CN146" s="4">
        <v>1.0</v>
      </c>
      <c r="DL146" s="4">
        <v>1.0</v>
      </c>
      <c r="ED146" s="4"/>
      <c r="EE146" s="4"/>
      <c r="EF146" s="4"/>
      <c r="EG146" s="4"/>
      <c r="EH146" s="4"/>
      <c r="EI146" s="4">
        <v>1.0</v>
      </c>
      <c r="EJ146" s="4">
        <v>1.0</v>
      </c>
      <c r="EP146" s="4">
        <v>1.0</v>
      </c>
      <c r="FP146" s="4">
        <v>1.0</v>
      </c>
      <c r="FQ146" s="4">
        <v>1.0</v>
      </c>
    </row>
    <row r="147">
      <c r="A147" s="48">
        <v>43533.0</v>
      </c>
      <c r="B147" s="49" t="s">
        <v>244</v>
      </c>
      <c r="C147" s="4">
        <v>21.310612</v>
      </c>
      <c r="D147" s="4">
        <v>-158.00441</v>
      </c>
      <c r="E147" s="49" t="s">
        <v>418</v>
      </c>
      <c r="F147" s="50">
        <v>0.4527777777777778</v>
      </c>
      <c r="G147" s="50">
        <v>0.48194444444444445</v>
      </c>
      <c r="H147" s="49">
        <v>5.0</v>
      </c>
      <c r="I147" s="49">
        <v>20.0</v>
      </c>
      <c r="J147" s="49" t="s">
        <v>217</v>
      </c>
      <c r="K147" s="49">
        <v>5.0</v>
      </c>
      <c r="L147" s="49">
        <v>24.0</v>
      </c>
      <c r="M147" s="49" t="s">
        <v>403</v>
      </c>
      <c r="Q147" s="4">
        <v>1.0</v>
      </c>
      <c r="X147" s="4"/>
      <c r="Y147" s="4"/>
      <c r="Z147" s="4"/>
      <c r="AA147" s="4">
        <v>1.0</v>
      </c>
      <c r="AD147" s="4">
        <v>1.0</v>
      </c>
      <c r="AG147" s="4"/>
      <c r="AH147" s="4">
        <v>1.0</v>
      </c>
      <c r="AI147" s="4"/>
      <c r="AJ147" s="4"/>
      <c r="AK147" s="4"/>
      <c r="AL147" s="4">
        <v>1.0</v>
      </c>
      <c r="AZ147" s="4"/>
      <c r="BA147" s="4">
        <v>1.0</v>
      </c>
      <c r="BD147" s="4">
        <v>1.0</v>
      </c>
      <c r="BL147" s="4">
        <v>1.0</v>
      </c>
      <c r="BP147" s="4">
        <v>1.0</v>
      </c>
      <c r="BR147" s="4"/>
      <c r="BS147" s="4"/>
      <c r="BT147" s="4"/>
      <c r="BU147" s="4">
        <v>1.0</v>
      </c>
      <c r="BX147" s="4"/>
      <c r="BY147" s="4">
        <v>1.0</v>
      </c>
      <c r="CM147" s="4"/>
      <c r="CN147" s="4">
        <v>1.0</v>
      </c>
      <c r="DE147" s="4"/>
      <c r="DF147" s="4">
        <v>1.0</v>
      </c>
      <c r="DN147" s="4">
        <v>1.0</v>
      </c>
      <c r="DT147" s="4"/>
      <c r="DU147" s="4">
        <v>1.0</v>
      </c>
      <c r="EA147" s="4"/>
      <c r="EB147" s="4">
        <v>1.0</v>
      </c>
      <c r="ED147" s="4"/>
      <c r="EE147" s="4"/>
      <c r="EF147" s="4"/>
      <c r="EG147" s="4"/>
      <c r="EH147" s="4"/>
      <c r="EI147" s="4">
        <v>1.0</v>
      </c>
      <c r="EK147" s="4"/>
      <c r="EL147" s="4"/>
      <c r="EM147" s="4"/>
      <c r="EN147" s="4">
        <v>1.0</v>
      </c>
      <c r="FL147" s="4">
        <v>1.0</v>
      </c>
      <c r="FM147" s="4"/>
      <c r="FN147" s="4"/>
      <c r="FO147" s="4">
        <v>1.0</v>
      </c>
      <c r="FQ147" s="4">
        <v>1.0</v>
      </c>
    </row>
    <row r="148">
      <c r="A148" s="51">
        <v>43536.0</v>
      </c>
      <c r="B148" s="49" t="s">
        <v>201</v>
      </c>
      <c r="C148" s="4">
        <v>21.25544</v>
      </c>
      <c r="D148" s="49">
        <v>-157.810303</v>
      </c>
      <c r="E148" s="49" t="s">
        <v>418</v>
      </c>
      <c r="F148" s="52">
        <v>0.5625</v>
      </c>
      <c r="G148" s="53">
        <v>0.6666666666666666</v>
      </c>
      <c r="H148" s="49">
        <v>7.0</v>
      </c>
      <c r="I148" s="49">
        <v>8.0</v>
      </c>
      <c r="J148" s="49" t="s">
        <v>198</v>
      </c>
      <c r="K148" s="49">
        <v>25.0</v>
      </c>
      <c r="L148" s="49">
        <v>35.0</v>
      </c>
      <c r="M148" s="49"/>
      <c r="N148" s="35"/>
      <c r="Q148" s="4">
        <v>1.0</v>
      </c>
      <c r="T148" s="4"/>
      <c r="U148" s="4"/>
      <c r="V148" s="4"/>
      <c r="W148" s="4">
        <v>1.0</v>
      </c>
      <c r="X148" s="4"/>
      <c r="Y148" s="4"/>
      <c r="Z148" s="4"/>
      <c r="AA148" s="4">
        <v>1.0</v>
      </c>
      <c r="AB148" s="4"/>
      <c r="AC148" s="4">
        <v>1.0</v>
      </c>
      <c r="AD148" s="4">
        <v>1.0</v>
      </c>
      <c r="AG148" s="4"/>
      <c r="AH148" s="4">
        <v>1.0</v>
      </c>
      <c r="AI148" s="4"/>
      <c r="AJ148" s="4"/>
      <c r="AK148" s="4"/>
      <c r="AL148" s="4">
        <v>1.0</v>
      </c>
      <c r="AM148" s="4">
        <v>1.0</v>
      </c>
      <c r="AZ148" s="4"/>
      <c r="BA148" s="4">
        <v>1.0</v>
      </c>
      <c r="BB148" s="4">
        <v>1.0</v>
      </c>
      <c r="BH148" s="4"/>
      <c r="BI148" s="4"/>
      <c r="BJ148" s="4">
        <v>1.0</v>
      </c>
      <c r="BL148" s="4">
        <v>1.0</v>
      </c>
      <c r="BP148" s="4">
        <v>1.0</v>
      </c>
      <c r="BR148" s="4"/>
      <c r="BS148" s="4"/>
      <c r="BT148" s="4"/>
      <c r="BU148" s="4">
        <v>1.0</v>
      </c>
      <c r="BV148" s="4">
        <v>1.0</v>
      </c>
      <c r="BX148" s="4">
        <v>1.0</v>
      </c>
      <c r="BY148" s="4">
        <v>1.0</v>
      </c>
      <c r="CF148" s="4"/>
      <c r="CG148" s="4">
        <v>1.0</v>
      </c>
      <c r="CH148" s="4"/>
      <c r="CI148" s="4"/>
      <c r="CJ148" s="4">
        <v>1.0</v>
      </c>
      <c r="CM148" s="4"/>
      <c r="CN148" s="4">
        <v>1.0</v>
      </c>
      <c r="CU148" s="4"/>
      <c r="CV148" s="4"/>
      <c r="CW148" s="4"/>
      <c r="CX148" s="4"/>
      <c r="CY148" s="4"/>
      <c r="CZ148" s="4">
        <v>1.0</v>
      </c>
      <c r="DE148" s="4"/>
      <c r="DF148" s="4">
        <v>1.0</v>
      </c>
      <c r="DJ148" s="4"/>
      <c r="DK148" s="4">
        <v>1.0</v>
      </c>
      <c r="DL148" s="4">
        <v>1.0</v>
      </c>
      <c r="DM148" s="4">
        <v>1.0</v>
      </c>
      <c r="DO148" s="4">
        <v>1.0</v>
      </c>
      <c r="DP148" s="4">
        <v>1.0</v>
      </c>
      <c r="DQ148" s="4"/>
      <c r="DR148" s="4">
        <v>1.0</v>
      </c>
      <c r="DT148" s="4"/>
      <c r="DU148" s="4">
        <v>1.0</v>
      </c>
      <c r="ED148" s="4"/>
      <c r="EE148" s="4"/>
      <c r="EF148" s="4"/>
      <c r="EG148" s="4"/>
      <c r="EH148" s="4"/>
      <c r="EI148" s="4">
        <v>1.0</v>
      </c>
      <c r="EX148" s="4"/>
      <c r="EY148" s="4">
        <v>1.0</v>
      </c>
      <c r="EZ148" s="4">
        <v>1.0</v>
      </c>
      <c r="FA148" s="4">
        <v>1.0</v>
      </c>
      <c r="FB148" s="4">
        <v>1.0</v>
      </c>
      <c r="FC148" s="4"/>
      <c r="FD148" s="4">
        <v>1.0</v>
      </c>
      <c r="FE148" s="4">
        <v>1.0</v>
      </c>
      <c r="FP148" s="4">
        <v>1.0</v>
      </c>
      <c r="FQ148" s="4">
        <v>1.0</v>
      </c>
      <c r="FR148" s="4"/>
      <c r="FS148" s="4">
        <v>1.0</v>
      </c>
      <c r="FT148" s="4"/>
      <c r="FU148" s="4">
        <v>1.0</v>
      </c>
    </row>
    <row r="149">
      <c r="A149" s="23">
        <v>43556.0</v>
      </c>
      <c r="B149" s="49" t="s">
        <v>456</v>
      </c>
      <c r="C149" s="4">
        <v>21.316488</v>
      </c>
      <c r="D149" s="4">
        <v>-157.664261</v>
      </c>
      <c r="E149" s="49" t="s">
        <v>418</v>
      </c>
      <c r="F149" s="53">
        <v>0.3645833333333333</v>
      </c>
      <c r="G149" s="53">
        <v>0.4583333333333333</v>
      </c>
      <c r="H149" s="49">
        <v>7.0</v>
      </c>
      <c r="I149" s="49">
        <v>15.0</v>
      </c>
      <c r="J149" s="49" t="s">
        <v>318</v>
      </c>
      <c r="K149" s="49">
        <v>5.0</v>
      </c>
      <c r="L149" s="49">
        <v>28.0</v>
      </c>
      <c r="M149" s="49" t="s">
        <v>457</v>
      </c>
      <c r="N149" s="49" t="s">
        <v>458</v>
      </c>
      <c r="X149" s="4"/>
      <c r="Y149" s="4"/>
      <c r="Z149" s="4"/>
      <c r="AA149" s="4">
        <v>1.0</v>
      </c>
      <c r="AI149" s="4"/>
      <c r="AJ149" s="4"/>
      <c r="AK149" s="4"/>
      <c r="AL149" s="4">
        <v>1.0</v>
      </c>
      <c r="AM149" s="4">
        <v>1.0</v>
      </c>
      <c r="AT149" s="4"/>
      <c r="AU149" s="4"/>
      <c r="AV149" s="4"/>
      <c r="AW149" s="4"/>
      <c r="AX149" s="4">
        <v>1.0</v>
      </c>
      <c r="BE149" s="4">
        <v>1.0</v>
      </c>
      <c r="BL149" s="4">
        <v>1.0</v>
      </c>
      <c r="BX149" s="4">
        <v>1.0</v>
      </c>
      <c r="CB149" s="4">
        <v>1.0</v>
      </c>
      <c r="CC149" s="4">
        <v>1.0</v>
      </c>
      <c r="CD149" s="4">
        <v>2.0</v>
      </c>
      <c r="CE149" s="4">
        <v>1.0</v>
      </c>
      <c r="CU149" s="4">
        <v>1.0</v>
      </c>
      <c r="DE149" s="4"/>
      <c r="DF149" s="4">
        <v>1.0</v>
      </c>
      <c r="DG149" s="4">
        <v>1.0</v>
      </c>
      <c r="DQ149" s="4"/>
      <c r="DR149" s="4">
        <v>2.0</v>
      </c>
      <c r="EA149" s="4">
        <v>1.0</v>
      </c>
      <c r="ED149" s="4"/>
      <c r="EE149" s="4"/>
      <c r="EF149" s="4"/>
      <c r="EG149" s="4"/>
      <c r="EH149" s="4"/>
      <c r="EI149" s="4">
        <v>1.0</v>
      </c>
      <c r="ER149" s="4"/>
      <c r="ES149" s="4"/>
      <c r="ET149" s="4"/>
      <c r="EU149" s="4">
        <v>1.0</v>
      </c>
      <c r="FQ149" s="4">
        <v>1.0</v>
      </c>
    </row>
    <row r="150">
      <c r="A150" s="23">
        <v>43557.0</v>
      </c>
      <c r="B150" s="4" t="s">
        <v>456</v>
      </c>
      <c r="C150" s="4">
        <v>21.316488</v>
      </c>
      <c r="D150" s="4">
        <v>-157.664261</v>
      </c>
      <c r="E150" s="4" t="s">
        <v>418</v>
      </c>
      <c r="F150" s="24">
        <v>0.3645833333333333</v>
      </c>
      <c r="G150" s="24">
        <v>0.46875</v>
      </c>
      <c r="H150" s="4">
        <v>7.0</v>
      </c>
      <c r="I150" s="4">
        <v>10.0</v>
      </c>
      <c r="J150" s="4" t="s">
        <v>318</v>
      </c>
      <c r="K150" s="4">
        <v>5.0</v>
      </c>
      <c r="L150" s="4">
        <v>31.0</v>
      </c>
      <c r="M150" s="4" t="s">
        <v>462</v>
      </c>
      <c r="N150" s="4" t="s">
        <v>463</v>
      </c>
      <c r="T150" s="4"/>
      <c r="U150" s="4"/>
      <c r="V150" s="4"/>
      <c r="W150" s="4">
        <v>1.0</v>
      </c>
      <c r="X150" s="4"/>
      <c r="Y150" s="4"/>
      <c r="Z150" s="4"/>
      <c r="AA150" s="4">
        <v>1.0</v>
      </c>
      <c r="BE150" s="4">
        <v>1.0</v>
      </c>
      <c r="BK150" s="4">
        <v>1.0</v>
      </c>
      <c r="BL150" s="4">
        <v>1.0</v>
      </c>
      <c r="BP150" s="4">
        <v>1.0</v>
      </c>
      <c r="BR150" s="4"/>
      <c r="BS150" s="4"/>
      <c r="BT150" s="4">
        <v>1.0</v>
      </c>
      <c r="BX150" s="4">
        <v>1.0</v>
      </c>
      <c r="CM150" s="4"/>
      <c r="CN150" s="4">
        <v>1.0</v>
      </c>
      <c r="DE150" s="4"/>
      <c r="DF150" s="4">
        <v>1.0</v>
      </c>
      <c r="DH150" s="4"/>
      <c r="DI150" s="4">
        <v>1.0</v>
      </c>
      <c r="DN150" s="4">
        <v>1.0</v>
      </c>
      <c r="DQ150" s="4"/>
      <c r="DR150" s="4">
        <v>1.0</v>
      </c>
      <c r="EA150" s="4">
        <v>1.0</v>
      </c>
      <c r="ED150" s="4"/>
      <c r="EE150" s="4"/>
      <c r="EF150" s="4"/>
      <c r="EG150" s="4"/>
      <c r="EH150" s="4"/>
      <c r="EI150" s="4">
        <v>1.0</v>
      </c>
      <c r="EJ150" s="4">
        <v>1.0</v>
      </c>
      <c r="EZ150" s="4">
        <v>1.0</v>
      </c>
      <c r="FC150" s="4"/>
      <c r="FE150" s="4">
        <v>1.0</v>
      </c>
      <c r="FQ150" s="4">
        <v>1.0</v>
      </c>
      <c r="FZ150" s="4"/>
      <c r="GA150" s="4"/>
      <c r="GB150" s="4">
        <v>1.0</v>
      </c>
    </row>
    <row r="151">
      <c r="A151" s="23">
        <v>43558.0</v>
      </c>
      <c r="B151" s="4" t="s">
        <v>456</v>
      </c>
      <c r="C151" s="4">
        <v>21.316488</v>
      </c>
      <c r="D151" s="4">
        <v>-157.664261</v>
      </c>
      <c r="E151" s="4" t="s">
        <v>418</v>
      </c>
      <c r="F151" s="24">
        <v>0.375</v>
      </c>
      <c r="G151" s="24">
        <v>0.4583333333333333</v>
      </c>
      <c r="H151" s="4">
        <v>5.0</v>
      </c>
      <c r="I151" s="4">
        <v>10.0</v>
      </c>
      <c r="J151" s="4" t="s">
        <v>318</v>
      </c>
      <c r="K151" s="4">
        <v>5.0</v>
      </c>
      <c r="L151" s="4">
        <v>22.0</v>
      </c>
      <c r="M151" s="4" t="s">
        <v>464</v>
      </c>
      <c r="S151" s="4">
        <v>1.0</v>
      </c>
      <c r="AI151" s="4"/>
      <c r="AJ151" s="4"/>
      <c r="AK151" s="4"/>
      <c r="AL151" s="4">
        <v>1.0</v>
      </c>
      <c r="AY151" s="4">
        <v>1.0</v>
      </c>
      <c r="AZ151" s="4"/>
      <c r="BA151" s="4">
        <v>1.0</v>
      </c>
      <c r="BE151" s="4">
        <v>1.0</v>
      </c>
      <c r="BL151" s="4">
        <v>1.0</v>
      </c>
      <c r="CB151" s="4">
        <v>1.0</v>
      </c>
      <c r="CM151" s="4"/>
      <c r="CN151" s="4">
        <v>1.0</v>
      </c>
      <c r="CU151" s="4">
        <v>1.0</v>
      </c>
      <c r="DH151" s="4">
        <v>1.0</v>
      </c>
      <c r="ED151" s="4"/>
      <c r="EE151" s="4"/>
      <c r="EF151" s="4"/>
      <c r="EG151" s="4"/>
      <c r="EH151" s="4"/>
      <c r="EI151" s="4">
        <v>1.0</v>
      </c>
      <c r="EJ151" s="4">
        <v>1.0</v>
      </c>
      <c r="FC151" s="4"/>
      <c r="FE151" s="4">
        <v>1.0</v>
      </c>
      <c r="FQ151" s="4">
        <v>1.0</v>
      </c>
      <c r="FW151" s="4">
        <v>1.0</v>
      </c>
      <c r="GC151" s="4">
        <v>1.0</v>
      </c>
    </row>
    <row r="152">
      <c r="A152" s="23">
        <v>43559.0</v>
      </c>
      <c r="B152" s="4" t="s">
        <v>456</v>
      </c>
      <c r="C152" s="4">
        <v>21.316488</v>
      </c>
      <c r="D152" s="4">
        <v>-157.664261</v>
      </c>
      <c r="E152" s="4" t="s">
        <v>418</v>
      </c>
      <c r="F152" s="24">
        <v>0.375</v>
      </c>
      <c r="G152" s="24">
        <v>0.4791666666666667</v>
      </c>
      <c r="H152" s="4">
        <v>5.0</v>
      </c>
      <c r="I152" s="4">
        <v>10.0</v>
      </c>
      <c r="J152" s="4" t="s">
        <v>318</v>
      </c>
      <c r="K152" s="4">
        <v>5.0</v>
      </c>
      <c r="L152" s="4">
        <v>25.0</v>
      </c>
      <c r="BC152" s="4">
        <v>1.0</v>
      </c>
      <c r="BH152" s="4"/>
      <c r="BI152" s="4"/>
      <c r="BJ152" s="4">
        <v>1.0</v>
      </c>
      <c r="BL152" s="4">
        <v>1.0</v>
      </c>
      <c r="BR152" s="4"/>
      <c r="BS152" s="4">
        <v>1.0</v>
      </c>
      <c r="BX152" s="4">
        <v>1.0</v>
      </c>
      <c r="BY152" s="4">
        <v>1.0</v>
      </c>
      <c r="CB152" s="4">
        <v>1.0</v>
      </c>
      <c r="CE152" s="4">
        <v>1.0</v>
      </c>
      <c r="CM152" s="4"/>
      <c r="CN152" s="4">
        <v>1.0</v>
      </c>
      <c r="DN152" s="4">
        <v>1.0</v>
      </c>
      <c r="DQ152" s="4"/>
      <c r="DR152" s="4">
        <v>1.0</v>
      </c>
      <c r="EB152" s="4">
        <v>1.0</v>
      </c>
      <c r="ED152" s="4"/>
      <c r="EE152" s="4"/>
      <c r="EF152" s="4"/>
      <c r="EG152" s="4"/>
      <c r="EH152" s="4"/>
      <c r="EI152" s="4">
        <v>1.0</v>
      </c>
      <c r="EJ152" s="4">
        <v>1.0</v>
      </c>
      <c r="EV152" s="4">
        <v>1.0</v>
      </c>
      <c r="FF152" s="4"/>
      <c r="FG152" s="4">
        <v>1.0</v>
      </c>
      <c r="FQ152" s="4">
        <v>1.0</v>
      </c>
    </row>
    <row r="153">
      <c r="A153" s="23">
        <v>43563.0</v>
      </c>
      <c r="B153" s="4" t="s">
        <v>400</v>
      </c>
      <c r="C153" s="4">
        <v>21.900562</v>
      </c>
      <c r="D153" s="4">
        <v>-159.609818</v>
      </c>
      <c r="E153" s="4" t="s">
        <v>465</v>
      </c>
      <c r="F153" s="24">
        <v>0.4548611111111111</v>
      </c>
      <c r="G153" s="24">
        <v>0.4895833333333333</v>
      </c>
      <c r="H153" s="4">
        <v>6.0</v>
      </c>
      <c r="I153" s="4">
        <v>10.0</v>
      </c>
      <c r="J153" s="4" t="s">
        <v>198</v>
      </c>
      <c r="K153" s="4">
        <v>5.0</v>
      </c>
      <c r="L153" s="4">
        <v>29.0</v>
      </c>
      <c r="M153" s="4" t="s">
        <v>466</v>
      </c>
      <c r="Q153" s="4">
        <v>1.0</v>
      </c>
      <c r="AZ153" s="4"/>
      <c r="BA153" s="4">
        <v>1.0</v>
      </c>
      <c r="BK153" s="4">
        <v>1.0</v>
      </c>
      <c r="BV153" s="4">
        <v>1.0</v>
      </c>
      <c r="CD153" s="4">
        <v>1.0</v>
      </c>
      <c r="DL153" s="4">
        <v>1.0</v>
      </c>
      <c r="DQ153" s="4"/>
      <c r="DR153" s="4">
        <v>1.0</v>
      </c>
      <c r="DT153" s="4"/>
      <c r="DU153" s="4">
        <v>1.0</v>
      </c>
      <c r="DX153" s="4"/>
      <c r="DY153" s="4">
        <v>1.0</v>
      </c>
      <c r="EA153" s="4">
        <v>1.0</v>
      </c>
      <c r="EC153" s="4">
        <v>1.0</v>
      </c>
      <c r="ED153" s="4"/>
      <c r="EE153" s="4"/>
      <c r="EF153" s="4"/>
      <c r="EG153" s="4"/>
      <c r="EH153" s="4"/>
      <c r="EI153" s="4">
        <v>1.0</v>
      </c>
      <c r="EK153" s="4"/>
      <c r="EL153" s="4"/>
      <c r="EM153" s="4">
        <v>1.0</v>
      </c>
      <c r="FA153" s="4">
        <v>1.0</v>
      </c>
      <c r="FB153" s="4">
        <v>1.0</v>
      </c>
      <c r="FP153" s="4">
        <v>1.0</v>
      </c>
      <c r="FQ153" s="4">
        <v>1.0</v>
      </c>
      <c r="FW153" s="4">
        <v>1.0</v>
      </c>
      <c r="FX153" s="4"/>
      <c r="FY153" s="4">
        <v>1.0</v>
      </c>
      <c r="FZ153" s="4">
        <v>1.0</v>
      </c>
    </row>
    <row r="154">
      <c r="A154" s="23">
        <v>43564.0</v>
      </c>
      <c r="B154" s="4" t="s">
        <v>456</v>
      </c>
      <c r="C154" s="4">
        <v>21.316488</v>
      </c>
      <c r="D154" s="4">
        <v>-157.664261</v>
      </c>
      <c r="E154" s="4" t="s">
        <v>469</v>
      </c>
      <c r="F154" s="24">
        <v>0.36319444444444443</v>
      </c>
      <c r="G154" s="24">
        <v>0.3958333333333333</v>
      </c>
      <c r="H154" s="4">
        <v>4.0</v>
      </c>
      <c r="I154" s="4">
        <v>40.0</v>
      </c>
      <c r="J154" s="4" t="s">
        <v>470</v>
      </c>
      <c r="K154" s="4">
        <v>5.0</v>
      </c>
      <c r="L154" s="4">
        <v>10.0</v>
      </c>
      <c r="M154" s="4" t="s">
        <v>471</v>
      </c>
      <c r="CB154" s="4">
        <v>1.0</v>
      </c>
      <c r="CF154" s="4"/>
      <c r="CG154" s="4">
        <v>1.0</v>
      </c>
      <c r="DE154" s="4"/>
      <c r="DF154" s="4">
        <v>1.0</v>
      </c>
      <c r="ED154" s="4"/>
      <c r="EE154" s="4"/>
      <c r="EF154" s="4"/>
      <c r="EG154" s="4"/>
      <c r="EH154" s="4"/>
      <c r="EI154" s="4">
        <v>1.0</v>
      </c>
      <c r="FQ154" s="4">
        <v>1.0</v>
      </c>
    </row>
    <row r="155">
      <c r="A155" s="23">
        <v>43564.0</v>
      </c>
      <c r="B155" s="4" t="s">
        <v>244</v>
      </c>
      <c r="C155" s="4">
        <v>21.310612</v>
      </c>
      <c r="D155" s="4">
        <v>-158.00441</v>
      </c>
      <c r="E155" s="4" t="s">
        <v>326</v>
      </c>
      <c r="F155" s="24">
        <v>0.3958333333333333</v>
      </c>
      <c r="G155" s="24">
        <v>0.4375</v>
      </c>
      <c r="H155" s="4">
        <v>7.0</v>
      </c>
      <c r="I155" s="4">
        <v>20.0</v>
      </c>
      <c r="J155" s="4" t="s">
        <v>198</v>
      </c>
      <c r="K155" s="4">
        <v>5.0</v>
      </c>
      <c r="L155" s="4">
        <v>28.0</v>
      </c>
      <c r="M155" s="4" t="s">
        <v>472</v>
      </c>
      <c r="Q155" s="4">
        <v>1.0</v>
      </c>
      <c r="X155" s="4"/>
      <c r="Y155" s="4"/>
      <c r="Z155" s="4"/>
      <c r="AA155" s="4">
        <v>1.0</v>
      </c>
      <c r="AD155" s="4">
        <v>1.0</v>
      </c>
      <c r="BB155" s="4">
        <v>1.0</v>
      </c>
      <c r="BD155" s="4">
        <v>1.0</v>
      </c>
      <c r="BL155" s="4">
        <v>1.0</v>
      </c>
      <c r="BR155" s="4">
        <v>1.0</v>
      </c>
      <c r="BU155" s="4">
        <v>1.0</v>
      </c>
      <c r="BY155" s="4">
        <v>1.0</v>
      </c>
      <c r="CM155" s="4">
        <v>1.0</v>
      </c>
      <c r="DE155" s="4"/>
      <c r="DF155" s="4">
        <v>1.0</v>
      </c>
      <c r="DM155" s="4">
        <v>1.0</v>
      </c>
      <c r="DN155" s="4">
        <v>1.0</v>
      </c>
      <c r="DO155" s="4">
        <v>1.0</v>
      </c>
      <c r="ED155" s="4"/>
      <c r="EE155" s="4"/>
      <c r="EF155" s="4"/>
      <c r="EG155" s="4"/>
      <c r="EH155" s="4"/>
      <c r="EI155" s="4">
        <v>1.0</v>
      </c>
      <c r="FA155" s="4">
        <v>1.0</v>
      </c>
      <c r="FQ155" s="4">
        <v>1.0</v>
      </c>
    </row>
    <row r="156">
      <c r="A156" s="23">
        <v>43566.0</v>
      </c>
      <c r="B156" s="4" t="s">
        <v>473</v>
      </c>
      <c r="C156" s="4">
        <v>21.3962</v>
      </c>
      <c r="D156" s="4">
        <v>-157.720306</v>
      </c>
      <c r="E156" s="4" t="s">
        <v>418</v>
      </c>
      <c r="F156" s="24">
        <v>0.4166666666666667</v>
      </c>
      <c r="G156" s="24">
        <v>0.4791666666666667</v>
      </c>
      <c r="H156" s="4">
        <v>6.0</v>
      </c>
      <c r="I156" s="4">
        <v>11.0</v>
      </c>
      <c r="J156" s="4" t="s">
        <v>318</v>
      </c>
      <c r="K156" s="4">
        <v>10.0</v>
      </c>
      <c r="L156" s="4">
        <v>40.0</v>
      </c>
      <c r="M156" s="4" t="s">
        <v>474</v>
      </c>
      <c r="N156" s="4" t="s">
        <v>475</v>
      </c>
      <c r="O156" s="4"/>
      <c r="P156" s="4">
        <v>29.0</v>
      </c>
      <c r="AB156" s="4"/>
      <c r="AC156" s="4">
        <v>1.0</v>
      </c>
      <c r="BL156" s="4">
        <v>1.0</v>
      </c>
      <c r="BZ156" s="4">
        <v>2.0</v>
      </c>
      <c r="DG156" s="4">
        <v>1.0</v>
      </c>
      <c r="DO156" s="4">
        <v>1.0</v>
      </c>
      <c r="DQ156" s="4"/>
      <c r="DR156" s="4">
        <v>1.0</v>
      </c>
      <c r="EK156" s="4"/>
      <c r="EL156" s="4"/>
      <c r="EM156" s="4">
        <v>1.0</v>
      </c>
      <c r="FB156" s="4">
        <v>1.0</v>
      </c>
      <c r="FQ156" s="4">
        <v>1.0</v>
      </c>
    </row>
    <row r="157">
      <c r="A157" s="23">
        <v>43571.0</v>
      </c>
      <c r="B157" s="4" t="s">
        <v>244</v>
      </c>
      <c r="C157" s="4">
        <v>21.310612</v>
      </c>
      <c r="D157" s="4">
        <v>-158.00441</v>
      </c>
      <c r="E157" s="4" t="s">
        <v>326</v>
      </c>
      <c r="F157" s="24">
        <v>0.3888888888888889</v>
      </c>
      <c r="G157" s="24">
        <v>0.4131944444444444</v>
      </c>
      <c r="H157" s="4">
        <v>5.0</v>
      </c>
      <c r="I157" s="4">
        <v>20.0</v>
      </c>
      <c r="J157" s="4" t="s">
        <v>198</v>
      </c>
      <c r="K157" s="4">
        <v>5.0</v>
      </c>
      <c r="L157" s="4">
        <v>20.0</v>
      </c>
      <c r="M157" s="4" t="s">
        <v>476</v>
      </c>
      <c r="O157" s="4"/>
      <c r="P157" s="4">
        <v>20.0</v>
      </c>
      <c r="Q157" s="4">
        <v>1.0</v>
      </c>
      <c r="AD157" s="4">
        <v>1.0</v>
      </c>
      <c r="AM157" s="4">
        <v>1.0</v>
      </c>
      <c r="AZ157" s="4"/>
      <c r="BA157" s="4">
        <v>1.0</v>
      </c>
      <c r="BB157" s="4">
        <v>1.0</v>
      </c>
      <c r="BD157" s="4">
        <v>1.0</v>
      </c>
      <c r="BU157" s="4">
        <v>1.0</v>
      </c>
      <c r="BY157" s="4">
        <v>1.0</v>
      </c>
      <c r="CH157" s="4"/>
      <c r="CI157" s="4"/>
      <c r="CJ157" s="4">
        <v>1.0</v>
      </c>
      <c r="CN157" s="4">
        <v>1.0</v>
      </c>
      <c r="DL157" s="4">
        <v>1.0</v>
      </c>
      <c r="DN157" s="4">
        <v>1.0</v>
      </c>
      <c r="DT157" s="4"/>
      <c r="DU157" s="4">
        <v>1.0</v>
      </c>
      <c r="EB157" s="4">
        <v>1.0</v>
      </c>
      <c r="ED157" s="4"/>
      <c r="EE157" s="4"/>
      <c r="EF157" s="4"/>
      <c r="EG157" s="4"/>
      <c r="EH157" s="4"/>
      <c r="EI157" s="4">
        <v>1.0</v>
      </c>
      <c r="EW157" s="4">
        <v>1.0</v>
      </c>
      <c r="FP157" s="4">
        <v>1.0</v>
      </c>
      <c r="FQ157" s="4">
        <v>1.0</v>
      </c>
    </row>
    <row r="158">
      <c r="A158" s="23">
        <v>43571.0</v>
      </c>
      <c r="B158" s="4" t="s">
        <v>201</v>
      </c>
      <c r="C158" s="4">
        <v>21.25544</v>
      </c>
      <c r="D158" s="4">
        <v>-157.810303</v>
      </c>
      <c r="E158" s="4" t="s">
        <v>477</v>
      </c>
      <c r="F158" s="24">
        <v>0.3576388888888889</v>
      </c>
      <c r="G158" s="24">
        <v>0.4166666666666667</v>
      </c>
      <c r="H158" s="4">
        <v>6.0</v>
      </c>
      <c r="I158" s="4">
        <v>12.5</v>
      </c>
      <c r="J158" s="4" t="s">
        <v>318</v>
      </c>
      <c r="K158" s="4">
        <v>5.0</v>
      </c>
      <c r="L158" s="4">
        <v>28.0</v>
      </c>
      <c r="M158" s="4" t="s">
        <v>478</v>
      </c>
      <c r="O158" s="4"/>
      <c r="P158" s="4">
        <v>28.0</v>
      </c>
      <c r="AZ158" s="4"/>
      <c r="BA158" s="4">
        <v>1.0</v>
      </c>
      <c r="BL158" s="4">
        <v>1.0</v>
      </c>
      <c r="BU158" s="4">
        <v>1.0</v>
      </c>
      <c r="BV158" s="4">
        <v>1.0</v>
      </c>
      <c r="BX158" s="4">
        <v>1.0</v>
      </c>
      <c r="DA158" s="4"/>
      <c r="DB158" s="4">
        <v>1.0</v>
      </c>
      <c r="DJ158" s="4"/>
      <c r="DK158" s="4">
        <v>1.0</v>
      </c>
      <c r="DL158" s="4">
        <v>1.0</v>
      </c>
      <c r="DQ158" s="4"/>
      <c r="DR158" s="4">
        <v>1.0</v>
      </c>
      <c r="DT158" s="4"/>
      <c r="DU158" s="4">
        <v>1.0</v>
      </c>
      <c r="ED158" s="4"/>
      <c r="EE158" s="4"/>
      <c r="EF158" s="4"/>
      <c r="EG158" s="4"/>
      <c r="EH158" s="4"/>
      <c r="EI158" s="4">
        <v>1.0</v>
      </c>
      <c r="EX158" s="4"/>
      <c r="EY158" s="4">
        <v>1.0</v>
      </c>
      <c r="EZ158" s="4">
        <v>1.0</v>
      </c>
      <c r="FA158" s="4">
        <v>1.0</v>
      </c>
      <c r="FP158" s="4">
        <v>1.0</v>
      </c>
      <c r="FQ158" s="4">
        <v>1.0</v>
      </c>
    </row>
    <row r="159">
      <c r="A159" s="23">
        <v>43572.0</v>
      </c>
      <c r="B159" s="4" t="s">
        <v>201</v>
      </c>
      <c r="C159" s="4">
        <v>21.25544</v>
      </c>
      <c r="D159" s="4">
        <v>-157.810303</v>
      </c>
      <c r="E159" s="4" t="s">
        <v>477</v>
      </c>
      <c r="F159" s="24">
        <v>0.3611111111111111</v>
      </c>
      <c r="G159" s="24">
        <v>0.4166666666666667</v>
      </c>
      <c r="H159" s="4">
        <v>5.0</v>
      </c>
      <c r="I159" s="4">
        <v>11.0</v>
      </c>
      <c r="J159" s="4" t="s">
        <v>318</v>
      </c>
      <c r="K159" s="4">
        <v>10.0</v>
      </c>
      <c r="L159" s="4">
        <v>46.0</v>
      </c>
      <c r="M159" s="4" t="s">
        <v>481</v>
      </c>
      <c r="S159" s="4">
        <v>1.0</v>
      </c>
      <c r="X159" s="4"/>
      <c r="Y159" s="4"/>
      <c r="Z159" s="4"/>
      <c r="AA159" s="4">
        <v>1.0</v>
      </c>
      <c r="AP159" s="4"/>
      <c r="AQ159" s="4">
        <v>1.0</v>
      </c>
      <c r="BB159" s="4">
        <v>1.0</v>
      </c>
      <c r="BL159" s="4">
        <v>1.0</v>
      </c>
      <c r="BT159" s="4">
        <v>1.0</v>
      </c>
      <c r="BU159" s="4">
        <v>1.0</v>
      </c>
      <c r="BV159" s="4">
        <v>1.0</v>
      </c>
      <c r="BW159" s="4">
        <v>1.0</v>
      </c>
      <c r="BY159" s="4">
        <v>1.0</v>
      </c>
      <c r="DA159" s="4"/>
      <c r="DB159" s="4">
        <v>1.0</v>
      </c>
      <c r="DC159" s="4"/>
      <c r="DD159" s="4">
        <v>1.0</v>
      </c>
      <c r="DI159" s="4">
        <v>1.0</v>
      </c>
      <c r="DJ159" s="4"/>
      <c r="DK159" s="4">
        <v>1.0</v>
      </c>
      <c r="DQ159" s="4"/>
      <c r="DR159" s="4">
        <v>1.0</v>
      </c>
      <c r="DT159" s="4"/>
      <c r="DU159" s="4">
        <v>1.0</v>
      </c>
      <c r="ED159" s="4"/>
      <c r="EE159" s="4"/>
      <c r="EF159" s="4"/>
      <c r="EG159" s="4"/>
      <c r="EH159" s="4"/>
      <c r="EI159" s="4">
        <v>1.0</v>
      </c>
      <c r="EX159" s="4"/>
      <c r="EY159" s="4">
        <v>1.0</v>
      </c>
      <c r="EZ159" s="4">
        <v>1.0</v>
      </c>
      <c r="FA159" s="4">
        <v>1.0</v>
      </c>
      <c r="FP159" s="4">
        <v>1.0</v>
      </c>
      <c r="FQ159" s="4">
        <v>1.0</v>
      </c>
      <c r="FT159" s="4"/>
      <c r="FU159" s="4">
        <v>1.0</v>
      </c>
    </row>
    <row r="160">
      <c r="A160" s="23">
        <v>43572.0</v>
      </c>
      <c r="B160" s="4" t="s">
        <v>259</v>
      </c>
      <c r="C160" s="4">
        <v>19.737894</v>
      </c>
      <c r="D160" s="4">
        <v>-155.034058</v>
      </c>
      <c r="E160" s="4" t="s">
        <v>482</v>
      </c>
      <c r="F160" s="24">
        <v>0.3680555555555556</v>
      </c>
      <c r="G160" s="24">
        <v>0.4479166666666667</v>
      </c>
      <c r="H160" s="4">
        <v>7.0</v>
      </c>
      <c r="I160" s="4">
        <v>20.0</v>
      </c>
      <c r="J160" s="4" t="s">
        <v>217</v>
      </c>
      <c r="K160" s="4">
        <v>5.0</v>
      </c>
      <c r="L160" s="4">
        <v>29.0</v>
      </c>
      <c r="M160" s="4" t="s">
        <v>483</v>
      </c>
      <c r="N160" s="4" t="s">
        <v>484</v>
      </c>
      <c r="AF160" s="4">
        <v>1.0</v>
      </c>
      <c r="AI160" s="4"/>
      <c r="AJ160" s="4"/>
      <c r="AK160" s="4"/>
      <c r="AL160" s="4">
        <v>1.0</v>
      </c>
      <c r="AN160" s="4"/>
      <c r="AO160" s="4">
        <v>1.0</v>
      </c>
      <c r="AZ160" s="4"/>
      <c r="BA160" s="4">
        <v>1.0</v>
      </c>
      <c r="BH160" s="4"/>
      <c r="BI160" s="4"/>
      <c r="BJ160" s="4">
        <v>1.0</v>
      </c>
      <c r="BL160" s="4">
        <v>1.0</v>
      </c>
      <c r="CN160" s="4">
        <v>1.0</v>
      </c>
      <c r="DG160" s="4">
        <v>1.0</v>
      </c>
      <c r="FD160" s="4">
        <v>1.0</v>
      </c>
      <c r="FL160" s="4">
        <v>1.0</v>
      </c>
      <c r="FQ160" s="4">
        <v>1.0</v>
      </c>
      <c r="FT160" s="4"/>
      <c r="FU160" s="4">
        <v>1.0</v>
      </c>
    </row>
    <row r="161">
      <c r="A161" s="23">
        <v>43573.0</v>
      </c>
      <c r="B161" s="4" t="s">
        <v>340</v>
      </c>
      <c r="C161" s="4">
        <v>19.643276</v>
      </c>
      <c r="D161" s="4">
        <v>-156.010193</v>
      </c>
      <c r="E161" s="4" t="s">
        <v>418</v>
      </c>
      <c r="F161" s="24">
        <v>0.4131944444444444</v>
      </c>
      <c r="G161" s="24">
        <v>0.4791666666666667</v>
      </c>
      <c r="H161" s="4">
        <v>4.0</v>
      </c>
      <c r="I161" s="4">
        <v>18.0</v>
      </c>
      <c r="J161" s="4" t="s">
        <v>198</v>
      </c>
      <c r="K161" s="4">
        <v>10.0</v>
      </c>
      <c r="L161" s="4">
        <v>26.0</v>
      </c>
      <c r="M161" s="4" t="s">
        <v>486</v>
      </c>
      <c r="S161" s="4">
        <v>1.0</v>
      </c>
      <c r="AB161" s="4"/>
      <c r="AC161" s="4">
        <v>1.0</v>
      </c>
      <c r="AG161" s="4">
        <v>1.0</v>
      </c>
      <c r="AT161" s="4"/>
      <c r="AU161" s="4">
        <v>1.0</v>
      </c>
      <c r="AZ161" s="4"/>
      <c r="BA161" s="4">
        <v>1.0</v>
      </c>
      <c r="BF161" s="4">
        <v>1.0</v>
      </c>
      <c r="BG161" s="4">
        <v>1.0</v>
      </c>
      <c r="BL161" s="4">
        <v>1.0</v>
      </c>
      <c r="BX161" s="4">
        <v>1.0</v>
      </c>
      <c r="CB161" s="4">
        <v>1.0</v>
      </c>
      <c r="CC161" s="4">
        <v>1.0</v>
      </c>
      <c r="DL161" s="4">
        <v>1.0</v>
      </c>
      <c r="DO161" s="4">
        <v>1.0</v>
      </c>
      <c r="DS161" s="4"/>
      <c r="DV161" s="4">
        <v>1.0</v>
      </c>
      <c r="ED161" s="4"/>
      <c r="EE161" s="4"/>
      <c r="EF161" s="4"/>
      <c r="EG161" s="4"/>
      <c r="EH161" s="4"/>
      <c r="EI161" s="4">
        <v>1.0</v>
      </c>
      <c r="FA161" s="4">
        <v>1.0</v>
      </c>
      <c r="FQ161" s="4">
        <v>1.0</v>
      </c>
      <c r="FV161" s="4">
        <v>1.0</v>
      </c>
    </row>
    <row r="162">
      <c r="A162" s="23">
        <v>43573.0</v>
      </c>
      <c r="B162" s="4" t="s">
        <v>259</v>
      </c>
      <c r="C162" s="4">
        <v>19.737894</v>
      </c>
      <c r="D162" s="4">
        <v>-155.034058</v>
      </c>
      <c r="E162" s="4" t="s">
        <v>482</v>
      </c>
      <c r="F162" s="24">
        <v>0.375</v>
      </c>
      <c r="G162" s="24">
        <v>0.4479166666666667</v>
      </c>
      <c r="H162" s="4">
        <v>7.0</v>
      </c>
      <c r="I162" s="4">
        <v>20.0</v>
      </c>
      <c r="J162" s="4" t="s">
        <v>217</v>
      </c>
      <c r="K162" s="4">
        <v>5.0</v>
      </c>
      <c r="L162" s="4">
        <v>33.0</v>
      </c>
      <c r="M162" s="4" t="s">
        <v>487</v>
      </c>
      <c r="N162" s="4" t="s">
        <v>488</v>
      </c>
      <c r="AI162" s="4"/>
      <c r="AJ162" s="4"/>
      <c r="AK162" s="4"/>
      <c r="AL162" s="4">
        <v>1.0</v>
      </c>
      <c r="BH162" s="4"/>
      <c r="BI162" s="4"/>
      <c r="BJ162" s="4">
        <v>1.0</v>
      </c>
      <c r="BL162" s="4">
        <v>1.0</v>
      </c>
      <c r="CC162" s="4">
        <v>1.0</v>
      </c>
      <c r="DG162" s="4">
        <v>1.0</v>
      </c>
      <c r="FD162" s="4">
        <v>1.0</v>
      </c>
      <c r="FL162" s="4">
        <v>1.0</v>
      </c>
      <c r="FM162" s="4"/>
      <c r="FN162" s="4">
        <v>1.0</v>
      </c>
      <c r="FO162" s="4">
        <v>1.0</v>
      </c>
      <c r="FQ162" s="4">
        <v>1.0</v>
      </c>
      <c r="FT162" s="4"/>
      <c r="FU162" s="4">
        <v>1.0</v>
      </c>
    </row>
    <row r="163">
      <c r="A163" s="31">
        <v>43573.0</v>
      </c>
      <c r="B163" s="32" t="s">
        <v>489</v>
      </c>
      <c r="C163" s="32">
        <v>19.640812</v>
      </c>
      <c r="D163" s="32">
        <v>-156.006927</v>
      </c>
      <c r="E163" s="32" t="s">
        <v>367</v>
      </c>
      <c r="F163" s="33">
        <v>0.375</v>
      </c>
      <c r="G163" s="33">
        <v>0.4791666666666667</v>
      </c>
      <c r="H163" s="32">
        <v>4.0</v>
      </c>
      <c r="I163" s="32">
        <v>20.0</v>
      </c>
      <c r="J163" s="32" t="s">
        <v>198</v>
      </c>
      <c r="K163" s="32">
        <v>10.0</v>
      </c>
      <c r="L163" s="32">
        <v>26.0</v>
      </c>
      <c r="M163" s="32" t="s">
        <v>486</v>
      </c>
      <c r="N163" s="34"/>
    </row>
    <row r="164">
      <c r="A164" s="23">
        <v>43573.0</v>
      </c>
      <c r="B164" s="4" t="s">
        <v>201</v>
      </c>
      <c r="C164" s="4">
        <v>21.25544</v>
      </c>
      <c r="D164" s="4">
        <v>-157.810303</v>
      </c>
      <c r="E164" s="4" t="s">
        <v>477</v>
      </c>
      <c r="F164" s="24">
        <v>0.375</v>
      </c>
      <c r="G164" s="24">
        <v>0.4305555555555556</v>
      </c>
      <c r="H164" s="4">
        <v>5.0</v>
      </c>
      <c r="I164" s="4">
        <v>10.5</v>
      </c>
      <c r="J164" s="4" t="s">
        <v>318</v>
      </c>
      <c r="K164" s="4">
        <v>10.0</v>
      </c>
      <c r="L164" s="4">
        <v>46.0</v>
      </c>
      <c r="M164" s="4" t="s">
        <v>491</v>
      </c>
      <c r="Q164" s="4">
        <v>1.0</v>
      </c>
      <c r="AI164" s="4"/>
      <c r="AJ164" s="4"/>
      <c r="AK164" s="4"/>
      <c r="AL164" s="4">
        <v>1.0</v>
      </c>
      <c r="AS164" s="4">
        <v>1.0</v>
      </c>
      <c r="BL164" s="4">
        <v>1.0</v>
      </c>
      <c r="BT164" s="4">
        <v>1.0</v>
      </c>
      <c r="BU164" s="4">
        <v>1.0</v>
      </c>
      <c r="BV164" s="4">
        <v>1.0</v>
      </c>
      <c r="DA164" s="4"/>
      <c r="DB164" s="4">
        <v>1.0</v>
      </c>
      <c r="DE164" s="4"/>
      <c r="DF164" s="4">
        <v>1.0</v>
      </c>
      <c r="DI164" s="4">
        <v>1.0</v>
      </c>
      <c r="DJ164" s="4"/>
      <c r="DK164" s="4">
        <v>1.0</v>
      </c>
      <c r="DL164" s="4">
        <v>1.0</v>
      </c>
      <c r="DQ164" s="4"/>
      <c r="DR164" s="4">
        <v>1.0</v>
      </c>
      <c r="DT164" s="4"/>
      <c r="DU164" s="4">
        <v>1.0</v>
      </c>
      <c r="EB164" s="4">
        <v>1.0</v>
      </c>
      <c r="ED164" s="4"/>
      <c r="EE164" s="4"/>
      <c r="EF164" s="4"/>
      <c r="EG164" s="4"/>
      <c r="EH164" s="4"/>
      <c r="EI164" s="4">
        <v>1.0</v>
      </c>
      <c r="EX164" s="4"/>
      <c r="EY164" s="4">
        <v>1.0</v>
      </c>
      <c r="EZ164" s="4">
        <v>1.0</v>
      </c>
      <c r="FA164" s="4">
        <v>1.0</v>
      </c>
      <c r="FH164" s="4">
        <v>1.0</v>
      </c>
      <c r="FO164" s="4">
        <v>1.0</v>
      </c>
      <c r="FP164" s="4">
        <v>1.0</v>
      </c>
      <c r="FQ164" s="4">
        <v>1.0</v>
      </c>
      <c r="FT164" s="4"/>
      <c r="FU164" s="4">
        <v>1.0</v>
      </c>
    </row>
    <row r="165">
      <c r="A165" s="23">
        <v>43573.0</v>
      </c>
      <c r="B165" s="4" t="s">
        <v>492</v>
      </c>
      <c r="C165" s="4">
        <v>21.452875</v>
      </c>
      <c r="D165" s="4">
        <v>-158.199966</v>
      </c>
      <c r="E165" s="4" t="s">
        <v>493</v>
      </c>
      <c r="F165" s="24">
        <v>0.3541666666666667</v>
      </c>
      <c r="G165" s="24">
        <v>0.3993055555555556</v>
      </c>
      <c r="H165" s="4">
        <v>6.0</v>
      </c>
      <c r="I165" s="4">
        <v>11.0</v>
      </c>
      <c r="J165" s="4" t="s">
        <v>318</v>
      </c>
      <c r="K165" s="4">
        <v>5.0</v>
      </c>
      <c r="L165" s="4">
        <v>30.0</v>
      </c>
      <c r="Q165" s="4">
        <v>1.0</v>
      </c>
      <c r="BL165" s="4">
        <v>1.0</v>
      </c>
      <c r="BU165" s="4">
        <v>1.0</v>
      </c>
      <c r="BY165" s="4">
        <v>1.0</v>
      </c>
      <c r="CD165" s="4">
        <v>1.0</v>
      </c>
      <c r="CE165" s="4">
        <v>1.0</v>
      </c>
      <c r="DL165" s="4">
        <v>1.0</v>
      </c>
      <c r="ED165" s="4"/>
      <c r="EE165" s="4"/>
      <c r="EF165" s="4"/>
      <c r="EG165" s="4"/>
      <c r="EH165" s="4"/>
      <c r="EI165" s="4">
        <v>1.0</v>
      </c>
      <c r="EX165" s="4"/>
      <c r="EY165" s="4">
        <v>1.0</v>
      </c>
      <c r="FA165" s="4">
        <v>1.0</v>
      </c>
      <c r="FH165" s="4">
        <v>1.0</v>
      </c>
      <c r="FP165" s="4">
        <v>1.0</v>
      </c>
      <c r="FQ165" s="4">
        <v>1.0</v>
      </c>
    </row>
    <row r="166">
      <c r="A166" s="23">
        <v>43577.0</v>
      </c>
      <c r="B166" s="4" t="s">
        <v>301</v>
      </c>
      <c r="C166" s="4">
        <v>22.065599</v>
      </c>
      <c r="D166" s="4">
        <v>-159.317703</v>
      </c>
      <c r="E166" s="4" t="s">
        <v>347</v>
      </c>
      <c r="F166" s="24">
        <v>0.4583333333333333</v>
      </c>
      <c r="G166" s="24">
        <v>0.5</v>
      </c>
      <c r="H166" s="4">
        <v>5.0</v>
      </c>
      <c r="I166" s="4">
        <v>7.0</v>
      </c>
      <c r="J166" s="4" t="s">
        <v>198</v>
      </c>
      <c r="K166" s="4">
        <v>8.0</v>
      </c>
      <c r="L166" s="4">
        <v>40.0</v>
      </c>
      <c r="AB166" s="4"/>
      <c r="AC166" s="4">
        <v>1.0</v>
      </c>
      <c r="BL166" s="4">
        <v>1.0</v>
      </c>
      <c r="BM166" s="4">
        <v>1.0</v>
      </c>
      <c r="BU166" s="4">
        <v>1.0</v>
      </c>
      <c r="BV166" s="4">
        <v>1.0</v>
      </c>
      <c r="BW166" s="4">
        <v>1.0</v>
      </c>
      <c r="BY166" s="4">
        <v>1.0</v>
      </c>
      <c r="CC166" s="4">
        <v>1.0</v>
      </c>
      <c r="DJ166" s="4"/>
      <c r="DK166" s="4">
        <v>1.0</v>
      </c>
      <c r="DL166" s="4">
        <v>1.0</v>
      </c>
      <c r="DQ166" s="4"/>
      <c r="DR166" s="4">
        <v>1.0</v>
      </c>
      <c r="EA166" s="4">
        <v>1.0</v>
      </c>
      <c r="ED166" s="4"/>
      <c r="EE166" s="4"/>
      <c r="EF166" s="4"/>
      <c r="EG166" s="4"/>
      <c r="EH166" s="4"/>
      <c r="EI166" s="4">
        <v>1.0</v>
      </c>
      <c r="FA166" s="4">
        <v>1.0</v>
      </c>
      <c r="FP166" s="4">
        <v>1.0</v>
      </c>
      <c r="FQ166" s="4">
        <v>1.0</v>
      </c>
      <c r="GC166" s="4">
        <v>1.0</v>
      </c>
    </row>
    <row r="167">
      <c r="A167" s="23">
        <v>43577.0</v>
      </c>
      <c r="B167" s="4" t="s">
        <v>266</v>
      </c>
      <c r="C167" s="4">
        <v>22.060684</v>
      </c>
      <c r="D167" s="4">
        <v>-159.318512</v>
      </c>
      <c r="E167" s="4" t="s">
        <v>418</v>
      </c>
      <c r="F167" s="24">
        <v>0.4618055555555556</v>
      </c>
      <c r="G167" s="24">
        <v>0.5</v>
      </c>
      <c r="H167" s="4">
        <v>5.0</v>
      </c>
      <c r="I167" s="4">
        <v>15.0</v>
      </c>
      <c r="J167" s="4" t="s">
        <v>198</v>
      </c>
      <c r="K167" s="4">
        <v>9.0</v>
      </c>
      <c r="L167" s="4">
        <v>40.0</v>
      </c>
      <c r="M167" s="4" t="s">
        <v>494</v>
      </c>
      <c r="N167" s="4" t="s">
        <v>495</v>
      </c>
      <c r="R167" s="4">
        <v>2.0</v>
      </c>
      <c r="AB167" s="4"/>
      <c r="AC167" s="4">
        <v>2.0</v>
      </c>
      <c r="AH167" s="4">
        <v>1.0</v>
      </c>
      <c r="AT167" s="4"/>
      <c r="AU167" s="4">
        <v>1.0</v>
      </c>
      <c r="AZ167" s="4"/>
      <c r="BA167" s="4">
        <v>1.0</v>
      </c>
      <c r="BK167" s="4">
        <v>1.0</v>
      </c>
      <c r="BL167" s="4">
        <v>1.0</v>
      </c>
      <c r="BM167" s="4">
        <v>1.0</v>
      </c>
      <c r="BT167" s="4">
        <v>1.0</v>
      </c>
      <c r="BU167" s="4">
        <v>1.0</v>
      </c>
      <c r="BY167" s="4">
        <v>1.0</v>
      </c>
      <c r="CA167" s="4">
        <v>2.0</v>
      </c>
      <c r="CO167" s="4"/>
      <c r="CP167" s="4"/>
      <c r="CQ167" s="4"/>
      <c r="CR167" s="4">
        <v>1.0</v>
      </c>
      <c r="CU167" s="4">
        <v>1.0</v>
      </c>
      <c r="DE167" s="4"/>
      <c r="DF167" s="4">
        <v>2.0</v>
      </c>
      <c r="DL167" s="4">
        <v>1.0</v>
      </c>
      <c r="DQ167" s="4"/>
      <c r="DR167" s="4">
        <v>1.0</v>
      </c>
      <c r="DT167" s="4"/>
      <c r="DU167" s="4">
        <v>1.0</v>
      </c>
      <c r="ED167" s="4"/>
      <c r="EE167" s="4"/>
      <c r="EF167" s="4"/>
      <c r="EG167" s="4"/>
      <c r="EH167" s="4"/>
      <c r="EI167" s="4">
        <v>1.0</v>
      </c>
      <c r="FA167" s="4">
        <v>1.0</v>
      </c>
      <c r="FO167" s="4">
        <v>2.0</v>
      </c>
      <c r="FP167" s="4">
        <v>1.0</v>
      </c>
      <c r="FQ167" s="4">
        <v>1.0</v>
      </c>
      <c r="FT167" s="4"/>
      <c r="FU167" s="4">
        <v>1.0</v>
      </c>
    </row>
    <row r="168">
      <c r="A168" s="23">
        <v>43577.0</v>
      </c>
      <c r="B168" s="4" t="s">
        <v>293</v>
      </c>
      <c r="C168" s="4">
        <v>19.738602</v>
      </c>
      <c r="D168" s="4">
        <v>-155.038879</v>
      </c>
      <c r="E168" s="4" t="s">
        <v>496</v>
      </c>
      <c r="F168" s="24">
        <v>0.4173611111111111</v>
      </c>
      <c r="G168" s="24">
        <v>0.45694444444444443</v>
      </c>
      <c r="H168" s="4">
        <v>6.0</v>
      </c>
      <c r="I168" s="4">
        <v>11.0</v>
      </c>
      <c r="J168" s="4" t="s">
        <v>318</v>
      </c>
      <c r="K168" s="4">
        <v>5.0</v>
      </c>
      <c r="L168" s="4">
        <v>27.0</v>
      </c>
      <c r="M168" s="4" t="s">
        <v>497</v>
      </c>
      <c r="AB168" s="4"/>
      <c r="AC168" s="4">
        <v>1.0</v>
      </c>
      <c r="BH168" s="4"/>
      <c r="BI168" s="4"/>
      <c r="BJ168" s="4">
        <v>1.0</v>
      </c>
      <c r="BL168" s="4">
        <v>1.0</v>
      </c>
      <c r="CD168" s="4">
        <v>1.0</v>
      </c>
      <c r="DX168" s="4">
        <v>1.0</v>
      </c>
      <c r="ED168" s="4"/>
      <c r="EE168" s="4"/>
      <c r="EF168" s="4"/>
      <c r="EG168" s="4"/>
      <c r="EH168" s="4"/>
      <c r="EI168" s="4">
        <v>1.0</v>
      </c>
      <c r="EJ168" s="4">
        <v>1.0</v>
      </c>
      <c r="EO168" s="4">
        <v>1.0</v>
      </c>
      <c r="EP168" s="4">
        <v>1.0</v>
      </c>
      <c r="EQ168" s="4">
        <v>1.0</v>
      </c>
      <c r="FD168" s="4">
        <v>1.0</v>
      </c>
      <c r="FL168" s="4">
        <v>1.0</v>
      </c>
      <c r="FM168" s="4"/>
      <c r="FN168" s="4">
        <v>1.0</v>
      </c>
      <c r="FQ168" s="4">
        <v>1.0</v>
      </c>
    </row>
    <row r="169">
      <c r="A169" s="23">
        <v>43578.0</v>
      </c>
      <c r="B169" s="4" t="s">
        <v>201</v>
      </c>
      <c r="C169" s="36">
        <v>21.25544</v>
      </c>
      <c r="D169" s="36">
        <v>-157.810303</v>
      </c>
      <c r="E169" s="4" t="s">
        <v>418</v>
      </c>
      <c r="F169" s="24">
        <v>0.4791666666666667</v>
      </c>
      <c r="G169" s="24">
        <v>0.5104166666666666</v>
      </c>
      <c r="H169" s="4">
        <v>6.0</v>
      </c>
      <c r="I169" s="4">
        <v>14.0</v>
      </c>
      <c r="J169" s="4" t="s">
        <v>198</v>
      </c>
      <c r="K169" s="4">
        <v>5.0</v>
      </c>
      <c r="L169" s="4">
        <v>18.0</v>
      </c>
      <c r="M169" s="4" t="s">
        <v>498</v>
      </c>
      <c r="N169" s="4"/>
      <c r="Q169" s="4">
        <v>1.0</v>
      </c>
      <c r="AC169" s="4">
        <v>1.0</v>
      </c>
      <c r="AM169" s="4"/>
      <c r="AR169" s="4">
        <v>1.0</v>
      </c>
      <c r="AT169" s="4"/>
      <c r="BE169" s="4"/>
      <c r="BL169" s="4"/>
      <c r="BV169" s="4"/>
      <c r="BY169" s="4">
        <v>1.0</v>
      </c>
      <c r="CB169" s="4"/>
      <c r="CC169" s="4"/>
      <c r="CD169" s="4"/>
      <c r="DL169" s="4">
        <v>1.0</v>
      </c>
      <c r="DN169" s="4">
        <v>1.0</v>
      </c>
      <c r="DQ169" s="4"/>
      <c r="DR169" s="4">
        <v>1.0</v>
      </c>
      <c r="EB169" s="4"/>
      <c r="EC169" s="4"/>
      <c r="ED169" s="4"/>
      <c r="EE169" s="4"/>
      <c r="EF169" s="4"/>
      <c r="EG169" s="4"/>
      <c r="EH169" s="4"/>
      <c r="EI169" s="4">
        <v>1.0</v>
      </c>
      <c r="ER169" s="4"/>
      <c r="ES169" s="4"/>
      <c r="ET169" s="4"/>
      <c r="EU169" s="4"/>
      <c r="EX169" s="4"/>
      <c r="EY169" s="4">
        <v>1.0</v>
      </c>
      <c r="EZ169" s="4"/>
      <c r="FA169" s="4">
        <v>1.0</v>
      </c>
      <c r="FC169" s="4"/>
      <c r="FE169" s="4"/>
      <c r="FP169" s="4">
        <v>1.0</v>
      </c>
      <c r="FQ169" s="4">
        <v>1.0</v>
      </c>
      <c r="FS169" s="4">
        <v>1.0</v>
      </c>
      <c r="FW169" s="4"/>
    </row>
    <row r="170">
      <c r="A170" s="23">
        <v>43587.0</v>
      </c>
      <c r="B170" s="4" t="s">
        <v>499</v>
      </c>
      <c r="C170" s="4">
        <v>20.714273</v>
      </c>
      <c r="D170" s="4">
        <v>-156.447128</v>
      </c>
      <c r="E170" s="4" t="s">
        <v>418</v>
      </c>
      <c r="F170" s="24">
        <v>0.39444444444444443</v>
      </c>
      <c r="G170" s="24">
        <v>0.4270833333333333</v>
      </c>
      <c r="H170" s="4">
        <v>10.0</v>
      </c>
      <c r="I170" s="4">
        <v>10.0</v>
      </c>
      <c r="J170" s="4" t="s">
        <v>198</v>
      </c>
      <c r="K170" s="4">
        <v>5.0</v>
      </c>
      <c r="L170" s="4">
        <v>25.0</v>
      </c>
      <c r="M170" s="4" t="s">
        <v>500</v>
      </c>
      <c r="N170" s="4" t="s">
        <v>501</v>
      </c>
      <c r="AM170" s="4">
        <v>1.0</v>
      </c>
      <c r="AT170" s="4">
        <v>1.0</v>
      </c>
      <c r="BE170" s="4">
        <v>2.0</v>
      </c>
      <c r="BL170" s="4">
        <v>1.0</v>
      </c>
      <c r="BV170" s="4">
        <v>1.0</v>
      </c>
      <c r="CB170" s="4">
        <v>1.0</v>
      </c>
      <c r="CC170" s="4">
        <v>1.0</v>
      </c>
      <c r="CD170" s="4">
        <v>1.0</v>
      </c>
      <c r="EB170" s="4">
        <v>1.0</v>
      </c>
      <c r="EC170" s="4">
        <v>1.0</v>
      </c>
      <c r="ED170" s="4"/>
      <c r="EE170" s="4"/>
      <c r="EF170" s="4"/>
      <c r="EG170" s="4"/>
      <c r="EH170" s="4"/>
      <c r="EI170" s="4">
        <v>1.0</v>
      </c>
      <c r="ER170" s="4"/>
      <c r="ES170" s="4"/>
      <c r="ET170" s="4"/>
      <c r="EU170" s="4">
        <v>1.0</v>
      </c>
      <c r="EZ170" s="4">
        <v>1.0</v>
      </c>
      <c r="FC170" s="4"/>
      <c r="FE170" s="4">
        <v>1.0</v>
      </c>
      <c r="FP170" s="4">
        <v>1.0</v>
      </c>
      <c r="FQ170" s="4">
        <v>1.0</v>
      </c>
      <c r="FW170" s="4">
        <v>1.0</v>
      </c>
    </row>
    <row r="171">
      <c r="A171" s="23">
        <v>43602.0</v>
      </c>
      <c r="B171" s="4" t="s">
        <v>489</v>
      </c>
      <c r="C171" s="4">
        <v>19.640812</v>
      </c>
      <c r="D171" s="4">
        <v>-156.006927</v>
      </c>
      <c r="E171" s="4" t="s">
        <v>418</v>
      </c>
      <c r="F171" s="24">
        <v>0.3645833333333333</v>
      </c>
      <c r="G171" s="24">
        <v>0.4479166666666667</v>
      </c>
      <c r="H171" s="4">
        <v>5.0</v>
      </c>
      <c r="I171" s="4">
        <v>22.0</v>
      </c>
      <c r="J171" s="4" t="s">
        <v>227</v>
      </c>
      <c r="K171" s="4">
        <v>10.0</v>
      </c>
      <c r="L171" s="4">
        <v>19.0</v>
      </c>
      <c r="M171" s="4" t="s">
        <v>502</v>
      </c>
      <c r="AB171" s="4"/>
      <c r="AC171" s="4">
        <v>1.0</v>
      </c>
      <c r="AG171" s="4">
        <v>1.0</v>
      </c>
      <c r="AZ171" s="4"/>
      <c r="BA171" s="4">
        <v>1.0</v>
      </c>
      <c r="BF171" s="4">
        <v>1.0</v>
      </c>
      <c r="BG171" s="4">
        <v>1.0</v>
      </c>
      <c r="BK171" s="4">
        <v>1.0</v>
      </c>
      <c r="BL171" s="4">
        <v>1.0</v>
      </c>
      <c r="CB171" s="4">
        <v>1.0</v>
      </c>
      <c r="CC171" s="4">
        <v>1.0</v>
      </c>
      <c r="DL171" s="4">
        <v>1.0</v>
      </c>
      <c r="ED171" s="4"/>
      <c r="EE171" s="4"/>
      <c r="EF171" s="4"/>
      <c r="EG171" s="4"/>
      <c r="EH171" s="4"/>
      <c r="EI171" s="4">
        <v>1.0</v>
      </c>
      <c r="EZ171" s="4">
        <v>1.0</v>
      </c>
      <c r="FA171" s="4">
        <v>1.0</v>
      </c>
      <c r="FQ171" s="4">
        <v>1.0</v>
      </c>
      <c r="FT171" s="4"/>
      <c r="FU171" s="4">
        <v>1.0</v>
      </c>
    </row>
    <row r="172">
      <c r="A172" s="23">
        <v>43602.0</v>
      </c>
      <c r="B172" s="4" t="s">
        <v>244</v>
      </c>
      <c r="C172" s="4">
        <v>21.310612</v>
      </c>
      <c r="D172" s="4">
        <v>-158.00441</v>
      </c>
      <c r="E172" s="4" t="s">
        <v>503</v>
      </c>
      <c r="F172" s="24">
        <v>0.3541666666666667</v>
      </c>
      <c r="G172" s="24">
        <v>0.4375</v>
      </c>
      <c r="H172" s="4">
        <v>5.0</v>
      </c>
      <c r="I172" s="4">
        <v>10.0</v>
      </c>
      <c r="J172" s="4" t="s">
        <v>217</v>
      </c>
      <c r="K172" s="4">
        <v>5.0</v>
      </c>
      <c r="L172" s="4">
        <v>25.0</v>
      </c>
      <c r="Q172" s="4">
        <v>1.0</v>
      </c>
      <c r="AD172" s="4">
        <v>1.0</v>
      </c>
      <c r="AH172" s="4">
        <v>1.0</v>
      </c>
      <c r="BB172" s="4">
        <v>1.0</v>
      </c>
      <c r="BC172" s="4">
        <v>1.0</v>
      </c>
      <c r="BD172" s="4">
        <v>1.0</v>
      </c>
      <c r="BL172" s="4">
        <v>1.0</v>
      </c>
      <c r="BU172" s="4">
        <v>1.0</v>
      </c>
      <c r="BY172" s="4">
        <v>1.0</v>
      </c>
      <c r="EB172" s="4">
        <v>1.0</v>
      </c>
      <c r="ED172" s="4"/>
      <c r="EE172" s="4"/>
      <c r="EF172" s="4"/>
      <c r="EG172" s="4"/>
      <c r="EH172" s="4"/>
      <c r="EI172" s="4">
        <v>1.0</v>
      </c>
      <c r="EW172" s="4">
        <v>1.0</v>
      </c>
      <c r="FC172" s="4"/>
      <c r="FE172" s="4">
        <v>1.0</v>
      </c>
      <c r="FP172" s="4">
        <v>1.0</v>
      </c>
      <c r="FQ172" s="4">
        <v>1.0</v>
      </c>
      <c r="FT172" s="4"/>
      <c r="FU172" s="4">
        <v>1.0</v>
      </c>
    </row>
    <row r="173">
      <c r="A173" s="23">
        <v>43734.0</v>
      </c>
      <c r="B173" s="4" t="s">
        <v>329</v>
      </c>
      <c r="C173" s="4">
        <v>21.1408</v>
      </c>
      <c r="D173" s="4">
        <v>-157.290115</v>
      </c>
      <c r="E173" s="4" t="s">
        <v>286</v>
      </c>
      <c r="F173" s="24">
        <v>0.375</v>
      </c>
      <c r="G173" s="24">
        <v>0.39166666666666666</v>
      </c>
      <c r="H173" s="4">
        <v>3.0</v>
      </c>
      <c r="I173" s="4">
        <v>14.0</v>
      </c>
      <c r="J173" s="4" t="s">
        <v>198</v>
      </c>
      <c r="K173" s="4">
        <v>14.0</v>
      </c>
      <c r="L173" s="4">
        <v>15.0</v>
      </c>
      <c r="M173" s="4" t="s">
        <v>504</v>
      </c>
      <c r="N173" s="4" t="s">
        <v>505</v>
      </c>
      <c r="AS173" s="4">
        <v>2.0</v>
      </c>
      <c r="BW173" s="4">
        <v>1.0</v>
      </c>
      <c r="ED173" s="4"/>
      <c r="EE173" s="4"/>
      <c r="EF173" s="4"/>
      <c r="EG173" s="4"/>
      <c r="EH173" s="4"/>
      <c r="EI173" s="4">
        <v>1.0</v>
      </c>
      <c r="FB173" s="4">
        <v>1.0</v>
      </c>
      <c r="FX173" s="4"/>
      <c r="FY173" s="4">
        <v>1.0</v>
      </c>
    </row>
    <row r="174">
      <c r="A174" s="23">
        <v>43735.0</v>
      </c>
      <c r="B174" s="4" t="s">
        <v>329</v>
      </c>
      <c r="C174" s="4">
        <v>21.1408</v>
      </c>
      <c r="D174" s="4">
        <v>-157.290115</v>
      </c>
      <c r="E174" s="4" t="s">
        <v>286</v>
      </c>
      <c r="F174" s="24">
        <v>0.3729166666666667</v>
      </c>
      <c r="G174" s="24">
        <v>0.38958333333333334</v>
      </c>
      <c r="H174" s="4">
        <v>6.0</v>
      </c>
      <c r="I174" s="4">
        <v>13.0</v>
      </c>
      <c r="J174" s="4" t="s">
        <v>198</v>
      </c>
      <c r="K174" s="4">
        <v>13.0</v>
      </c>
      <c r="L174" s="4">
        <v>42.0</v>
      </c>
      <c r="M174" s="4" t="s">
        <v>506</v>
      </c>
      <c r="N174" s="4" t="s">
        <v>507</v>
      </c>
      <c r="R174" s="4">
        <v>2.0</v>
      </c>
      <c r="AF174" s="4">
        <v>1.0</v>
      </c>
      <c r="AR174" s="4">
        <v>1.0</v>
      </c>
      <c r="BN174" s="4"/>
      <c r="BO174" s="4">
        <v>1.0</v>
      </c>
      <c r="CA174" s="4">
        <v>1.0</v>
      </c>
      <c r="CO174" s="4"/>
      <c r="CP174" s="4"/>
      <c r="CQ174" s="4"/>
      <c r="CR174" s="4">
        <v>1.0</v>
      </c>
      <c r="DE174" s="4"/>
      <c r="DF174" s="4">
        <v>1.0</v>
      </c>
      <c r="ED174" s="4"/>
      <c r="EE174" s="4"/>
      <c r="EF174" s="4"/>
      <c r="EG174" s="4"/>
      <c r="EH174" s="4"/>
      <c r="EI174" s="4">
        <v>1.0</v>
      </c>
      <c r="FA174" s="4">
        <v>1.0</v>
      </c>
      <c r="FQ174" s="4">
        <v>1.0</v>
      </c>
    </row>
    <row r="175">
      <c r="A175" s="48">
        <v>43839.0</v>
      </c>
      <c r="B175" s="7" t="s">
        <v>366</v>
      </c>
      <c r="C175" s="7">
        <v>19.715052</v>
      </c>
      <c r="D175" s="7">
        <v>-156.049133</v>
      </c>
      <c r="E175" s="7" t="s">
        <v>508</v>
      </c>
      <c r="F175" s="54">
        <v>0.451388888888889</v>
      </c>
      <c r="G175" s="54">
        <v>0.486111111111111</v>
      </c>
      <c r="H175" s="49">
        <v>5.0</v>
      </c>
      <c r="I175" s="49">
        <v>20.0</v>
      </c>
      <c r="J175" s="49" t="s">
        <v>198</v>
      </c>
      <c r="K175" s="49">
        <v>5.0</v>
      </c>
      <c r="L175" s="49">
        <v>20.0</v>
      </c>
      <c r="M175" s="49" t="s">
        <v>509</v>
      </c>
      <c r="N175" s="49"/>
      <c r="O175" s="49">
        <v>20.0</v>
      </c>
      <c r="P175" s="49" t="s">
        <v>510</v>
      </c>
      <c r="Q175" s="35"/>
      <c r="R175" s="49"/>
      <c r="S175" s="49">
        <v>1.0</v>
      </c>
      <c r="T175" s="49"/>
      <c r="U175" s="49"/>
      <c r="V175" s="49"/>
      <c r="W175" s="49"/>
      <c r="X175" s="49"/>
      <c r="Y175" s="49"/>
      <c r="Z175" s="49"/>
      <c r="AA175" s="49"/>
      <c r="AB175" s="49"/>
      <c r="AC175" s="49">
        <v>1.0</v>
      </c>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49"/>
      <c r="BF175" s="49"/>
      <c r="BG175" s="49"/>
      <c r="BH175" s="49"/>
      <c r="BI175" s="49"/>
      <c r="BJ175" s="49"/>
      <c r="BK175" s="49"/>
      <c r="BL175" s="49">
        <v>1.0</v>
      </c>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49"/>
      <c r="CV175" s="49"/>
      <c r="CW175" s="49"/>
      <c r="CX175" s="49"/>
      <c r="CY175" s="49"/>
      <c r="CZ175" s="49">
        <v>1.0</v>
      </c>
      <c r="DA175" s="35"/>
      <c r="DB175" s="35"/>
      <c r="DC175" s="35"/>
      <c r="DD175" s="35"/>
      <c r="DE175" s="35"/>
      <c r="DF175" s="35"/>
      <c r="DG175" s="35"/>
      <c r="DH175" s="35"/>
      <c r="DI175" s="35"/>
      <c r="DJ175" s="35"/>
      <c r="DK175" s="35"/>
      <c r="DL175" s="35"/>
      <c r="DM175" s="49"/>
      <c r="DN175" s="49"/>
      <c r="DO175" s="49">
        <v>1.0</v>
      </c>
      <c r="DP175" s="35"/>
      <c r="DQ175" s="35"/>
      <c r="DR175" s="35"/>
      <c r="DS175" s="35"/>
      <c r="DT175" s="35"/>
      <c r="DU175" s="35"/>
      <c r="DV175" s="35"/>
      <c r="DW175" s="35"/>
      <c r="DX175" s="35"/>
      <c r="DY175" s="35"/>
      <c r="DZ175" s="35"/>
      <c r="EA175" s="35"/>
      <c r="EB175" s="35"/>
      <c r="EC175" s="35"/>
      <c r="ED175" s="35"/>
      <c r="EE175" s="35"/>
      <c r="EF175" s="35"/>
      <c r="EG175" s="35"/>
      <c r="EH175" s="35"/>
      <c r="EI175" s="35"/>
      <c r="EJ175" s="35"/>
      <c r="EK175" s="35"/>
      <c r="EL175" s="35"/>
      <c r="EM175" s="35"/>
      <c r="EN175" s="35"/>
      <c r="EO175" s="35"/>
      <c r="EP175" s="35"/>
      <c r="EQ175" s="35"/>
      <c r="ER175" s="35"/>
      <c r="ES175" s="35"/>
      <c r="ET175" s="35"/>
      <c r="EU175" s="35"/>
      <c r="EV175" s="35"/>
      <c r="EW175" s="35"/>
      <c r="EX175" s="35"/>
      <c r="EY175" s="35"/>
      <c r="EZ175" s="35"/>
      <c r="FA175" s="35"/>
      <c r="FB175" s="35"/>
      <c r="FC175" s="35"/>
      <c r="FD175" s="35"/>
      <c r="FE175" s="35"/>
      <c r="FF175" s="35"/>
      <c r="FG175" s="35"/>
      <c r="FH175" s="35"/>
      <c r="FI175" s="35"/>
      <c r="FJ175" s="35"/>
      <c r="FK175" s="35"/>
      <c r="FL175" s="35"/>
      <c r="FM175" s="35"/>
      <c r="FN175" s="35"/>
      <c r="FO175" s="35"/>
      <c r="FP175" s="35"/>
      <c r="FQ175" s="49">
        <v>1.0</v>
      </c>
      <c r="FR175" s="49"/>
      <c r="FS175" s="49"/>
      <c r="FT175" s="49"/>
      <c r="FU175" s="49">
        <v>1.0</v>
      </c>
      <c r="FW175" s="35"/>
      <c r="FX175" s="35"/>
      <c r="FY175" s="35"/>
      <c r="FZ175" s="35"/>
      <c r="GA175" s="35"/>
      <c r="GB175" s="35"/>
      <c r="GC175" s="35"/>
      <c r="GD175" s="35"/>
      <c r="GL175" s="35"/>
      <c r="GM175" s="35"/>
      <c r="GN175" s="35"/>
      <c r="GO175" s="35"/>
      <c r="GP175" s="35"/>
      <c r="GQ175" s="35"/>
      <c r="GR175" s="35"/>
    </row>
    <row r="176">
      <c r="A176" s="48">
        <v>43840.0</v>
      </c>
      <c r="B176" s="7" t="s">
        <v>511</v>
      </c>
      <c r="C176" s="7">
        <v>19.5791</v>
      </c>
      <c r="D176" s="49">
        <v>-155.967804</v>
      </c>
      <c r="E176" s="7" t="s">
        <v>508</v>
      </c>
      <c r="F176" s="54">
        <v>0.425</v>
      </c>
      <c r="G176" s="54">
        <v>0.461805555555556</v>
      </c>
      <c r="H176" s="49">
        <v>5.0</v>
      </c>
      <c r="I176" s="49">
        <v>20.0</v>
      </c>
      <c r="J176" s="49" t="s">
        <v>198</v>
      </c>
      <c r="K176" s="49">
        <v>5.0</v>
      </c>
      <c r="L176" s="4">
        <v>24.0</v>
      </c>
      <c r="M176" s="4" t="s">
        <v>512</v>
      </c>
      <c r="O176" s="4">
        <v>24.0</v>
      </c>
      <c r="BE176" s="4"/>
      <c r="BF176" s="4"/>
      <c r="BG176" s="4"/>
      <c r="BH176" s="4"/>
      <c r="BI176" s="4"/>
      <c r="BJ176" s="4"/>
      <c r="BK176" s="4"/>
      <c r="BL176" s="4">
        <v>1.0</v>
      </c>
      <c r="FQ176" s="4">
        <v>1.0</v>
      </c>
      <c r="GM176" s="35"/>
      <c r="GN176" s="35"/>
      <c r="GO176" s="35"/>
      <c r="GP176" s="35"/>
      <c r="GQ176" s="35"/>
      <c r="GR176" s="35"/>
    </row>
    <row r="177">
      <c r="A177" s="55">
        <v>43868.0</v>
      </c>
      <c r="B177" s="7" t="s">
        <v>511</v>
      </c>
      <c r="C177" s="7">
        <v>19.5791</v>
      </c>
      <c r="D177" s="7">
        <v>-155.967804</v>
      </c>
      <c r="E177" s="4" t="s">
        <v>508</v>
      </c>
      <c r="F177" s="54">
        <v>0.420833333333333</v>
      </c>
      <c r="G177" s="54">
        <v>0.451388888888889</v>
      </c>
      <c r="H177" s="4">
        <v>5.0</v>
      </c>
      <c r="I177" s="4">
        <v>20.0</v>
      </c>
      <c r="J177" s="4" t="s">
        <v>198</v>
      </c>
      <c r="K177" s="4">
        <v>5.0</v>
      </c>
      <c r="L177" s="4">
        <v>25.0</v>
      </c>
      <c r="O177" s="4">
        <v>25.0</v>
      </c>
      <c r="BE177" s="4"/>
      <c r="BF177" s="4"/>
      <c r="BG177" s="4"/>
      <c r="BH177" s="4"/>
      <c r="BI177" s="4"/>
      <c r="BJ177" s="4"/>
      <c r="BK177" s="4"/>
      <c r="BL177" s="4">
        <v>1.0</v>
      </c>
      <c r="CH177" s="4"/>
      <c r="CI177" s="4"/>
      <c r="CJ177" s="4"/>
      <c r="CK177" s="4"/>
      <c r="CL177" s="4"/>
      <c r="CM177" s="4"/>
      <c r="CN177" s="4"/>
      <c r="CO177" s="4"/>
      <c r="CP177" s="4"/>
      <c r="CQ177" s="4"/>
      <c r="CR177" s="4"/>
      <c r="CS177" s="4"/>
      <c r="CT177" s="4">
        <v>1.0</v>
      </c>
      <c r="FQ177" s="4">
        <v>1.0</v>
      </c>
      <c r="GL177" s="35"/>
      <c r="GM177" s="35"/>
      <c r="GN177" s="35"/>
      <c r="GO177" s="35"/>
      <c r="GP177" s="35"/>
      <c r="GQ177" s="35"/>
      <c r="GR177" s="35"/>
    </row>
    <row r="178">
      <c r="A178" s="23">
        <v>43882.0</v>
      </c>
      <c r="B178" s="4" t="s">
        <v>340</v>
      </c>
      <c r="C178" s="7">
        <v>19.643276</v>
      </c>
      <c r="D178" s="4">
        <v>-156.010193</v>
      </c>
      <c r="E178" s="7" t="s">
        <v>508</v>
      </c>
      <c r="F178" s="54">
        <v>0.41875</v>
      </c>
      <c r="G178" s="54">
        <v>0.444444444444444</v>
      </c>
      <c r="H178" s="4">
        <v>5.0</v>
      </c>
      <c r="I178" s="4">
        <v>20.0</v>
      </c>
      <c r="J178" s="4" t="s">
        <v>198</v>
      </c>
      <c r="K178" s="4">
        <v>5.0</v>
      </c>
      <c r="L178" s="4">
        <v>25.0</v>
      </c>
      <c r="O178" s="4">
        <v>25.0</v>
      </c>
      <c r="BE178" s="4"/>
      <c r="BF178" s="4"/>
      <c r="BG178" s="4"/>
      <c r="BH178" s="4"/>
      <c r="BI178" s="4"/>
      <c r="BJ178" s="4"/>
      <c r="BK178" s="4"/>
      <c r="BL178" s="4">
        <v>1.0</v>
      </c>
      <c r="BW178" s="4"/>
      <c r="BZ178" s="4"/>
      <c r="CA178" s="4"/>
      <c r="CB178" s="4">
        <v>1.0</v>
      </c>
      <c r="DM178" s="4"/>
      <c r="DN178" s="4"/>
      <c r="DO178" s="4"/>
      <c r="DP178" s="4"/>
      <c r="DQ178" s="4"/>
      <c r="DR178" s="4"/>
      <c r="DS178" s="4"/>
      <c r="DT178" s="4"/>
      <c r="DU178" s="4"/>
      <c r="DV178" s="4"/>
      <c r="DW178" s="4"/>
      <c r="DX178" s="4"/>
      <c r="DY178" s="4"/>
      <c r="DZ178" s="4"/>
      <c r="EA178" s="4"/>
      <c r="EB178" s="4"/>
      <c r="EC178" s="4"/>
      <c r="ED178" s="4"/>
      <c r="EE178" s="4"/>
      <c r="EF178" s="4"/>
      <c r="EG178" s="4"/>
      <c r="EH178" s="4"/>
      <c r="EI178" s="4">
        <v>1.0</v>
      </c>
      <c r="FF178" s="4"/>
      <c r="FG178" s="4"/>
      <c r="FH178" s="4"/>
      <c r="FI178" s="4"/>
      <c r="FJ178" s="4"/>
      <c r="FK178" s="4"/>
      <c r="FL178" s="4">
        <v>1.0</v>
      </c>
      <c r="FM178" s="4"/>
      <c r="FN178" s="4"/>
      <c r="FO178" s="4"/>
      <c r="FP178" s="4">
        <v>1.0</v>
      </c>
      <c r="FQ178" s="4">
        <v>1.0</v>
      </c>
      <c r="FR178" s="4"/>
      <c r="FS178" s="4"/>
      <c r="FT178" s="4"/>
      <c r="FU178" s="4">
        <v>1.0</v>
      </c>
      <c r="GL178" s="12"/>
      <c r="GM178" s="12"/>
      <c r="GN178" s="12"/>
      <c r="GO178" s="12"/>
      <c r="GP178" s="12"/>
      <c r="GQ178" s="12"/>
      <c r="GR178" s="12"/>
    </row>
    <row r="179">
      <c r="A179" s="56">
        <v>43885.0</v>
      </c>
      <c r="B179" s="4" t="s">
        <v>233</v>
      </c>
      <c r="C179" s="7">
        <v>21.066799</v>
      </c>
      <c r="D179" s="4">
        <v>-156.804993</v>
      </c>
      <c r="E179" s="4" t="s">
        <v>286</v>
      </c>
      <c r="F179" s="54">
        <v>0.475694444444444</v>
      </c>
      <c r="G179" s="57">
        <v>0.5104166666666666</v>
      </c>
      <c r="H179" s="4">
        <v>5.0</v>
      </c>
      <c r="I179" s="4">
        <v>25.0</v>
      </c>
      <c r="J179" s="4" t="s">
        <v>198</v>
      </c>
      <c r="K179" s="4">
        <v>7.0</v>
      </c>
      <c r="L179" s="4">
        <v>28.0</v>
      </c>
      <c r="M179" s="4" t="s">
        <v>516</v>
      </c>
      <c r="N179" s="4"/>
      <c r="O179" s="4">
        <v>28.0</v>
      </c>
      <c r="P179" s="4" t="s">
        <v>517</v>
      </c>
      <c r="Q179" s="4">
        <v>1.0</v>
      </c>
      <c r="AE179" s="4"/>
      <c r="AF179" s="4"/>
      <c r="AG179" s="4"/>
      <c r="AH179" s="4"/>
      <c r="AI179" s="4"/>
      <c r="AJ179" s="4"/>
      <c r="AK179" s="4"/>
      <c r="AL179" s="4"/>
      <c r="AM179" s="4">
        <v>1.0</v>
      </c>
      <c r="BE179" s="4"/>
      <c r="BF179" s="4"/>
      <c r="BG179" s="4"/>
      <c r="BH179" s="4"/>
      <c r="BI179" s="4"/>
      <c r="BJ179" s="4"/>
      <c r="BK179" s="4"/>
      <c r="BL179" s="4">
        <v>1.0</v>
      </c>
      <c r="BM179" s="4"/>
      <c r="BN179" s="4"/>
      <c r="BO179" s="4"/>
      <c r="BP179" s="4"/>
      <c r="BQ179" s="4"/>
      <c r="BR179" s="4"/>
      <c r="BS179" s="4"/>
      <c r="BT179" s="4"/>
      <c r="BU179" s="4">
        <v>1.0</v>
      </c>
      <c r="BV179" s="4"/>
      <c r="BX179" s="4"/>
      <c r="BY179" s="4">
        <v>1.0</v>
      </c>
      <c r="CH179" s="4"/>
      <c r="CI179" s="4"/>
      <c r="CJ179" s="4"/>
      <c r="CK179" s="4"/>
      <c r="CL179" s="4"/>
      <c r="CM179" s="4"/>
      <c r="CN179" s="4"/>
      <c r="CO179" s="4"/>
      <c r="CP179" s="4"/>
      <c r="CQ179" s="4"/>
      <c r="CR179" s="4"/>
      <c r="CS179" s="4"/>
      <c r="CT179" s="4"/>
      <c r="CU179" s="4"/>
      <c r="CV179" s="4"/>
      <c r="CW179" s="4"/>
      <c r="CX179" s="4"/>
      <c r="CY179" s="4"/>
      <c r="CZ179" s="4"/>
      <c r="DA179" s="4"/>
      <c r="DB179" s="4"/>
      <c r="DC179" s="4"/>
      <c r="DD179" s="4"/>
      <c r="DE179" s="4"/>
      <c r="DF179" s="4">
        <v>1.0</v>
      </c>
      <c r="DG179" s="4"/>
      <c r="DH179" s="4"/>
      <c r="DI179" s="4"/>
      <c r="DJ179" s="4"/>
      <c r="DK179" s="4"/>
      <c r="DL179" s="4">
        <v>1.0</v>
      </c>
      <c r="DM179" s="4"/>
      <c r="DN179" s="4"/>
      <c r="DO179" s="4"/>
      <c r="DP179" s="4"/>
      <c r="DQ179" s="4"/>
      <c r="DR179" s="4"/>
      <c r="DS179" s="4"/>
      <c r="DT179" s="4"/>
      <c r="DU179" s="4"/>
      <c r="DV179" s="4"/>
      <c r="DW179" s="4"/>
      <c r="DX179" s="4"/>
      <c r="DY179" s="4"/>
      <c r="DZ179" s="4"/>
      <c r="EA179" s="4"/>
      <c r="EB179" s="4"/>
      <c r="EC179" s="4"/>
      <c r="ED179" s="4"/>
      <c r="EE179" s="4"/>
      <c r="EF179" s="4"/>
      <c r="EG179" s="4"/>
      <c r="EH179" s="4"/>
      <c r="EI179" s="4">
        <v>1.0</v>
      </c>
      <c r="EJ179" s="4"/>
      <c r="EK179" s="4"/>
      <c r="EL179" s="4"/>
      <c r="EM179" s="4"/>
      <c r="EN179" s="4"/>
      <c r="EO179" s="4"/>
      <c r="EP179" s="4"/>
      <c r="EQ179" s="4"/>
      <c r="ER179" s="4"/>
      <c r="ES179" s="4"/>
      <c r="ET179" s="4"/>
      <c r="EU179" s="4"/>
      <c r="EV179" s="4"/>
      <c r="EW179" s="4"/>
      <c r="EX179" s="4"/>
      <c r="EY179" s="4"/>
      <c r="EZ179" s="4"/>
      <c r="FA179" s="4"/>
      <c r="FB179" s="4"/>
      <c r="FC179" s="4"/>
      <c r="FD179" s="4"/>
      <c r="FE179" s="4">
        <v>1.0</v>
      </c>
      <c r="FF179" s="4"/>
      <c r="FG179" s="4"/>
      <c r="FH179" s="4"/>
      <c r="FI179" s="4"/>
      <c r="FJ179" s="4"/>
      <c r="FK179" s="4"/>
      <c r="FL179" s="4"/>
      <c r="FM179" s="4"/>
      <c r="FN179" s="4"/>
      <c r="FO179" s="4"/>
      <c r="FP179" s="4"/>
      <c r="FQ179" s="4">
        <v>1.0</v>
      </c>
      <c r="FR179" s="4"/>
      <c r="FS179" s="4"/>
      <c r="FT179" s="4"/>
      <c r="FU179" s="4"/>
      <c r="FW179" s="4"/>
      <c r="FX179" s="4"/>
      <c r="FY179" s="4"/>
      <c r="FZ179" s="4"/>
      <c r="GA179" s="4"/>
      <c r="GB179" s="4"/>
      <c r="GC179" s="4"/>
      <c r="GD179" s="4">
        <v>1.0</v>
      </c>
      <c r="GN179" s="35"/>
      <c r="GO179" s="45"/>
      <c r="GP179" s="45"/>
      <c r="GQ179" s="45"/>
      <c r="GR179" s="45"/>
    </row>
    <row r="180">
      <c r="A180" s="58">
        <v>43893.0</v>
      </c>
      <c r="B180" s="12" t="s">
        <v>244</v>
      </c>
      <c r="C180" s="45">
        <v>21.310612</v>
      </c>
      <c r="D180" s="45">
        <v>-158.00441</v>
      </c>
      <c r="E180" s="14" t="s">
        <v>326</v>
      </c>
      <c r="F180" s="59">
        <v>0.395833333333333</v>
      </c>
      <c r="G180" s="59">
        <v>0.458333333333333</v>
      </c>
      <c r="H180" s="45">
        <v>5.0</v>
      </c>
      <c r="I180" s="45">
        <v>8.0</v>
      </c>
      <c r="J180" s="8" t="s">
        <v>318</v>
      </c>
      <c r="K180" s="45">
        <v>4.0</v>
      </c>
      <c r="L180" s="4">
        <v>9.0</v>
      </c>
      <c r="M180" s="4" t="s">
        <v>518</v>
      </c>
      <c r="N180" s="4"/>
      <c r="O180" s="4">
        <v>9.0</v>
      </c>
      <c r="P180" s="4" t="s">
        <v>519</v>
      </c>
      <c r="Q180" s="4">
        <v>1.0</v>
      </c>
      <c r="R180" s="4"/>
      <c r="S180" s="4"/>
      <c r="T180" s="4"/>
      <c r="U180" s="4"/>
      <c r="V180" s="4"/>
      <c r="W180" s="4"/>
      <c r="X180" s="4"/>
      <c r="Y180" s="4"/>
      <c r="Z180" s="4"/>
      <c r="AA180" s="4"/>
      <c r="AB180" s="4"/>
      <c r="AC180" s="4"/>
      <c r="AD180" s="4">
        <v>1.0</v>
      </c>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v>1.0</v>
      </c>
      <c r="CH180" s="4"/>
      <c r="CI180" s="4"/>
      <c r="CJ180" s="4"/>
      <c r="CK180" s="4"/>
      <c r="CL180" s="4"/>
      <c r="CM180" s="4"/>
      <c r="CN180" s="4"/>
      <c r="CO180" s="4"/>
      <c r="CP180" s="4"/>
      <c r="CQ180" s="4"/>
      <c r="CR180" s="4"/>
      <c r="CS180" s="4"/>
      <c r="CT180" s="4"/>
      <c r="CU180" s="4"/>
      <c r="CV180" s="4"/>
      <c r="CW180" s="4"/>
      <c r="CX180" s="4"/>
      <c r="CY180" s="4"/>
      <c r="CZ180" s="4"/>
      <c r="DA180" s="4"/>
      <c r="DB180" s="4"/>
      <c r="DC180" s="4"/>
      <c r="DD180" s="4"/>
      <c r="DE180" s="4"/>
      <c r="DF180" s="4"/>
      <c r="DG180" s="4"/>
      <c r="DH180" s="4"/>
      <c r="DI180" s="4"/>
      <c r="DJ180" s="4"/>
      <c r="DK180" s="4"/>
      <c r="DL180" s="4"/>
      <c r="DM180" s="4"/>
      <c r="DN180" s="4"/>
      <c r="DO180" s="4"/>
      <c r="DP180" s="4"/>
      <c r="DQ180" s="4"/>
      <c r="DR180" s="4"/>
      <c r="DS180" s="4"/>
      <c r="DT180" s="4"/>
      <c r="DU180" s="4"/>
      <c r="DV180" s="4"/>
      <c r="DW180" s="4"/>
      <c r="DX180" s="4"/>
      <c r="DY180" s="4"/>
      <c r="DZ180" s="4"/>
      <c r="EA180" s="4"/>
      <c r="EB180" s="4"/>
      <c r="EC180" s="4"/>
      <c r="ED180" s="4"/>
      <c r="EE180" s="4"/>
      <c r="EF180" s="4"/>
      <c r="EG180" s="4"/>
      <c r="EH180" s="4"/>
      <c r="EI180" s="4">
        <v>1.0</v>
      </c>
      <c r="EJ180" s="4"/>
      <c r="EK180" s="4"/>
      <c r="EL180" s="4"/>
      <c r="EM180" s="4"/>
      <c r="EN180" s="4"/>
      <c r="EO180" s="4"/>
      <c r="EP180" s="4"/>
      <c r="EQ180" s="4"/>
      <c r="ER180" s="4"/>
      <c r="ES180" s="4"/>
      <c r="ET180" s="4"/>
      <c r="EU180" s="4"/>
      <c r="EV180" s="4"/>
      <c r="EW180" s="4"/>
      <c r="EX180" s="4"/>
      <c r="EY180" s="4"/>
      <c r="EZ180" s="4"/>
      <c r="FA180" s="4"/>
      <c r="FB180" s="4"/>
      <c r="FC180" s="4"/>
      <c r="FD180" s="4"/>
      <c r="FE180" s="4"/>
      <c r="FF180" s="4"/>
      <c r="FG180" s="4"/>
      <c r="FH180" s="4"/>
      <c r="FI180" s="4"/>
      <c r="FJ180" s="4"/>
      <c r="FK180" s="4"/>
      <c r="FL180" s="4"/>
      <c r="FM180" s="4"/>
      <c r="FN180" s="4"/>
      <c r="FO180" s="4"/>
      <c r="FP180" s="4"/>
      <c r="FQ180" s="4">
        <v>1.0</v>
      </c>
      <c r="GL180" s="35"/>
      <c r="GM180" s="35"/>
      <c r="GN180" s="35"/>
      <c r="GO180" s="35"/>
      <c r="GP180" s="35"/>
      <c r="GQ180" s="35"/>
      <c r="GR180" s="45"/>
    </row>
    <row r="181">
      <c r="A181" s="58">
        <v>43901.0</v>
      </c>
      <c r="B181" s="14" t="s">
        <v>456</v>
      </c>
      <c r="C181" s="45">
        <v>21.316488</v>
      </c>
      <c r="D181" s="45">
        <v>-157.664261</v>
      </c>
      <c r="E181" s="14" t="s">
        <v>469</v>
      </c>
      <c r="F181" s="59">
        <v>0.375694444444444</v>
      </c>
      <c r="G181" s="59">
        <v>0.416666666666667</v>
      </c>
      <c r="H181" s="45">
        <v>5.0</v>
      </c>
      <c r="I181" s="45">
        <v>40.0</v>
      </c>
      <c r="J181" s="12" t="s">
        <v>470</v>
      </c>
      <c r="K181" s="45">
        <v>5.0</v>
      </c>
      <c r="L181" s="4">
        <v>25.0</v>
      </c>
      <c r="M181" s="4"/>
      <c r="N181" s="4"/>
      <c r="O181" s="4">
        <v>25.0</v>
      </c>
      <c r="P181" s="4" t="s">
        <v>521</v>
      </c>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v>1.0</v>
      </c>
      <c r="BM181" s="4"/>
      <c r="BN181" s="4"/>
      <c r="BO181" s="4"/>
      <c r="BP181" s="4"/>
      <c r="BQ181" s="4"/>
      <c r="BR181" s="4"/>
      <c r="BS181" s="4"/>
      <c r="BT181" s="4"/>
      <c r="BU181" s="4"/>
      <c r="BV181" s="4"/>
      <c r="BW181" s="4"/>
      <c r="BX181" s="4"/>
      <c r="BY181" s="4"/>
      <c r="BZ181" s="4"/>
      <c r="CA181" s="4"/>
      <c r="CB181" s="4">
        <v>1.0</v>
      </c>
      <c r="CC181" s="4"/>
      <c r="CD181" s="4"/>
      <c r="CE181" s="4"/>
      <c r="CF181" s="4"/>
      <c r="CG181" s="4">
        <v>1.0</v>
      </c>
      <c r="CH181" s="4"/>
      <c r="CI181" s="4"/>
      <c r="CJ181" s="4"/>
      <c r="CK181" s="4"/>
      <c r="CL181" s="4"/>
      <c r="CM181" s="4"/>
      <c r="CN181" s="4"/>
      <c r="CO181" s="4"/>
      <c r="CP181" s="4"/>
      <c r="CQ181" s="4"/>
      <c r="CR181" s="4"/>
      <c r="CS181" s="4"/>
      <c r="CT181" s="4"/>
      <c r="CU181" s="4"/>
      <c r="CV181" s="4"/>
      <c r="CW181" s="4"/>
      <c r="CX181" s="4"/>
      <c r="CY181" s="4"/>
      <c r="CZ181" s="4"/>
      <c r="DA181" s="4"/>
      <c r="DB181" s="4"/>
      <c r="DC181" s="4"/>
      <c r="DD181" s="4"/>
      <c r="DE181" s="4"/>
      <c r="DF181" s="4"/>
      <c r="DG181" s="4"/>
      <c r="DH181" s="4"/>
      <c r="DI181" s="4"/>
      <c r="DJ181" s="4"/>
      <c r="DK181" s="4"/>
      <c r="DL181" s="4"/>
      <c r="DM181" s="4"/>
      <c r="DN181" s="4"/>
      <c r="DO181" s="4"/>
      <c r="DP181" s="4"/>
      <c r="DQ181" s="4"/>
      <c r="DR181" s="4"/>
      <c r="DS181" s="4"/>
      <c r="DT181" s="4"/>
      <c r="DU181" s="4"/>
      <c r="DV181" s="4"/>
      <c r="DW181" s="4"/>
      <c r="DX181" s="4"/>
      <c r="DY181" s="4"/>
      <c r="DZ181" s="4"/>
      <c r="EA181" s="4"/>
      <c r="EB181" s="4"/>
      <c r="EC181" s="4"/>
      <c r="ED181" s="4"/>
      <c r="EE181" s="4"/>
      <c r="EF181" s="4"/>
      <c r="EG181" s="4"/>
      <c r="EH181" s="4"/>
      <c r="EI181" s="4">
        <v>1.0</v>
      </c>
      <c r="EJ181" s="4"/>
      <c r="EK181" s="4"/>
      <c r="EL181" s="4"/>
      <c r="EM181" s="4"/>
      <c r="EN181" s="4"/>
      <c r="EO181" s="4"/>
      <c r="EP181" s="4"/>
      <c r="EQ181" s="4"/>
      <c r="ER181" s="4"/>
      <c r="ES181" s="4"/>
      <c r="ET181" s="4"/>
      <c r="EU181" s="4"/>
      <c r="EV181" s="4"/>
      <c r="EW181" s="4"/>
      <c r="EX181" s="4"/>
      <c r="EY181" s="4"/>
      <c r="EZ181" s="4"/>
      <c r="FA181" s="4"/>
      <c r="FB181" s="4"/>
      <c r="FC181" s="4"/>
      <c r="FD181" s="4"/>
      <c r="FE181" s="4"/>
      <c r="FF181" s="4"/>
      <c r="FG181" s="4"/>
      <c r="FH181" s="4"/>
      <c r="FI181" s="4"/>
      <c r="FJ181" s="4"/>
      <c r="FK181" s="4"/>
      <c r="FL181" s="4"/>
      <c r="FM181" s="4"/>
      <c r="FN181" s="4"/>
      <c r="FO181" s="4"/>
      <c r="FP181" s="4"/>
      <c r="FQ181" s="4">
        <v>1.0</v>
      </c>
      <c r="FR181" s="4"/>
      <c r="FS181" s="4"/>
      <c r="FT181" s="4"/>
      <c r="FU181" s="4"/>
      <c r="FW181" s="4"/>
      <c r="FX181" s="4"/>
      <c r="FY181" s="4"/>
      <c r="FZ181" s="4"/>
      <c r="GA181" s="4"/>
      <c r="GB181" s="4"/>
      <c r="GC181" s="4"/>
      <c r="GD181" s="4"/>
      <c r="GL181" s="35"/>
      <c r="GM181" s="35"/>
      <c r="GN181" s="45"/>
      <c r="GO181" s="35"/>
      <c r="GP181" s="45"/>
      <c r="GQ181" s="35"/>
      <c r="GR181" s="35"/>
    </row>
  </sheetData>
  <hyperlinks>
    <hyperlink r:id="rId1" location="gid=0" ref="K1"/>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5" max="5" width="20.38"/>
    <col customWidth="1" min="6" max="6" width="7.13"/>
    <col customWidth="1" min="8" max="8" width="8.13"/>
    <col customWidth="1" min="9" max="9" width="7.63"/>
  </cols>
  <sheetData>
    <row r="1">
      <c r="A1" s="66" t="s">
        <v>556</v>
      </c>
      <c r="B1" s="67"/>
      <c r="C1" s="68"/>
      <c r="D1" s="68"/>
      <c r="E1" s="69"/>
      <c r="F1" s="69"/>
      <c r="G1" s="69"/>
      <c r="H1" s="69"/>
      <c r="I1" s="69"/>
      <c r="J1" s="70"/>
      <c r="K1" s="70"/>
      <c r="L1" s="71"/>
      <c r="M1" s="70"/>
      <c r="N1" s="72"/>
      <c r="O1" s="73"/>
    </row>
    <row r="2">
      <c r="A2" s="74" t="s">
        <v>6</v>
      </c>
      <c r="B2" s="67" t="s">
        <v>7</v>
      </c>
      <c r="C2" s="68" t="s">
        <v>557</v>
      </c>
      <c r="D2" s="68" t="s">
        <v>558</v>
      </c>
      <c r="E2" s="69" t="s">
        <v>559</v>
      </c>
      <c r="F2" s="69" t="s">
        <v>560</v>
      </c>
      <c r="G2" s="69" t="s">
        <v>561</v>
      </c>
      <c r="H2" s="69" t="s">
        <v>562</v>
      </c>
      <c r="I2" s="69" t="s">
        <v>563</v>
      </c>
      <c r="J2" s="70" t="s">
        <v>564</v>
      </c>
      <c r="K2" s="70" t="s">
        <v>565</v>
      </c>
      <c r="L2" s="71" t="s">
        <v>566</v>
      </c>
      <c r="M2" s="70" t="s">
        <v>567</v>
      </c>
      <c r="N2" s="75" t="s">
        <v>568</v>
      </c>
      <c r="O2" s="76"/>
    </row>
    <row r="3">
      <c r="A3" s="77">
        <v>42420.0</v>
      </c>
      <c r="B3" s="78" t="s">
        <v>216</v>
      </c>
      <c r="C3" s="79">
        <v>0.3638888888888889</v>
      </c>
      <c r="D3" s="79">
        <v>0.4305555555555556</v>
      </c>
      <c r="E3" s="80" t="s">
        <v>569</v>
      </c>
      <c r="F3" s="81">
        <v>1612340.0</v>
      </c>
      <c r="G3" s="73"/>
      <c r="H3" s="80" t="s">
        <v>569</v>
      </c>
      <c r="I3" s="81">
        <v>1612340.0</v>
      </c>
      <c r="J3" s="82">
        <v>0.487750001251697</v>
      </c>
      <c r="K3" s="82">
        <v>-0.003</v>
      </c>
      <c r="L3" s="83">
        <v>0.4048611111111111</v>
      </c>
      <c r="M3" s="82">
        <v>0.48475</v>
      </c>
      <c r="N3" s="82">
        <v>0.5094098</v>
      </c>
      <c r="O3" s="73"/>
    </row>
    <row r="4">
      <c r="A4" s="77">
        <v>42427.0</v>
      </c>
      <c r="B4" s="78" t="s">
        <v>266</v>
      </c>
      <c r="C4" s="79">
        <v>0.4826388888888889</v>
      </c>
      <c r="D4" s="79">
        <v>0.5416666666666666</v>
      </c>
      <c r="E4" s="80" t="s">
        <v>570</v>
      </c>
      <c r="F4" s="81">
        <v>1611400.0</v>
      </c>
      <c r="G4" s="73"/>
      <c r="H4" s="80" t="s">
        <v>571</v>
      </c>
      <c r="I4" s="81">
        <v>1611400.0</v>
      </c>
      <c r="J4" s="82">
        <v>0.162571429674114</v>
      </c>
      <c r="K4" s="82">
        <v>0.04641</v>
      </c>
      <c r="L4" s="83">
        <v>0.5145833333333333</v>
      </c>
      <c r="M4" s="82">
        <v>0.20898142</v>
      </c>
      <c r="N4" s="82">
        <v>0.2194147</v>
      </c>
      <c r="O4" s="73"/>
    </row>
    <row r="5">
      <c r="A5" s="77">
        <v>42428.0</v>
      </c>
      <c r="B5" s="78" t="s">
        <v>266</v>
      </c>
      <c r="C5" s="79">
        <v>0.4895833333333333</v>
      </c>
      <c r="D5" s="79">
        <v>0.5625</v>
      </c>
      <c r="E5" s="80" t="s">
        <v>570</v>
      </c>
      <c r="F5" s="81">
        <v>1611400.0</v>
      </c>
      <c r="G5" s="73"/>
      <c r="H5" s="80" t="s">
        <v>571</v>
      </c>
      <c r="I5" s="81">
        <v>1611400.0</v>
      </c>
      <c r="J5" s="82">
        <v>0.262470587211496</v>
      </c>
      <c r="K5" s="82">
        <v>0.07007</v>
      </c>
      <c r="L5" s="83">
        <v>0.5388888888888889</v>
      </c>
      <c r="M5" s="82">
        <v>0.33254057</v>
      </c>
      <c r="N5" s="82">
        <v>0.34953868</v>
      </c>
      <c r="O5" s="73"/>
    </row>
    <row r="6">
      <c r="A6" s="84">
        <v>42437.0</v>
      </c>
      <c r="B6" s="85" t="s">
        <v>219</v>
      </c>
      <c r="C6" s="86">
        <v>0.4201388888888889</v>
      </c>
      <c r="D6" s="86">
        <v>0.4722222222222222</v>
      </c>
      <c r="E6" s="73" t="s">
        <v>572</v>
      </c>
      <c r="F6" s="73" t="s">
        <v>573</v>
      </c>
      <c r="G6" s="73" t="s">
        <v>574</v>
      </c>
      <c r="H6" s="80" t="s">
        <v>569</v>
      </c>
      <c r="I6" s="81">
        <v>1612340.0</v>
      </c>
      <c r="J6" s="82">
        <v>0.318769232584879</v>
      </c>
      <c r="K6" s="82">
        <v>-0.20736</v>
      </c>
      <c r="L6" s="83">
        <v>0.42916666666666664</v>
      </c>
      <c r="M6" s="82">
        <v>0.11140925</v>
      </c>
      <c r="N6" s="82">
        <v>0.14599872</v>
      </c>
      <c r="O6" s="73"/>
    </row>
    <row r="7">
      <c r="A7" s="77">
        <v>42439.0</v>
      </c>
      <c r="B7" s="78" t="s">
        <v>216</v>
      </c>
      <c r="C7" s="79">
        <v>0.43194444444444446</v>
      </c>
      <c r="D7" s="79">
        <v>0.4798611111111111</v>
      </c>
      <c r="E7" s="80" t="s">
        <v>569</v>
      </c>
      <c r="F7" s="81">
        <v>1612340.0</v>
      </c>
      <c r="G7" s="73"/>
      <c r="H7" s="80" t="s">
        <v>569</v>
      </c>
      <c r="I7" s="81">
        <v>1612340.0</v>
      </c>
      <c r="J7" s="82">
        <v>-0.149583328515291</v>
      </c>
      <c r="K7" s="82">
        <v>-0.286</v>
      </c>
      <c r="L7" s="83">
        <v>0.47152777777777777</v>
      </c>
      <c r="M7" s="82">
        <v>-0.43558335</v>
      </c>
      <c r="N7" s="82">
        <v>-0.4019405</v>
      </c>
      <c r="O7" s="73"/>
    </row>
    <row r="8">
      <c r="A8" s="77">
        <v>42439.0</v>
      </c>
      <c r="B8" s="78" t="s">
        <v>266</v>
      </c>
      <c r="C8" s="79">
        <v>0.375</v>
      </c>
      <c r="D8" s="79">
        <v>0.5416666666666666</v>
      </c>
      <c r="E8" s="80" t="s">
        <v>570</v>
      </c>
      <c r="F8" s="81">
        <v>1611400.0</v>
      </c>
      <c r="G8" s="73"/>
      <c r="H8" s="80" t="s">
        <v>571</v>
      </c>
      <c r="I8" s="81">
        <v>1611400.0</v>
      </c>
      <c r="J8" s="82">
        <v>0.0527999999001622</v>
      </c>
      <c r="K8" s="82">
        <v>-0.16471</v>
      </c>
      <c r="L8" s="83">
        <v>0.45</v>
      </c>
      <c r="M8" s="82">
        <v>-0.11191</v>
      </c>
      <c r="N8" s="82">
        <v>0.013783275</v>
      </c>
      <c r="O8" s="73"/>
    </row>
    <row r="9">
      <c r="A9" s="77">
        <v>42440.0</v>
      </c>
      <c r="B9" s="78" t="s">
        <v>246</v>
      </c>
      <c r="C9" s="79">
        <v>0.4270833333333333</v>
      </c>
      <c r="D9" s="79">
        <v>0.4791666666666667</v>
      </c>
      <c r="E9" s="80" t="s">
        <v>575</v>
      </c>
      <c r="F9" s="81">
        <v>1612340.0</v>
      </c>
      <c r="G9" s="73"/>
      <c r="H9" s="80" t="s">
        <v>569</v>
      </c>
      <c r="I9" s="81">
        <v>1612340.0</v>
      </c>
      <c r="J9" s="82">
        <v>0.0745000013460715</v>
      </c>
      <c r="K9" s="82">
        <v>-0.234</v>
      </c>
      <c r="L9" s="83">
        <v>0.4791666666666667</v>
      </c>
      <c r="M9" s="82">
        <v>-0.1595</v>
      </c>
      <c r="N9" s="82">
        <v>-0.05019737</v>
      </c>
      <c r="O9" s="73"/>
    </row>
    <row r="10">
      <c r="A10" s="77">
        <v>42443.0</v>
      </c>
      <c r="B10" s="78" t="s">
        <v>230</v>
      </c>
      <c r="C10" s="79">
        <v>0.5520833333333334</v>
      </c>
      <c r="D10" s="79">
        <v>0.625</v>
      </c>
      <c r="E10" s="80" t="s">
        <v>576</v>
      </c>
      <c r="F10" s="73" t="s">
        <v>577</v>
      </c>
      <c r="G10" s="73" t="s">
        <v>578</v>
      </c>
      <c r="H10" s="80" t="s">
        <v>579</v>
      </c>
      <c r="I10" s="81">
        <v>1615680.0</v>
      </c>
      <c r="J10" s="82">
        <v>0.325411766767501</v>
      </c>
      <c r="K10" s="82">
        <v>0.06588</v>
      </c>
      <c r="L10" s="83">
        <v>0.5520833333333334</v>
      </c>
      <c r="M10" s="82">
        <v>0.39129177</v>
      </c>
      <c r="N10" s="82">
        <v>0.48203212</v>
      </c>
      <c r="O10" s="73"/>
    </row>
    <row r="11">
      <c r="A11" s="77">
        <v>42464.0</v>
      </c>
      <c r="B11" s="78" t="s">
        <v>244</v>
      </c>
      <c r="C11" s="79">
        <v>0.375</v>
      </c>
      <c r="D11" s="79">
        <v>0.4583333333333333</v>
      </c>
      <c r="E11" s="80" t="s">
        <v>580</v>
      </c>
      <c r="F11" s="81">
        <v>1612366.0</v>
      </c>
      <c r="G11" s="73"/>
      <c r="H11" s="80" t="s">
        <v>569</v>
      </c>
      <c r="I11" s="81">
        <v>1612340.0</v>
      </c>
      <c r="J11" s="82">
        <v>0.150099999830126</v>
      </c>
      <c r="K11" s="82">
        <v>-0.13</v>
      </c>
      <c r="L11" s="83">
        <v>0.375</v>
      </c>
      <c r="M11" s="82">
        <v>0.020099998</v>
      </c>
      <c r="N11" s="82">
        <v>0.22878595</v>
      </c>
      <c r="O11" s="73"/>
    </row>
    <row r="12">
      <c r="A12" s="84">
        <v>42465.0</v>
      </c>
      <c r="B12" s="85" t="s">
        <v>280</v>
      </c>
      <c r="C12" s="86">
        <v>0.4305555555555556</v>
      </c>
      <c r="D12" s="86">
        <v>0.4791666666666667</v>
      </c>
      <c r="E12" s="80" t="s">
        <v>581</v>
      </c>
      <c r="F12" s="81">
        <v>1617760.0</v>
      </c>
      <c r="G12" s="73"/>
      <c r="H12" s="80" t="s">
        <v>582</v>
      </c>
      <c r="I12" s="81">
        <v>1617433.0</v>
      </c>
      <c r="J12" s="82">
        <v>0.380545461719686</v>
      </c>
      <c r="K12" s="82">
        <v>0.3752</v>
      </c>
      <c r="L12" s="83">
        <v>0.4305555555555556</v>
      </c>
      <c r="M12" s="82">
        <v>0.7557455</v>
      </c>
      <c r="N12" s="82">
        <v>0.97665673</v>
      </c>
      <c r="O12" s="73"/>
    </row>
    <row r="13">
      <c r="A13" s="77">
        <v>42465.0</v>
      </c>
      <c r="B13" s="78" t="s">
        <v>244</v>
      </c>
      <c r="C13" s="79">
        <v>0.3541666666666667</v>
      </c>
      <c r="D13" s="79">
        <v>0.41875</v>
      </c>
      <c r="E13" s="80" t="s">
        <v>580</v>
      </c>
      <c r="F13" s="81">
        <v>1612366.0</v>
      </c>
      <c r="G13" s="73"/>
      <c r="H13" s="80" t="s">
        <v>569</v>
      </c>
      <c r="I13" s="81">
        <v>1612340.0</v>
      </c>
      <c r="J13" s="82">
        <v>0.121437502559274</v>
      </c>
      <c r="K13" s="82">
        <v>-0.227</v>
      </c>
      <c r="L13" s="83">
        <v>0.3715277777777778</v>
      </c>
      <c r="M13" s="82">
        <v>-0.10556249</v>
      </c>
      <c r="N13" s="82">
        <v>-0.074690156</v>
      </c>
      <c r="O13" s="73"/>
    </row>
    <row r="14">
      <c r="A14" s="77">
        <v>42465.0</v>
      </c>
      <c r="B14" s="78" t="s">
        <v>244</v>
      </c>
      <c r="C14" s="79">
        <v>0.375</v>
      </c>
      <c r="D14" s="79">
        <v>0.4583333333333333</v>
      </c>
      <c r="E14" s="80" t="s">
        <v>580</v>
      </c>
      <c r="F14" s="81">
        <v>1612366.0</v>
      </c>
      <c r="G14" s="73"/>
      <c r="H14" s="80" t="s">
        <v>569</v>
      </c>
      <c r="I14" s="81">
        <v>1612340.0</v>
      </c>
      <c r="J14" s="82">
        <v>0.136799999698996</v>
      </c>
      <c r="K14" s="82">
        <v>-0.227</v>
      </c>
      <c r="L14" s="83">
        <v>0.375</v>
      </c>
      <c r="M14" s="82">
        <v>-0.09019999</v>
      </c>
      <c r="N14" s="82">
        <v>0.049345464</v>
      </c>
      <c r="O14" s="73"/>
    </row>
    <row r="15">
      <c r="A15" s="87">
        <v>42465.0</v>
      </c>
      <c r="B15" s="88" t="s">
        <v>312</v>
      </c>
      <c r="C15" s="89">
        <v>0.40625</v>
      </c>
      <c r="D15" s="89">
        <v>0.4930555555555556</v>
      </c>
      <c r="E15" s="80" t="s">
        <v>583</v>
      </c>
      <c r="F15" s="73" t="s">
        <v>584</v>
      </c>
      <c r="G15" s="73" t="s">
        <v>585</v>
      </c>
      <c r="H15" s="80" t="s">
        <v>582</v>
      </c>
      <c r="I15" s="81">
        <v>1617433.0</v>
      </c>
      <c r="J15" s="82">
        <v>0.391714289074852</v>
      </c>
      <c r="K15" s="82">
        <v>-0.019701995</v>
      </c>
      <c r="L15" s="83">
        <v>0.40625</v>
      </c>
      <c r="M15" s="82">
        <v>0.3720123</v>
      </c>
      <c r="N15" s="82">
        <v>0.7392392</v>
      </c>
      <c r="O15" s="73"/>
    </row>
    <row r="16">
      <c r="A16" s="77">
        <v>42467.0</v>
      </c>
      <c r="B16" s="78" t="s">
        <v>201</v>
      </c>
      <c r="C16" s="79">
        <v>0.3819444444444444</v>
      </c>
      <c r="D16" s="79">
        <v>0.46875</v>
      </c>
      <c r="E16" s="80" t="s">
        <v>569</v>
      </c>
      <c r="F16" s="81">
        <v>1612340.0</v>
      </c>
      <c r="G16" s="73"/>
      <c r="H16" s="80" t="s">
        <v>569</v>
      </c>
      <c r="I16" s="81">
        <v>1612340.0</v>
      </c>
      <c r="J16" s="82">
        <v>0.0349523811822845</v>
      </c>
      <c r="K16" s="82">
        <v>-0.363</v>
      </c>
      <c r="L16" s="83">
        <v>0.4166666666666667</v>
      </c>
      <c r="M16" s="82">
        <v>-0.32804763</v>
      </c>
      <c r="N16" s="82">
        <v>-0.279881</v>
      </c>
      <c r="O16" s="73"/>
    </row>
    <row r="17">
      <c r="A17" s="77">
        <v>42467.0</v>
      </c>
      <c r="B17" s="78" t="s">
        <v>233</v>
      </c>
      <c r="C17" s="79">
        <v>0.375</v>
      </c>
      <c r="D17" s="79">
        <v>0.4388888888888889</v>
      </c>
      <c r="E17" s="80" t="s">
        <v>586</v>
      </c>
      <c r="F17" s="81">
        <v>1612340.0</v>
      </c>
      <c r="G17" s="73"/>
      <c r="H17" s="80" t="s">
        <v>579</v>
      </c>
      <c r="I17" s="81">
        <v>1615680.0</v>
      </c>
      <c r="J17" s="82">
        <v>0.22399999666959</v>
      </c>
      <c r="K17" s="82">
        <v>-0.363</v>
      </c>
      <c r="L17" s="83">
        <v>0.4166666666666667</v>
      </c>
      <c r="M17" s="82">
        <v>-0.13900001</v>
      </c>
      <c r="N17" s="82">
        <v>-0.10545163</v>
      </c>
      <c r="O17" s="73"/>
    </row>
    <row r="18">
      <c r="A18" s="77">
        <v>42468.0</v>
      </c>
      <c r="B18" s="78" t="s">
        <v>247</v>
      </c>
      <c r="C18" s="79">
        <v>0.3972222222222222</v>
      </c>
      <c r="D18" s="79">
        <v>0.4479166666666667</v>
      </c>
      <c r="E18" s="80" t="s">
        <v>587</v>
      </c>
      <c r="F18" s="73" t="s">
        <v>588</v>
      </c>
      <c r="G18" s="73" t="s">
        <v>589</v>
      </c>
      <c r="H18" s="80" t="s">
        <v>590</v>
      </c>
      <c r="I18" s="81">
        <v>1617760.0</v>
      </c>
      <c r="J18" s="82">
        <v>0.482749993602434</v>
      </c>
      <c r="K18" s="82">
        <v>-0.5009999</v>
      </c>
      <c r="L18" s="83">
        <v>0.40555555555555556</v>
      </c>
      <c r="M18" s="82">
        <v>-0.018249929</v>
      </c>
      <c r="N18" s="82">
        <v>0.027141906</v>
      </c>
      <c r="O18" s="73"/>
    </row>
    <row r="19">
      <c r="A19" s="77">
        <v>42468.0</v>
      </c>
      <c r="B19" s="78" t="s">
        <v>291</v>
      </c>
      <c r="C19" s="79">
        <v>0.3819444444444444</v>
      </c>
      <c r="D19" s="79">
        <v>0.4583333333333333</v>
      </c>
      <c r="E19" s="80" t="s">
        <v>590</v>
      </c>
      <c r="F19" s="81">
        <v>1617760.0</v>
      </c>
      <c r="G19" s="73"/>
      <c r="H19" s="80" t="s">
        <v>590</v>
      </c>
      <c r="I19" s="81">
        <v>1617760.0</v>
      </c>
      <c r="J19" s="82">
        <v>0.472555552919705</v>
      </c>
      <c r="K19" s="82">
        <v>-0.501</v>
      </c>
      <c r="L19" s="83">
        <v>0.40555555555555556</v>
      </c>
      <c r="M19" s="82">
        <v>-0.02844444</v>
      </c>
      <c r="N19" s="82">
        <v>0.03691591</v>
      </c>
      <c r="O19" s="73"/>
    </row>
    <row r="20">
      <c r="A20" s="90">
        <v>42468.0</v>
      </c>
      <c r="B20" s="91" t="s">
        <v>196</v>
      </c>
      <c r="C20" s="92">
        <v>0.3645833333333333</v>
      </c>
      <c r="D20" s="92">
        <v>0.40625</v>
      </c>
      <c r="E20" s="80" t="s">
        <v>591</v>
      </c>
      <c r="F20" s="73" t="s">
        <v>592</v>
      </c>
      <c r="G20" s="73" t="s">
        <v>593</v>
      </c>
      <c r="H20" s="80" t="s">
        <v>594</v>
      </c>
      <c r="I20" s="81">
        <v>1612480.0</v>
      </c>
      <c r="J20" s="82">
        <v>0.207700000703334</v>
      </c>
      <c r="K20" s="82">
        <v>-0.3856875</v>
      </c>
      <c r="L20" s="83">
        <v>0.37916666666666665</v>
      </c>
      <c r="M20" s="82">
        <v>-0.1779875</v>
      </c>
      <c r="N20" s="82">
        <v>-0.16647266</v>
      </c>
      <c r="O20" s="73"/>
    </row>
    <row r="21">
      <c r="A21" s="77">
        <v>42469.0</v>
      </c>
      <c r="B21" s="78" t="s">
        <v>293</v>
      </c>
      <c r="C21" s="79">
        <v>0.4076388888888889</v>
      </c>
      <c r="D21" s="79">
        <v>0.4652777777777778</v>
      </c>
      <c r="E21" s="80" t="s">
        <v>590</v>
      </c>
      <c r="F21" s="81">
        <v>1617760.0</v>
      </c>
      <c r="G21" s="73"/>
      <c r="H21" s="80" t="s">
        <v>590</v>
      </c>
      <c r="I21" s="81">
        <v>1617760.0</v>
      </c>
      <c r="J21" s="82">
        <v>0.407571428588458</v>
      </c>
      <c r="K21" s="82">
        <v>-0.457</v>
      </c>
      <c r="L21" s="83">
        <v>0.43125</v>
      </c>
      <c r="M21" s="82">
        <v>-0.049428552</v>
      </c>
      <c r="N21" s="82">
        <v>-0.024130946</v>
      </c>
      <c r="O21" s="73"/>
    </row>
    <row r="22">
      <c r="A22" s="77">
        <v>42470.0</v>
      </c>
      <c r="B22" s="78" t="s">
        <v>293</v>
      </c>
      <c r="C22" s="79">
        <v>0.4340277777777778</v>
      </c>
      <c r="D22" s="79">
        <v>0.5277777777777778</v>
      </c>
      <c r="E22" s="80" t="s">
        <v>590</v>
      </c>
      <c r="F22" s="81">
        <v>1617760.0</v>
      </c>
      <c r="G22" s="73"/>
      <c r="H22" s="80" t="s">
        <v>590</v>
      </c>
      <c r="I22" s="81">
        <v>1617760.0</v>
      </c>
      <c r="J22" s="82">
        <v>0.446045451543547</v>
      </c>
      <c r="K22" s="82">
        <v>-0.34</v>
      </c>
      <c r="L22" s="83">
        <v>0.46111111111111114</v>
      </c>
      <c r="M22" s="82">
        <v>0.106045455</v>
      </c>
      <c r="N22" s="82">
        <v>0.18991312</v>
      </c>
      <c r="O22" s="73"/>
    </row>
    <row r="23">
      <c r="A23" s="77">
        <v>42471.0</v>
      </c>
      <c r="B23" s="78" t="s">
        <v>266</v>
      </c>
      <c r="C23" s="79">
        <v>0.4895833333333333</v>
      </c>
      <c r="D23" s="79">
        <v>0.5416666666666666</v>
      </c>
      <c r="E23" s="80" t="s">
        <v>570</v>
      </c>
      <c r="F23" s="81">
        <v>1611400.0</v>
      </c>
      <c r="G23" s="73"/>
      <c r="H23" s="80" t="s">
        <v>571</v>
      </c>
      <c r="I23" s="81">
        <v>1611400.0</v>
      </c>
      <c r="J23" s="82">
        <v>0.241916670153538</v>
      </c>
      <c r="K23" s="82">
        <v>-0.10374001</v>
      </c>
      <c r="L23" s="83">
        <v>0.5041666666666667</v>
      </c>
      <c r="M23" s="82">
        <v>0.13817666</v>
      </c>
      <c r="N23" s="82">
        <v>0.1514914</v>
      </c>
      <c r="O23" s="73"/>
    </row>
    <row r="24">
      <c r="A24" s="77">
        <v>42471.0</v>
      </c>
      <c r="B24" s="78" t="s">
        <v>216</v>
      </c>
      <c r="C24" s="79">
        <v>0.5277777777777778</v>
      </c>
      <c r="D24" s="79">
        <v>0.5729166666666666</v>
      </c>
      <c r="E24" s="80" t="s">
        <v>569</v>
      </c>
      <c r="F24" s="81">
        <v>1612340.0</v>
      </c>
      <c r="G24" s="73"/>
      <c r="H24" s="80" t="s">
        <v>569</v>
      </c>
      <c r="I24" s="81">
        <v>1612340.0</v>
      </c>
      <c r="J24" s="82">
        <v>0.294545452703129</v>
      </c>
      <c r="K24" s="82">
        <v>-0.051</v>
      </c>
      <c r="L24" s="83">
        <v>0.5277777777777778</v>
      </c>
      <c r="M24" s="82">
        <v>0.24354544</v>
      </c>
      <c r="N24" s="82">
        <v>0.2741515</v>
      </c>
      <c r="O24" s="73"/>
    </row>
    <row r="25">
      <c r="A25" s="77">
        <v>42471.0</v>
      </c>
      <c r="B25" s="78" t="s">
        <v>301</v>
      </c>
      <c r="C25" s="79">
        <v>0.4895833333333333</v>
      </c>
      <c r="D25" s="79">
        <v>0.5416666666666666</v>
      </c>
      <c r="E25" s="80" t="s">
        <v>570</v>
      </c>
      <c r="F25" s="81">
        <v>1611400.0</v>
      </c>
      <c r="G25" s="73"/>
      <c r="H25" s="80" t="s">
        <v>571</v>
      </c>
      <c r="I25" s="81">
        <v>1611400.0</v>
      </c>
      <c r="J25" s="82">
        <v>0.241916670153538</v>
      </c>
      <c r="K25" s="82">
        <v>-0.10374001</v>
      </c>
      <c r="L25" s="83">
        <v>0.5041666666666667</v>
      </c>
      <c r="M25" s="82">
        <v>0.13817666</v>
      </c>
      <c r="N25" s="82">
        <v>0.1514914</v>
      </c>
      <c r="O25" s="73"/>
    </row>
    <row r="26">
      <c r="A26" s="77">
        <v>42475.0</v>
      </c>
      <c r="B26" s="78" t="s">
        <v>303</v>
      </c>
      <c r="C26" s="79">
        <v>0.3333333333333333</v>
      </c>
      <c r="D26" s="79">
        <v>0.4166666666666667</v>
      </c>
      <c r="E26" s="80" t="s">
        <v>595</v>
      </c>
      <c r="F26" s="73" t="s">
        <v>596</v>
      </c>
      <c r="G26" s="73" t="s">
        <v>597</v>
      </c>
      <c r="H26" s="80" t="s">
        <v>579</v>
      </c>
      <c r="I26" s="81">
        <v>1615680.0</v>
      </c>
      <c r="J26" s="82">
        <v>0.457949995994567</v>
      </c>
      <c r="K26" s="82">
        <v>0.4177529</v>
      </c>
      <c r="L26" s="83">
        <v>0.3333333333333333</v>
      </c>
      <c r="M26" s="82">
        <v>0.87570286</v>
      </c>
      <c r="N26" s="82">
        <v>1.0019482</v>
      </c>
      <c r="O26" s="73"/>
    </row>
    <row r="27">
      <c r="A27" s="77">
        <v>42479.0</v>
      </c>
      <c r="B27" s="78" t="s">
        <v>201</v>
      </c>
      <c r="C27" s="79">
        <v>0.3611111111111111</v>
      </c>
      <c r="D27" s="79">
        <v>0.4166666666666667</v>
      </c>
      <c r="E27" s="80" t="s">
        <v>569</v>
      </c>
      <c r="F27" s="81">
        <v>1612340.0</v>
      </c>
      <c r="G27" s="73"/>
      <c r="H27" s="80" t="s">
        <v>569</v>
      </c>
      <c r="I27" s="81">
        <v>1612340.0</v>
      </c>
      <c r="J27" s="82">
        <v>0.469615390667548</v>
      </c>
      <c r="K27" s="82">
        <v>-0.11</v>
      </c>
      <c r="L27" s="83">
        <v>0.3611111111111111</v>
      </c>
      <c r="M27" s="82">
        <v>0.3596154</v>
      </c>
      <c r="N27" s="82">
        <v>0.4179734</v>
      </c>
      <c r="O27" s="73"/>
    </row>
    <row r="28">
      <c r="A28" s="87">
        <v>42479.0</v>
      </c>
      <c r="B28" s="88" t="s">
        <v>293</v>
      </c>
      <c r="C28" s="89">
        <v>0.4305555555555556</v>
      </c>
      <c r="D28" s="89">
        <v>0.4618055555555556</v>
      </c>
      <c r="E28" s="80" t="s">
        <v>590</v>
      </c>
      <c r="F28" s="81">
        <v>1617760.0</v>
      </c>
      <c r="G28" s="73"/>
      <c r="H28" s="80" t="s">
        <v>590</v>
      </c>
      <c r="I28" s="81">
        <v>1617760.0</v>
      </c>
      <c r="J28" s="82">
        <v>0.326714285782405</v>
      </c>
      <c r="K28" s="82">
        <v>0.616</v>
      </c>
      <c r="L28" s="83">
        <v>0.4305555555555556</v>
      </c>
      <c r="M28" s="82">
        <v>0.9427143</v>
      </c>
      <c r="N28" s="82">
        <v>1.1222361</v>
      </c>
      <c r="O28" s="73"/>
    </row>
    <row r="29">
      <c r="A29" s="84">
        <v>42481.0</v>
      </c>
      <c r="B29" s="85" t="s">
        <v>240</v>
      </c>
      <c r="C29" s="86">
        <v>0.3736111111111111</v>
      </c>
      <c r="D29" s="86">
        <v>0.4076388888888889</v>
      </c>
      <c r="E29" s="80" t="s">
        <v>586</v>
      </c>
      <c r="F29" s="81">
        <v>1612340.0</v>
      </c>
      <c r="G29" s="73"/>
      <c r="H29" s="80" t="s">
        <v>579</v>
      </c>
      <c r="I29" s="81">
        <v>1615680.0</v>
      </c>
      <c r="J29" s="82">
        <v>0.427374992519617</v>
      </c>
      <c r="K29" s="82">
        <v>-0.143</v>
      </c>
      <c r="L29" s="83">
        <v>0.3909722222222222</v>
      </c>
      <c r="M29" s="82">
        <v>0.28437498</v>
      </c>
      <c r="N29" s="82">
        <v>0.29019496</v>
      </c>
      <c r="O29" s="73"/>
    </row>
    <row r="30">
      <c r="A30" s="87">
        <v>42482.0</v>
      </c>
      <c r="B30" s="88" t="s">
        <v>352</v>
      </c>
      <c r="C30" s="89">
        <v>0.4270833333333333</v>
      </c>
      <c r="D30" s="89">
        <v>0.4791666666666667</v>
      </c>
      <c r="E30" s="73" t="s">
        <v>598</v>
      </c>
      <c r="F30" s="73" t="s">
        <v>599</v>
      </c>
      <c r="G30" s="73" t="s">
        <v>600</v>
      </c>
      <c r="H30" s="73" t="s">
        <v>594</v>
      </c>
      <c r="I30" s="81">
        <v>1612480.0</v>
      </c>
      <c r="J30" s="82">
        <v>0.554000005125999</v>
      </c>
      <c r="K30" s="82">
        <v>0.0340175</v>
      </c>
      <c r="L30" s="83">
        <v>0.4270833333333333</v>
      </c>
      <c r="M30" s="82">
        <v>0.5880175</v>
      </c>
      <c r="N30" s="82">
        <v>0.7445607</v>
      </c>
      <c r="O30" s="73"/>
    </row>
    <row r="31">
      <c r="A31" s="87">
        <v>42482.0</v>
      </c>
      <c r="B31" s="88" t="s">
        <v>359</v>
      </c>
      <c r="C31" s="89">
        <v>0.3597222222222222</v>
      </c>
      <c r="D31" s="89">
        <v>0.3958333333333333</v>
      </c>
      <c r="E31" s="80" t="s">
        <v>601</v>
      </c>
      <c r="F31" s="73" t="s">
        <v>602</v>
      </c>
      <c r="G31" s="73" t="s">
        <v>603</v>
      </c>
      <c r="H31" s="80" t="s">
        <v>579</v>
      </c>
      <c r="I31" s="81">
        <v>1615680.0</v>
      </c>
      <c r="J31" s="82">
        <v>0.449749998748302</v>
      </c>
      <c r="K31" s="82">
        <v>-0.120244995</v>
      </c>
      <c r="L31" s="83">
        <v>0.3958333333333333</v>
      </c>
      <c r="M31" s="82">
        <v>0.32950503</v>
      </c>
      <c r="N31" s="82">
        <v>0.3554804</v>
      </c>
      <c r="O31" s="73"/>
    </row>
    <row r="32">
      <c r="A32" s="87">
        <v>42487.0</v>
      </c>
      <c r="B32" s="88" t="s">
        <v>366</v>
      </c>
      <c r="C32" s="89">
        <v>0.4444444444444444</v>
      </c>
      <c r="D32" s="89">
        <v>0.46805555555555556</v>
      </c>
      <c r="E32" s="80" t="s">
        <v>581</v>
      </c>
      <c r="F32" s="81">
        <v>1617760.0</v>
      </c>
      <c r="G32" s="73"/>
      <c r="H32" s="80" t="s">
        <v>582</v>
      </c>
      <c r="I32" s="81">
        <v>1617433.0</v>
      </c>
      <c r="J32" s="82">
        <v>0.299000009894371</v>
      </c>
      <c r="K32" s="82">
        <v>0.06767</v>
      </c>
      <c r="L32" s="83">
        <v>0.46805555555555556</v>
      </c>
      <c r="M32" s="82">
        <v>0.36667</v>
      </c>
      <c r="N32" s="82">
        <v>0.37913203</v>
      </c>
      <c r="O32" s="73"/>
    </row>
    <row r="33">
      <c r="A33" s="77">
        <v>42488.0</v>
      </c>
      <c r="B33" s="78" t="s">
        <v>230</v>
      </c>
      <c r="C33" s="79">
        <v>0.4111111111111111</v>
      </c>
      <c r="D33" s="79">
        <v>0.5152777777777777</v>
      </c>
      <c r="E33" s="80" t="s">
        <v>576</v>
      </c>
      <c r="F33" s="73" t="s">
        <v>577</v>
      </c>
      <c r="G33" s="73" t="s">
        <v>604</v>
      </c>
      <c r="H33" s="80" t="s">
        <v>579</v>
      </c>
      <c r="I33" s="81">
        <v>1615680.0</v>
      </c>
      <c r="J33" s="82">
        <v>0.318560001850128</v>
      </c>
      <c r="K33" s="82">
        <v>0.09558001</v>
      </c>
      <c r="L33" s="83">
        <v>0.4666666666666667</v>
      </c>
      <c r="M33" s="82">
        <v>0.41414002</v>
      </c>
      <c r="N33" s="82">
        <v>0.4289095</v>
      </c>
      <c r="O33" s="73"/>
    </row>
    <row r="34">
      <c r="A34" s="77">
        <v>42495.0</v>
      </c>
      <c r="B34" s="78" t="s">
        <v>307</v>
      </c>
      <c r="C34" s="79">
        <v>0.36180555555555555</v>
      </c>
      <c r="D34" s="79">
        <v>0.4166666666666667</v>
      </c>
      <c r="E34" s="80" t="s">
        <v>590</v>
      </c>
      <c r="F34" s="81">
        <v>1617760.0</v>
      </c>
      <c r="G34" s="73"/>
      <c r="H34" s="80" t="s">
        <v>590</v>
      </c>
      <c r="I34" s="81">
        <v>1617760.0</v>
      </c>
      <c r="J34" s="82">
        <v>0.370692308132465</v>
      </c>
      <c r="K34" s="82">
        <v>-0.448</v>
      </c>
      <c r="L34" s="83">
        <v>0.36180555555555555</v>
      </c>
      <c r="M34" s="82">
        <v>-0.0773077</v>
      </c>
      <c r="N34" s="82">
        <v>0.17996731</v>
      </c>
      <c r="O34" s="73"/>
    </row>
    <row r="35">
      <c r="A35" s="87">
        <v>42508.0</v>
      </c>
      <c r="B35" s="88" t="s">
        <v>377</v>
      </c>
      <c r="C35" s="89">
        <v>0.37222222222222223</v>
      </c>
      <c r="D35" s="89">
        <v>0.4166666666666667</v>
      </c>
      <c r="E35" s="80" t="s">
        <v>576</v>
      </c>
      <c r="F35" s="73" t="s">
        <v>577</v>
      </c>
      <c r="G35" s="73" t="s">
        <v>605</v>
      </c>
      <c r="H35" s="80" t="s">
        <v>579</v>
      </c>
      <c r="I35" s="81">
        <v>1615680.0</v>
      </c>
      <c r="J35" s="82">
        <v>0.372299993038177</v>
      </c>
      <c r="K35" s="82">
        <v>0.27108</v>
      </c>
      <c r="L35" s="83">
        <v>0.37222222222222223</v>
      </c>
      <c r="M35" s="82">
        <v>0.64338</v>
      </c>
      <c r="N35" s="82">
        <v>0.7695656</v>
      </c>
      <c r="O35" s="73"/>
    </row>
    <row r="36">
      <c r="A36" s="77">
        <v>42510.0</v>
      </c>
      <c r="B36" s="78" t="s">
        <v>310</v>
      </c>
      <c r="C36" s="79">
        <v>0.3194444444444444</v>
      </c>
      <c r="D36" s="79">
        <v>0.3854166666666667</v>
      </c>
      <c r="E36" s="80" t="s">
        <v>606</v>
      </c>
      <c r="F36" s="81">
        <v>1617760.0</v>
      </c>
      <c r="G36" s="73"/>
      <c r="H36" s="80" t="s">
        <v>582</v>
      </c>
      <c r="I36" s="81">
        <v>1617433.0</v>
      </c>
      <c r="J36" s="82">
        <v>0.519312499091029</v>
      </c>
      <c r="K36" s="82">
        <v>-0.19832</v>
      </c>
      <c r="L36" s="83">
        <v>0.33055555555555555</v>
      </c>
      <c r="M36" s="82">
        <v>0.3209925</v>
      </c>
      <c r="N36" s="82">
        <v>0.3608226</v>
      </c>
      <c r="O36" s="73"/>
    </row>
    <row r="37">
      <c r="A37" s="77">
        <v>42761.0</v>
      </c>
      <c r="B37" s="78" t="s">
        <v>233</v>
      </c>
      <c r="C37" s="79">
        <v>0.4166666666666667</v>
      </c>
      <c r="D37" s="79">
        <v>0.4722222222222222</v>
      </c>
      <c r="E37" s="80" t="s">
        <v>586</v>
      </c>
      <c r="F37" s="81">
        <v>1612340.0</v>
      </c>
      <c r="G37" s="73"/>
      <c r="H37" s="80" t="s">
        <v>579</v>
      </c>
      <c r="I37" s="81">
        <v>1615680.0</v>
      </c>
      <c r="J37" s="82">
        <v>0.281857137169156</v>
      </c>
      <c r="K37" s="82">
        <v>0.082</v>
      </c>
      <c r="L37" s="83">
        <v>0.43194444444444446</v>
      </c>
      <c r="M37" s="82">
        <v>0.36385715</v>
      </c>
      <c r="N37" s="82">
        <v>0.3785979</v>
      </c>
      <c r="O37" s="73"/>
    </row>
    <row r="38">
      <c r="A38" s="77">
        <v>42778.0</v>
      </c>
      <c r="B38" s="78" t="s">
        <v>201</v>
      </c>
      <c r="C38" s="79">
        <v>0.4479166666666667</v>
      </c>
      <c r="D38" s="79">
        <v>0.4895833333333333</v>
      </c>
      <c r="E38" s="80" t="s">
        <v>569</v>
      </c>
      <c r="F38" s="81">
        <v>1612340.0</v>
      </c>
      <c r="G38" s="73"/>
      <c r="H38" s="80" t="s">
        <v>569</v>
      </c>
      <c r="I38" s="81">
        <v>1612340.0</v>
      </c>
      <c r="J38" s="82">
        <v>0.439799997210502</v>
      </c>
      <c r="K38" s="82">
        <v>-0.101</v>
      </c>
      <c r="L38" s="83">
        <v>0.4888888888888889</v>
      </c>
      <c r="M38" s="82">
        <v>0.33879998</v>
      </c>
      <c r="N38" s="82">
        <v>0.37676725</v>
      </c>
      <c r="O38" s="73"/>
    </row>
    <row r="39">
      <c r="A39" s="77">
        <v>42788.0</v>
      </c>
      <c r="B39" s="78" t="s">
        <v>320</v>
      </c>
      <c r="C39" s="79">
        <v>0.3819444444444444</v>
      </c>
      <c r="D39" s="79">
        <v>0.48125</v>
      </c>
      <c r="E39" s="80" t="s">
        <v>570</v>
      </c>
      <c r="F39" s="81">
        <v>1611400.0</v>
      </c>
      <c r="G39" s="73"/>
      <c r="H39" s="80" t="s">
        <v>571</v>
      </c>
      <c r="I39" s="81">
        <v>1611400.0</v>
      </c>
      <c r="J39" s="82">
        <v>0.293958331147829</v>
      </c>
      <c r="K39" s="82">
        <v>0.2639</v>
      </c>
      <c r="L39" s="83">
        <v>0.3819444444444444</v>
      </c>
      <c r="M39" s="82">
        <v>0.55785835</v>
      </c>
      <c r="N39" s="82">
        <v>0.64626735</v>
      </c>
      <c r="O39" s="73"/>
    </row>
    <row r="40">
      <c r="A40" s="77">
        <v>42791.0</v>
      </c>
      <c r="B40" s="78" t="s">
        <v>244</v>
      </c>
      <c r="C40" s="79">
        <v>0.4131944444444444</v>
      </c>
      <c r="D40" s="79">
        <v>0.4791666666666667</v>
      </c>
      <c r="E40" s="80" t="s">
        <v>580</v>
      </c>
      <c r="F40" s="81">
        <v>1612366.0</v>
      </c>
      <c r="G40" s="73"/>
      <c r="H40" s="80" t="s">
        <v>569</v>
      </c>
      <c r="I40" s="81">
        <v>1612340.0</v>
      </c>
      <c r="J40" s="82">
        <v>0.540066659450531</v>
      </c>
      <c r="K40" s="82">
        <v>-0.053</v>
      </c>
      <c r="L40" s="83">
        <v>0.4354166666666667</v>
      </c>
      <c r="M40" s="82">
        <v>0.48706666</v>
      </c>
      <c r="N40" s="82">
        <v>0.51192087</v>
      </c>
      <c r="O40" s="73"/>
    </row>
    <row r="41">
      <c r="A41" s="77">
        <v>42798.0</v>
      </c>
      <c r="B41" s="78" t="s">
        <v>230</v>
      </c>
      <c r="C41" s="79">
        <v>0.5902777777777778</v>
      </c>
      <c r="D41" s="79">
        <v>0.6770833333333334</v>
      </c>
      <c r="E41" s="80" t="s">
        <v>576</v>
      </c>
      <c r="F41" s="73" t="s">
        <v>577</v>
      </c>
      <c r="G41" s="73" t="s">
        <v>604</v>
      </c>
      <c r="H41" s="80" t="s">
        <v>579</v>
      </c>
      <c r="I41" s="81">
        <v>1615680.0</v>
      </c>
      <c r="J41" s="82">
        <v>0.57861903309822</v>
      </c>
      <c r="K41" s="82">
        <v>0.10854001</v>
      </c>
      <c r="L41" s="83">
        <v>0.5902777777777778</v>
      </c>
      <c r="M41" s="82">
        <v>0.687159</v>
      </c>
      <c r="N41" s="82">
        <v>0.8242247</v>
      </c>
      <c r="O41" s="73"/>
    </row>
    <row r="42">
      <c r="A42" s="84">
        <v>42802.0</v>
      </c>
      <c r="B42" s="85" t="s">
        <v>244</v>
      </c>
      <c r="C42" s="86">
        <v>0.3854166666666667</v>
      </c>
      <c r="D42" s="86">
        <v>0.46875</v>
      </c>
      <c r="E42" s="80" t="s">
        <v>580</v>
      </c>
      <c r="F42" s="81">
        <v>1612366.0</v>
      </c>
      <c r="G42" s="73"/>
      <c r="H42" s="80" t="s">
        <v>569</v>
      </c>
      <c r="I42" s="81">
        <v>1612340.0</v>
      </c>
      <c r="J42" s="82">
        <v>0.556199994683265</v>
      </c>
      <c r="K42" s="82">
        <v>0.051</v>
      </c>
      <c r="L42" s="83">
        <v>0.3854166666666667</v>
      </c>
      <c r="M42" s="82">
        <v>0.60719997</v>
      </c>
      <c r="N42" s="82">
        <v>0.7501999</v>
      </c>
      <c r="O42" s="73"/>
    </row>
    <row r="43">
      <c r="A43" s="84">
        <v>42803.0</v>
      </c>
      <c r="B43" s="85" t="s">
        <v>244</v>
      </c>
      <c r="C43" s="86">
        <v>0.3958333333333333</v>
      </c>
      <c r="D43" s="86">
        <v>0.4791666666666667</v>
      </c>
      <c r="E43" s="80" t="s">
        <v>580</v>
      </c>
      <c r="F43" s="81">
        <v>1612366.0</v>
      </c>
      <c r="G43" s="73"/>
      <c r="H43" s="80" t="s">
        <v>569</v>
      </c>
      <c r="I43" s="81">
        <v>1612340.0</v>
      </c>
      <c r="J43" s="82">
        <v>0.547249998152256</v>
      </c>
      <c r="K43" s="82">
        <v>-0.045</v>
      </c>
      <c r="L43" s="83">
        <v>0.3958333333333333</v>
      </c>
      <c r="M43" s="82">
        <v>0.50224996</v>
      </c>
      <c r="N43" s="82">
        <v>0.63862187</v>
      </c>
      <c r="O43" s="73"/>
    </row>
    <row r="44">
      <c r="A44" s="84">
        <v>42804.0</v>
      </c>
      <c r="B44" s="85" t="s">
        <v>329</v>
      </c>
      <c r="C44" s="86">
        <v>0.4375</v>
      </c>
      <c r="D44" s="86">
        <v>0.4673611111111111</v>
      </c>
      <c r="E44" s="80" t="s">
        <v>608</v>
      </c>
      <c r="F44" s="81">
        <v>1612340.0</v>
      </c>
      <c r="G44" s="73"/>
      <c r="H44" s="80" t="s">
        <v>579</v>
      </c>
      <c r="I44" s="81">
        <v>1615680.0</v>
      </c>
      <c r="J44" s="82">
        <v>0.443625025451183</v>
      </c>
      <c r="K44" s="82">
        <v>-0.038</v>
      </c>
      <c r="L44" s="83">
        <v>0.4375</v>
      </c>
      <c r="M44" s="82">
        <v>0.40562505</v>
      </c>
      <c r="N44" s="82">
        <v>0.4758523</v>
      </c>
      <c r="O44" s="73"/>
    </row>
    <row r="45">
      <c r="A45" s="77">
        <v>42804.0</v>
      </c>
      <c r="B45" s="78" t="s">
        <v>201</v>
      </c>
      <c r="C45" s="79">
        <v>0.4166666666666667</v>
      </c>
      <c r="D45" s="79">
        <v>0.4583333333333333</v>
      </c>
      <c r="E45" s="80" t="s">
        <v>569</v>
      </c>
      <c r="F45" s="81">
        <v>1612340.0</v>
      </c>
      <c r="G45" s="73"/>
      <c r="H45" s="80" t="s">
        <v>569</v>
      </c>
      <c r="I45" s="81">
        <v>1612340.0</v>
      </c>
      <c r="J45" s="82">
        <v>0.440000000596046</v>
      </c>
      <c r="K45" s="82">
        <v>-0.098</v>
      </c>
      <c r="L45" s="83">
        <v>0.4166666666666667</v>
      </c>
      <c r="M45" s="82">
        <v>0.342</v>
      </c>
      <c r="N45" s="82">
        <v>0.4088852</v>
      </c>
      <c r="O45" s="73"/>
    </row>
    <row r="46">
      <c r="A46" s="84">
        <v>42804.0</v>
      </c>
      <c r="B46" s="85" t="s">
        <v>219</v>
      </c>
      <c r="C46" s="86">
        <v>0.3854166666666667</v>
      </c>
      <c r="D46" s="86">
        <v>0.4479166666666667</v>
      </c>
      <c r="E46" s="80" t="s">
        <v>572</v>
      </c>
      <c r="F46" s="73" t="s">
        <v>573</v>
      </c>
      <c r="G46" s="73" t="s">
        <v>574</v>
      </c>
      <c r="H46" s="80" t="s">
        <v>569</v>
      </c>
      <c r="I46" s="81">
        <v>1612340.0</v>
      </c>
      <c r="J46" s="82">
        <v>0.430933328469594</v>
      </c>
      <c r="K46" s="82">
        <v>-0.10256</v>
      </c>
      <c r="L46" s="83">
        <v>0.4048611111111111</v>
      </c>
      <c r="M46" s="82">
        <v>0.3283733</v>
      </c>
      <c r="N46" s="82">
        <v>0.35400563</v>
      </c>
      <c r="O46" s="73"/>
    </row>
    <row r="47">
      <c r="A47" s="77">
        <v>42806.0</v>
      </c>
      <c r="B47" s="78" t="s">
        <v>293</v>
      </c>
      <c r="C47" s="79">
        <v>0.3993055555555556</v>
      </c>
      <c r="D47" s="79">
        <v>0.43333333333333335</v>
      </c>
      <c r="E47" s="80" t="s">
        <v>590</v>
      </c>
      <c r="F47" s="81">
        <v>1617760.0</v>
      </c>
      <c r="G47" s="73"/>
      <c r="H47" s="80" t="s">
        <v>590</v>
      </c>
      <c r="I47" s="81">
        <v>1617760.0</v>
      </c>
      <c r="J47" s="82">
        <v>0.700874991714954</v>
      </c>
      <c r="K47" s="82">
        <v>-0.036</v>
      </c>
      <c r="L47" s="83">
        <v>0.3993055555555556</v>
      </c>
      <c r="M47" s="82">
        <v>0.664875</v>
      </c>
      <c r="N47" s="82">
        <v>0.70941496</v>
      </c>
      <c r="O47" s="73"/>
    </row>
    <row r="48">
      <c r="A48" s="77">
        <v>42810.0</v>
      </c>
      <c r="B48" s="78" t="s">
        <v>337</v>
      </c>
      <c r="C48" s="79">
        <v>0.48055555555555557</v>
      </c>
      <c r="D48" s="79">
        <v>0.5520833333333334</v>
      </c>
      <c r="E48" s="80" t="s">
        <v>582</v>
      </c>
      <c r="F48" s="81">
        <v>1617433.0</v>
      </c>
      <c r="G48" s="73"/>
      <c r="H48" s="80" t="s">
        <v>582</v>
      </c>
      <c r="I48" s="81">
        <v>1617433.0</v>
      </c>
      <c r="J48" s="82">
        <v>0.498999995343825</v>
      </c>
      <c r="K48" s="82">
        <v>-0.04</v>
      </c>
      <c r="L48" s="83">
        <v>0.5118055555555555</v>
      </c>
      <c r="M48" s="82">
        <v>0.459</v>
      </c>
      <c r="N48" s="82">
        <v>0.4821346</v>
      </c>
      <c r="O48" s="73"/>
    </row>
    <row r="49">
      <c r="A49" s="87">
        <v>42822.0</v>
      </c>
      <c r="B49" s="88" t="s">
        <v>216</v>
      </c>
      <c r="C49" s="89">
        <v>0.4027777777777778</v>
      </c>
      <c r="D49" s="89">
        <v>0.4583333333333333</v>
      </c>
      <c r="E49" s="80" t="s">
        <v>569</v>
      </c>
      <c r="F49" s="81">
        <v>1612340.0</v>
      </c>
      <c r="G49" s="73"/>
      <c r="H49" s="80" t="s">
        <v>569</v>
      </c>
      <c r="I49" s="81">
        <v>1612340.0</v>
      </c>
      <c r="J49" s="82">
        <v>0.504999995231628</v>
      </c>
      <c r="K49" s="82">
        <v>-0.273</v>
      </c>
      <c r="L49" s="83">
        <v>0.4361111111111111</v>
      </c>
      <c r="M49" s="82">
        <v>0.232</v>
      </c>
      <c r="N49" s="82">
        <v>0.25237036</v>
      </c>
      <c r="O49" s="73"/>
    </row>
    <row r="50">
      <c r="A50" s="77">
        <v>42823.0</v>
      </c>
      <c r="B50" s="78" t="s">
        <v>244</v>
      </c>
      <c r="C50" s="79">
        <v>0.3854166666666667</v>
      </c>
      <c r="D50" s="79">
        <v>0.46875</v>
      </c>
      <c r="E50" s="80" t="s">
        <v>580</v>
      </c>
      <c r="F50" s="81">
        <v>1612366.0</v>
      </c>
      <c r="G50" s="73"/>
      <c r="H50" s="80" t="s">
        <v>569</v>
      </c>
      <c r="I50" s="81">
        <v>1612340.0</v>
      </c>
      <c r="J50" s="82">
        <v>0.500900012254714</v>
      </c>
      <c r="K50" s="82">
        <v>-0.189</v>
      </c>
      <c r="L50" s="83">
        <v>0.46041666666666664</v>
      </c>
      <c r="M50" s="82">
        <v>0.31190002</v>
      </c>
      <c r="N50" s="82">
        <v>0.42689177</v>
      </c>
      <c r="O50" s="73"/>
    </row>
    <row r="51">
      <c r="A51" s="87">
        <v>42825.0</v>
      </c>
      <c r="B51" s="88" t="s">
        <v>246</v>
      </c>
      <c r="C51" s="93">
        <v>0.4173611111111111</v>
      </c>
      <c r="D51" s="93">
        <v>0.45069444444444445</v>
      </c>
      <c r="E51" s="80" t="s">
        <v>575</v>
      </c>
      <c r="F51" s="81">
        <v>1612340.0</v>
      </c>
      <c r="G51" s="73"/>
      <c r="H51" s="80" t="s">
        <v>569</v>
      </c>
      <c r="I51" s="81">
        <v>1612340.0</v>
      </c>
      <c r="J51" s="82">
        <v>0.522500000894069</v>
      </c>
      <c r="K51" s="82">
        <v>-0.023</v>
      </c>
      <c r="L51" s="83">
        <v>0.45069444444444445</v>
      </c>
      <c r="M51" s="82">
        <v>0.49949998</v>
      </c>
      <c r="N51" s="82">
        <v>0.59298974</v>
      </c>
      <c r="O51" s="73"/>
    </row>
    <row r="52">
      <c r="A52" s="77">
        <v>42826.0</v>
      </c>
      <c r="B52" s="78" t="s">
        <v>303</v>
      </c>
      <c r="C52" s="79">
        <v>0.4708333333333333</v>
      </c>
      <c r="D52" s="79">
        <v>0.5041666666666667</v>
      </c>
      <c r="E52" s="80" t="s">
        <v>595</v>
      </c>
      <c r="F52" s="73" t="s">
        <v>596</v>
      </c>
      <c r="G52" s="73" t="s">
        <v>597</v>
      </c>
      <c r="H52" s="80" t="s">
        <v>579</v>
      </c>
      <c r="I52" s="81">
        <v>1615680.0</v>
      </c>
      <c r="J52" s="82">
        <v>0.57362499833107</v>
      </c>
      <c r="K52" s="82">
        <v>-0.058719404</v>
      </c>
      <c r="L52" s="83">
        <v>0.48680555555555555</v>
      </c>
      <c r="M52" s="82">
        <v>0.5149056</v>
      </c>
      <c r="N52" s="82">
        <v>0.5190363</v>
      </c>
      <c r="O52" s="73"/>
    </row>
    <row r="53">
      <c r="A53" s="77">
        <v>42827.0</v>
      </c>
      <c r="B53" s="78" t="s">
        <v>340</v>
      </c>
      <c r="C53" s="79">
        <v>0.48680555555555555</v>
      </c>
      <c r="D53" s="79">
        <v>0.525</v>
      </c>
      <c r="E53" s="80" t="s">
        <v>581</v>
      </c>
      <c r="F53" s="81">
        <v>1617760.0</v>
      </c>
      <c r="G53" s="73"/>
      <c r="H53" s="80" t="s">
        <v>582</v>
      </c>
      <c r="I53" s="81">
        <v>1617433.0</v>
      </c>
      <c r="J53" s="82">
        <v>0.474999990728166</v>
      </c>
      <c r="K53" s="82">
        <v>0.04087</v>
      </c>
      <c r="L53" s="83">
        <v>0.525</v>
      </c>
      <c r="M53" s="82">
        <v>0.51587</v>
      </c>
      <c r="N53" s="82">
        <v>0.55136806</v>
      </c>
      <c r="O53" s="73"/>
    </row>
    <row r="54">
      <c r="A54" s="87">
        <v>42832.0</v>
      </c>
      <c r="B54" s="88" t="s">
        <v>250</v>
      </c>
      <c r="C54" s="89">
        <v>0.375</v>
      </c>
      <c r="D54" s="89">
        <v>0.4791666666666667</v>
      </c>
      <c r="E54" s="80" t="s">
        <v>609</v>
      </c>
      <c r="F54" s="81">
        <v>1612340.0</v>
      </c>
      <c r="G54" s="73"/>
      <c r="H54" s="80" t="s">
        <v>569</v>
      </c>
      <c r="I54" s="81">
        <v>1612340.0</v>
      </c>
      <c r="J54" s="82">
        <v>0.599199995994567</v>
      </c>
      <c r="K54" s="82">
        <v>-0.087</v>
      </c>
      <c r="L54" s="83">
        <v>0.375</v>
      </c>
      <c r="M54" s="82">
        <v>0.5122</v>
      </c>
      <c r="N54" s="82">
        <v>0.7779881</v>
      </c>
      <c r="O54" s="73"/>
    </row>
    <row r="55">
      <c r="A55" s="77">
        <v>42834.0</v>
      </c>
      <c r="B55" s="78" t="s">
        <v>301</v>
      </c>
      <c r="C55" s="79">
        <v>0.36875</v>
      </c>
      <c r="D55" s="79">
        <v>0.41041666666666665</v>
      </c>
      <c r="E55" s="80" t="s">
        <v>570</v>
      </c>
      <c r="F55" s="81">
        <v>1611400.0</v>
      </c>
      <c r="G55" s="73"/>
      <c r="H55" s="80" t="s">
        <v>571</v>
      </c>
      <c r="I55" s="81">
        <v>1611400.0</v>
      </c>
      <c r="J55" s="82">
        <v>0.761500006914138</v>
      </c>
      <c r="K55" s="82">
        <v>-0.09009</v>
      </c>
      <c r="L55" s="83">
        <v>0.36875</v>
      </c>
      <c r="M55" s="82">
        <v>0.67141</v>
      </c>
      <c r="N55" s="82">
        <v>0.699799</v>
      </c>
      <c r="O55" s="73"/>
    </row>
    <row r="56">
      <c r="A56" s="77">
        <v>42835.0</v>
      </c>
      <c r="B56" s="78" t="s">
        <v>216</v>
      </c>
      <c r="C56" s="79">
        <v>0.3888888888888889</v>
      </c>
      <c r="D56" s="79">
        <v>0.4236111111111111</v>
      </c>
      <c r="E56" s="80" t="s">
        <v>569</v>
      </c>
      <c r="F56" s="81">
        <v>1612340.0</v>
      </c>
      <c r="G56" s="73"/>
      <c r="H56" s="80" t="s">
        <v>569</v>
      </c>
      <c r="I56" s="81">
        <v>1612340.0</v>
      </c>
      <c r="J56" s="82">
        <v>0.602125003933906</v>
      </c>
      <c r="K56" s="82">
        <v>-0.167</v>
      </c>
      <c r="L56" s="83">
        <v>0.4</v>
      </c>
      <c r="M56" s="82">
        <v>0.435125</v>
      </c>
      <c r="N56" s="82">
        <v>0.44253674</v>
      </c>
      <c r="O56" s="73"/>
    </row>
    <row r="57">
      <c r="A57" s="77">
        <v>42836.0</v>
      </c>
      <c r="B57" s="78" t="s">
        <v>301</v>
      </c>
      <c r="C57" s="79">
        <v>0.3958333333333333</v>
      </c>
      <c r="D57" s="79">
        <v>0.44375</v>
      </c>
      <c r="E57" s="80" t="s">
        <v>570</v>
      </c>
      <c r="F57" s="81">
        <v>1611400.0</v>
      </c>
      <c r="G57" s="73"/>
      <c r="H57" s="80" t="s">
        <v>571</v>
      </c>
      <c r="I57" s="81">
        <v>1611400.0</v>
      </c>
      <c r="J57" s="82">
        <v>0.709416662653287</v>
      </c>
      <c r="K57" s="82">
        <v>-0.13923</v>
      </c>
      <c r="L57" s="83">
        <v>0.39861111111111114</v>
      </c>
      <c r="M57" s="82">
        <v>0.5701867</v>
      </c>
      <c r="N57" s="82">
        <v>0.5985527</v>
      </c>
      <c r="O57" s="73"/>
    </row>
    <row r="58">
      <c r="A58" s="77">
        <v>42836.0</v>
      </c>
      <c r="B58" s="78" t="s">
        <v>266</v>
      </c>
      <c r="C58" s="79">
        <v>0.4041666666666667</v>
      </c>
      <c r="D58" s="79">
        <v>0.4409722222222222</v>
      </c>
      <c r="E58" s="80" t="s">
        <v>570</v>
      </c>
      <c r="F58" s="81">
        <v>1611400.0</v>
      </c>
      <c r="G58" s="73"/>
      <c r="H58" s="80" t="s">
        <v>571</v>
      </c>
      <c r="I58" s="81">
        <v>1611400.0</v>
      </c>
      <c r="J58" s="82">
        <v>0.706888880994584</v>
      </c>
      <c r="K58" s="82">
        <v>-0.13832</v>
      </c>
      <c r="L58" s="83">
        <v>0.4041666666666667</v>
      </c>
      <c r="M58" s="82">
        <v>0.5685688</v>
      </c>
      <c r="N58" s="82">
        <v>0.5978405</v>
      </c>
      <c r="O58" s="73"/>
    </row>
    <row r="59">
      <c r="A59" s="77">
        <v>42837.0</v>
      </c>
      <c r="B59" s="78" t="s">
        <v>266</v>
      </c>
      <c r="C59" s="79">
        <v>0.3611111111111111</v>
      </c>
      <c r="D59" s="79">
        <v>0.4409722222222222</v>
      </c>
      <c r="E59" s="80" t="s">
        <v>570</v>
      </c>
      <c r="F59" s="81">
        <v>1611400.0</v>
      </c>
      <c r="G59" s="73"/>
      <c r="H59" s="80" t="s">
        <v>571</v>
      </c>
      <c r="I59" s="81">
        <v>1611400.0</v>
      </c>
      <c r="J59" s="82">
        <v>0.620947367266604</v>
      </c>
      <c r="K59" s="82">
        <v>-0.13923</v>
      </c>
      <c r="L59" s="83">
        <v>0.4152777777777778</v>
      </c>
      <c r="M59" s="82">
        <v>0.48171735</v>
      </c>
      <c r="N59" s="82">
        <v>0.5189489</v>
      </c>
      <c r="O59" s="73"/>
    </row>
    <row r="60">
      <c r="A60" s="77">
        <v>42837.0</v>
      </c>
      <c r="B60" s="78" t="s">
        <v>355</v>
      </c>
      <c r="C60" s="79">
        <v>0.39791666666666664</v>
      </c>
      <c r="D60" s="79">
        <v>0.4409722222222222</v>
      </c>
      <c r="E60" s="80" t="s">
        <v>575</v>
      </c>
      <c r="F60" s="81">
        <v>1612340.0</v>
      </c>
      <c r="G60" s="73"/>
      <c r="H60" s="80" t="s">
        <v>569</v>
      </c>
      <c r="I60" s="81">
        <v>1612340.0</v>
      </c>
      <c r="J60" s="82">
        <v>0.665800005197525</v>
      </c>
      <c r="K60" s="82">
        <v>-0.138</v>
      </c>
      <c r="L60" s="83">
        <v>0.43194444444444446</v>
      </c>
      <c r="M60" s="82">
        <v>0.52779996</v>
      </c>
      <c r="N60" s="82">
        <v>0.54868895</v>
      </c>
      <c r="O60" s="73"/>
    </row>
    <row r="61">
      <c r="A61" s="77">
        <v>42838.0</v>
      </c>
      <c r="B61" s="78" t="s">
        <v>259</v>
      </c>
      <c r="C61" s="79">
        <v>0.4027777777777778</v>
      </c>
      <c r="D61" s="79">
        <v>0.47847222222222224</v>
      </c>
      <c r="E61" s="80" t="s">
        <v>590</v>
      </c>
      <c r="F61" s="81">
        <v>1617760.0</v>
      </c>
      <c r="G61" s="73"/>
      <c r="H61" s="80" t="s">
        <v>590</v>
      </c>
      <c r="I61" s="81">
        <v>1617760.0</v>
      </c>
      <c r="J61" s="82">
        <v>0.588333338499069</v>
      </c>
      <c r="K61" s="82">
        <v>-0.192</v>
      </c>
      <c r="L61" s="83">
        <v>0.4173611111111111</v>
      </c>
      <c r="M61" s="82">
        <v>0.39633337</v>
      </c>
      <c r="N61" s="82">
        <v>0.46086976</v>
      </c>
      <c r="O61" s="73"/>
    </row>
    <row r="62">
      <c r="A62" s="77">
        <v>42838.0</v>
      </c>
      <c r="B62" s="78" t="s">
        <v>352</v>
      </c>
      <c r="C62" s="79">
        <v>0.4375</v>
      </c>
      <c r="D62" s="79">
        <v>0.4791666666666667</v>
      </c>
      <c r="E62" s="73" t="s">
        <v>598</v>
      </c>
      <c r="F62" s="73" t="s">
        <v>599</v>
      </c>
      <c r="G62" s="73" t="s">
        <v>600</v>
      </c>
      <c r="H62" s="73" t="s">
        <v>594</v>
      </c>
      <c r="I62" s="81">
        <v>1612480.0</v>
      </c>
      <c r="J62" s="82">
        <v>0.639499998092651</v>
      </c>
      <c r="K62" s="82">
        <v>-0.05166</v>
      </c>
      <c r="L62" s="83">
        <v>0.4375</v>
      </c>
      <c r="M62" s="82">
        <v>0.58784</v>
      </c>
      <c r="N62" s="82">
        <v>0.6566581</v>
      </c>
      <c r="O62" s="73"/>
    </row>
    <row r="63">
      <c r="A63" s="87">
        <v>42838.0</v>
      </c>
      <c r="B63" s="88" t="s">
        <v>226</v>
      </c>
      <c r="C63" s="89">
        <v>0.4375</v>
      </c>
      <c r="D63" s="89">
        <v>0.4583333333333333</v>
      </c>
      <c r="E63" s="80" t="s">
        <v>610</v>
      </c>
      <c r="F63" s="73" t="s">
        <v>611</v>
      </c>
      <c r="G63" s="73" t="s">
        <v>612</v>
      </c>
      <c r="H63" s="80" t="s">
        <v>594</v>
      </c>
      <c r="I63" s="81">
        <v>1612480.0</v>
      </c>
      <c r="J63" s="82">
        <v>0.645399987697601</v>
      </c>
      <c r="K63" s="82">
        <v>-0.05166</v>
      </c>
      <c r="L63" s="83">
        <v>0.4375</v>
      </c>
      <c r="M63" s="82">
        <v>0.59374</v>
      </c>
      <c r="N63" s="82">
        <v>0.62297046</v>
      </c>
      <c r="O63" s="73"/>
    </row>
    <row r="64">
      <c r="A64" s="77">
        <v>42844.0</v>
      </c>
      <c r="B64" s="78" t="s">
        <v>244</v>
      </c>
      <c r="C64" s="79">
        <v>0.3854166666666667</v>
      </c>
      <c r="D64" s="79">
        <v>0.46875</v>
      </c>
      <c r="E64" s="80" t="s">
        <v>580</v>
      </c>
      <c r="F64" s="81">
        <v>1612366.0</v>
      </c>
      <c r="G64" s="73"/>
      <c r="H64" s="80" t="s">
        <v>569</v>
      </c>
      <c r="I64" s="81">
        <v>1612340.0</v>
      </c>
      <c r="J64" s="82">
        <v>0.803000000119209</v>
      </c>
      <c r="K64" s="82">
        <v>0.404</v>
      </c>
      <c r="L64" s="83">
        <v>0.3854166666666667</v>
      </c>
      <c r="M64" s="82">
        <v>1.207</v>
      </c>
      <c r="N64" s="82">
        <v>1.2988759</v>
      </c>
      <c r="O64" s="73"/>
    </row>
    <row r="65">
      <c r="A65" s="77">
        <v>42844.0</v>
      </c>
      <c r="B65" s="78" t="s">
        <v>369</v>
      </c>
      <c r="C65" s="79">
        <v>0.3541666666666667</v>
      </c>
      <c r="D65" s="79">
        <v>0.5</v>
      </c>
      <c r="E65" s="80" t="s">
        <v>613</v>
      </c>
      <c r="F65" s="73" t="s">
        <v>614</v>
      </c>
      <c r="G65" s="73" t="s">
        <v>615</v>
      </c>
      <c r="H65" s="80" t="s">
        <v>571</v>
      </c>
      <c r="I65" s="81">
        <v>1611400.0</v>
      </c>
      <c r="J65" s="82">
        <v>0.574228562627519</v>
      </c>
      <c r="K65" s="82">
        <v>0.37301</v>
      </c>
      <c r="L65" s="83">
        <v>0.3541666666666667</v>
      </c>
      <c r="M65" s="82">
        <v>0.94723856</v>
      </c>
      <c r="N65" s="82">
        <v>1.028236</v>
      </c>
      <c r="O65" s="73"/>
    </row>
    <row r="66">
      <c r="A66" s="77">
        <v>42850.0</v>
      </c>
      <c r="B66" s="78" t="s">
        <v>244</v>
      </c>
      <c r="C66" s="79">
        <v>0.3958333333333333</v>
      </c>
      <c r="D66" s="79">
        <v>0.4583333333333333</v>
      </c>
      <c r="E66" s="80" t="s">
        <v>580</v>
      </c>
      <c r="F66" s="81">
        <v>1612366.0</v>
      </c>
      <c r="G66" s="73"/>
      <c r="H66" s="80" t="s">
        <v>569</v>
      </c>
      <c r="I66" s="81">
        <v>1612340.0</v>
      </c>
      <c r="J66" s="82">
        <v>0.818200000127156</v>
      </c>
      <c r="K66" s="82">
        <v>-0.265</v>
      </c>
      <c r="L66" s="83">
        <v>0.3958333333333333</v>
      </c>
      <c r="M66" s="82">
        <v>0.5532</v>
      </c>
      <c r="N66" s="82">
        <v>0.6798154</v>
      </c>
      <c r="O66" s="73"/>
    </row>
    <row r="67">
      <c r="A67" s="77">
        <v>42850.0</v>
      </c>
      <c r="B67" s="78" t="s">
        <v>250</v>
      </c>
      <c r="C67" s="79">
        <v>0.3888888888888889</v>
      </c>
      <c r="D67" s="79">
        <v>0.4791666666666667</v>
      </c>
      <c r="E67" s="80" t="s">
        <v>609</v>
      </c>
      <c r="F67" s="81">
        <v>1612340.0</v>
      </c>
      <c r="G67" s="73"/>
      <c r="H67" s="80" t="s">
        <v>569</v>
      </c>
      <c r="I67" s="81">
        <v>1612340.0</v>
      </c>
      <c r="J67" s="82">
        <v>0.832285705066862</v>
      </c>
      <c r="K67" s="82">
        <v>-0.329</v>
      </c>
      <c r="L67" s="83">
        <v>0.3888888888888889</v>
      </c>
      <c r="M67" s="82">
        <v>0.5032857</v>
      </c>
      <c r="N67" s="82">
        <v>0.71422464</v>
      </c>
      <c r="O67" s="73"/>
    </row>
    <row r="68">
      <c r="A68" s="77">
        <v>42850.0</v>
      </c>
      <c r="B68" s="78" t="s">
        <v>374</v>
      </c>
      <c r="C68" s="79">
        <v>0.40625</v>
      </c>
      <c r="D68" s="79">
        <v>0.46875</v>
      </c>
      <c r="E68" s="80" t="s">
        <v>616</v>
      </c>
      <c r="F68" s="81">
        <v>1612340.0</v>
      </c>
      <c r="G68" s="73"/>
      <c r="H68" s="80" t="s">
        <v>579</v>
      </c>
      <c r="I68" s="81">
        <v>1615680.0</v>
      </c>
      <c r="J68" s="82">
        <v>0.740266648928324</v>
      </c>
      <c r="K68" s="82">
        <v>-0.296</v>
      </c>
      <c r="L68" s="83">
        <v>0.40625</v>
      </c>
      <c r="M68" s="82">
        <v>0.44426662</v>
      </c>
      <c r="N68" s="82">
        <v>0.62436557</v>
      </c>
      <c r="O68" s="73"/>
    </row>
    <row r="69">
      <c r="A69" s="77">
        <v>42851.0</v>
      </c>
      <c r="B69" s="78" t="s">
        <v>369</v>
      </c>
      <c r="C69" s="79">
        <v>0.375</v>
      </c>
      <c r="D69" s="79">
        <v>0.5625</v>
      </c>
      <c r="E69" s="80" t="s">
        <v>613</v>
      </c>
      <c r="F69" s="73" t="s">
        <v>614</v>
      </c>
      <c r="G69" s="73" t="s">
        <v>615</v>
      </c>
      <c r="H69" s="80" t="s">
        <v>571</v>
      </c>
      <c r="I69" s="81">
        <v>1611400.0</v>
      </c>
      <c r="J69" s="82">
        <v>0.336977777878443</v>
      </c>
      <c r="K69" s="82">
        <v>-0.38451</v>
      </c>
      <c r="L69" s="83">
        <v>0.3861111111111111</v>
      </c>
      <c r="M69" s="82">
        <v>-0.04753223</v>
      </c>
      <c r="N69" s="82">
        <v>0.503378</v>
      </c>
      <c r="O69" s="73"/>
    </row>
    <row r="70">
      <c r="A70" s="77">
        <v>42851.0</v>
      </c>
      <c r="B70" s="78" t="s">
        <v>340</v>
      </c>
      <c r="C70" s="79">
        <v>0.3854166666666667</v>
      </c>
      <c r="D70" s="79">
        <v>0.4583333333333333</v>
      </c>
      <c r="E70" s="80" t="s">
        <v>581</v>
      </c>
      <c r="F70" s="81">
        <v>1617760.0</v>
      </c>
      <c r="G70" s="73"/>
      <c r="H70" s="80" t="s">
        <v>582</v>
      </c>
      <c r="I70" s="81">
        <v>1617433.0</v>
      </c>
      <c r="J70" s="82">
        <v>0.436176471850451</v>
      </c>
      <c r="K70" s="82">
        <v>-0.35041</v>
      </c>
      <c r="L70" s="83">
        <v>0.3854166666666667</v>
      </c>
      <c r="M70" s="82">
        <v>0.085766464</v>
      </c>
      <c r="N70" s="82">
        <v>0.26245686</v>
      </c>
      <c r="O70" s="73"/>
    </row>
    <row r="71">
      <c r="A71" s="77">
        <v>42851.0</v>
      </c>
      <c r="B71" s="78" t="s">
        <v>293</v>
      </c>
      <c r="C71" s="79">
        <v>0.3993055555555556</v>
      </c>
      <c r="D71" s="79">
        <v>0.4548611111111111</v>
      </c>
      <c r="E71" s="80" t="s">
        <v>590</v>
      </c>
      <c r="F71" s="81">
        <v>1617760.0</v>
      </c>
      <c r="G71" s="73"/>
      <c r="H71" s="80" t="s">
        <v>590</v>
      </c>
      <c r="I71" s="81">
        <v>1617760.0</v>
      </c>
      <c r="J71" s="82">
        <v>0.457785721336092</v>
      </c>
      <c r="K71" s="82">
        <v>-0.467</v>
      </c>
      <c r="L71" s="83">
        <v>0.3993055555555556</v>
      </c>
      <c r="M71" s="82">
        <v>-0.009214282</v>
      </c>
      <c r="N71" s="82">
        <v>0.23371165</v>
      </c>
      <c r="O71" s="73"/>
    </row>
    <row r="72">
      <c r="A72" s="77">
        <v>42851.0</v>
      </c>
      <c r="B72" s="78" t="s">
        <v>216</v>
      </c>
      <c r="C72" s="79">
        <v>0.4027777777777778</v>
      </c>
      <c r="D72" s="79">
        <v>0.4479166666666667</v>
      </c>
      <c r="E72" s="80" t="s">
        <v>569</v>
      </c>
      <c r="F72" s="81">
        <v>1612340.0</v>
      </c>
      <c r="G72" s="73"/>
      <c r="H72" s="80" t="s">
        <v>569</v>
      </c>
      <c r="I72" s="81">
        <v>1612340.0</v>
      </c>
      <c r="J72" s="82">
        <v>0.629181818528608</v>
      </c>
      <c r="K72" s="82">
        <v>-0.354</v>
      </c>
      <c r="L72" s="83">
        <v>0.40347222222222223</v>
      </c>
      <c r="M72" s="82">
        <v>0.2751818</v>
      </c>
      <c r="N72" s="82">
        <v>0.31013632</v>
      </c>
      <c r="O72" s="73"/>
    </row>
    <row r="73">
      <c r="A73" s="77">
        <v>42852.0</v>
      </c>
      <c r="B73" s="78" t="s">
        <v>293</v>
      </c>
      <c r="C73" s="79">
        <v>0.3611111111111111</v>
      </c>
      <c r="D73" s="79">
        <v>0.4583333333333333</v>
      </c>
      <c r="E73" s="80" t="s">
        <v>590</v>
      </c>
      <c r="F73" s="81">
        <v>1617760.0</v>
      </c>
      <c r="G73" s="73"/>
      <c r="H73" s="80" t="s">
        <v>590</v>
      </c>
      <c r="I73" s="81">
        <v>1617760.0</v>
      </c>
      <c r="J73" s="82">
        <v>0.572913042877031</v>
      </c>
      <c r="K73" s="82">
        <v>-0.561</v>
      </c>
      <c r="L73" s="83">
        <v>0.3972222222222222</v>
      </c>
      <c r="M73" s="82">
        <v>0.011913061</v>
      </c>
      <c r="N73" s="82">
        <v>0.099827945</v>
      </c>
      <c r="O73" s="73"/>
    </row>
    <row r="74">
      <c r="A74" s="77">
        <v>42852.0</v>
      </c>
      <c r="B74" s="78" t="s">
        <v>201</v>
      </c>
      <c r="C74" s="79">
        <v>0.3784722222222222</v>
      </c>
      <c r="D74" s="79">
        <v>0.4236111111111111</v>
      </c>
      <c r="E74" s="80" t="s">
        <v>569</v>
      </c>
      <c r="F74" s="81">
        <v>1612340.0</v>
      </c>
      <c r="G74" s="73"/>
      <c r="H74" s="80" t="s">
        <v>569</v>
      </c>
      <c r="I74" s="81">
        <v>1612340.0</v>
      </c>
      <c r="J74" s="82">
        <v>0.610454548488963</v>
      </c>
      <c r="K74" s="82">
        <v>-0.335</v>
      </c>
      <c r="L74" s="83">
        <v>0.4236111111111111</v>
      </c>
      <c r="M74" s="82">
        <v>0.27545455</v>
      </c>
      <c r="N74" s="82">
        <v>0.3351364</v>
      </c>
      <c r="O74" s="73"/>
    </row>
    <row r="75">
      <c r="A75" s="87">
        <v>42852.0</v>
      </c>
      <c r="B75" s="88" t="s">
        <v>201</v>
      </c>
      <c r="C75" s="89">
        <v>0.4236111111111111</v>
      </c>
      <c r="D75" s="89">
        <v>0.4722222222222222</v>
      </c>
      <c r="E75" s="80" t="s">
        <v>569</v>
      </c>
      <c r="F75" s="81">
        <v>1612340.0</v>
      </c>
      <c r="G75" s="73"/>
      <c r="H75" s="80" t="s">
        <v>569</v>
      </c>
      <c r="I75" s="81">
        <v>1612340.0</v>
      </c>
      <c r="J75" s="82">
        <v>0.635750005642573</v>
      </c>
      <c r="K75" s="82">
        <v>-0.338</v>
      </c>
      <c r="L75" s="83">
        <v>0.42777777777777776</v>
      </c>
      <c r="M75" s="82">
        <v>0.29775</v>
      </c>
      <c r="N75" s="82">
        <v>0.32855284</v>
      </c>
      <c r="O75" s="73"/>
    </row>
    <row r="76">
      <c r="A76" s="77">
        <v>42853.0</v>
      </c>
      <c r="B76" s="78" t="s">
        <v>374</v>
      </c>
      <c r="C76" s="79">
        <v>0.4708333333333333</v>
      </c>
      <c r="D76" s="79">
        <v>0.4986111111111111</v>
      </c>
      <c r="E76" s="80" t="s">
        <v>616</v>
      </c>
      <c r="F76" s="81">
        <v>1612340.0</v>
      </c>
      <c r="G76" s="73"/>
      <c r="H76" s="80" t="s">
        <v>579</v>
      </c>
      <c r="I76" s="81">
        <v>1615680.0</v>
      </c>
      <c r="J76" s="82">
        <v>0.728428568158831</v>
      </c>
      <c r="K76" s="82">
        <v>-0.265</v>
      </c>
      <c r="L76" s="83">
        <v>0.4708333333333333</v>
      </c>
      <c r="M76" s="82">
        <v>0.46342856</v>
      </c>
      <c r="N76" s="82">
        <v>0.50052613</v>
      </c>
      <c r="O76" s="73"/>
    </row>
    <row r="77">
      <c r="A77" s="87">
        <v>42853.0</v>
      </c>
      <c r="B77" s="88" t="s">
        <v>266</v>
      </c>
      <c r="C77" s="89">
        <v>0.4479166666666667</v>
      </c>
      <c r="D77" s="89">
        <v>0.5048611111111111</v>
      </c>
      <c r="E77" s="80" t="s">
        <v>570</v>
      </c>
      <c r="F77" s="81">
        <v>1611400.0</v>
      </c>
      <c r="G77" s="73"/>
      <c r="H77" s="80" t="s">
        <v>571</v>
      </c>
      <c r="I77" s="81">
        <v>1611400.0</v>
      </c>
      <c r="J77" s="82">
        <v>0.516285717487335</v>
      </c>
      <c r="K77" s="82">
        <v>-0.28665</v>
      </c>
      <c r="L77" s="83">
        <v>0.4479166666666667</v>
      </c>
      <c r="M77" s="82">
        <v>0.22963572</v>
      </c>
      <c r="N77" s="82">
        <v>0.31633785</v>
      </c>
      <c r="O77" s="73"/>
    </row>
    <row r="78">
      <c r="A78" s="87">
        <v>42853.0</v>
      </c>
      <c r="B78" s="88" t="s">
        <v>293</v>
      </c>
      <c r="C78" s="89">
        <v>0.3888888888888889</v>
      </c>
      <c r="D78" s="89">
        <v>0.4479166666666667</v>
      </c>
      <c r="E78" s="80" t="s">
        <v>590</v>
      </c>
      <c r="F78" s="81">
        <v>1617760.0</v>
      </c>
      <c r="G78" s="73"/>
      <c r="H78" s="80" t="s">
        <v>590</v>
      </c>
      <c r="I78" s="81">
        <v>1617760.0</v>
      </c>
      <c r="J78" s="82">
        <v>0.513214275240898</v>
      </c>
      <c r="K78" s="82">
        <v>-0.502</v>
      </c>
      <c r="L78" s="83">
        <v>0.4263888888888889</v>
      </c>
      <c r="M78" s="82">
        <v>0.011214316</v>
      </c>
      <c r="N78" s="82">
        <v>0.042202663</v>
      </c>
      <c r="O78" s="73"/>
    </row>
    <row r="79">
      <c r="A79" s="77">
        <v>42860.0</v>
      </c>
      <c r="B79" s="78" t="s">
        <v>244</v>
      </c>
      <c r="C79" s="79">
        <v>0.3854166666666667</v>
      </c>
      <c r="D79" s="79">
        <v>0.4583333333333333</v>
      </c>
      <c r="E79" s="80" t="s">
        <v>580</v>
      </c>
      <c r="F79" s="81">
        <v>1612366.0</v>
      </c>
      <c r="G79" s="73"/>
      <c r="H79" s="80" t="s">
        <v>569</v>
      </c>
      <c r="I79" s="81">
        <v>1612340.0</v>
      </c>
      <c r="J79" s="82">
        <v>0.717294128502116</v>
      </c>
      <c r="K79" s="82">
        <v>0.206</v>
      </c>
      <c r="L79" s="83">
        <v>0.3854166666666667</v>
      </c>
      <c r="M79" s="82">
        <v>0.9232942</v>
      </c>
      <c r="N79" s="82">
        <v>1.1795961</v>
      </c>
      <c r="O79" s="73"/>
    </row>
    <row r="80">
      <c r="A80" s="77">
        <v>42860.0</v>
      </c>
      <c r="B80" s="78" t="s">
        <v>394</v>
      </c>
      <c r="C80" s="79">
        <v>0.5104166666666666</v>
      </c>
      <c r="D80" s="79">
        <v>0.5520833333333334</v>
      </c>
      <c r="E80" s="80" t="s">
        <v>581</v>
      </c>
      <c r="F80" s="81">
        <v>1617760.0</v>
      </c>
      <c r="G80" s="73"/>
      <c r="H80" s="80" t="s">
        <v>582</v>
      </c>
      <c r="I80" s="81">
        <v>1617433.0</v>
      </c>
      <c r="J80" s="82">
        <v>0.494400000572204</v>
      </c>
      <c r="K80" s="82">
        <v>1.0311301</v>
      </c>
      <c r="L80" s="83">
        <v>0.5520833333333334</v>
      </c>
      <c r="M80" s="82">
        <v>1.5255301</v>
      </c>
      <c r="N80" s="82">
        <v>1.540204</v>
      </c>
      <c r="O80" s="73"/>
    </row>
    <row r="81">
      <c r="A81" s="77">
        <v>42865.0</v>
      </c>
      <c r="B81" s="78" t="s">
        <v>230</v>
      </c>
      <c r="C81" s="79">
        <v>0.3958333333333333</v>
      </c>
      <c r="D81" s="79">
        <v>0.4652777777777778</v>
      </c>
      <c r="E81" s="80" t="s">
        <v>576</v>
      </c>
      <c r="F81" s="73" t="s">
        <v>577</v>
      </c>
      <c r="G81" s="73" t="s">
        <v>604</v>
      </c>
      <c r="H81" s="80" t="s">
        <v>579</v>
      </c>
      <c r="I81" s="81">
        <v>1615680.0</v>
      </c>
      <c r="J81" s="82">
        <v>0.590117643861209</v>
      </c>
      <c r="K81" s="82">
        <v>0.022680001</v>
      </c>
      <c r="L81" s="83">
        <v>0.3958333333333333</v>
      </c>
      <c r="M81" s="82">
        <v>0.6127976</v>
      </c>
      <c r="N81" s="82">
        <v>0.8272739</v>
      </c>
      <c r="O81" s="73"/>
    </row>
    <row r="82">
      <c r="A82" s="90">
        <v>42865.0</v>
      </c>
      <c r="B82" s="91" t="s">
        <v>467</v>
      </c>
      <c r="C82" s="92">
        <v>0.36319444444444443</v>
      </c>
      <c r="D82" s="92">
        <v>0.37083333333333335</v>
      </c>
      <c r="E82" s="80" t="s">
        <v>617</v>
      </c>
      <c r="F82" s="81">
        <v>1615680.0</v>
      </c>
      <c r="G82" s="73"/>
      <c r="H82" s="80" t="s">
        <v>579</v>
      </c>
      <c r="I82" s="81">
        <v>1615680.0</v>
      </c>
      <c r="J82" s="82">
        <v>0.444000005722045</v>
      </c>
      <c r="K82" s="82">
        <v>-0.108540006</v>
      </c>
      <c r="L82" s="83">
        <v>0.36319444444444443</v>
      </c>
      <c r="M82" s="82">
        <v>0.33546</v>
      </c>
      <c r="N82" s="82">
        <v>0.34706998</v>
      </c>
      <c r="O82" s="73"/>
    </row>
    <row r="83">
      <c r="A83" s="77">
        <v>42866.0</v>
      </c>
      <c r="B83" s="78" t="s">
        <v>400</v>
      </c>
      <c r="C83" s="79">
        <v>0.3680555555555556</v>
      </c>
      <c r="D83" s="79">
        <v>0.4131944444444444</v>
      </c>
      <c r="E83" s="80" t="s">
        <v>618</v>
      </c>
      <c r="F83" s="81">
        <v>1611347.0</v>
      </c>
      <c r="G83" s="73"/>
      <c r="H83" s="80" t="s">
        <v>571</v>
      </c>
      <c r="I83" s="81">
        <v>1611400.0</v>
      </c>
      <c r="J83" s="82">
        <v>0.213454545898871</v>
      </c>
      <c r="K83" s="82">
        <v>-0.27</v>
      </c>
      <c r="L83" s="83">
        <v>0.3784722222222222</v>
      </c>
      <c r="M83" s="82">
        <v>-0.056545466</v>
      </c>
      <c r="N83" s="82">
        <v>-0.040530305</v>
      </c>
      <c r="O83" s="73"/>
    </row>
    <row r="84">
      <c r="A84" s="77">
        <v>42866.0</v>
      </c>
      <c r="B84" s="78" t="s">
        <v>244</v>
      </c>
      <c r="C84" s="79">
        <v>0.3854166666666667</v>
      </c>
      <c r="D84" s="79">
        <v>0.4583333333333333</v>
      </c>
      <c r="E84" s="80" t="s">
        <v>580</v>
      </c>
      <c r="F84" s="81">
        <v>1612366.0</v>
      </c>
      <c r="G84" s="73"/>
      <c r="H84" s="80" t="s">
        <v>569</v>
      </c>
      <c r="I84" s="81">
        <v>1612340.0</v>
      </c>
      <c r="J84" s="82">
        <v>0.503941188840305</v>
      </c>
      <c r="K84" s="82">
        <v>-0.069</v>
      </c>
      <c r="L84" s="83">
        <v>0.40902777777777777</v>
      </c>
      <c r="M84" s="82">
        <v>0.43494117</v>
      </c>
      <c r="N84" s="82">
        <v>0.46418646</v>
      </c>
      <c r="O84" s="73"/>
    </row>
    <row r="85">
      <c r="A85" s="87">
        <v>42866.0</v>
      </c>
      <c r="B85" s="88" t="s">
        <v>219</v>
      </c>
      <c r="C85" s="89">
        <v>0.4</v>
      </c>
      <c r="D85" s="89">
        <v>0.4583333333333333</v>
      </c>
      <c r="E85" s="80" t="s">
        <v>572</v>
      </c>
      <c r="F85" s="73" t="s">
        <v>573</v>
      </c>
      <c r="G85" s="73" t="s">
        <v>574</v>
      </c>
      <c r="H85" s="80" t="s">
        <v>569</v>
      </c>
      <c r="I85" s="81">
        <v>1612340.0</v>
      </c>
      <c r="J85" s="82">
        <v>0.500428582940782</v>
      </c>
      <c r="K85" s="82">
        <v>-0.095879994</v>
      </c>
      <c r="L85" s="83">
        <v>0.40902777777777777</v>
      </c>
      <c r="M85" s="82">
        <v>0.40454856</v>
      </c>
      <c r="N85" s="82">
        <v>0.44169492</v>
      </c>
      <c r="O85" s="73"/>
    </row>
    <row r="86">
      <c r="A86" s="87">
        <v>42866.0</v>
      </c>
      <c r="B86" s="88" t="s">
        <v>377</v>
      </c>
      <c r="C86" s="89">
        <v>0.3645833333333333</v>
      </c>
      <c r="D86" s="89">
        <v>0.4479166666666667</v>
      </c>
      <c r="E86" s="80" t="s">
        <v>576</v>
      </c>
      <c r="F86" s="73" t="s">
        <v>577</v>
      </c>
      <c r="G86" s="73" t="s">
        <v>605</v>
      </c>
      <c r="H86" s="80" t="s">
        <v>579</v>
      </c>
      <c r="I86" s="81">
        <v>1615680.0</v>
      </c>
      <c r="J86" s="82">
        <v>0.65514999628067</v>
      </c>
      <c r="K86" s="82">
        <v>-0.15984</v>
      </c>
      <c r="L86" s="83">
        <v>0.3645833333333333</v>
      </c>
      <c r="M86" s="82">
        <v>0.49531</v>
      </c>
      <c r="N86" s="82">
        <v>0.6456219</v>
      </c>
      <c r="O86" s="73"/>
    </row>
    <row r="87">
      <c r="A87" s="77">
        <v>42867.0</v>
      </c>
      <c r="B87" s="78" t="s">
        <v>216</v>
      </c>
      <c r="C87" s="79">
        <v>0.4583333333333333</v>
      </c>
      <c r="D87" s="79">
        <v>0.5104166666666666</v>
      </c>
      <c r="E87" s="80" t="s">
        <v>569</v>
      </c>
      <c r="F87" s="81">
        <v>1612340.0</v>
      </c>
      <c r="G87" s="73"/>
      <c r="H87" s="80" t="s">
        <v>569</v>
      </c>
      <c r="I87" s="81">
        <v>1612340.0</v>
      </c>
      <c r="J87" s="82">
        <v>0.45584615606528</v>
      </c>
      <c r="K87" s="82">
        <v>-0.035</v>
      </c>
      <c r="L87" s="83">
        <v>0.4583333333333333</v>
      </c>
      <c r="M87" s="82">
        <v>0.42084616</v>
      </c>
      <c r="N87" s="82">
        <v>0.5482014</v>
      </c>
      <c r="O87" s="73"/>
    </row>
    <row r="88">
      <c r="A88" s="87">
        <v>42874.0</v>
      </c>
      <c r="B88" s="88" t="s">
        <v>400</v>
      </c>
      <c r="C88" s="89">
        <v>0.3625</v>
      </c>
      <c r="D88" s="89">
        <v>0.4111111111111111</v>
      </c>
      <c r="E88" s="80" t="s">
        <v>618</v>
      </c>
      <c r="F88" s="81">
        <v>1611347.0</v>
      </c>
      <c r="G88" s="73"/>
      <c r="H88" s="80" t="s">
        <v>571</v>
      </c>
      <c r="I88" s="81">
        <v>1611400.0</v>
      </c>
      <c r="J88" s="82">
        <v>0.200083335240681</v>
      </c>
      <c r="K88" s="82">
        <v>0.483</v>
      </c>
      <c r="L88" s="83">
        <v>0.3625</v>
      </c>
      <c r="M88" s="82">
        <v>0.68308336</v>
      </c>
      <c r="N88" s="82">
        <v>0.7901115</v>
      </c>
      <c r="O88" s="73"/>
    </row>
    <row r="89">
      <c r="A89" s="77">
        <v>42879.0</v>
      </c>
      <c r="B89" s="78" t="s">
        <v>247</v>
      </c>
      <c r="C89" s="79">
        <v>0.3854166666666667</v>
      </c>
      <c r="D89" s="79">
        <v>0.46875</v>
      </c>
      <c r="E89" s="80" t="s">
        <v>587</v>
      </c>
      <c r="F89" s="73" t="s">
        <v>588</v>
      </c>
      <c r="G89" s="73" t="s">
        <v>619</v>
      </c>
      <c r="H89" s="80" t="s">
        <v>590</v>
      </c>
      <c r="I89" s="81">
        <v>1617760.0</v>
      </c>
      <c r="J89" s="82">
        <v>0.68979999423027</v>
      </c>
      <c r="K89" s="82">
        <v>-0.228</v>
      </c>
      <c r="L89" s="83">
        <v>0.3854166666666667</v>
      </c>
      <c r="M89" s="82">
        <v>0.46180004</v>
      </c>
      <c r="N89" s="82">
        <v>1.0796264</v>
      </c>
      <c r="O89" s="73"/>
    </row>
    <row r="90">
      <c r="A90" s="77">
        <v>42908.0</v>
      </c>
      <c r="B90" s="78" t="s">
        <v>246</v>
      </c>
      <c r="C90" s="79">
        <v>0.3194444444444444</v>
      </c>
      <c r="D90" s="79">
        <v>0.3958333333333333</v>
      </c>
      <c r="E90" s="80" t="s">
        <v>575</v>
      </c>
      <c r="F90" s="81">
        <v>1612340.0</v>
      </c>
      <c r="G90" s="73"/>
      <c r="H90" s="80" t="s">
        <v>569</v>
      </c>
      <c r="I90" s="81">
        <v>1612340.0</v>
      </c>
      <c r="J90" s="82">
        <v>0.278666663500997</v>
      </c>
      <c r="K90" s="82">
        <v>-0.333</v>
      </c>
      <c r="L90" s="83">
        <v>0.33125</v>
      </c>
      <c r="M90" s="82">
        <v>-0.05433333</v>
      </c>
      <c r="N90" s="82">
        <v>0.0119459545</v>
      </c>
      <c r="O90" s="73"/>
    </row>
    <row r="91">
      <c r="A91" s="77">
        <v>42910.0</v>
      </c>
      <c r="B91" s="78" t="s">
        <v>219</v>
      </c>
      <c r="C91" s="79">
        <v>0.3472222222222222</v>
      </c>
      <c r="D91" s="79">
        <v>0.4583333333333333</v>
      </c>
      <c r="E91" s="80" t="s">
        <v>572</v>
      </c>
      <c r="F91" s="73" t="s">
        <v>573</v>
      </c>
      <c r="G91" s="73" t="s">
        <v>574</v>
      </c>
      <c r="H91" s="80" t="s">
        <v>569</v>
      </c>
      <c r="I91" s="81">
        <v>1612340.0</v>
      </c>
      <c r="J91" s="82">
        <v>0.209999998601583</v>
      </c>
      <c r="K91" s="82">
        <v>-0.27104</v>
      </c>
      <c r="L91" s="83">
        <v>0.3972222222222222</v>
      </c>
      <c r="M91" s="82">
        <v>-0.06104</v>
      </c>
      <c r="N91" s="82">
        <v>0.0036068326</v>
      </c>
      <c r="O91" s="73"/>
    </row>
    <row r="92">
      <c r="A92" s="77">
        <v>42911.0</v>
      </c>
      <c r="B92" s="78" t="s">
        <v>250</v>
      </c>
      <c r="C92" s="79">
        <v>0.375</v>
      </c>
      <c r="D92" s="79">
        <v>0.4583333333333333</v>
      </c>
      <c r="E92" s="80" t="s">
        <v>609</v>
      </c>
      <c r="F92" s="81">
        <v>1612340.0</v>
      </c>
      <c r="G92" s="73"/>
      <c r="H92" s="80" t="s">
        <v>569</v>
      </c>
      <c r="I92" s="81">
        <v>1612340.0</v>
      </c>
      <c r="J92" s="82">
        <v>0.192200000584125</v>
      </c>
      <c r="K92" s="82">
        <v>-0.172</v>
      </c>
      <c r="L92" s="83">
        <v>0.425</v>
      </c>
      <c r="M92" s="82">
        <v>0.0202</v>
      </c>
      <c r="N92" s="82">
        <v>0.057390086</v>
      </c>
      <c r="O92" s="73"/>
    </row>
    <row r="93">
      <c r="A93" s="77">
        <v>43134.0</v>
      </c>
      <c r="B93" s="78" t="s">
        <v>201</v>
      </c>
      <c r="C93" s="79">
        <v>0.4895833333333333</v>
      </c>
      <c r="D93" s="79">
        <v>0.5625</v>
      </c>
      <c r="E93" s="80" t="s">
        <v>569</v>
      </c>
      <c r="F93" s="81">
        <v>1612340.0</v>
      </c>
      <c r="G93" s="73"/>
      <c r="H93" s="80" t="s">
        <v>569</v>
      </c>
      <c r="I93" s="81">
        <v>1612340.0</v>
      </c>
      <c r="J93" s="82">
        <v>0.424647063016891</v>
      </c>
      <c r="K93" s="82">
        <v>-0.109</v>
      </c>
      <c r="L93" s="83">
        <v>0.5416666666666666</v>
      </c>
      <c r="M93" s="82">
        <v>0.31564707</v>
      </c>
      <c r="N93" s="82">
        <v>0.35789236</v>
      </c>
      <c r="O93" s="73"/>
    </row>
    <row r="94">
      <c r="A94" s="90">
        <v>43147.0</v>
      </c>
      <c r="B94" s="91" t="s">
        <v>201</v>
      </c>
      <c r="C94" s="92">
        <v>0.4583333333333333</v>
      </c>
      <c r="D94" s="92">
        <v>0.5208333333333334</v>
      </c>
      <c r="E94" s="80" t="s">
        <v>569</v>
      </c>
      <c r="F94" s="81">
        <v>1612340.0</v>
      </c>
      <c r="G94" s="73"/>
      <c r="H94" s="80" t="s">
        <v>569</v>
      </c>
      <c r="I94" s="81">
        <v>1612340.0</v>
      </c>
      <c r="J94" s="82">
        <v>0.440400000413258</v>
      </c>
      <c r="K94" s="82">
        <v>-0.039</v>
      </c>
      <c r="L94" s="83">
        <v>0.47291666666666665</v>
      </c>
      <c r="M94" s="82">
        <v>0.4014</v>
      </c>
      <c r="N94" s="82">
        <v>0.43104833</v>
      </c>
      <c r="O94" s="73"/>
    </row>
    <row r="95">
      <c r="A95" s="77">
        <v>43148.0</v>
      </c>
      <c r="B95" s="78" t="s">
        <v>244</v>
      </c>
      <c r="C95" s="79">
        <v>0.4986111111111111</v>
      </c>
      <c r="D95" s="79">
        <v>0.56875</v>
      </c>
      <c r="E95" s="80" t="s">
        <v>580</v>
      </c>
      <c r="F95" s="81">
        <v>1612366.0</v>
      </c>
      <c r="G95" s="73"/>
      <c r="H95" s="80" t="s">
        <v>569</v>
      </c>
      <c r="I95" s="81">
        <v>1612340.0</v>
      </c>
      <c r="J95" s="82">
        <v>0.329352939830106</v>
      </c>
      <c r="K95" s="82">
        <v>0.011</v>
      </c>
      <c r="L95" s="83">
        <v>0.4986111111111111</v>
      </c>
      <c r="M95" s="82">
        <v>0.34035295</v>
      </c>
      <c r="N95" s="82">
        <v>0.4211373</v>
      </c>
      <c r="O95" s="73"/>
    </row>
    <row r="96">
      <c r="A96" s="84">
        <v>43160.0</v>
      </c>
      <c r="B96" s="85" t="s">
        <v>219</v>
      </c>
      <c r="C96" s="86">
        <v>0.375</v>
      </c>
      <c r="D96" s="86">
        <v>0.4513888888888889</v>
      </c>
      <c r="E96" s="80" t="s">
        <v>572</v>
      </c>
      <c r="F96" s="73" t="s">
        <v>573</v>
      </c>
      <c r="G96" s="73" t="s">
        <v>574</v>
      </c>
      <c r="H96" s="80" t="s">
        <v>569</v>
      </c>
      <c r="I96" s="81">
        <v>1612340.0</v>
      </c>
      <c r="J96" s="82">
        <v>0.254842109586063</v>
      </c>
      <c r="K96" s="82">
        <v>-0.1787</v>
      </c>
      <c r="L96" s="83">
        <v>0.44305555555555554</v>
      </c>
      <c r="M96" s="82">
        <v>0.0761421</v>
      </c>
      <c r="N96" s="82">
        <v>0.16377199</v>
      </c>
      <c r="O96" s="73"/>
    </row>
    <row r="97">
      <c r="A97" s="77">
        <v>43160.0</v>
      </c>
      <c r="B97" s="78" t="s">
        <v>233</v>
      </c>
      <c r="C97" s="79">
        <v>0.3958333333333333</v>
      </c>
      <c r="D97" s="79">
        <v>0.4388888888888889</v>
      </c>
      <c r="E97" s="80" t="s">
        <v>586</v>
      </c>
      <c r="F97" s="81">
        <v>1612340.0</v>
      </c>
      <c r="G97" s="73"/>
      <c r="H97" s="80" t="s">
        <v>579</v>
      </c>
      <c r="I97" s="81">
        <v>1615680.0</v>
      </c>
      <c r="J97" s="82">
        <v>0.166000008583068</v>
      </c>
      <c r="K97" s="82">
        <v>-0.2</v>
      </c>
      <c r="L97" s="83">
        <v>0.4361111111111111</v>
      </c>
      <c r="M97" s="82">
        <v>-0.033999994</v>
      </c>
      <c r="N97" s="82">
        <v>0.006380962</v>
      </c>
      <c r="O97" s="73"/>
    </row>
    <row r="98">
      <c r="A98" s="77">
        <v>43163.0</v>
      </c>
      <c r="B98" s="78" t="s">
        <v>293</v>
      </c>
      <c r="C98" s="79">
        <v>0.4270833333333333</v>
      </c>
      <c r="D98" s="79">
        <v>0.53125</v>
      </c>
      <c r="E98" s="80" t="s">
        <v>590</v>
      </c>
      <c r="F98" s="81">
        <v>1617760.0</v>
      </c>
      <c r="G98" s="73"/>
      <c r="H98" s="80" t="s">
        <v>590</v>
      </c>
      <c r="I98" s="81">
        <v>1617760.0</v>
      </c>
      <c r="J98" s="82">
        <v>0.134400001168251</v>
      </c>
      <c r="K98" s="82">
        <v>-0.076</v>
      </c>
      <c r="L98" s="83">
        <v>0.4618055555555556</v>
      </c>
      <c r="M98" s="82">
        <v>0.058399998</v>
      </c>
      <c r="N98" s="82">
        <v>0.14971124</v>
      </c>
      <c r="O98" s="73"/>
    </row>
    <row r="99">
      <c r="A99" s="87">
        <v>43175.0</v>
      </c>
      <c r="B99" s="88" t="s">
        <v>230</v>
      </c>
      <c r="C99" s="89">
        <v>0.4166666666666667</v>
      </c>
      <c r="D99" s="89">
        <v>0.5</v>
      </c>
      <c r="E99" s="80" t="s">
        <v>576</v>
      </c>
      <c r="F99" s="73" t="s">
        <v>577</v>
      </c>
      <c r="G99" s="73" t="s">
        <v>604</v>
      </c>
      <c r="H99" s="80" t="s">
        <v>579</v>
      </c>
      <c r="I99" s="81">
        <v>1615680.0</v>
      </c>
      <c r="J99" s="82">
        <v>0.235749989748001</v>
      </c>
      <c r="K99" s="82">
        <v>0.22626</v>
      </c>
      <c r="L99" s="83">
        <v>0.4166666666666667</v>
      </c>
      <c r="M99" s="82">
        <v>0.46201</v>
      </c>
      <c r="N99" s="82">
        <v>0.65965444</v>
      </c>
      <c r="O99" s="73"/>
    </row>
    <row r="100">
      <c r="A100" s="77">
        <v>43207.0</v>
      </c>
      <c r="B100" s="78" t="s">
        <v>244</v>
      </c>
      <c r="C100" s="79">
        <v>0.3854166666666667</v>
      </c>
      <c r="D100" s="79">
        <v>0.4444444444444444</v>
      </c>
      <c r="E100" s="80" t="s">
        <v>580</v>
      </c>
      <c r="F100" s="81">
        <v>1612366.0</v>
      </c>
      <c r="G100" s="73"/>
      <c r="H100" s="80" t="s">
        <v>569</v>
      </c>
      <c r="I100" s="81">
        <v>1612340.0</v>
      </c>
      <c r="J100" s="82">
        <v>0.191642855959279</v>
      </c>
      <c r="K100" s="82">
        <v>-0.154</v>
      </c>
      <c r="L100" s="83">
        <v>0.4444444444444444</v>
      </c>
      <c r="M100" s="82">
        <v>0.03764285</v>
      </c>
      <c r="N100" s="82">
        <v>0.113340534</v>
      </c>
      <c r="O100" s="73"/>
    </row>
    <row r="101">
      <c r="A101" s="87">
        <v>43208.0</v>
      </c>
      <c r="B101" s="88" t="s">
        <v>515</v>
      </c>
      <c r="C101" s="89">
        <v>0.4111111111111111</v>
      </c>
      <c r="D101" s="89">
        <v>0.4513888888888889</v>
      </c>
      <c r="E101" s="80" t="s">
        <v>620</v>
      </c>
      <c r="F101" s="81">
        <v>1617760.0</v>
      </c>
      <c r="G101" s="73"/>
      <c r="H101" s="80" t="s">
        <v>590</v>
      </c>
      <c r="I101" s="81">
        <v>1617760.0</v>
      </c>
      <c r="J101" s="82">
        <v>0.242499996721744</v>
      </c>
      <c r="K101" s="82">
        <v>-0.372</v>
      </c>
      <c r="L101" s="83">
        <v>0.4340277777777778</v>
      </c>
      <c r="M101" s="82">
        <v>-0.12950002</v>
      </c>
      <c r="N101" s="82">
        <v>-0.11726271</v>
      </c>
      <c r="O101" s="73"/>
    </row>
    <row r="102">
      <c r="A102" s="87">
        <v>43211.0</v>
      </c>
      <c r="B102" s="88" t="s">
        <v>293</v>
      </c>
      <c r="C102" s="89">
        <v>0.4791666666666667</v>
      </c>
      <c r="D102" s="89">
        <v>0.5416666666666666</v>
      </c>
      <c r="E102" s="80" t="s">
        <v>590</v>
      </c>
      <c r="F102" s="81">
        <v>1617760.0</v>
      </c>
      <c r="G102" s="73"/>
      <c r="H102" s="80" t="s">
        <v>590</v>
      </c>
      <c r="I102" s="81">
        <v>1617760.0</v>
      </c>
      <c r="J102" s="82">
        <v>0.181399998068809</v>
      </c>
      <c r="K102" s="82">
        <v>0.069</v>
      </c>
      <c r="L102" s="83">
        <v>0.5319444444444444</v>
      </c>
      <c r="M102" s="82">
        <v>0.2504</v>
      </c>
      <c r="N102" s="82">
        <v>0.28577363</v>
      </c>
      <c r="O102" s="73"/>
    </row>
    <row r="103">
      <c r="A103" s="77">
        <v>43212.0</v>
      </c>
      <c r="B103" s="78" t="s">
        <v>293</v>
      </c>
      <c r="C103" s="79">
        <v>0.5541666666666667</v>
      </c>
      <c r="D103" s="79">
        <v>0.6458333333333334</v>
      </c>
      <c r="E103" s="80" t="s">
        <v>590</v>
      </c>
      <c r="F103" s="81">
        <v>1617760.0</v>
      </c>
      <c r="G103" s="73"/>
      <c r="H103" s="80" t="s">
        <v>590</v>
      </c>
      <c r="I103" s="81">
        <v>1617760.0</v>
      </c>
      <c r="J103" s="82">
        <v>0.300499993291768</v>
      </c>
      <c r="K103" s="82">
        <v>0.263</v>
      </c>
      <c r="L103" s="83">
        <v>0.5909722222222222</v>
      </c>
      <c r="M103" s="82">
        <v>0.56350005</v>
      </c>
      <c r="N103" s="82">
        <v>0.5906504</v>
      </c>
      <c r="O103" s="73"/>
    </row>
    <row r="104">
      <c r="A104" s="87">
        <v>43213.0</v>
      </c>
      <c r="B104" s="88" t="s">
        <v>219</v>
      </c>
      <c r="C104" s="89">
        <v>0.3333333333333333</v>
      </c>
      <c r="D104" s="89">
        <v>0.4583333333333333</v>
      </c>
      <c r="E104" s="80" t="s">
        <v>572</v>
      </c>
      <c r="F104" s="73" t="s">
        <v>573</v>
      </c>
      <c r="G104" s="73" t="s">
        <v>574</v>
      </c>
      <c r="H104" s="80" t="s">
        <v>569</v>
      </c>
      <c r="I104" s="81">
        <v>1612340.0</v>
      </c>
      <c r="J104" s="82">
        <v>0.0658333326379458</v>
      </c>
      <c r="K104" s="82">
        <v>0.12062</v>
      </c>
      <c r="L104" s="83">
        <v>0.3333333333333333</v>
      </c>
      <c r="M104" s="82">
        <v>0.18645333</v>
      </c>
      <c r="N104" s="82">
        <v>0.44951874</v>
      </c>
      <c r="O104" s="73"/>
    </row>
    <row r="105">
      <c r="A105" s="77">
        <v>43214.0</v>
      </c>
      <c r="B105" s="78" t="s">
        <v>244</v>
      </c>
      <c r="C105" s="79">
        <v>0.375</v>
      </c>
      <c r="D105" s="79">
        <v>0.4444444444444444</v>
      </c>
      <c r="E105" s="80" t="s">
        <v>580</v>
      </c>
      <c r="F105" s="81">
        <v>1612366.0</v>
      </c>
      <c r="G105" s="73"/>
      <c r="H105" s="80" t="s">
        <v>569</v>
      </c>
      <c r="I105" s="81">
        <v>1612340.0</v>
      </c>
      <c r="J105" s="82">
        <v>0.0801764761700349</v>
      </c>
      <c r="K105" s="82">
        <v>0.158</v>
      </c>
      <c r="L105" s="83">
        <v>0.375</v>
      </c>
      <c r="M105" s="82">
        <v>0.23817648</v>
      </c>
      <c r="N105" s="82">
        <v>0.4375824</v>
      </c>
      <c r="O105" s="73"/>
    </row>
    <row r="106">
      <c r="A106" s="84">
        <v>43214.0</v>
      </c>
      <c r="B106" s="85" t="s">
        <v>201</v>
      </c>
      <c r="C106" s="86">
        <v>0.3854166666666667</v>
      </c>
      <c r="D106" s="86">
        <v>0.4097222222222222</v>
      </c>
      <c r="E106" s="80" t="s">
        <v>569</v>
      </c>
      <c r="F106" s="81">
        <v>1612340.0</v>
      </c>
      <c r="G106" s="73"/>
      <c r="H106" s="80" t="s">
        <v>569</v>
      </c>
      <c r="I106" s="81">
        <v>1612340.0</v>
      </c>
      <c r="J106" s="82">
        <v>0.0700000052650769</v>
      </c>
      <c r="K106" s="82">
        <v>0.222</v>
      </c>
      <c r="L106" s="83">
        <v>0.3854166666666667</v>
      </c>
      <c r="M106" s="82">
        <v>0.292</v>
      </c>
      <c r="N106" s="82">
        <v>0.3674722</v>
      </c>
      <c r="O106" s="73"/>
    </row>
    <row r="107">
      <c r="A107" s="77">
        <v>43215.0</v>
      </c>
      <c r="B107" s="78" t="s">
        <v>340</v>
      </c>
      <c r="C107" s="79">
        <v>0.3159722222222222</v>
      </c>
      <c r="D107" s="79">
        <v>0.34375</v>
      </c>
      <c r="E107" s="80" t="s">
        <v>581</v>
      </c>
      <c r="F107" s="81">
        <v>1617760.0</v>
      </c>
      <c r="G107" s="73"/>
      <c r="H107" s="80" t="s">
        <v>582</v>
      </c>
      <c r="I107" s="81">
        <v>1617433.0</v>
      </c>
      <c r="J107" s="82">
        <v>0.439571427447455</v>
      </c>
      <c r="K107" s="82">
        <v>0.10586001</v>
      </c>
      <c r="L107" s="83">
        <v>0.3159722222222222</v>
      </c>
      <c r="M107" s="82">
        <v>0.54543144</v>
      </c>
      <c r="N107" s="82">
        <v>0.5909751</v>
      </c>
      <c r="O107" s="73"/>
    </row>
    <row r="108">
      <c r="A108" s="77">
        <v>43216.0</v>
      </c>
      <c r="B108" s="78" t="s">
        <v>329</v>
      </c>
      <c r="C108" s="79">
        <v>0.3958333333333333</v>
      </c>
      <c r="D108" s="79">
        <v>0.4236111111111111</v>
      </c>
      <c r="E108" s="80" t="s">
        <v>608</v>
      </c>
      <c r="F108" s="81">
        <v>1612340.0</v>
      </c>
      <c r="G108" s="73"/>
      <c r="H108" s="80" t="s">
        <v>579</v>
      </c>
      <c r="I108" s="81">
        <v>1615680.0</v>
      </c>
      <c r="J108" s="82">
        <v>0.0451428549630301</v>
      </c>
      <c r="K108" s="82">
        <v>-0.007</v>
      </c>
      <c r="L108" s="83">
        <v>0.3958333333333333</v>
      </c>
      <c r="M108" s="82">
        <v>0.038142856</v>
      </c>
      <c r="N108" s="82">
        <v>0.13326481</v>
      </c>
      <c r="O108" s="73"/>
    </row>
    <row r="109">
      <c r="A109" s="87">
        <v>43217.0</v>
      </c>
      <c r="B109" s="88" t="s">
        <v>377</v>
      </c>
      <c r="C109" s="89">
        <v>0.4284722222222222</v>
      </c>
      <c r="D109" s="89">
        <v>0.4736111111111111</v>
      </c>
      <c r="E109" s="80" t="s">
        <v>576</v>
      </c>
      <c r="F109" s="73" t="s">
        <v>577</v>
      </c>
      <c r="G109" s="73" t="s">
        <v>605</v>
      </c>
      <c r="H109" s="80" t="s">
        <v>579</v>
      </c>
      <c r="I109" s="81">
        <v>1615680.0</v>
      </c>
      <c r="J109" s="82">
        <v>0.158363645726984</v>
      </c>
      <c r="K109" s="82">
        <v>0.48546</v>
      </c>
      <c r="L109" s="83">
        <v>0.4284722222222222</v>
      </c>
      <c r="M109" s="82">
        <v>0.6438236</v>
      </c>
      <c r="N109" s="82">
        <v>0.78366727</v>
      </c>
      <c r="O109" s="73"/>
    </row>
    <row r="110">
      <c r="A110" s="87">
        <v>43219.0</v>
      </c>
      <c r="B110" s="88" t="s">
        <v>374</v>
      </c>
      <c r="C110" s="89">
        <v>0.35625</v>
      </c>
      <c r="D110" s="89">
        <v>0.4479166666666667</v>
      </c>
      <c r="E110" s="80" t="s">
        <v>616</v>
      </c>
      <c r="F110" s="81">
        <v>1612340.0</v>
      </c>
      <c r="G110" s="73"/>
      <c r="H110" s="80" t="s">
        <v>579</v>
      </c>
      <c r="I110" s="81">
        <v>1615680.0</v>
      </c>
      <c r="J110" s="82">
        <v>0.0469545440917665</v>
      </c>
      <c r="K110" s="82">
        <v>-0.233</v>
      </c>
      <c r="L110" s="83">
        <v>0.38958333333333334</v>
      </c>
      <c r="M110" s="82">
        <v>-0.18604545</v>
      </c>
      <c r="N110" s="82">
        <v>-0.13694772</v>
      </c>
      <c r="O110" s="73"/>
    </row>
    <row r="111">
      <c r="A111" s="87">
        <v>43221.0</v>
      </c>
      <c r="B111" s="88" t="s">
        <v>456</v>
      </c>
      <c r="C111" s="89">
        <v>0.3854166666666667</v>
      </c>
      <c r="D111" s="89">
        <v>0.4409722222222222</v>
      </c>
      <c r="E111" s="80" t="s">
        <v>621</v>
      </c>
      <c r="F111" s="81">
        <v>1612480.0</v>
      </c>
      <c r="G111" s="73"/>
      <c r="H111" s="80" t="s">
        <v>594</v>
      </c>
      <c r="I111" s="81">
        <v>1612480.0</v>
      </c>
      <c r="J111" s="82">
        <v>0.111307690349908</v>
      </c>
      <c r="K111" s="82">
        <v>-0.24374999</v>
      </c>
      <c r="L111" s="83">
        <v>0.3854166666666667</v>
      </c>
      <c r="M111" s="82">
        <v>-0.1324423</v>
      </c>
      <c r="N111" s="82">
        <v>-0.03745157</v>
      </c>
      <c r="O111" s="73"/>
    </row>
    <row r="112">
      <c r="A112" s="87">
        <v>43222.0</v>
      </c>
      <c r="B112" s="88" t="s">
        <v>216</v>
      </c>
      <c r="C112" s="89">
        <v>0.3854166666666667</v>
      </c>
      <c r="D112" s="89">
        <v>0.4375</v>
      </c>
      <c r="E112" s="80" t="s">
        <v>569</v>
      </c>
      <c r="F112" s="81">
        <v>1612340.0</v>
      </c>
      <c r="G112" s="73"/>
      <c r="H112" s="80" t="s">
        <v>569</v>
      </c>
      <c r="I112" s="81">
        <v>1612340.0</v>
      </c>
      <c r="J112" s="82">
        <v>0.139750000710288</v>
      </c>
      <c r="K112" s="82">
        <v>-0.088</v>
      </c>
      <c r="L112" s="83">
        <v>0.4375</v>
      </c>
      <c r="M112" s="82">
        <v>0.051750004</v>
      </c>
      <c r="N112" s="82">
        <v>0.10688158</v>
      </c>
      <c r="O112" s="73"/>
    </row>
    <row r="113">
      <c r="A113" s="77">
        <v>43230.0</v>
      </c>
      <c r="B113" s="78" t="s">
        <v>201</v>
      </c>
      <c r="C113" s="79">
        <v>0.3611111111111111</v>
      </c>
      <c r="D113" s="79">
        <v>0.4027777777777778</v>
      </c>
      <c r="E113" s="80" t="s">
        <v>569</v>
      </c>
      <c r="F113" s="81">
        <v>1612340.0</v>
      </c>
      <c r="G113" s="73"/>
      <c r="H113" s="80" t="s">
        <v>569</v>
      </c>
      <c r="I113" s="81">
        <v>1612340.0</v>
      </c>
      <c r="J113" s="82">
        <v>-0.0344999983906745</v>
      </c>
      <c r="K113" s="82">
        <v>0.136</v>
      </c>
      <c r="L113" s="83">
        <v>0.3611111111111111</v>
      </c>
      <c r="M113" s="82">
        <v>0.101500005</v>
      </c>
      <c r="N113" s="82">
        <v>0.22559835</v>
      </c>
      <c r="O113" s="73"/>
    </row>
    <row r="114">
      <c r="A114" s="77">
        <v>43231.0</v>
      </c>
      <c r="B114" s="78" t="s">
        <v>201</v>
      </c>
      <c r="C114" s="79">
        <v>0.375</v>
      </c>
      <c r="D114" s="79">
        <v>0.4097222222222222</v>
      </c>
      <c r="E114" s="80" t="s">
        <v>569</v>
      </c>
      <c r="F114" s="81">
        <v>1612340.0</v>
      </c>
      <c r="G114" s="73"/>
      <c r="H114" s="80" t="s">
        <v>569</v>
      </c>
      <c r="I114" s="81">
        <v>1612340.0</v>
      </c>
      <c r="J114" s="82">
        <v>-0.0136666662163204</v>
      </c>
      <c r="K114" s="82">
        <v>0.071</v>
      </c>
      <c r="L114" s="83">
        <v>0.375</v>
      </c>
      <c r="M114" s="82">
        <v>0.057333335</v>
      </c>
      <c r="N114" s="82">
        <v>0.17503922</v>
      </c>
      <c r="O114" s="73"/>
    </row>
    <row r="115">
      <c r="A115" s="87">
        <v>43232.0</v>
      </c>
      <c r="B115" s="88" t="s">
        <v>374</v>
      </c>
      <c r="C115" s="89">
        <v>0.3715277777777778</v>
      </c>
      <c r="D115" s="89">
        <v>0.42083333333333334</v>
      </c>
      <c r="E115" s="80" t="s">
        <v>616</v>
      </c>
      <c r="F115" s="81">
        <v>1612340.0</v>
      </c>
      <c r="G115" s="73"/>
      <c r="H115" s="80" t="s">
        <v>579</v>
      </c>
      <c r="I115" s="81">
        <v>1615680.0</v>
      </c>
      <c r="J115" s="82">
        <v>0.107272711667147</v>
      </c>
      <c r="K115" s="82">
        <v>-0.102</v>
      </c>
      <c r="L115" s="83">
        <v>0.3715277777777778</v>
      </c>
      <c r="M115" s="82">
        <v>0.0052727163</v>
      </c>
      <c r="N115" s="82">
        <v>0.15917549</v>
      </c>
      <c r="O115" s="73"/>
    </row>
    <row r="116">
      <c r="A116" s="84">
        <v>43234.0</v>
      </c>
      <c r="B116" s="85" t="s">
        <v>216</v>
      </c>
      <c r="C116" s="86">
        <v>0.38263888888888886</v>
      </c>
      <c r="D116" s="86">
        <v>0.41944444444444445</v>
      </c>
      <c r="E116" s="80" t="s">
        <v>569</v>
      </c>
      <c r="F116" s="81">
        <v>1612340.0</v>
      </c>
      <c r="G116" s="73"/>
      <c r="H116" s="80" t="s">
        <v>569</v>
      </c>
      <c r="I116" s="81">
        <v>1612340.0</v>
      </c>
      <c r="J116" s="82">
        <v>0.0834444430139329</v>
      </c>
      <c r="K116" s="82">
        <v>-0.289</v>
      </c>
      <c r="L116" s="83">
        <v>0.38263888888888886</v>
      </c>
      <c r="M116" s="82">
        <v>-0.20555556</v>
      </c>
      <c r="N116" s="82">
        <v>-0.15372223</v>
      </c>
      <c r="O116" s="73"/>
    </row>
    <row r="117">
      <c r="A117" s="87">
        <v>43235.0</v>
      </c>
      <c r="B117" s="88" t="s">
        <v>216</v>
      </c>
      <c r="C117" s="89">
        <v>0.38263888888888886</v>
      </c>
      <c r="D117" s="89">
        <v>0.4083333333333333</v>
      </c>
      <c r="E117" s="80" t="s">
        <v>569</v>
      </c>
      <c r="F117" s="81">
        <v>1612340.0</v>
      </c>
      <c r="G117" s="73"/>
      <c r="H117" s="80" t="s">
        <v>569</v>
      </c>
      <c r="I117" s="81">
        <v>1612340.0</v>
      </c>
      <c r="J117" s="82">
        <v>0.149500004947185</v>
      </c>
      <c r="K117" s="82">
        <v>-0.315</v>
      </c>
      <c r="L117" s="83">
        <v>0.3909722222222222</v>
      </c>
      <c r="M117" s="82">
        <v>-0.16549999</v>
      </c>
      <c r="N117" s="82">
        <v>-0.16231579</v>
      </c>
      <c r="O117" s="73"/>
    </row>
    <row r="118">
      <c r="A118" s="87">
        <v>43236.0</v>
      </c>
      <c r="B118" s="88" t="s">
        <v>259</v>
      </c>
      <c r="C118" s="89">
        <v>0.375</v>
      </c>
      <c r="D118" s="89">
        <v>0.4166666666666667</v>
      </c>
      <c r="E118" s="80" t="s">
        <v>590</v>
      </c>
      <c r="F118" s="81">
        <v>1617760.0</v>
      </c>
      <c r="G118" s="73"/>
      <c r="H118" s="80" t="s">
        <v>590</v>
      </c>
      <c r="I118" s="81">
        <v>1617760.0</v>
      </c>
      <c r="J118" s="82">
        <v>0.400000008940696</v>
      </c>
      <c r="K118" s="82">
        <v>-0.566</v>
      </c>
      <c r="L118" s="83">
        <v>0.38958333333333334</v>
      </c>
      <c r="M118" s="82">
        <v>-0.16599998</v>
      </c>
      <c r="N118" s="82">
        <v>-0.15013115</v>
      </c>
      <c r="O118" s="73"/>
    </row>
    <row r="119">
      <c r="A119" s="77">
        <v>43236.0</v>
      </c>
      <c r="B119" s="78" t="s">
        <v>266</v>
      </c>
      <c r="C119" s="79">
        <v>0.40625</v>
      </c>
      <c r="D119" s="79">
        <v>0.45555555555555555</v>
      </c>
      <c r="E119" s="80" t="s">
        <v>570</v>
      </c>
      <c r="F119" s="81">
        <v>1611400.0</v>
      </c>
      <c r="G119" s="73"/>
      <c r="H119" s="80" t="s">
        <v>571</v>
      </c>
      <c r="I119" s="81">
        <v>1611400.0</v>
      </c>
      <c r="J119" s="82">
        <v>0.211750003198782</v>
      </c>
      <c r="K119" s="82">
        <v>-0.31759003</v>
      </c>
      <c r="L119" s="83">
        <v>0.40625</v>
      </c>
      <c r="M119" s="82">
        <v>-0.10584003</v>
      </c>
      <c r="N119" s="82">
        <v>-0.05178348</v>
      </c>
      <c r="O119" s="73"/>
    </row>
    <row r="120">
      <c r="A120" s="87">
        <v>43237.0</v>
      </c>
      <c r="B120" s="88" t="s">
        <v>216</v>
      </c>
      <c r="C120" s="89">
        <v>0.375</v>
      </c>
      <c r="D120" s="89">
        <v>0.4583333333333333</v>
      </c>
      <c r="E120" s="80" t="s">
        <v>569</v>
      </c>
      <c r="F120" s="81">
        <v>1612340.0</v>
      </c>
      <c r="G120" s="73"/>
      <c r="H120" s="80" t="s">
        <v>569</v>
      </c>
      <c r="I120" s="81">
        <v>1612340.0</v>
      </c>
      <c r="J120" s="82">
        <v>0.141799999400973</v>
      </c>
      <c r="K120" s="82">
        <v>-0.235</v>
      </c>
      <c r="L120" s="83">
        <v>0.4423611111111111</v>
      </c>
      <c r="M120" s="82">
        <v>-0.0932</v>
      </c>
      <c r="N120" s="82">
        <v>-0.029117353</v>
      </c>
      <c r="O120" s="73"/>
    </row>
    <row r="121">
      <c r="A121" s="77">
        <v>43238.0</v>
      </c>
      <c r="B121" s="78" t="s">
        <v>201</v>
      </c>
      <c r="C121" s="79">
        <v>0.4270833333333333</v>
      </c>
      <c r="D121" s="79">
        <v>0.4673611111111111</v>
      </c>
      <c r="E121" s="80" t="s">
        <v>569</v>
      </c>
      <c r="F121" s="81">
        <v>1612340.0</v>
      </c>
      <c r="G121" s="73"/>
      <c r="H121" s="80" t="s">
        <v>569</v>
      </c>
      <c r="I121" s="81">
        <v>1612340.0</v>
      </c>
      <c r="J121" s="82">
        <v>0.0415999993681907</v>
      </c>
      <c r="K121" s="82">
        <v>-0.117</v>
      </c>
      <c r="L121" s="83">
        <v>0.4673611111111111</v>
      </c>
      <c r="M121" s="82">
        <v>-0.075399995</v>
      </c>
      <c r="N121" s="82">
        <v>-0.041383047</v>
      </c>
      <c r="O121" s="73"/>
    </row>
    <row r="122">
      <c r="A122" s="84">
        <v>43238.0</v>
      </c>
      <c r="B122" s="85" t="s">
        <v>259</v>
      </c>
      <c r="C122" s="86">
        <v>0.3888888888888889</v>
      </c>
      <c r="D122" s="86">
        <v>0.4166666666666667</v>
      </c>
      <c r="E122" s="80" t="s">
        <v>590</v>
      </c>
      <c r="F122" s="81">
        <v>1617760.0</v>
      </c>
      <c r="G122" s="73"/>
      <c r="H122" s="80" t="s">
        <v>590</v>
      </c>
      <c r="I122" s="81">
        <v>1617760.0</v>
      </c>
      <c r="J122" s="82">
        <v>0.268833329280217</v>
      </c>
      <c r="K122" s="82">
        <v>-0.272</v>
      </c>
      <c r="L122" s="83">
        <v>0.4166666666666667</v>
      </c>
      <c r="M122" s="82">
        <v>-0.0031666756</v>
      </c>
      <c r="N122" s="82">
        <v>0.06839431</v>
      </c>
      <c r="O122" s="73"/>
    </row>
    <row r="123">
      <c r="A123" s="87">
        <v>43239.0</v>
      </c>
      <c r="B123" s="88" t="s">
        <v>369</v>
      </c>
      <c r="C123" s="89">
        <v>0.45694444444444443</v>
      </c>
      <c r="D123" s="89">
        <v>0.4756944444444444</v>
      </c>
      <c r="E123" s="80" t="s">
        <v>613</v>
      </c>
      <c r="F123" s="73" t="s">
        <v>614</v>
      </c>
      <c r="G123" s="73" t="s">
        <v>615</v>
      </c>
      <c r="H123" s="80" t="s">
        <v>571</v>
      </c>
      <c r="I123" s="81">
        <v>1611400.0</v>
      </c>
      <c r="J123" s="82">
        <v>0.13539999872446</v>
      </c>
      <c r="K123" s="82">
        <v>-0.057210006</v>
      </c>
      <c r="L123" s="83">
        <v>0.4756944444444444</v>
      </c>
      <c r="M123" s="82">
        <v>0.07818999</v>
      </c>
      <c r="N123" s="82">
        <v>0.08989393</v>
      </c>
      <c r="O123" s="73"/>
    </row>
    <row r="124">
      <c r="A124" s="87">
        <v>43241.0</v>
      </c>
      <c r="B124" s="88" t="s">
        <v>230</v>
      </c>
      <c r="C124" s="89">
        <v>0.46875</v>
      </c>
      <c r="D124" s="89">
        <v>0.5416666666666666</v>
      </c>
      <c r="E124" s="80" t="s">
        <v>576</v>
      </c>
      <c r="F124" s="73" t="s">
        <v>577</v>
      </c>
      <c r="G124" s="73" t="s">
        <v>604</v>
      </c>
      <c r="H124" s="80" t="s">
        <v>579</v>
      </c>
      <c r="I124" s="81">
        <v>1615680.0</v>
      </c>
      <c r="J124" s="82">
        <v>0.0921176496674032</v>
      </c>
      <c r="K124" s="82">
        <v>0.21006</v>
      </c>
      <c r="L124" s="83">
        <v>0.5270833333333333</v>
      </c>
      <c r="M124" s="82">
        <v>0.30217767</v>
      </c>
      <c r="N124" s="82">
        <v>0.31690028</v>
      </c>
      <c r="O124" s="73"/>
    </row>
    <row r="125">
      <c r="A125" s="84">
        <v>43311.0</v>
      </c>
      <c r="B125" s="85" t="s">
        <v>246</v>
      </c>
      <c r="C125" s="86">
        <v>0.3902777777777778</v>
      </c>
      <c r="D125" s="86">
        <v>0.4479166666666667</v>
      </c>
      <c r="E125" s="80" t="s">
        <v>575</v>
      </c>
      <c r="F125" s="81">
        <v>1612340.0</v>
      </c>
      <c r="G125" s="73"/>
      <c r="H125" s="80" t="s">
        <v>569</v>
      </c>
      <c r="I125" s="81">
        <v>1612340.0</v>
      </c>
      <c r="J125" s="82">
        <v>0.172357141971588</v>
      </c>
      <c r="K125" s="82">
        <v>0.26</v>
      </c>
      <c r="L125" s="83">
        <v>0.4465277777777778</v>
      </c>
      <c r="M125" s="82">
        <v>0.43235713</v>
      </c>
      <c r="N125" s="82">
        <v>0.48258337</v>
      </c>
      <c r="O125" s="73"/>
    </row>
    <row r="126">
      <c r="A126" s="87">
        <v>43416.0</v>
      </c>
      <c r="B126" s="88" t="s">
        <v>216</v>
      </c>
      <c r="C126" s="89">
        <v>0.6423611111111112</v>
      </c>
      <c r="D126" s="89">
        <v>0.6701388888888888</v>
      </c>
      <c r="E126" s="80" t="s">
        <v>569</v>
      </c>
      <c r="F126" s="81">
        <v>1612340.0</v>
      </c>
      <c r="G126" s="73"/>
      <c r="H126" s="80" t="s">
        <v>569</v>
      </c>
      <c r="I126" s="81">
        <v>1612340.0</v>
      </c>
      <c r="J126" s="82">
        <v>0.156666671236356</v>
      </c>
      <c r="K126" s="82">
        <v>0.396</v>
      </c>
      <c r="L126" s="83">
        <v>0.6423611111111112</v>
      </c>
      <c r="M126" s="82">
        <v>0.55266666</v>
      </c>
      <c r="N126" s="82">
        <v>0.5681057</v>
      </c>
      <c r="O126" s="73"/>
    </row>
    <row r="127">
      <c r="A127" s="77">
        <v>43485.0</v>
      </c>
      <c r="B127" s="78" t="s">
        <v>201</v>
      </c>
      <c r="C127" s="79">
        <v>0.40625</v>
      </c>
      <c r="D127" s="79">
        <v>0.4479166666666667</v>
      </c>
      <c r="E127" s="80" t="s">
        <v>569</v>
      </c>
      <c r="F127" s="81">
        <v>1612340.0</v>
      </c>
      <c r="G127" s="73"/>
      <c r="H127" s="80" t="s">
        <v>569</v>
      </c>
      <c r="I127" s="81">
        <v>1612340.0</v>
      </c>
      <c r="J127" s="82">
        <v>0.219899997115135</v>
      </c>
      <c r="K127" s="82">
        <v>-0.043</v>
      </c>
      <c r="L127" s="83">
        <v>0.4479166666666667</v>
      </c>
      <c r="M127" s="82">
        <v>0.1769</v>
      </c>
      <c r="N127" s="82">
        <v>0.22840819</v>
      </c>
      <c r="O127" s="73"/>
    </row>
    <row r="128">
      <c r="A128" s="87">
        <v>43515.0</v>
      </c>
      <c r="B128" s="88" t="s">
        <v>244</v>
      </c>
      <c r="C128" s="89">
        <v>0.3854166666666667</v>
      </c>
      <c r="D128" s="89">
        <v>0.4270833333333333</v>
      </c>
      <c r="E128" s="80" t="s">
        <v>580</v>
      </c>
      <c r="F128" s="81">
        <v>1612366.0</v>
      </c>
      <c r="G128" s="73"/>
      <c r="H128" s="80" t="s">
        <v>569</v>
      </c>
      <c r="I128" s="81">
        <v>1612340.0</v>
      </c>
      <c r="J128" s="82">
        <v>0.0603000003844499</v>
      </c>
      <c r="K128" s="82">
        <v>-0.091</v>
      </c>
      <c r="L128" s="83">
        <v>0.4270833333333333</v>
      </c>
      <c r="M128" s="82">
        <v>-0.030699998</v>
      </c>
      <c r="N128" s="82">
        <v>0.106234424</v>
      </c>
      <c r="O128" s="73"/>
    </row>
    <row r="129">
      <c r="A129" s="87">
        <v>43515.0</v>
      </c>
      <c r="B129" s="88" t="s">
        <v>266</v>
      </c>
      <c r="C129" s="89">
        <v>0.4201388888888889</v>
      </c>
      <c r="D129" s="89">
        <v>0.5104166666666666</v>
      </c>
      <c r="E129" s="80" t="s">
        <v>570</v>
      </c>
      <c r="F129" s="81">
        <v>1611400.0</v>
      </c>
      <c r="G129" s="73"/>
      <c r="H129" s="80" t="s">
        <v>571</v>
      </c>
      <c r="I129" s="81">
        <v>1611400.0</v>
      </c>
      <c r="J129" s="82">
        <v>0.180999999357895</v>
      </c>
      <c r="K129" s="82">
        <v>0.035490002</v>
      </c>
      <c r="L129" s="83">
        <v>0.4375</v>
      </c>
      <c r="M129" s="82">
        <v>0.21649</v>
      </c>
      <c r="N129" s="82">
        <v>0.27145818</v>
      </c>
      <c r="O129" s="73"/>
    </row>
    <row r="130">
      <c r="A130" s="87">
        <v>43516.0</v>
      </c>
      <c r="B130" s="88" t="s">
        <v>244</v>
      </c>
      <c r="C130" s="89">
        <v>0.39444444444444443</v>
      </c>
      <c r="D130" s="89">
        <v>0.4791666666666667</v>
      </c>
      <c r="E130" s="80" t="s">
        <v>580</v>
      </c>
      <c r="F130" s="81">
        <v>1612366.0</v>
      </c>
      <c r="G130" s="73"/>
      <c r="H130" s="80" t="s">
        <v>569</v>
      </c>
      <c r="I130" s="81">
        <v>1612340.0</v>
      </c>
      <c r="J130" s="82">
        <v>0.0265999994240701</v>
      </c>
      <c r="K130" s="82">
        <v>-0.168</v>
      </c>
      <c r="L130" s="83">
        <v>0.47847222222222224</v>
      </c>
      <c r="M130" s="82">
        <v>-0.1414</v>
      </c>
      <c r="N130" s="82">
        <v>0.05086829</v>
      </c>
      <c r="O130" s="73"/>
    </row>
    <row r="131">
      <c r="A131" s="77">
        <v>43517.0</v>
      </c>
      <c r="B131" s="78" t="s">
        <v>440</v>
      </c>
      <c r="C131" s="79">
        <v>0.4583333333333333</v>
      </c>
      <c r="D131" s="79">
        <v>0.49027777777777776</v>
      </c>
      <c r="E131" s="80" t="s">
        <v>569</v>
      </c>
      <c r="F131" s="81">
        <v>1612340.0</v>
      </c>
      <c r="G131" s="73"/>
      <c r="H131" s="80" t="s">
        <v>569</v>
      </c>
      <c r="I131" s="81">
        <v>1612340.0</v>
      </c>
      <c r="J131" s="82">
        <v>0.042375000193715</v>
      </c>
      <c r="K131" s="82">
        <v>-0.201</v>
      </c>
      <c r="L131" s="83">
        <v>0.49027777777777776</v>
      </c>
      <c r="M131" s="82">
        <v>-0.158625</v>
      </c>
      <c r="N131" s="82">
        <v>-0.106029265</v>
      </c>
      <c r="O131" s="73"/>
    </row>
    <row r="132">
      <c r="A132" s="77">
        <v>43519.0</v>
      </c>
      <c r="B132" s="94" t="s">
        <v>266</v>
      </c>
      <c r="C132" s="79">
        <v>0.36875</v>
      </c>
      <c r="D132" s="79">
        <v>0.40625</v>
      </c>
      <c r="E132" s="80" t="s">
        <v>570</v>
      </c>
      <c r="F132" s="81">
        <v>1611400.0</v>
      </c>
      <c r="G132" s="73"/>
      <c r="H132" s="80" t="s">
        <v>571</v>
      </c>
      <c r="I132" s="81">
        <v>1611400.0</v>
      </c>
      <c r="J132" s="82">
        <v>-0.116222222646077</v>
      </c>
      <c r="K132" s="82">
        <v>0.54418004</v>
      </c>
      <c r="L132" s="83">
        <v>0.40625</v>
      </c>
      <c r="M132" s="82">
        <v>0.4279578</v>
      </c>
      <c r="N132" s="82">
        <v>0.57026523</v>
      </c>
      <c r="O132" s="73"/>
    </row>
    <row r="133">
      <c r="A133" s="77">
        <v>43519.0</v>
      </c>
      <c r="B133" s="94" t="s">
        <v>266</v>
      </c>
      <c r="C133" s="79">
        <v>0.5347222222222222</v>
      </c>
      <c r="D133" s="79">
        <v>0.6041666666666666</v>
      </c>
      <c r="E133" s="80" t="s">
        <v>570</v>
      </c>
      <c r="F133" s="81">
        <v>1611400.0</v>
      </c>
      <c r="G133" s="73"/>
      <c r="H133" s="80" t="s">
        <v>571</v>
      </c>
      <c r="I133" s="81">
        <v>1611400.0</v>
      </c>
      <c r="J133" s="82">
        <v>-0.00562500028172507</v>
      </c>
      <c r="K133" s="82">
        <v>-0.05278</v>
      </c>
      <c r="L133" s="83">
        <v>0.5347222222222222</v>
      </c>
      <c r="M133" s="82">
        <v>-0.058404997</v>
      </c>
      <c r="N133" s="82">
        <v>0.005439158</v>
      </c>
      <c r="O133" s="73"/>
    </row>
    <row r="134">
      <c r="A134" s="77">
        <v>43520.0</v>
      </c>
      <c r="B134" s="94" t="s">
        <v>293</v>
      </c>
      <c r="C134" s="79">
        <v>0.5520833333333334</v>
      </c>
      <c r="D134" s="79">
        <v>0.59375</v>
      </c>
      <c r="E134" s="80" t="s">
        <v>590</v>
      </c>
      <c r="F134" s="81">
        <v>1617760.0</v>
      </c>
      <c r="G134" s="73"/>
      <c r="H134" s="80" t="s">
        <v>590</v>
      </c>
      <c r="I134" s="81">
        <v>1617760.0</v>
      </c>
      <c r="J134" s="82">
        <v>0.11769999936223</v>
      </c>
      <c r="K134" s="82">
        <v>0.054</v>
      </c>
      <c r="L134" s="83">
        <v>0.5520833333333334</v>
      </c>
      <c r="M134" s="82">
        <v>0.1717</v>
      </c>
      <c r="N134" s="82">
        <v>0.23574919</v>
      </c>
      <c r="O134" s="73"/>
    </row>
    <row r="135">
      <c r="A135" s="84">
        <v>43525.0</v>
      </c>
      <c r="B135" s="85" t="s">
        <v>244</v>
      </c>
      <c r="C135" s="86">
        <v>0.3854166666666667</v>
      </c>
      <c r="D135" s="86">
        <v>0.4722222222222222</v>
      </c>
      <c r="E135" s="80" t="s">
        <v>580</v>
      </c>
      <c r="F135" s="81">
        <v>1612366.0</v>
      </c>
      <c r="G135" s="73"/>
      <c r="H135" s="80" t="s">
        <v>569</v>
      </c>
      <c r="I135" s="81">
        <v>1612340.0</v>
      </c>
      <c r="J135" s="82">
        <v>-0.0142857148533775</v>
      </c>
      <c r="K135" s="82">
        <v>0.191</v>
      </c>
      <c r="L135" s="83">
        <v>0.3854166666666667</v>
      </c>
      <c r="M135" s="82">
        <v>0.17671429</v>
      </c>
      <c r="N135" s="82">
        <v>0.246127</v>
      </c>
      <c r="O135" s="73"/>
    </row>
    <row r="136">
      <c r="A136" s="84">
        <v>43528.0</v>
      </c>
      <c r="B136" s="85" t="s">
        <v>400</v>
      </c>
      <c r="C136" s="86">
        <v>0.3958333333333333</v>
      </c>
      <c r="D136" s="86">
        <v>0.4409722222222222</v>
      </c>
      <c r="E136" s="80" t="s">
        <v>618</v>
      </c>
      <c r="F136" s="81">
        <v>1611347.0</v>
      </c>
      <c r="G136" s="73"/>
      <c r="H136" s="80" t="s">
        <v>571</v>
      </c>
      <c r="I136" s="81">
        <v>1611400.0</v>
      </c>
      <c r="J136" s="82">
        <v>-0.0667272724888541</v>
      </c>
      <c r="K136" s="82">
        <v>0.111</v>
      </c>
      <c r="L136" s="83">
        <v>0.39652777777777776</v>
      </c>
      <c r="M136" s="82">
        <v>0.04427273</v>
      </c>
      <c r="N136" s="82">
        <v>0.068196975</v>
      </c>
      <c r="O136" s="73"/>
    </row>
    <row r="137">
      <c r="A137" s="77">
        <v>43531.0</v>
      </c>
      <c r="B137" s="73" t="s">
        <v>266</v>
      </c>
      <c r="C137" s="79">
        <v>0.4375</v>
      </c>
      <c r="D137" s="79">
        <v>0.5020833333333333</v>
      </c>
      <c r="E137" s="80" t="s">
        <v>570</v>
      </c>
      <c r="F137" s="81">
        <v>1611400.0</v>
      </c>
      <c r="G137" s="73"/>
      <c r="H137" s="80" t="s">
        <v>571</v>
      </c>
      <c r="I137" s="81">
        <v>1611400.0</v>
      </c>
      <c r="J137" s="82">
        <v>-0.0318125004414469</v>
      </c>
      <c r="K137" s="82">
        <v>0.031850003</v>
      </c>
      <c r="L137" s="83">
        <v>0.44375</v>
      </c>
      <c r="M137" s="95">
        <v>3.7502497E-5</v>
      </c>
      <c r="N137" s="82">
        <v>0.03757016</v>
      </c>
      <c r="O137" s="73"/>
    </row>
    <row r="138">
      <c r="A138" s="84">
        <v>43531.0</v>
      </c>
      <c r="B138" s="96" t="s">
        <v>233</v>
      </c>
      <c r="C138" s="86">
        <v>0.4354166666666667</v>
      </c>
      <c r="D138" s="86">
        <v>0.47430555555555554</v>
      </c>
      <c r="E138" s="80" t="s">
        <v>586</v>
      </c>
      <c r="F138" s="81">
        <v>1612340.0</v>
      </c>
      <c r="G138" s="73"/>
      <c r="H138" s="80" t="s">
        <v>579</v>
      </c>
      <c r="I138" s="81">
        <v>1615680.0</v>
      </c>
      <c r="J138" s="82">
        <v>-0.0338888863722483</v>
      </c>
      <c r="K138" s="82">
        <v>-0.066</v>
      </c>
      <c r="L138" s="83">
        <v>0.46319444444444446</v>
      </c>
      <c r="M138" s="82">
        <v>-0.09988889</v>
      </c>
      <c r="N138" s="82">
        <v>-0.08783626</v>
      </c>
      <c r="O138" s="73"/>
    </row>
    <row r="139">
      <c r="A139" s="97">
        <v>43533.0</v>
      </c>
      <c r="B139" s="35" t="s">
        <v>244</v>
      </c>
      <c r="C139" s="98">
        <v>0.4527777777777778</v>
      </c>
      <c r="D139" s="98">
        <v>0.48194444444444445</v>
      </c>
      <c r="E139" s="80" t="s">
        <v>580</v>
      </c>
      <c r="F139" s="81">
        <v>1612366.0</v>
      </c>
      <c r="G139" s="73"/>
      <c r="H139" s="80" t="s">
        <v>569</v>
      </c>
      <c r="I139" s="81">
        <v>1612340.0</v>
      </c>
      <c r="J139" s="81">
        <v>0.0182857143559626</v>
      </c>
      <c r="K139" s="81">
        <v>0.058</v>
      </c>
      <c r="L139" s="83">
        <v>0.48194444444444445</v>
      </c>
      <c r="M139" s="81">
        <v>0.07628571</v>
      </c>
      <c r="N139" s="81">
        <v>0.11821595</v>
      </c>
    </row>
    <row r="140">
      <c r="A140" s="77">
        <v>43536.0</v>
      </c>
      <c r="B140" s="35" t="s">
        <v>201</v>
      </c>
      <c r="C140" s="98">
        <v>0.5625</v>
      </c>
      <c r="D140" s="99">
        <v>0.6666666666666666</v>
      </c>
      <c r="E140" s="80" t="s">
        <v>569</v>
      </c>
      <c r="F140" s="81">
        <v>1612340.0</v>
      </c>
      <c r="G140" s="73"/>
      <c r="H140" s="80" t="s">
        <v>569</v>
      </c>
      <c r="I140" s="81">
        <v>1612340.0</v>
      </c>
      <c r="J140" s="81">
        <v>0.0990000012516975</v>
      </c>
      <c r="K140" s="81">
        <v>0.005</v>
      </c>
      <c r="L140" s="83">
        <v>0.5625</v>
      </c>
      <c r="M140" s="81">
        <v>0.104</v>
      </c>
      <c r="N140" s="81">
        <v>0.21427152</v>
      </c>
    </row>
    <row r="141">
      <c r="A141" s="87">
        <v>43536.0</v>
      </c>
      <c r="B141" s="62" t="s">
        <v>473</v>
      </c>
      <c r="C141" s="100">
        <v>0.39305555555555555</v>
      </c>
      <c r="D141" s="100">
        <v>0.4375</v>
      </c>
      <c r="E141" s="80" t="s">
        <v>621</v>
      </c>
      <c r="F141" s="81">
        <v>1612480.0</v>
      </c>
      <c r="G141" s="73"/>
      <c r="H141" s="80" t="s">
        <v>594</v>
      </c>
      <c r="I141" s="81">
        <v>1612480.0</v>
      </c>
      <c r="J141" s="81">
        <v>0.0809000045061111</v>
      </c>
      <c r="K141" s="81">
        <v>0.087</v>
      </c>
      <c r="L141" s="83">
        <v>0.4375</v>
      </c>
      <c r="M141" s="81">
        <v>0.1679</v>
      </c>
      <c r="N141" s="81">
        <v>0.24088076</v>
      </c>
    </row>
    <row r="142">
      <c r="A142" s="84">
        <v>43556.0</v>
      </c>
      <c r="B142" s="65" t="s">
        <v>456</v>
      </c>
      <c r="C142" s="101">
        <v>0.3645833333333333</v>
      </c>
      <c r="D142" s="101">
        <v>0.4583333333333333</v>
      </c>
      <c r="E142" s="80" t="s">
        <v>621</v>
      </c>
      <c r="F142" s="81">
        <v>1612480.0</v>
      </c>
      <c r="G142" s="73"/>
      <c r="H142" s="80" t="s">
        <v>594</v>
      </c>
      <c r="I142" s="81">
        <v>1612480.0</v>
      </c>
      <c r="J142" s="81">
        <v>0.402818175879391</v>
      </c>
      <c r="K142" s="81">
        <v>0.33525</v>
      </c>
      <c r="L142" s="83">
        <v>0.3645833333333333</v>
      </c>
      <c r="M142" s="81">
        <v>0.73806816</v>
      </c>
      <c r="N142" s="81">
        <v>0.9070718</v>
      </c>
    </row>
    <row r="143">
      <c r="A143" s="84">
        <v>43557.0</v>
      </c>
      <c r="B143" s="96" t="s">
        <v>456</v>
      </c>
      <c r="C143" s="86">
        <v>0.3645833333333333</v>
      </c>
      <c r="D143" s="86">
        <v>0.46875</v>
      </c>
      <c r="E143" s="80" t="s">
        <v>621</v>
      </c>
      <c r="F143" s="81">
        <v>1612480.0</v>
      </c>
      <c r="G143" s="73"/>
      <c r="H143" s="80" t="s">
        <v>594</v>
      </c>
      <c r="I143" s="81">
        <v>1612480.0</v>
      </c>
      <c r="J143" s="81">
        <v>0.334959994554519</v>
      </c>
      <c r="K143" s="81">
        <v>0.24225001</v>
      </c>
      <c r="L143" s="83">
        <v>0.3645833333333333</v>
      </c>
      <c r="M143" s="81">
        <v>0.57721</v>
      </c>
      <c r="N143" s="81">
        <v>0.8041421</v>
      </c>
    </row>
    <row r="144">
      <c r="A144" s="77">
        <v>43558.0</v>
      </c>
      <c r="B144" s="73" t="s">
        <v>456</v>
      </c>
      <c r="C144" s="79">
        <v>0.375</v>
      </c>
      <c r="D144" s="79">
        <v>0.4583333333333333</v>
      </c>
      <c r="E144" s="80" t="s">
        <v>621</v>
      </c>
      <c r="F144" s="81">
        <v>1612480.0</v>
      </c>
      <c r="G144" s="73"/>
      <c r="H144" s="80" t="s">
        <v>594</v>
      </c>
      <c r="I144" s="81">
        <v>1612480.0</v>
      </c>
      <c r="J144" s="81">
        <v>0.208599996566772</v>
      </c>
      <c r="K144" s="81">
        <v>0.162</v>
      </c>
      <c r="L144" s="83">
        <v>0.375</v>
      </c>
      <c r="M144" s="81">
        <v>0.3706</v>
      </c>
      <c r="N144" s="81">
        <v>0.5727219</v>
      </c>
    </row>
    <row r="145">
      <c r="A145" s="87">
        <v>43558.0</v>
      </c>
      <c r="B145" s="102" t="s">
        <v>216</v>
      </c>
      <c r="C145" s="89">
        <v>0.39305555555555555</v>
      </c>
      <c r="D145" s="89">
        <v>0.4479166666666667</v>
      </c>
      <c r="E145" s="80" t="s">
        <v>569</v>
      </c>
      <c r="F145" s="81">
        <v>1612340.0</v>
      </c>
      <c r="G145" s="73"/>
      <c r="H145" s="80" t="s">
        <v>569</v>
      </c>
      <c r="I145" s="81">
        <v>1612340.0</v>
      </c>
      <c r="J145" s="81">
        <v>0.215076922224118</v>
      </c>
      <c r="K145" s="81">
        <v>-0.098</v>
      </c>
      <c r="L145" s="83">
        <v>0.39305555555555555</v>
      </c>
      <c r="M145" s="81">
        <v>0.117076926</v>
      </c>
      <c r="N145" s="81">
        <v>0.16538942</v>
      </c>
    </row>
    <row r="146">
      <c r="A146" s="77">
        <v>43559.0</v>
      </c>
      <c r="B146" s="73" t="s">
        <v>456</v>
      </c>
      <c r="C146" s="79">
        <v>0.375</v>
      </c>
      <c r="D146" s="79">
        <v>0.4791666666666667</v>
      </c>
      <c r="E146" s="80" t="s">
        <v>621</v>
      </c>
      <c r="F146" s="81">
        <v>1612480.0</v>
      </c>
      <c r="G146" s="73"/>
      <c r="H146" s="80" t="s">
        <v>594</v>
      </c>
      <c r="I146" s="81">
        <v>1612480.0</v>
      </c>
      <c r="J146" s="81">
        <v>0.288399994373321</v>
      </c>
      <c r="K146" s="81">
        <v>0.04575</v>
      </c>
      <c r="L146" s="83">
        <v>0.375</v>
      </c>
      <c r="M146" s="81">
        <v>0.33415</v>
      </c>
      <c r="N146" s="81">
        <v>0.5880871</v>
      </c>
    </row>
    <row r="147">
      <c r="A147" s="87">
        <v>43560.0</v>
      </c>
      <c r="B147" s="102" t="s">
        <v>544</v>
      </c>
      <c r="C147" s="89">
        <v>0.4305555555555556</v>
      </c>
      <c r="D147" s="89">
        <v>0.4548611111111111</v>
      </c>
      <c r="E147" s="80" t="s">
        <v>622</v>
      </c>
      <c r="F147" s="73" t="s">
        <v>588</v>
      </c>
      <c r="G147" s="73" t="s">
        <v>623</v>
      </c>
      <c r="H147" s="80" t="s">
        <v>582</v>
      </c>
      <c r="I147" s="81">
        <v>1617433.0</v>
      </c>
      <c r="J147" s="81">
        <v>0.233666668335596</v>
      </c>
      <c r="K147" s="81">
        <v>-0.0134</v>
      </c>
      <c r="L147" s="83">
        <v>0.4305555555555556</v>
      </c>
      <c r="M147" s="81">
        <v>0.22026667</v>
      </c>
      <c r="N147" s="81">
        <v>0.2828186</v>
      </c>
    </row>
    <row r="148">
      <c r="A148" s="87">
        <v>43562.0</v>
      </c>
      <c r="B148" s="102" t="s">
        <v>293</v>
      </c>
      <c r="C148" s="89">
        <v>0.4583333333333333</v>
      </c>
      <c r="D148" s="89">
        <v>0.4791666666666667</v>
      </c>
      <c r="E148" s="80" t="s">
        <v>590</v>
      </c>
      <c r="F148" s="81">
        <v>1617760.0</v>
      </c>
      <c r="G148" s="73"/>
      <c r="H148" s="80" t="s">
        <v>590</v>
      </c>
      <c r="I148" s="81">
        <v>1617760.0</v>
      </c>
      <c r="J148" s="81">
        <v>0.369000005722045</v>
      </c>
      <c r="K148" s="81">
        <v>-0.14</v>
      </c>
      <c r="L148" s="83">
        <v>0.4583333333333333</v>
      </c>
      <c r="M148" s="81">
        <v>0.22900002</v>
      </c>
      <c r="N148" s="81">
        <v>0.29038712</v>
      </c>
    </row>
    <row r="149">
      <c r="A149" s="77">
        <v>43563.0</v>
      </c>
      <c r="B149" s="73" t="s">
        <v>400</v>
      </c>
      <c r="C149" s="79">
        <v>0.4548611111111111</v>
      </c>
      <c r="D149" s="79">
        <v>0.4895833333333333</v>
      </c>
      <c r="E149" s="80" t="s">
        <v>618</v>
      </c>
      <c r="F149" s="81">
        <v>1611347.0</v>
      </c>
      <c r="G149" s="73"/>
      <c r="H149" s="80" t="s">
        <v>571</v>
      </c>
      <c r="I149" s="81">
        <v>1611400.0</v>
      </c>
      <c r="J149" s="81">
        <v>0.126625003293156</v>
      </c>
      <c r="K149" s="81">
        <v>-0.237</v>
      </c>
      <c r="L149" s="83">
        <v>0.4548611111111111</v>
      </c>
      <c r="M149" s="81">
        <v>-0.110375</v>
      </c>
      <c r="N149" s="81">
        <v>-0.0858652</v>
      </c>
    </row>
    <row r="150">
      <c r="A150" s="77">
        <v>43564.0</v>
      </c>
      <c r="B150" s="73" t="s">
        <v>456</v>
      </c>
      <c r="C150" s="79">
        <v>0.36319444444444443</v>
      </c>
      <c r="D150" s="79">
        <v>0.3958333333333333</v>
      </c>
      <c r="E150" s="80" t="s">
        <v>621</v>
      </c>
      <c r="F150" s="81">
        <v>1612480.0</v>
      </c>
      <c r="G150" s="73"/>
      <c r="H150" s="80" t="s">
        <v>594</v>
      </c>
      <c r="I150" s="81">
        <v>1612480.0</v>
      </c>
      <c r="J150" s="81">
        <v>0.132285712020737</v>
      </c>
      <c r="K150" s="81">
        <v>-0.113249995</v>
      </c>
      <c r="L150" s="83">
        <v>0.3958333333333333</v>
      </c>
      <c r="M150" s="81">
        <v>0.01903572</v>
      </c>
      <c r="N150" s="81">
        <v>0.07372322</v>
      </c>
    </row>
    <row r="151">
      <c r="A151" s="77">
        <v>43564.0</v>
      </c>
      <c r="B151" s="73" t="s">
        <v>244</v>
      </c>
      <c r="C151" s="79">
        <v>0.3958333333333333</v>
      </c>
      <c r="D151" s="79">
        <v>0.4375</v>
      </c>
      <c r="E151" s="80" t="s">
        <v>580</v>
      </c>
      <c r="F151" s="81">
        <v>1612366.0</v>
      </c>
      <c r="G151" s="73"/>
      <c r="H151" s="80" t="s">
        <v>569</v>
      </c>
      <c r="I151" s="81">
        <v>1612340.0</v>
      </c>
      <c r="J151" s="81">
        <v>0.229400001466274</v>
      </c>
      <c r="K151" s="81">
        <v>0.13</v>
      </c>
      <c r="L151" s="83">
        <v>0.4375</v>
      </c>
      <c r="M151" s="81">
        <v>0.3594</v>
      </c>
      <c r="N151" s="81">
        <v>0.43692464</v>
      </c>
    </row>
    <row r="152">
      <c r="A152" s="87">
        <v>43564.0</v>
      </c>
      <c r="B152" s="102" t="s">
        <v>246</v>
      </c>
      <c r="C152" s="89">
        <v>0.3888888888888889</v>
      </c>
      <c r="D152" s="89">
        <v>0.4583333333333333</v>
      </c>
      <c r="E152" s="80" t="s">
        <v>575</v>
      </c>
      <c r="F152" s="81">
        <v>1612340.0</v>
      </c>
      <c r="G152" s="73"/>
      <c r="H152" s="80" t="s">
        <v>569</v>
      </c>
      <c r="I152" s="81">
        <v>1612340.0</v>
      </c>
      <c r="J152" s="81">
        <v>0.209312500432133</v>
      </c>
      <c r="K152" s="81">
        <v>-0.018</v>
      </c>
      <c r="L152" s="83">
        <v>0.4583333333333333</v>
      </c>
      <c r="M152" s="81">
        <v>0.19131249</v>
      </c>
      <c r="N152" s="81">
        <v>0.32445112</v>
      </c>
    </row>
    <row r="153">
      <c r="A153" s="87">
        <v>43566.0</v>
      </c>
      <c r="B153" s="102" t="s">
        <v>246</v>
      </c>
      <c r="C153" s="89">
        <v>0.3888888888888889</v>
      </c>
      <c r="D153" s="89">
        <v>0.4618055555555556</v>
      </c>
      <c r="E153" s="80" t="s">
        <v>575</v>
      </c>
      <c r="F153" s="81">
        <v>1612340.0</v>
      </c>
      <c r="G153" s="73"/>
      <c r="H153" s="80" t="s">
        <v>569</v>
      </c>
      <c r="I153" s="81">
        <v>1612340.0</v>
      </c>
      <c r="J153" s="81">
        <v>0.335764707887873</v>
      </c>
      <c r="K153" s="81">
        <v>0.266</v>
      </c>
      <c r="L153" s="83">
        <v>0.4618055555555556</v>
      </c>
      <c r="M153" s="81">
        <v>0.6017647</v>
      </c>
      <c r="N153" s="81">
        <v>0.6731138</v>
      </c>
    </row>
    <row r="154">
      <c r="A154" s="84">
        <v>43566.0</v>
      </c>
      <c r="B154" s="96" t="s">
        <v>473</v>
      </c>
      <c r="C154" s="86">
        <v>0.4166666666666667</v>
      </c>
      <c r="D154" s="86">
        <v>0.4791666666666667</v>
      </c>
      <c r="E154" s="80" t="s">
        <v>621</v>
      </c>
      <c r="F154" s="81">
        <v>1612480.0</v>
      </c>
      <c r="G154" s="73"/>
      <c r="H154" s="80" t="s">
        <v>594</v>
      </c>
      <c r="I154" s="81">
        <v>1612480.0</v>
      </c>
      <c r="J154" s="81">
        <v>0.272600001096725</v>
      </c>
      <c r="K154" s="81">
        <v>-0.02025</v>
      </c>
      <c r="L154" s="83">
        <v>0.47847222222222224</v>
      </c>
      <c r="M154" s="81">
        <v>0.25235</v>
      </c>
      <c r="N154" s="81">
        <v>0.2985615</v>
      </c>
    </row>
    <row r="155">
      <c r="A155" s="87">
        <v>43567.0</v>
      </c>
      <c r="B155" s="102" t="s">
        <v>473</v>
      </c>
      <c r="C155" s="89">
        <v>0.4166666666666667</v>
      </c>
      <c r="D155" s="89">
        <v>0.5</v>
      </c>
      <c r="E155" s="80" t="s">
        <v>621</v>
      </c>
      <c r="F155" s="81">
        <v>1612480.0</v>
      </c>
      <c r="G155" s="73"/>
      <c r="H155" s="80" t="s">
        <v>594</v>
      </c>
      <c r="I155" s="81">
        <v>1612480.0</v>
      </c>
      <c r="J155" s="81">
        <v>0.364149998128414</v>
      </c>
      <c r="K155" s="81">
        <v>0.12674999</v>
      </c>
      <c r="L155" s="83">
        <v>0.5</v>
      </c>
      <c r="M155" s="81">
        <v>0.49089998</v>
      </c>
      <c r="N155" s="81">
        <v>0.56356317</v>
      </c>
    </row>
    <row r="156">
      <c r="A156" s="77">
        <v>43571.0</v>
      </c>
      <c r="B156" s="73" t="s">
        <v>244</v>
      </c>
      <c r="C156" s="79">
        <v>0.3888888888888889</v>
      </c>
      <c r="D156" s="79">
        <v>0.4131944444444444</v>
      </c>
      <c r="E156" s="80" t="s">
        <v>580</v>
      </c>
      <c r="F156" s="81">
        <v>1612366.0</v>
      </c>
      <c r="G156" s="73"/>
      <c r="H156" s="80" t="s">
        <v>569</v>
      </c>
      <c r="I156" s="81">
        <v>1612340.0</v>
      </c>
      <c r="J156" s="81">
        <v>0.179666670660177</v>
      </c>
      <c r="K156" s="81">
        <v>-0.159</v>
      </c>
      <c r="L156" s="83">
        <v>0.3888888888888889</v>
      </c>
      <c r="M156" s="81">
        <v>0.020666674</v>
      </c>
      <c r="N156" s="81">
        <v>0.07875</v>
      </c>
    </row>
    <row r="157">
      <c r="A157" s="77">
        <v>43571.0</v>
      </c>
      <c r="B157" s="73" t="s">
        <v>201</v>
      </c>
      <c r="C157" s="79">
        <v>0.3576388888888889</v>
      </c>
      <c r="D157" s="79">
        <v>0.4166666666666667</v>
      </c>
      <c r="E157" s="80" t="s">
        <v>569</v>
      </c>
      <c r="F157" s="81">
        <v>1612340.0</v>
      </c>
      <c r="G157" s="73"/>
      <c r="H157" s="80" t="s">
        <v>569</v>
      </c>
      <c r="I157" s="81">
        <v>1612340.0</v>
      </c>
      <c r="J157" s="81">
        <v>0.160642860191208</v>
      </c>
      <c r="K157" s="81">
        <v>-0.243</v>
      </c>
      <c r="L157" s="83">
        <v>0.3576388888888889</v>
      </c>
      <c r="M157" s="81">
        <v>-0.08235714</v>
      </c>
      <c r="N157" s="81">
        <v>0.010084723</v>
      </c>
    </row>
    <row r="158">
      <c r="A158" s="77">
        <v>43572.0</v>
      </c>
      <c r="B158" s="73" t="s">
        <v>201</v>
      </c>
      <c r="C158" s="79">
        <v>0.3611111111111111</v>
      </c>
      <c r="D158" s="79">
        <v>0.4166666666666667</v>
      </c>
      <c r="E158" s="80" t="s">
        <v>569</v>
      </c>
      <c r="F158" s="81">
        <v>1612340.0</v>
      </c>
      <c r="G158" s="73"/>
      <c r="H158" s="80" t="s">
        <v>569</v>
      </c>
      <c r="I158" s="81">
        <v>1612340.0</v>
      </c>
      <c r="J158" s="81">
        <v>0.185769228981091</v>
      </c>
      <c r="K158" s="81">
        <v>-0.296</v>
      </c>
      <c r="L158" s="83">
        <v>0.36944444444444446</v>
      </c>
      <c r="M158" s="81">
        <v>-0.11023077</v>
      </c>
      <c r="N158" s="81">
        <v>-0.073255464</v>
      </c>
    </row>
    <row r="159">
      <c r="A159" s="84">
        <v>43572.0</v>
      </c>
      <c r="B159" s="96" t="s">
        <v>259</v>
      </c>
      <c r="C159" s="86">
        <v>0.3680555555555556</v>
      </c>
      <c r="D159" s="86">
        <v>0.4479166666666667</v>
      </c>
      <c r="E159" s="80" t="s">
        <v>590</v>
      </c>
      <c r="F159" s="81">
        <v>1617760.0</v>
      </c>
      <c r="G159" s="73"/>
      <c r="H159" s="80" t="s">
        <v>590</v>
      </c>
      <c r="I159" s="81">
        <v>1617760.0</v>
      </c>
      <c r="J159" s="81">
        <v>0.360736842218198</v>
      </c>
      <c r="K159" s="81">
        <v>-0.146</v>
      </c>
      <c r="L159" s="83">
        <v>0.3680555555555556</v>
      </c>
      <c r="M159" s="81">
        <v>0.21473685</v>
      </c>
      <c r="N159" s="81">
        <v>0.59318507</v>
      </c>
    </row>
    <row r="160">
      <c r="A160" s="77">
        <v>43573.0</v>
      </c>
      <c r="B160" s="73" t="s">
        <v>340</v>
      </c>
      <c r="C160" s="79">
        <v>0.4131944444444444</v>
      </c>
      <c r="D160" s="79">
        <v>0.4791666666666667</v>
      </c>
      <c r="E160" s="80" t="s">
        <v>581</v>
      </c>
      <c r="F160" s="81">
        <v>1617760.0</v>
      </c>
      <c r="G160" s="73"/>
      <c r="H160" s="80" t="s">
        <v>582</v>
      </c>
      <c r="I160" s="81">
        <v>1617433.0</v>
      </c>
      <c r="J160" s="81">
        <v>0.393200002113978</v>
      </c>
      <c r="K160" s="81">
        <v>-0.04355</v>
      </c>
      <c r="L160" s="83">
        <v>0.4131944444444444</v>
      </c>
      <c r="M160" s="81">
        <v>0.34965003</v>
      </c>
      <c r="N160" s="81">
        <v>0.628042</v>
      </c>
    </row>
    <row r="161">
      <c r="A161" s="84">
        <v>43573.0</v>
      </c>
      <c r="B161" s="96" t="s">
        <v>259</v>
      </c>
      <c r="C161" s="86">
        <v>0.375</v>
      </c>
      <c r="D161" s="86">
        <v>0.4479166666666667</v>
      </c>
      <c r="E161" s="80" t="s">
        <v>590</v>
      </c>
      <c r="F161" s="81">
        <v>1617760.0</v>
      </c>
      <c r="G161" s="73"/>
      <c r="H161" s="80" t="s">
        <v>590</v>
      </c>
      <c r="I161" s="81">
        <v>1617760.0</v>
      </c>
      <c r="J161" s="81">
        <v>0.291833331187566</v>
      </c>
      <c r="K161" s="81">
        <v>-0.336</v>
      </c>
      <c r="L161" s="83">
        <v>0.375</v>
      </c>
      <c r="M161" s="81">
        <v>-0.044166654</v>
      </c>
      <c r="N161" s="81">
        <v>0.24139936</v>
      </c>
    </row>
    <row r="162">
      <c r="A162" s="77">
        <v>43573.0</v>
      </c>
      <c r="B162" s="73" t="s">
        <v>489</v>
      </c>
      <c r="C162" s="79">
        <v>0.375</v>
      </c>
      <c r="D162" s="79">
        <v>0.4791666666666667</v>
      </c>
      <c r="E162" s="80" t="s">
        <v>581</v>
      </c>
      <c r="F162" s="81">
        <v>1617760.0</v>
      </c>
      <c r="G162" s="73"/>
      <c r="H162" s="80" t="s">
        <v>582</v>
      </c>
      <c r="I162" s="81">
        <v>1617433.0</v>
      </c>
      <c r="J162" s="81">
        <v>0.378080002069473</v>
      </c>
      <c r="K162" s="81">
        <v>-0.22512001</v>
      </c>
      <c r="L162" s="83">
        <v>0.375</v>
      </c>
      <c r="M162" s="81">
        <v>0.15296</v>
      </c>
      <c r="N162" s="81">
        <v>0.47288725</v>
      </c>
    </row>
    <row r="163">
      <c r="A163" s="77">
        <v>43573.0</v>
      </c>
      <c r="B163" s="73" t="s">
        <v>201</v>
      </c>
      <c r="C163" s="79">
        <v>0.375</v>
      </c>
      <c r="D163" s="79">
        <v>0.4305555555555556</v>
      </c>
      <c r="E163" s="80" t="s">
        <v>569</v>
      </c>
      <c r="F163" s="81">
        <v>1612340.0</v>
      </c>
      <c r="G163" s="73"/>
      <c r="H163" s="80" t="s">
        <v>569</v>
      </c>
      <c r="I163" s="81">
        <v>1612340.0</v>
      </c>
      <c r="J163" s="81">
        <v>0.108000001737049</v>
      </c>
      <c r="K163" s="81">
        <v>-0.321</v>
      </c>
      <c r="L163" s="83">
        <v>0.3888888888888889</v>
      </c>
      <c r="M163" s="81">
        <v>-0.213</v>
      </c>
      <c r="N163" s="81">
        <v>-0.18767901</v>
      </c>
    </row>
    <row r="164">
      <c r="A164" s="77">
        <v>43573.0</v>
      </c>
      <c r="B164" s="73" t="s">
        <v>492</v>
      </c>
      <c r="C164" s="79">
        <v>0.3541666666666667</v>
      </c>
      <c r="D164" s="79">
        <v>0.3993055555555556</v>
      </c>
      <c r="E164" s="80" t="s">
        <v>609</v>
      </c>
      <c r="F164" s="81">
        <v>1612340.0</v>
      </c>
      <c r="G164" s="73"/>
      <c r="H164" s="80" t="s">
        <v>569</v>
      </c>
      <c r="I164" s="81">
        <v>1612340.0</v>
      </c>
      <c r="J164" s="81">
        <v>0.0701818195256319</v>
      </c>
      <c r="K164" s="81">
        <v>-0.321</v>
      </c>
      <c r="L164" s="83">
        <v>0.3888888888888889</v>
      </c>
      <c r="M164" s="81">
        <v>-0.2508182</v>
      </c>
      <c r="N164" s="81">
        <v>-0.22333334</v>
      </c>
    </row>
    <row r="165">
      <c r="A165" s="77">
        <v>43577.0</v>
      </c>
      <c r="B165" s="73" t="s">
        <v>301</v>
      </c>
      <c r="C165" s="79">
        <v>0.4583333333333333</v>
      </c>
      <c r="D165" s="79">
        <v>0.5</v>
      </c>
      <c r="E165" s="80" t="s">
        <v>570</v>
      </c>
      <c r="F165" s="81">
        <v>1611400.0</v>
      </c>
      <c r="G165" s="73"/>
      <c r="H165" s="80" t="s">
        <v>571</v>
      </c>
      <c r="I165" s="81">
        <v>1611400.0</v>
      </c>
      <c r="J165" s="81">
        <v>0.319600000977516</v>
      </c>
      <c r="K165" s="81">
        <v>-0.1729</v>
      </c>
      <c r="L165" s="83">
        <v>0.4583333333333333</v>
      </c>
      <c r="M165" s="81">
        <v>0.14669998</v>
      </c>
      <c r="N165" s="81">
        <v>0.17889309</v>
      </c>
    </row>
    <row r="166">
      <c r="A166" s="84">
        <v>43577.0</v>
      </c>
      <c r="B166" s="96" t="s">
        <v>266</v>
      </c>
      <c r="C166" s="86">
        <v>0.4618055555555556</v>
      </c>
      <c r="D166" s="86">
        <v>0.5</v>
      </c>
      <c r="E166" s="80" t="s">
        <v>570</v>
      </c>
      <c r="F166" s="81">
        <v>1611400.0</v>
      </c>
      <c r="G166" s="73"/>
      <c r="H166" s="80" t="s">
        <v>571</v>
      </c>
      <c r="I166" s="81">
        <v>1611400.0</v>
      </c>
      <c r="J166" s="81">
        <v>0.321555558178159</v>
      </c>
      <c r="K166" s="81">
        <v>-0.17108</v>
      </c>
      <c r="L166" s="83">
        <v>0.4618055555555556</v>
      </c>
      <c r="M166" s="81">
        <v>0.15047556</v>
      </c>
      <c r="N166" s="81">
        <v>0.18369055</v>
      </c>
    </row>
    <row r="167">
      <c r="A167" s="77">
        <v>43577.0</v>
      </c>
      <c r="B167" s="73" t="s">
        <v>293</v>
      </c>
      <c r="C167" s="79">
        <v>0.4173611111111111</v>
      </c>
      <c r="D167" s="79">
        <v>0.45694444444444443</v>
      </c>
      <c r="E167" s="80" t="s">
        <v>590</v>
      </c>
      <c r="F167" s="81">
        <v>1617760.0</v>
      </c>
      <c r="G167" s="73"/>
      <c r="H167" s="80" t="s">
        <v>590</v>
      </c>
      <c r="I167" s="81">
        <v>1617760.0</v>
      </c>
      <c r="J167" s="81">
        <v>0.511666662163204</v>
      </c>
      <c r="K167" s="81">
        <v>-0.265</v>
      </c>
      <c r="L167" s="83">
        <v>0.44166666666666665</v>
      </c>
      <c r="M167" s="81">
        <v>0.24666667</v>
      </c>
      <c r="N167" s="81">
        <v>0.25832182</v>
      </c>
    </row>
    <row r="168">
      <c r="A168" s="77">
        <v>43578.0</v>
      </c>
      <c r="B168" s="73" t="s">
        <v>201</v>
      </c>
      <c r="C168" s="79">
        <v>0.4791666666666667</v>
      </c>
      <c r="D168" s="79">
        <v>0.5104166666666666</v>
      </c>
      <c r="E168" s="80" t="s">
        <v>569</v>
      </c>
      <c r="F168" s="81">
        <v>1612340.0</v>
      </c>
      <c r="G168" s="73"/>
      <c r="H168" s="80" t="s">
        <v>569</v>
      </c>
      <c r="I168" s="81">
        <v>1612340.0</v>
      </c>
      <c r="J168" s="81">
        <v>0.136749999597668</v>
      </c>
      <c r="K168" s="81">
        <v>0.008</v>
      </c>
      <c r="L168" s="83">
        <v>0.49166666666666664</v>
      </c>
      <c r="M168" s="81">
        <v>0.14475</v>
      </c>
      <c r="N168" s="81">
        <v>0.14759782</v>
      </c>
    </row>
    <row r="169">
      <c r="A169" s="84">
        <v>43587.0</v>
      </c>
      <c r="B169" s="96" t="s">
        <v>499</v>
      </c>
      <c r="C169" s="86">
        <v>0.39444444444444443</v>
      </c>
      <c r="D169" s="86">
        <v>0.4270833333333333</v>
      </c>
      <c r="E169" s="80" t="s">
        <v>576</v>
      </c>
      <c r="F169" s="73" t="s">
        <v>577</v>
      </c>
      <c r="G169" s="73" t="s">
        <v>624</v>
      </c>
      <c r="H169" s="80" t="s">
        <v>579</v>
      </c>
      <c r="I169" s="81">
        <v>1615680.0</v>
      </c>
      <c r="J169" s="81">
        <v>0.272124994546175</v>
      </c>
      <c r="K169" s="81">
        <v>0.25866002</v>
      </c>
      <c r="L169" s="83">
        <v>0.39444444444444443</v>
      </c>
      <c r="M169" s="81">
        <v>0.530785</v>
      </c>
      <c r="N169" s="81">
        <v>0.627445</v>
      </c>
    </row>
    <row r="170">
      <c r="A170" s="87">
        <v>43588.0</v>
      </c>
      <c r="B170" s="102" t="s">
        <v>250</v>
      </c>
      <c r="C170" s="89">
        <v>0.375</v>
      </c>
      <c r="D170" s="89">
        <v>0.5</v>
      </c>
      <c r="E170" s="80" t="s">
        <v>609</v>
      </c>
      <c r="F170" s="81">
        <v>1612340.0</v>
      </c>
      <c r="G170" s="73"/>
      <c r="H170" s="80" t="s">
        <v>569</v>
      </c>
      <c r="I170" s="81">
        <v>1612340.0</v>
      </c>
      <c r="J170" s="81">
        <v>0.239266666273276</v>
      </c>
      <c r="K170" s="81">
        <v>-0.179</v>
      </c>
      <c r="L170" s="83">
        <v>0.375</v>
      </c>
      <c r="M170" s="81">
        <v>0.06026666</v>
      </c>
      <c r="N170" s="81">
        <v>0.3442445</v>
      </c>
    </row>
    <row r="171">
      <c r="A171" s="87">
        <v>43591.0</v>
      </c>
      <c r="B171" s="102" t="s">
        <v>250</v>
      </c>
      <c r="C171" s="89">
        <v>0.40625</v>
      </c>
      <c r="D171" s="89">
        <v>0.4791666666666667</v>
      </c>
      <c r="E171" s="80" t="s">
        <v>609</v>
      </c>
      <c r="F171" s="81">
        <v>1612340.0</v>
      </c>
      <c r="G171" s="73"/>
      <c r="H171" s="80" t="s">
        <v>569</v>
      </c>
      <c r="I171" s="81">
        <v>1612340.0</v>
      </c>
      <c r="J171" s="81">
        <v>0.16905882472501</v>
      </c>
      <c r="K171" s="81">
        <v>-0.203</v>
      </c>
      <c r="L171" s="83">
        <v>0.4270833333333333</v>
      </c>
      <c r="M171" s="81">
        <v>-0.033941165</v>
      </c>
      <c r="N171" s="81">
        <v>-0.0010638124</v>
      </c>
    </row>
    <row r="172">
      <c r="A172" s="87">
        <v>43592.0</v>
      </c>
      <c r="B172" s="102" t="s">
        <v>250</v>
      </c>
      <c r="C172" s="89">
        <v>0.4375</v>
      </c>
      <c r="D172" s="89">
        <v>0.4791666666666667</v>
      </c>
      <c r="E172" s="80" t="s">
        <v>609</v>
      </c>
      <c r="F172" s="81">
        <v>1612340.0</v>
      </c>
      <c r="G172" s="73"/>
      <c r="H172" s="80" t="s">
        <v>569</v>
      </c>
      <c r="I172" s="81">
        <v>1612340.0</v>
      </c>
      <c r="J172" s="81">
        <v>0.186100003123283</v>
      </c>
      <c r="K172" s="81">
        <v>-0.163</v>
      </c>
      <c r="L172" s="83">
        <v>0.44583333333333336</v>
      </c>
      <c r="M172" s="81">
        <v>0.023100004</v>
      </c>
      <c r="N172" s="81">
        <v>0.0321164</v>
      </c>
    </row>
    <row r="173">
      <c r="A173" s="87">
        <v>43593.0</v>
      </c>
      <c r="B173" s="102" t="s">
        <v>355</v>
      </c>
      <c r="C173" s="89">
        <v>0.38472222222222224</v>
      </c>
      <c r="D173" s="89">
        <v>0.42986111111111114</v>
      </c>
      <c r="E173" s="80" t="s">
        <v>575</v>
      </c>
      <c r="F173" s="81">
        <v>1612340.0</v>
      </c>
      <c r="G173" s="73"/>
      <c r="H173" s="80" t="s">
        <v>569</v>
      </c>
      <c r="I173" s="81">
        <v>1612340.0</v>
      </c>
      <c r="J173" s="81">
        <v>0.0853636342693458</v>
      </c>
      <c r="K173" s="81">
        <v>-0.015</v>
      </c>
      <c r="L173" s="83">
        <v>0.42986111111111114</v>
      </c>
      <c r="M173" s="81">
        <v>0.07036363</v>
      </c>
      <c r="N173" s="81">
        <v>0.14992425</v>
      </c>
    </row>
    <row r="174">
      <c r="A174" s="77">
        <v>43602.0</v>
      </c>
      <c r="B174" s="73" t="s">
        <v>489</v>
      </c>
      <c r="C174" s="79">
        <v>0.3645833333333333</v>
      </c>
      <c r="D174" s="79">
        <v>0.4479166666666667</v>
      </c>
      <c r="E174" s="80" t="s">
        <v>581</v>
      </c>
      <c r="F174" s="81">
        <v>1617760.0</v>
      </c>
      <c r="G174" s="73"/>
      <c r="H174" s="80" t="s">
        <v>582</v>
      </c>
      <c r="I174" s="81">
        <v>1617433.0</v>
      </c>
      <c r="J174" s="81">
        <v>0.364450006186962</v>
      </c>
      <c r="K174" s="81">
        <v>-0.23718001</v>
      </c>
      <c r="L174" s="83">
        <v>0.3645833333333333</v>
      </c>
      <c r="M174" s="81">
        <v>0.12727</v>
      </c>
      <c r="N174" s="81">
        <v>0.41966686</v>
      </c>
    </row>
    <row r="175">
      <c r="A175" s="77">
        <v>43602.0</v>
      </c>
      <c r="B175" s="73" t="s">
        <v>244</v>
      </c>
      <c r="C175" s="79">
        <v>0.3541666666666667</v>
      </c>
      <c r="D175" s="79">
        <v>0.4375</v>
      </c>
      <c r="E175" s="80" t="s">
        <v>580</v>
      </c>
      <c r="F175" s="81">
        <v>1612366.0</v>
      </c>
      <c r="G175" s="73"/>
      <c r="H175" s="80" t="s">
        <v>569</v>
      </c>
      <c r="I175" s="81">
        <v>1612340.0</v>
      </c>
      <c r="J175" s="81">
        <v>0.312600001692771</v>
      </c>
      <c r="K175" s="81">
        <v>-0.3</v>
      </c>
      <c r="L175" s="83">
        <v>0.3597222222222222</v>
      </c>
      <c r="M175" s="81">
        <v>0.012600005</v>
      </c>
      <c r="N175" s="81">
        <v>0.11412068</v>
      </c>
    </row>
    <row r="176">
      <c r="A176" s="87">
        <v>43602.0</v>
      </c>
      <c r="B176" s="102" t="s">
        <v>377</v>
      </c>
      <c r="C176" s="89">
        <v>0.3888888888888889</v>
      </c>
      <c r="D176" s="89">
        <v>0.4583333333333333</v>
      </c>
      <c r="E176" s="80" t="s">
        <v>576</v>
      </c>
      <c r="F176" s="73" t="s">
        <v>577</v>
      </c>
      <c r="G176" s="73" t="s">
        <v>605</v>
      </c>
      <c r="H176" s="80" t="s">
        <v>579</v>
      </c>
      <c r="I176" s="81">
        <v>1615680.0</v>
      </c>
      <c r="J176" s="81">
        <v>0.194187498651444</v>
      </c>
      <c r="K176" s="81">
        <v>0.0864</v>
      </c>
      <c r="L176" s="83">
        <v>0.3888888888888889</v>
      </c>
      <c r="M176" s="81">
        <v>0.2805875</v>
      </c>
      <c r="N176" s="81">
        <v>0.53987306</v>
      </c>
    </row>
    <row r="177">
      <c r="A177" s="87">
        <v>43605.0</v>
      </c>
      <c r="B177" s="102" t="s">
        <v>307</v>
      </c>
      <c r="C177" s="89">
        <v>0.40625</v>
      </c>
      <c r="D177" s="89">
        <v>0.46875</v>
      </c>
      <c r="E177" s="80" t="s">
        <v>590</v>
      </c>
      <c r="F177" s="81">
        <v>1617760.0</v>
      </c>
      <c r="G177" s="73"/>
      <c r="H177" s="80" t="s">
        <v>590</v>
      </c>
      <c r="I177" s="81">
        <v>1617760.0</v>
      </c>
      <c r="J177" s="81">
        <v>0.204133331775665</v>
      </c>
      <c r="K177" s="81">
        <v>-0.396</v>
      </c>
      <c r="L177" s="83">
        <v>0.40625</v>
      </c>
      <c r="M177" s="81">
        <v>-0.19186667</v>
      </c>
      <c r="N177" s="81">
        <v>-0.043954574</v>
      </c>
    </row>
    <row r="178">
      <c r="A178" s="84">
        <v>43734.0</v>
      </c>
      <c r="B178" s="96" t="s">
        <v>329</v>
      </c>
      <c r="C178" s="86">
        <v>0.375</v>
      </c>
      <c r="D178" s="86">
        <v>0.39166666666666666</v>
      </c>
      <c r="E178" s="80" t="s">
        <v>608</v>
      </c>
      <c r="F178" s="81">
        <v>1612340.0</v>
      </c>
      <c r="G178" s="73"/>
      <c r="H178" s="80" t="s">
        <v>579</v>
      </c>
      <c r="I178" s="81">
        <v>1615680.0</v>
      </c>
      <c r="J178" s="81">
        <v>0.288000002503395</v>
      </c>
      <c r="K178" s="81">
        <v>0.262</v>
      </c>
      <c r="L178" s="83">
        <v>0.375</v>
      </c>
      <c r="M178" s="81">
        <v>0.54999995</v>
      </c>
      <c r="N178" s="81">
        <v>0.60444</v>
      </c>
    </row>
    <row r="179">
      <c r="A179" s="84">
        <v>43735.0</v>
      </c>
      <c r="B179" s="96" t="s">
        <v>329</v>
      </c>
      <c r="C179" s="86">
        <v>0.3729166666666667</v>
      </c>
      <c r="D179" s="86">
        <v>0.38958333333333334</v>
      </c>
      <c r="E179" s="80" t="s">
        <v>608</v>
      </c>
      <c r="F179" s="81">
        <v>1612340.0</v>
      </c>
      <c r="G179" s="73"/>
      <c r="H179" s="80" t="s">
        <v>579</v>
      </c>
      <c r="I179" s="81">
        <v>1615680.0</v>
      </c>
      <c r="J179" s="81">
        <v>0.307750009000301</v>
      </c>
      <c r="K179" s="81">
        <v>0.11</v>
      </c>
      <c r="L179" s="83">
        <v>0.3729166666666667</v>
      </c>
      <c r="M179" s="81">
        <v>0.41775</v>
      </c>
      <c r="N179" s="81">
        <v>0.43251002</v>
      </c>
    </row>
    <row r="180">
      <c r="A180" s="97">
        <v>43839.0</v>
      </c>
      <c r="B180" s="12" t="s">
        <v>366</v>
      </c>
      <c r="C180" s="59">
        <v>0.451388888888889</v>
      </c>
      <c r="D180" s="59">
        <v>0.486111111111111</v>
      </c>
      <c r="E180" s="80" t="s">
        <v>581</v>
      </c>
      <c r="F180" s="81">
        <v>1617760.0</v>
      </c>
      <c r="G180" s="73"/>
      <c r="H180" s="80" t="s">
        <v>582</v>
      </c>
      <c r="I180" s="81">
        <v>1617433.0</v>
      </c>
      <c r="J180" s="81">
        <v>0.961999975144863</v>
      </c>
      <c r="K180" s="81">
        <v>0.52059</v>
      </c>
      <c r="L180" s="83">
        <v>0.4513888888888889</v>
      </c>
      <c r="M180" s="81">
        <v>1.48259</v>
      </c>
      <c r="N180" s="81">
        <v>1.5400918</v>
      </c>
    </row>
    <row r="181">
      <c r="A181" s="97">
        <v>43840.0</v>
      </c>
      <c r="B181" s="12" t="s">
        <v>511</v>
      </c>
      <c r="C181" s="59">
        <v>0.425</v>
      </c>
      <c r="D181" s="59">
        <v>0.461805555555556</v>
      </c>
      <c r="E181" s="80" t="s">
        <v>625</v>
      </c>
      <c r="F181" s="73" t="s">
        <v>588</v>
      </c>
      <c r="G181" s="73" t="s">
        <v>623</v>
      </c>
      <c r="H181" s="80" t="s">
        <v>582</v>
      </c>
      <c r="I181" s="81">
        <v>1617433.0</v>
      </c>
      <c r="J181" s="81">
        <v>0.896222227149539</v>
      </c>
      <c r="K181" s="81">
        <v>0.36515003</v>
      </c>
      <c r="L181" s="83">
        <v>0.425</v>
      </c>
      <c r="M181" s="81">
        <v>1.2613723</v>
      </c>
      <c r="N181" s="81">
        <v>1.2838669</v>
      </c>
    </row>
    <row r="182">
      <c r="A182" s="58">
        <v>43868.0</v>
      </c>
      <c r="B182" s="12" t="s">
        <v>511</v>
      </c>
      <c r="C182" s="59">
        <v>0.420833333333333</v>
      </c>
      <c r="D182" s="59">
        <v>0.451388888888889</v>
      </c>
      <c r="E182" s="80" t="s">
        <v>625</v>
      </c>
      <c r="F182" s="73" t="s">
        <v>588</v>
      </c>
      <c r="G182" s="73" t="s">
        <v>623</v>
      </c>
      <c r="H182" s="80" t="s">
        <v>582</v>
      </c>
      <c r="I182" s="81">
        <v>1617433.0</v>
      </c>
      <c r="J182" s="81">
        <v>0.291249996051192</v>
      </c>
      <c r="K182" s="81">
        <v>0.36314005</v>
      </c>
      <c r="L182" s="83">
        <v>0.42083333333333334</v>
      </c>
      <c r="M182" s="81">
        <v>0.65439004</v>
      </c>
      <c r="N182" s="81">
        <v>0.7058609</v>
      </c>
    </row>
    <row r="183">
      <c r="A183" s="77">
        <v>43882.0</v>
      </c>
      <c r="B183" s="73" t="s">
        <v>340</v>
      </c>
      <c r="C183" s="59">
        <v>0.41875</v>
      </c>
      <c r="D183" s="59">
        <v>0.444444444444444</v>
      </c>
      <c r="E183" s="80" t="s">
        <v>581</v>
      </c>
      <c r="F183" s="81">
        <v>1617760.0</v>
      </c>
      <c r="G183" s="73"/>
      <c r="H183" s="80" t="s">
        <v>582</v>
      </c>
      <c r="I183" s="81">
        <v>1617433.0</v>
      </c>
      <c r="J183" s="81">
        <v>0.441833332180976</v>
      </c>
      <c r="K183" s="81">
        <v>0.31021002</v>
      </c>
      <c r="L183" s="83">
        <v>0.41875</v>
      </c>
      <c r="M183" s="81">
        <v>0.75204337</v>
      </c>
      <c r="N183" s="81">
        <v>0.7922257</v>
      </c>
    </row>
    <row r="184">
      <c r="A184" s="58">
        <v>43885.0</v>
      </c>
      <c r="B184" s="73" t="s">
        <v>233</v>
      </c>
      <c r="C184" s="59">
        <v>0.475694444444444</v>
      </c>
      <c r="D184" s="59">
        <v>0.5104166666666666</v>
      </c>
      <c r="E184" s="80" t="s">
        <v>586</v>
      </c>
      <c r="F184" s="81">
        <v>1612340.0</v>
      </c>
      <c r="G184" s="73"/>
      <c r="H184" s="80" t="s">
        <v>579</v>
      </c>
      <c r="I184" s="81">
        <v>1615680.0</v>
      </c>
      <c r="J184" s="81">
        <v>0.0423750057816505</v>
      </c>
      <c r="K184" s="81">
        <v>-0.033</v>
      </c>
      <c r="L184" s="83">
        <v>0.4756944444444444</v>
      </c>
      <c r="M184" s="81">
        <v>0.009375006</v>
      </c>
      <c r="N184" s="81">
        <v>0.03625736</v>
      </c>
    </row>
    <row r="185">
      <c r="A185" s="58">
        <v>43893.0</v>
      </c>
      <c r="B185" s="12" t="s">
        <v>244</v>
      </c>
      <c r="C185" s="59">
        <v>0.395833333333333</v>
      </c>
      <c r="D185" s="59">
        <v>0.458333333333333</v>
      </c>
      <c r="E185" s="80" t="s">
        <v>580</v>
      </c>
      <c r="F185" s="81">
        <v>1612366.0</v>
      </c>
      <c r="G185" s="73"/>
      <c r="H185" s="80" t="s">
        <v>569</v>
      </c>
      <c r="I185" s="81">
        <v>1612340.0</v>
      </c>
      <c r="J185" s="81">
        <v>0.345600001017252</v>
      </c>
      <c r="K185" s="81">
        <v>0.408</v>
      </c>
      <c r="L185" s="83">
        <v>0.3958333333333333</v>
      </c>
      <c r="M185" s="81">
        <v>0.7536</v>
      </c>
      <c r="N185" s="81">
        <v>0.7584461</v>
      </c>
    </row>
    <row r="186">
      <c r="A186" s="58">
        <v>43901.0</v>
      </c>
      <c r="B186" s="12" t="s">
        <v>456</v>
      </c>
      <c r="C186" s="59">
        <v>0.375694444444444</v>
      </c>
      <c r="D186" s="59">
        <v>0.416666666666667</v>
      </c>
      <c r="E186" s="80" t="s">
        <v>621</v>
      </c>
      <c r="F186" s="81">
        <v>1612480.0</v>
      </c>
      <c r="G186" s="73"/>
      <c r="H186" s="80" t="s">
        <v>594</v>
      </c>
      <c r="I186" s="81">
        <v>1612480.0</v>
      </c>
      <c r="J186" s="81">
        <v>0.363333334525426</v>
      </c>
      <c r="K186" s="81">
        <v>-0.065249994</v>
      </c>
      <c r="L186" s="83">
        <v>0.41597222222222224</v>
      </c>
      <c r="M186" s="81">
        <v>0.29808336</v>
      </c>
      <c r="N186" s="81">
        <v>0.33947092</v>
      </c>
    </row>
    <row r="187">
      <c r="A187" s="90">
        <v>43902.0</v>
      </c>
      <c r="B187" s="103" t="s">
        <v>456</v>
      </c>
      <c r="C187" s="92">
        <v>0.4166666666666667</v>
      </c>
      <c r="D187" s="92">
        <v>0.4895833333333333</v>
      </c>
      <c r="E187" s="80" t="s">
        <v>621</v>
      </c>
      <c r="F187" s="81">
        <v>1612480.0</v>
      </c>
      <c r="G187" s="73"/>
      <c r="H187" s="80" t="s">
        <v>594</v>
      </c>
      <c r="I187" s="81">
        <v>1612480.0</v>
      </c>
      <c r="J187" s="82">
        <v>0.388777777552604</v>
      </c>
      <c r="K187" s="81">
        <v>-0.11850001</v>
      </c>
      <c r="L187" s="83">
        <v>0.44375</v>
      </c>
      <c r="M187" s="81">
        <v>0.2702778</v>
      </c>
      <c r="N187" s="81">
        <v>0.29628018</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38"/>
  </cols>
  <sheetData>
    <row r="2">
      <c r="A2" s="4" t="s">
        <v>626</v>
      </c>
    </row>
    <row r="3">
      <c r="A3" s="4" t="s">
        <v>627</v>
      </c>
    </row>
    <row r="4">
      <c r="A4" s="4" t="s">
        <v>628</v>
      </c>
    </row>
    <row r="5">
      <c r="A5" s="4" t="s">
        <v>629</v>
      </c>
    </row>
    <row r="6">
      <c r="A6" s="4" t="s">
        <v>630</v>
      </c>
    </row>
    <row r="7">
      <c r="A7" s="4" t="s">
        <v>631</v>
      </c>
    </row>
    <row r="8">
      <c r="A8" s="4" t="s">
        <v>632</v>
      </c>
    </row>
    <row r="9">
      <c r="A9" s="4" t="s">
        <v>633</v>
      </c>
    </row>
    <row r="10">
      <c r="A10" s="4" t="s">
        <v>634</v>
      </c>
    </row>
    <row r="11">
      <c r="A11" s="4" t="s">
        <v>635</v>
      </c>
    </row>
    <row r="13">
      <c r="A13" s="4" t="s">
        <v>636</v>
      </c>
    </row>
    <row r="14">
      <c r="A14" s="4" t="s">
        <v>637</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6" max="6" width="10.5"/>
    <col customWidth="1" min="7" max="7" width="9.38"/>
    <col customWidth="1" min="17" max="17" width="14.25"/>
    <col customWidth="1" min="25" max="25" width="28.38"/>
  </cols>
  <sheetData>
    <row r="1">
      <c r="A1" s="1" t="s">
        <v>638</v>
      </c>
      <c r="B1" s="2"/>
      <c r="C1" s="1"/>
      <c r="D1" s="1"/>
      <c r="E1" s="2"/>
      <c r="F1" s="1"/>
      <c r="G1" s="1"/>
      <c r="H1" s="1"/>
      <c r="I1" s="1"/>
      <c r="J1" s="1"/>
      <c r="K1" s="1"/>
      <c r="L1" s="1"/>
      <c r="M1" s="1"/>
      <c r="N1" s="1"/>
      <c r="O1" s="1"/>
      <c r="P1" s="1"/>
      <c r="Q1" s="1"/>
      <c r="R1" s="1"/>
      <c r="S1" s="1"/>
      <c r="T1" s="1"/>
      <c r="U1" s="1"/>
      <c r="V1" s="1"/>
      <c r="W1" s="1"/>
      <c r="X1" s="1"/>
      <c r="Y1" s="4"/>
    </row>
    <row r="2">
      <c r="A2" s="1" t="s">
        <v>6</v>
      </c>
      <c r="B2" s="2" t="s">
        <v>7</v>
      </c>
      <c r="C2" s="1" t="s">
        <v>11</v>
      </c>
      <c r="D2" s="1" t="s">
        <v>12</v>
      </c>
      <c r="E2" s="2" t="s">
        <v>10</v>
      </c>
      <c r="F2" s="1" t="s">
        <v>639</v>
      </c>
      <c r="G2" s="1" t="s">
        <v>640</v>
      </c>
      <c r="H2" s="1" t="s">
        <v>641</v>
      </c>
      <c r="I2" s="1" t="s">
        <v>642</v>
      </c>
      <c r="J2" s="1" t="s">
        <v>643</v>
      </c>
      <c r="K2" s="1" t="s">
        <v>644</v>
      </c>
      <c r="L2" s="1" t="s">
        <v>645</v>
      </c>
      <c r="M2" s="1" t="s">
        <v>646</v>
      </c>
      <c r="N2" s="1" t="s">
        <v>647</v>
      </c>
      <c r="O2" s="1" t="s">
        <v>648</v>
      </c>
      <c r="P2" s="1" t="s">
        <v>649</v>
      </c>
      <c r="Q2" s="1" t="s">
        <v>650</v>
      </c>
      <c r="R2" s="1" t="s">
        <v>651</v>
      </c>
      <c r="S2" s="1" t="s">
        <v>652</v>
      </c>
      <c r="T2" s="1" t="s">
        <v>653</v>
      </c>
      <c r="U2" s="1" t="s">
        <v>654</v>
      </c>
      <c r="V2" s="1" t="s">
        <v>655</v>
      </c>
      <c r="W2" s="1" t="s">
        <v>656</v>
      </c>
      <c r="X2" s="1" t="s">
        <v>657</v>
      </c>
      <c r="Y2" s="4" t="s">
        <v>658</v>
      </c>
    </row>
    <row r="3">
      <c r="A3" s="23">
        <v>38018.0</v>
      </c>
      <c r="B3" s="4" t="s">
        <v>196</v>
      </c>
      <c r="C3" s="24">
        <v>0.0</v>
      </c>
      <c r="D3" s="24">
        <v>0.041666666666666664</v>
      </c>
      <c r="E3" s="4" t="s">
        <v>197</v>
      </c>
      <c r="I3" s="4">
        <v>0.0</v>
      </c>
      <c r="J3" s="4" t="s">
        <v>659</v>
      </c>
      <c r="K3" s="4">
        <v>1.0</v>
      </c>
      <c r="L3" s="4" t="s">
        <v>660</v>
      </c>
      <c r="M3" s="4" t="s">
        <v>661</v>
      </c>
      <c r="O3" s="4" t="s">
        <v>659</v>
      </c>
      <c r="P3" s="4">
        <v>0.0</v>
      </c>
      <c r="Q3" s="104">
        <v>43833.0</v>
      </c>
      <c r="R3" s="4" t="s">
        <v>659</v>
      </c>
      <c r="S3" s="4" t="s">
        <v>662</v>
      </c>
      <c r="T3" s="4" t="s">
        <v>659</v>
      </c>
      <c r="U3" s="4">
        <v>0.0</v>
      </c>
      <c r="V3" s="4">
        <v>0.0</v>
      </c>
    </row>
    <row r="4">
      <c r="A4" s="23">
        <v>38041.0</v>
      </c>
      <c r="B4" s="4" t="s">
        <v>201</v>
      </c>
      <c r="C4" s="24">
        <v>0.0</v>
      </c>
      <c r="D4" s="24">
        <v>0.041666666666666664</v>
      </c>
      <c r="E4" s="4" t="s">
        <v>197</v>
      </c>
      <c r="H4" s="4">
        <v>0.0</v>
      </c>
      <c r="K4" s="4">
        <v>1.0</v>
      </c>
      <c r="L4" s="4" t="s">
        <v>660</v>
      </c>
      <c r="M4" s="4" t="s">
        <v>661</v>
      </c>
      <c r="P4" s="4">
        <v>0.0</v>
      </c>
      <c r="Q4" s="104">
        <v>43833.0</v>
      </c>
      <c r="S4" s="4" t="s">
        <v>662</v>
      </c>
      <c r="U4" s="4">
        <v>0.0</v>
      </c>
      <c r="V4" s="4">
        <v>0.0</v>
      </c>
    </row>
    <row r="5">
      <c r="A5" s="23">
        <v>38050.0</v>
      </c>
      <c r="B5" s="4" t="s">
        <v>196</v>
      </c>
      <c r="C5" s="24">
        <v>0.0</v>
      </c>
      <c r="D5" s="24">
        <v>0.041666666666666664</v>
      </c>
      <c r="E5" s="4" t="s">
        <v>197</v>
      </c>
      <c r="H5" s="4">
        <v>0.0</v>
      </c>
      <c r="I5" s="4">
        <v>0.0</v>
      </c>
      <c r="J5" s="4" t="s">
        <v>659</v>
      </c>
      <c r="K5" s="4">
        <v>1.0</v>
      </c>
      <c r="L5" s="4" t="s">
        <v>660</v>
      </c>
      <c r="M5" s="4" t="s">
        <v>661</v>
      </c>
      <c r="O5" s="4" t="s">
        <v>659</v>
      </c>
      <c r="P5" s="4">
        <v>0.0</v>
      </c>
      <c r="Q5" s="104">
        <v>43833.0</v>
      </c>
      <c r="R5" s="4" t="s">
        <v>659</v>
      </c>
      <c r="S5" s="4" t="s">
        <v>662</v>
      </c>
      <c r="T5" s="4" t="s">
        <v>659</v>
      </c>
      <c r="U5" s="4">
        <v>0.0</v>
      </c>
      <c r="V5" s="4">
        <v>0.0</v>
      </c>
    </row>
    <row r="6">
      <c r="A6" s="23">
        <v>38384.0</v>
      </c>
      <c r="B6" s="4" t="s">
        <v>196</v>
      </c>
      <c r="C6" s="24">
        <v>0.0</v>
      </c>
      <c r="D6" s="24">
        <v>0.041666666666666664</v>
      </c>
      <c r="E6" s="4" t="s">
        <v>197</v>
      </c>
      <c r="H6" s="4">
        <v>0.0</v>
      </c>
      <c r="K6" s="4">
        <v>1.0</v>
      </c>
      <c r="L6" s="4" t="s">
        <v>660</v>
      </c>
      <c r="M6" s="4" t="s">
        <v>661</v>
      </c>
      <c r="P6" s="4">
        <v>0.0</v>
      </c>
      <c r="Q6" s="104">
        <v>43833.0</v>
      </c>
      <c r="S6" s="4" t="s">
        <v>662</v>
      </c>
      <c r="U6" s="4">
        <v>0.0</v>
      </c>
      <c r="V6" s="4">
        <v>0.0</v>
      </c>
    </row>
    <row r="7">
      <c r="A7" s="23">
        <v>38401.0</v>
      </c>
      <c r="B7" s="4" t="s">
        <v>201</v>
      </c>
      <c r="C7" s="24">
        <v>0.0</v>
      </c>
      <c r="D7" s="24">
        <v>0.041666666666666664</v>
      </c>
      <c r="E7" s="4" t="s">
        <v>197</v>
      </c>
      <c r="H7" s="4">
        <v>0.0</v>
      </c>
      <c r="K7" s="4">
        <v>1.0</v>
      </c>
      <c r="L7" s="4" t="s">
        <v>660</v>
      </c>
      <c r="M7" s="4" t="s">
        <v>661</v>
      </c>
      <c r="P7" s="4">
        <v>0.0</v>
      </c>
      <c r="Q7" s="104">
        <v>43833.0</v>
      </c>
      <c r="S7" s="4" t="s">
        <v>662</v>
      </c>
      <c r="U7" s="4">
        <v>0.0</v>
      </c>
      <c r="V7" s="4">
        <v>0.0</v>
      </c>
    </row>
    <row r="8">
      <c r="A8" s="23">
        <v>38416.0</v>
      </c>
      <c r="B8" s="4" t="s">
        <v>196</v>
      </c>
      <c r="C8" s="24">
        <v>0.0</v>
      </c>
      <c r="D8" s="24">
        <v>0.041666666666666664</v>
      </c>
      <c r="E8" s="4" t="s">
        <v>197</v>
      </c>
      <c r="H8" s="4">
        <v>0.0</v>
      </c>
      <c r="K8" s="4">
        <v>1.0</v>
      </c>
      <c r="L8" s="4" t="s">
        <v>660</v>
      </c>
      <c r="M8" s="4" t="s">
        <v>661</v>
      </c>
      <c r="O8" s="4" t="s">
        <v>659</v>
      </c>
      <c r="P8" s="4">
        <v>0.0</v>
      </c>
      <c r="Q8" s="104">
        <v>43833.0</v>
      </c>
      <c r="R8" s="4" t="s">
        <v>659</v>
      </c>
      <c r="S8" s="4" t="s">
        <v>662</v>
      </c>
      <c r="T8" s="4" t="s">
        <v>659</v>
      </c>
      <c r="U8" s="4">
        <v>0.0</v>
      </c>
      <c r="V8" s="4">
        <v>0.0</v>
      </c>
    </row>
    <row r="9">
      <c r="A9" s="29">
        <v>38416.0</v>
      </c>
      <c r="B9" s="27" t="s">
        <v>201</v>
      </c>
      <c r="C9" s="30">
        <v>0.0</v>
      </c>
      <c r="D9" s="30">
        <v>0.041666666666666664</v>
      </c>
      <c r="E9" s="27" t="s">
        <v>197</v>
      </c>
      <c r="H9" s="4">
        <v>0.0</v>
      </c>
      <c r="K9" s="4">
        <v>1.0</v>
      </c>
      <c r="L9" s="4" t="s">
        <v>660</v>
      </c>
      <c r="M9" s="4" t="s">
        <v>661</v>
      </c>
      <c r="P9" s="4">
        <v>0.0</v>
      </c>
      <c r="Q9" s="104">
        <v>43833.0</v>
      </c>
      <c r="S9" s="4" t="s">
        <v>662</v>
      </c>
      <c r="U9" s="4">
        <v>0.0</v>
      </c>
      <c r="V9" s="4">
        <v>0.0</v>
      </c>
    </row>
    <row r="10">
      <c r="A10" s="23">
        <v>38440.0</v>
      </c>
      <c r="B10" s="4" t="s">
        <v>216</v>
      </c>
      <c r="C10" s="24">
        <v>0.0</v>
      </c>
      <c r="D10" s="24">
        <v>0.041666666666666664</v>
      </c>
      <c r="E10" s="4" t="s">
        <v>197</v>
      </c>
      <c r="H10" s="4">
        <v>0.0</v>
      </c>
      <c r="K10" s="4">
        <v>1.0</v>
      </c>
      <c r="L10" s="4" t="s">
        <v>660</v>
      </c>
      <c r="M10" s="4" t="s">
        <v>661</v>
      </c>
      <c r="P10" s="4">
        <v>0.0</v>
      </c>
      <c r="Q10" s="104">
        <v>43833.0</v>
      </c>
      <c r="S10" s="4" t="s">
        <v>662</v>
      </c>
      <c r="U10" s="4">
        <v>0.0</v>
      </c>
      <c r="V10" s="4">
        <v>0.0</v>
      </c>
    </row>
    <row r="11">
      <c r="A11" s="23">
        <v>38441.0</v>
      </c>
      <c r="B11" s="4" t="s">
        <v>219</v>
      </c>
      <c r="C11" s="24">
        <v>0.0</v>
      </c>
      <c r="D11" s="24">
        <v>0.041666666666666664</v>
      </c>
      <c r="E11" s="4" t="s">
        <v>197</v>
      </c>
      <c r="H11" s="4">
        <v>0.0</v>
      </c>
      <c r="K11" s="4">
        <v>1.0</v>
      </c>
      <c r="L11" s="4" t="s">
        <v>660</v>
      </c>
      <c r="M11" s="4" t="s">
        <v>661</v>
      </c>
      <c r="P11" s="4">
        <v>0.0</v>
      </c>
      <c r="Q11" s="104">
        <v>43833.0</v>
      </c>
      <c r="S11" s="4" t="s">
        <v>662</v>
      </c>
      <c r="U11" s="4">
        <v>0.0</v>
      </c>
      <c r="V11" s="4">
        <v>0.0</v>
      </c>
    </row>
    <row r="12">
      <c r="A12" s="23">
        <v>38464.0</v>
      </c>
      <c r="B12" s="4" t="s">
        <v>201</v>
      </c>
      <c r="C12" s="24">
        <v>0.0</v>
      </c>
      <c r="D12" s="24">
        <v>0.041666666666666664</v>
      </c>
      <c r="E12" s="4" t="s">
        <v>197</v>
      </c>
      <c r="K12" s="4">
        <v>1.0</v>
      </c>
      <c r="L12" s="4" t="s">
        <v>660</v>
      </c>
      <c r="M12" s="4" t="s">
        <v>661</v>
      </c>
      <c r="P12" s="4">
        <v>0.0</v>
      </c>
      <c r="Q12" s="104">
        <v>43833.0</v>
      </c>
      <c r="S12" s="4" t="s">
        <v>662</v>
      </c>
      <c r="U12" s="4">
        <v>0.0</v>
      </c>
      <c r="V12" s="4">
        <v>0.0</v>
      </c>
    </row>
    <row r="13">
      <c r="A13" s="23">
        <v>38469.0</v>
      </c>
      <c r="B13" s="4" t="s">
        <v>219</v>
      </c>
      <c r="C13" s="24">
        <v>0.0</v>
      </c>
      <c r="D13" s="24">
        <v>0.041666666666666664</v>
      </c>
      <c r="E13" s="4" t="s">
        <v>197</v>
      </c>
      <c r="H13" s="4">
        <v>0.0</v>
      </c>
      <c r="K13" s="4">
        <v>1.0</v>
      </c>
      <c r="L13" s="4" t="s">
        <v>660</v>
      </c>
      <c r="M13" s="4" t="s">
        <v>661</v>
      </c>
      <c r="P13" s="4">
        <v>0.0</v>
      </c>
      <c r="Q13" s="104">
        <v>43833.0</v>
      </c>
      <c r="S13" s="4" t="s">
        <v>662</v>
      </c>
      <c r="U13" s="4">
        <v>0.0</v>
      </c>
      <c r="V13" s="4">
        <v>0.0</v>
      </c>
    </row>
    <row r="14">
      <c r="A14" s="23">
        <v>38471.0</v>
      </c>
      <c r="B14" s="4" t="s">
        <v>216</v>
      </c>
      <c r="C14" s="24">
        <v>0.0</v>
      </c>
      <c r="D14" s="24">
        <v>0.041666666666666664</v>
      </c>
      <c r="E14" s="4" t="s">
        <v>197</v>
      </c>
      <c r="H14" s="4">
        <v>0.0</v>
      </c>
      <c r="K14" s="4">
        <v>1.0</v>
      </c>
      <c r="L14" s="4" t="s">
        <v>660</v>
      </c>
      <c r="M14" s="4" t="s">
        <v>661</v>
      </c>
      <c r="P14" s="4">
        <v>0.0</v>
      </c>
      <c r="Q14" s="104">
        <v>43833.0</v>
      </c>
      <c r="S14" s="4" t="s">
        <v>662</v>
      </c>
      <c r="U14" s="4">
        <v>0.0</v>
      </c>
      <c r="V14" s="4">
        <v>0.0</v>
      </c>
    </row>
    <row r="15">
      <c r="A15" s="23">
        <v>38473.0</v>
      </c>
      <c r="B15" s="4" t="s">
        <v>201</v>
      </c>
      <c r="C15" s="24">
        <v>0.0</v>
      </c>
      <c r="D15" s="24">
        <v>0.041666666666666664</v>
      </c>
      <c r="E15" s="4" t="s">
        <v>197</v>
      </c>
      <c r="H15" s="4">
        <v>0.0</v>
      </c>
      <c r="K15" s="4">
        <v>1.0</v>
      </c>
      <c r="L15" s="4" t="s">
        <v>660</v>
      </c>
      <c r="M15" s="4" t="s">
        <v>661</v>
      </c>
      <c r="P15" s="4">
        <v>0.0</v>
      </c>
      <c r="Q15" s="104">
        <v>43833.0</v>
      </c>
      <c r="S15" s="4" t="s">
        <v>662</v>
      </c>
      <c r="U15" s="4">
        <v>0.0</v>
      </c>
      <c r="V15" s="4">
        <v>0.0</v>
      </c>
    </row>
    <row r="16">
      <c r="A16" s="23">
        <v>38473.0</v>
      </c>
      <c r="B16" s="4" t="s">
        <v>219</v>
      </c>
      <c r="C16" s="24">
        <v>0.0</v>
      </c>
      <c r="D16" s="24">
        <v>0.041666666666666664</v>
      </c>
      <c r="E16" s="4" t="s">
        <v>197</v>
      </c>
      <c r="H16" s="4">
        <v>0.0</v>
      </c>
      <c r="K16" s="4">
        <v>1.0</v>
      </c>
      <c r="L16" s="4" t="s">
        <v>660</v>
      </c>
      <c r="M16" s="4" t="s">
        <v>661</v>
      </c>
      <c r="P16" s="4">
        <v>0.0</v>
      </c>
      <c r="Q16" s="104">
        <v>43833.0</v>
      </c>
      <c r="S16" s="4" t="s">
        <v>662</v>
      </c>
      <c r="U16" s="4">
        <v>0.0</v>
      </c>
      <c r="V16" s="4">
        <v>0.0</v>
      </c>
    </row>
    <row r="17">
      <c r="A17" s="23">
        <v>38478.0</v>
      </c>
      <c r="B17" s="4" t="s">
        <v>216</v>
      </c>
      <c r="C17" s="24">
        <v>0.0</v>
      </c>
      <c r="D17" s="24">
        <v>0.041666666666666664</v>
      </c>
      <c r="E17" s="4" t="s">
        <v>197</v>
      </c>
      <c r="H17" s="4">
        <v>0.0</v>
      </c>
      <c r="K17" s="4">
        <v>1.0</v>
      </c>
      <c r="L17" s="4" t="s">
        <v>660</v>
      </c>
      <c r="M17" s="4" t="s">
        <v>661</v>
      </c>
      <c r="P17" s="4">
        <v>0.0</v>
      </c>
      <c r="Q17" s="104">
        <v>43833.0</v>
      </c>
      <c r="S17" s="4" t="s">
        <v>662</v>
      </c>
      <c r="U17" s="4">
        <v>0.0</v>
      </c>
      <c r="V17" s="4">
        <v>0.0</v>
      </c>
    </row>
    <row r="18">
      <c r="A18" s="23">
        <v>38479.0</v>
      </c>
      <c r="B18" s="4" t="s">
        <v>226</v>
      </c>
      <c r="C18" s="24">
        <v>0.0</v>
      </c>
      <c r="D18" s="24">
        <v>0.041666666666666664</v>
      </c>
      <c r="E18" s="4" t="s">
        <v>197</v>
      </c>
      <c r="H18" s="4">
        <v>0.0</v>
      </c>
      <c r="K18" s="4">
        <v>1.0</v>
      </c>
      <c r="L18" s="4" t="s">
        <v>660</v>
      </c>
      <c r="M18" s="4" t="s">
        <v>661</v>
      </c>
      <c r="P18" s="4">
        <v>0.0</v>
      </c>
      <c r="Q18" s="104">
        <v>43833.0</v>
      </c>
      <c r="S18" s="4" t="s">
        <v>662</v>
      </c>
      <c r="U18" s="4">
        <v>0.0</v>
      </c>
      <c r="V18" s="4">
        <v>0.0</v>
      </c>
    </row>
    <row r="19">
      <c r="A19" s="23">
        <v>38493.0</v>
      </c>
      <c r="B19" s="4" t="s">
        <v>226</v>
      </c>
      <c r="C19" s="24">
        <v>0.0</v>
      </c>
      <c r="D19" s="24">
        <v>0.041666666666666664</v>
      </c>
      <c r="E19" s="4" t="s">
        <v>197</v>
      </c>
      <c r="H19" s="4">
        <v>0.0</v>
      </c>
      <c r="K19" s="4">
        <v>1.0</v>
      </c>
      <c r="L19" s="4" t="s">
        <v>660</v>
      </c>
      <c r="M19" s="4" t="s">
        <v>661</v>
      </c>
      <c r="P19" s="4">
        <v>0.0</v>
      </c>
      <c r="Q19" s="104">
        <v>43833.0</v>
      </c>
      <c r="S19" s="4" t="s">
        <v>662</v>
      </c>
      <c r="U19" s="4">
        <v>0.0</v>
      </c>
      <c r="V19" s="4">
        <v>0.0</v>
      </c>
    </row>
    <row r="20">
      <c r="A20" s="23">
        <v>38496.0</v>
      </c>
      <c r="B20" s="4" t="s">
        <v>230</v>
      </c>
      <c r="C20" s="24">
        <v>0.0</v>
      </c>
      <c r="D20" s="24">
        <v>0.041666666666666664</v>
      </c>
      <c r="E20" s="4" t="s">
        <v>197</v>
      </c>
      <c r="H20" s="4">
        <v>0.0</v>
      </c>
      <c r="K20" s="4">
        <v>1.0</v>
      </c>
      <c r="L20" s="4" t="s">
        <v>660</v>
      </c>
      <c r="M20" s="4" t="s">
        <v>661</v>
      </c>
      <c r="P20" s="4">
        <v>0.0</v>
      </c>
      <c r="Q20" s="104">
        <v>43833.0</v>
      </c>
      <c r="S20" s="4" t="s">
        <v>662</v>
      </c>
      <c r="U20" s="4">
        <v>0.0</v>
      </c>
      <c r="V20" s="4">
        <v>0.0</v>
      </c>
    </row>
    <row r="21">
      <c r="A21" s="23">
        <v>38507.0</v>
      </c>
      <c r="B21" s="4" t="s">
        <v>226</v>
      </c>
      <c r="C21" s="24">
        <v>0.0</v>
      </c>
      <c r="D21" s="24">
        <v>0.041666666666666664</v>
      </c>
      <c r="E21" s="4" t="s">
        <v>197</v>
      </c>
      <c r="H21" s="4">
        <v>0.0</v>
      </c>
      <c r="K21" s="4">
        <v>1.0</v>
      </c>
      <c r="L21" s="4" t="s">
        <v>660</v>
      </c>
      <c r="M21" s="4" t="s">
        <v>661</v>
      </c>
      <c r="P21" s="4">
        <v>0.0</v>
      </c>
      <c r="Q21" s="104">
        <v>43833.0</v>
      </c>
      <c r="S21" s="4" t="s">
        <v>662</v>
      </c>
      <c r="U21" s="4">
        <v>0.0</v>
      </c>
      <c r="V21" s="4">
        <v>0.0</v>
      </c>
    </row>
    <row r="22">
      <c r="A22" s="23">
        <v>38824.0</v>
      </c>
      <c r="B22" s="4" t="s">
        <v>233</v>
      </c>
      <c r="C22" s="24">
        <v>0.0</v>
      </c>
      <c r="D22" s="24">
        <v>0.041666666666666664</v>
      </c>
      <c r="E22" s="4" t="s">
        <v>197</v>
      </c>
      <c r="H22" s="4">
        <v>0.0</v>
      </c>
      <c r="K22" s="4">
        <v>1.0</v>
      </c>
      <c r="L22" s="4" t="s">
        <v>660</v>
      </c>
      <c r="M22" s="4" t="s">
        <v>661</v>
      </c>
      <c r="P22" s="4">
        <v>0.0</v>
      </c>
      <c r="Q22" s="104">
        <v>43833.0</v>
      </c>
      <c r="S22" s="4" t="s">
        <v>662</v>
      </c>
      <c r="U22" s="4">
        <v>0.0</v>
      </c>
      <c r="V22" s="4">
        <v>0.0</v>
      </c>
    </row>
    <row r="23">
      <c r="A23" s="23">
        <v>38824.0</v>
      </c>
      <c r="B23" s="4" t="s">
        <v>201</v>
      </c>
      <c r="C23" s="24">
        <v>0.0</v>
      </c>
      <c r="D23" s="24">
        <v>0.041666666666666664</v>
      </c>
      <c r="E23" s="4" t="s">
        <v>197</v>
      </c>
      <c r="H23" s="4">
        <v>0.0</v>
      </c>
      <c r="K23" s="4">
        <v>1.0</v>
      </c>
      <c r="L23" s="4" t="s">
        <v>660</v>
      </c>
      <c r="M23" s="4" t="s">
        <v>661</v>
      </c>
      <c r="P23" s="4">
        <v>0.0</v>
      </c>
      <c r="Q23" s="104">
        <v>43833.0</v>
      </c>
      <c r="S23" s="4" t="s">
        <v>662</v>
      </c>
      <c r="U23" s="4">
        <v>0.0</v>
      </c>
      <c r="V23" s="4">
        <v>0.0</v>
      </c>
    </row>
    <row r="24">
      <c r="A24" s="23">
        <v>38825.0</v>
      </c>
      <c r="B24" s="4" t="s">
        <v>230</v>
      </c>
      <c r="C24" s="24">
        <v>0.0</v>
      </c>
      <c r="D24" s="24">
        <v>0.041666666666666664</v>
      </c>
      <c r="E24" s="4" t="s">
        <v>197</v>
      </c>
      <c r="H24" s="4">
        <v>0.0</v>
      </c>
      <c r="K24" s="4">
        <v>1.0</v>
      </c>
      <c r="L24" s="4" t="s">
        <v>660</v>
      </c>
      <c r="M24" s="4" t="s">
        <v>661</v>
      </c>
      <c r="P24" s="4">
        <v>0.0</v>
      </c>
      <c r="Q24" s="104">
        <v>43833.0</v>
      </c>
      <c r="S24" s="4" t="s">
        <v>662</v>
      </c>
      <c r="U24" s="4">
        <v>0.0</v>
      </c>
      <c r="V24" s="4">
        <v>0.0</v>
      </c>
    </row>
    <row r="25">
      <c r="A25" s="23">
        <v>38834.0</v>
      </c>
      <c r="B25" s="4" t="s">
        <v>219</v>
      </c>
      <c r="C25" s="24">
        <v>0.0</v>
      </c>
      <c r="D25" s="24">
        <v>0.041666666666666664</v>
      </c>
      <c r="E25" s="4" t="s">
        <v>197</v>
      </c>
      <c r="H25" s="4">
        <v>0.0</v>
      </c>
      <c r="K25" s="4">
        <v>1.0</v>
      </c>
      <c r="L25" s="4" t="s">
        <v>660</v>
      </c>
      <c r="M25" s="4" t="s">
        <v>661</v>
      </c>
      <c r="P25" s="4">
        <v>0.0</v>
      </c>
      <c r="Q25" s="104">
        <v>43833.0</v>
      </c>
      <c r="S25" s="4" t="s">
        <v>662</v>
      </c>
      <c r="U25" s="4">
        <v>0.0</v>
      </c>
      <c r="V25" s="4">
        <v>0.0</v>
      </c>
    </row>
    <row r="26">
      <c r="A26" s="23">
        <v>38835.0</v>
      </c>
      <c r="B26" s="4" t="s">
        <v>216</v>
      </c>
      <c r="C26" s="24">
        <v>0.0</v>
      </c>
      <c r="D26" s="24">
        <v>0.041666666666666664</v>
      </c>
      <c r="E26" s="4" t="s">
        <v>197</v>
      </c>
      <c r="H26" s="4">
        <v>0.0</v>
      </c>
      <c r="K26" s="4">
        <v>1.0</v>
      </c>
      <c r="L26" s="4" t="s">
        <v>660</v>
      </c>
      <c r="M26" s="4" t="s">
        <v>661</v>
      </c>
      <c r="P26" s="4">
        <v>0.0</v>
      </c>
      <c r="Q26" s="104">
        <v>43833.0</v>
      </c>
      <c r="S26" s="4" t="s">
        <v>662</v>
      </c>
      <c r="U26" s="4">
        <v>0.0</v>
      </c>
      <c r="V26" s="4">
        <v>0.0</v>
      </c>
    </row>
    <row r="27">
      <c r="A27" s="23">
        <v>38838.0</v>
      </c>
      <c r="B27" s="4" t="s">
        <v>240</v>
      </c>
      <c r="C27" s="24">
        <v>0.0</v>
      </c>
      <c r="D27" s="24">
        <v>0.041666666666666664</v>
      </c>
      <c r="E27" s="4" t="s">
        <v>197</v>
      </c>
      <c r="H27" s="4">
        <v>0.0</v>
      </c>
      <c r="K27" s="4">
        <v>1.0</v>
      </c>
      <c r="L27" s="4" t="s">
        <v>660</v>
      </c>
      <c r="M27" s="4" t="s">
        <v>661</v>
      </c>
      <c r="P27" s="4">
        <v>0.0</v>
      </c>
      <c r="Q27" s="104">
        <v>43833.0</v>
      </c>
      <c r="S27" s="4" t="s">
        <v>662</v>
      </c>
      <c r="U27" s="4">
        <v>0.0</v>
      </c>
      <c r="V27" s="4">
        <v>0.0</v>
      </c>
    </row>
    <row r="28">
      <c r="A28" s="23">
        <v>38849.0</v>
      </c>
      <c r="B28" s="4" t="s">
        <v>219</v>
      </c>
      <c r="C28" s="24">
        <v>0.0</v>
      </c>
      <c r="D28" s="24">
        <v>0.041666666666666664</v>
      </c>
      <c r="E28" s="4" t="s">
        <v>197</v>
      </c>
      <c r="H28" s="4">
        <v>0.0</v>
      </c>
      <c r="K28" s="4">
        <v>1.0</v>
      </c>
      <c r="L28" s="4" t="s">
        <v>660</v>
      </c>
      <c r="M28" s="4" t="s">
        <v>661</v>
      </c>
      <c r="P28" s="4">
        <v>0.0</v>
      </c>
      <c r="Q28" s="104">
        <v>43833.0</v>
      </c>
      <c r="S28" s="4" t="s">
        <v>662</v>
      </c>
      <c r="U28" s="4">
        <v>0.0</v>
      </c>
      <c r="V28" s="4">
        <v>0.0</v>
      </c>
    </row>
    <row r="29">
      <c r="A29" s="23">
        <v>38852.0</v>
      </c>
      <c r="B29" s="4" t="s">
        <v>216</v>
      </c>
      <c r="C29" s="24">
        <v>0.0</v>
      </c>
      <c r="D29" s="24">
        <v>0.041666666666666664</v>
      </c>
      <c r="E29" s="4" t="s">
        <v>197</v>
      </c>
      <c r="H29" s="4">
        <v>0.0</v>
      </c>
      <c r="K29" s="4">
        <v>1.0</v>
      </c>
      <c r="L29" s="4" t="s">
        <v>660</v>
      </c>
      <c r="M29" s="4" t="s">
        <v>661</v>
      </c>
      <c r="P29" s="4">
        <v>0.0</v>
      </c>
      <c r="Q29" s="104">
        <v>43833.0</v>
      </c>
      <c r="S29" s="4" t="s">
        <v>662</v>
      </c>
      <c r="U29" s="4">
        <v>0.0</v>
      </c>
      <c r="V29" s="4">
        <v>0.0</v>
      </c>
    </row>
    <row r="30">
      <c r="A30" s="23">
        <v>38853.0</v>
      </c>
      <c r="B30" s="4" t="s">
        <v>244</v>
      </c>
      <c r="C30" s="24">
        <v>0.0</v>
      </c>
      <c r="D30" s="24">
        <v>0.041666666666666664</v>
      </c>
      <c r="E30" s="4" t="s">
        <v>197</v>
      </c>
      <c r="H30" s="4">
        <v>0.0</v>
      </c>
      <c r="K30" s="4">
        <v>1.0</v>
      </c>
      <c r="L30" s="4" t="s">
        <v>660</v>
      </c>
      <c r="M30" s="4" t="s">
        <v>661</v>
      </c>
      <c r="P30" s="4">
        <v>0.0</v>
      </c>
      <c r="Q30" s="104">
        <v>43833.0</v>
      </c>
      <c r="S30" s="4" t="s">
        <v>662</v>
      </c>
      <c r="U30" s="4">
        <v>0.0</v>
      </c>
      <c r="V30" s="4">
        <v>0.0</v>
      </c>
    </row>
    <row r="31">
      <c r="A31" s="23">
        <v>38854.0</v>
      </c>
      <c r="B31" s="4" t="s">
        <v>246</v>
      </c>
      <c r="C31" s="24">
        <v>0.0</v>
      </c>
      <c r="D31" s="24">
        <v>0.041666666666666664</v>
      </c>
      <c r="E31" s="4" t="s">
        <v>197</v>
      </c>
      <c r="H31" s="4">
        <v>0.0</v>
      </c>
      <c r="K31" s="4">
        <v>1.0</v>
      </c>
      <c r="L31" s="4" t="s">
        <v>660</v>
      </c>
      <c r="M31" s="4" t="s">
        <v>661</v>
      </c>
      <c r="P31" s="4">
        <v>0.0</v>
      </c>
      <c r="Q31" s="104">
        <v>43833.0</v>
      </c>
      <c r="S31" s="4" t="s">
        <v>662</v>
      </c>
      <c r="U31" s="4">
        <v>0.0</v>
      </c>
      <c r="V31" s="4">
        <v>0.0</v>
      </c>
    </row>
    <row r="32">
      <c r="A32" s="23">
        <v>39177.0</v>
      </c>
      <c r="B32" s="4" t="s">
        <v>247</v>
      </c>
      <c r="C32" s="24">
        <v>0.0</v>
      </c>
      <c r="D32" s="24">
        <v>0.041666666666666664</v>
      </c>
      <c r="E32" s="4" t="s">
        <v>197</v>
      </c>
      <c r="H32" s="4">
        <v>0.0</v>
      </c>
      <c r="K32" s="4">
        <v>1.0</v>
      </c>
      <c r="L32" s="4" t="s">
        <v>660</v>
      </c>
      <c r="M32" s="4" t="s">
        <v>661</v>
      </c>
      <c r="P32" s="4">
        <v>0.0</v>
      </c>
      <c r="Q32" s="104">
        <v>43833.0</v>
      </c>
      <c r="S32" s="4" t="s">
        <v>662</v>
      </c>
      <c r="U32" s="4">
        <v>0.0</v>
      </c>
      <c r="V32" s="4">
        <v>0.0</v>
      </c>
    </row>
    <row r="33">
      <c r="A33" s="23">
        <v>39190.0</v>
      </c>
      <c r="B33" s="4" t="s">
        <v>201</v>
      </c>
      <c r="C33" s="24">
        <v>0.0</v>
      </c>
      <c r="D33" s="24">
        <v>0.041666666666666664</v>
      </c>
      <c r="E33" s="4" t="s">
        <v>197</v>
      </c>
      <c r="H33" s="4">
        <v>0.0</v>
      </c>
      <c r="K33" s="4">
        <v>1.0</v>
      </c>
      <c r="L33" s="4" t="s">
        <v>663</v>
      </c>
      <c r="M33" s="4" t="s">
        <v>661</v>
      </c>
      <c r="P33" s="4">
        <v>0.0</v>
      </c>
      <c r="Q33" s="104">
        <v>43833.0</v>
      </c>
      <c r="S33" s="4" t="s">
        <v>662</v>
      </c>
      <c r="U33" s="4">
        <v>0.0</v>
      </c>
      <c r="V33" s="4">
        <v>0.0</v>
      </c>
    </row>
    <row r="34">
      <c r="A34" s="23">
        <v>39191.0</v>
      </c>
      <c r="B34" s="4" t="s">
        <v>250</v>
      </c>
      <c r="C34" s="24">
        <v>0.0</v>
      </c>
      <c r="D34" s="24">
        <v>0.041666666666666664</v>
      </c>
      <c r="E34" s="4" t="s">
        <v>197</v>
      </c>
      <c r="H34" s="4">
        <v>0.0</v>
      </c>
      <c r="K34" s="4">
        <v>1.0</v>
      </c>
      <c r="L34" s="4" t="s">
        <v>660</v>
      </c>
      <c r="M34" s="4" t="s">
        <v>661</v>
      </c>
      <c r="P34" s="4">
        <v>0.0</v>
      </c>
      <c r="Q34" s="104">
        <v>43833.0</v>
      </c>
      <c r="S34" s="4" t="s">
        <v>662</v>
      </c>
      <c r="U34" s="4">
        <v>0.0</v>
      </c>
      <c r="V34" s="4">
        <v>0.0</v>
      </c>
    </row>
    <row r="35">
      <c r="A35" s="23">
        <v>39191.0</v>
      </c>
      <c r="B35" s="4" t="s">
        <v>201</v>
      </c>
      <c r="C35" s="24">
        <v>0.0</v>
      </c>
      <c r="D35" s="24">
        <v>0.041666666666666664</v>
      </c>
      <c r="E35" s="4" t="s">
        <v>197</v>
      </c>
      <c r="H35" s="4">
        <v>0.0</v>
      </c>
      <c r="K35" s="4">
        <v>1.0</v>
      </c>
      <c r="L35" s="4" t="s">
        <v>660</v>
      </c>
      <c r="M35" s="4" t="s">
        <v>661</v>
      </c>
      <c r="P35" s="4">
        <v>0.0</v>
      </c>
      <c r="Q35" s="104">
        <v>43833.0</v>
      </c>
      <c r="S35" s="4" t="s">
        <v>662</v>
      </c>
      <c r="U35" s="4">
        <v>0.0</v>
      </c>
      <c r="V35" s="4">
        <v>0.0</v>
      </c>
    </row>
    <row r="36">
      <c r="A36" s="23">
        <v>39192.0</v>
      </c>
      <c r="B36" s="4" t="s">
        <v>230</v>
      </c>
      <c r="C36" s="24">
        <v>0.0</v>
      </c>
      <c r="D36" s="24">
        <v>0.041666666666666664</v>
      </c>
      <c r="E36" s="4" t="s">
        <v>197</v>
      </c>
      <c r="H36" s="4">
        <v>0.0</v>
      </c>
      <c r="K36" s="4">
        <v>1.0</v>
      </c>
      <c r="L36" s="4" t="s">
        <v>660</v>
      </c>
      <c r="M36" s="4" t="s">
        <v>661</v>
      </c>
      <c r="P36" s="4">
        <v>0.0</v>
      </c>
      <c r="Q36" s="104">
        <v>43833.0</v>
      </c>
      <c r="S36" s="4" t="s">
        <v>662</v>
      </c>
      <c r="U36" s="4">
        <v>0.0</v>
      </c>
      <c r="V36" s="4">
        <v>0.0</v>
      </c>
    </row>
    <row r="37">
      <c r="A37" s="23">
        <v>39192.0</v>
      </c>
      <c r="B37" s="4" t="s">
        <v>246</v>
      </c>
      <c r="C37" s="24">
        <v>0.0</v>
      </c>
      <c r="D37" s="24">
        <v>0.041666666666666664</v>
      </c>
      <c r="E37" s="4" t="s">
        <v>197</v>
      </c>
      <c r="H37" s="4">
        <v>0.0</v>
      </c>
      <c r="K37" s="4">
        <v>1.0</v>
      </c>
      <c r="L37" s="4" t="s">
        <v>660</v>
      </c>
      <c r="M37" s="4" t="s">
        <v>661</v>
      </c>
      <c r="P37" s="4">
        <v>0.0</v>
      </c>
      <c r="Q37" s="104">
        <v>43833.0</v>
      </c>
      <c r="S37" s="4" t="s">
        <v>662</v>
      </c>
      <c r="U37" s="4">
        <v>0.0</v>
      </c>
      <c r="V37" s="4">
        <v>0.0</v>
      </c>
    </row>
    <row r="38">
      <c r="A38" s="23">
        <v>39203.0</v>
      </c>
      <c r="B38" s="4" t="s">
        <v>230</v>
      </c>
      <c r="C38" s="24">
        <v>0.0</v>
      </c>
      <c r="D38" s="24">
        <v>0.041666666666666664</v>
      </c>
      <c r="E38" s="4" t="s">
        <v>197</v>
      </c>
      <c r="H38" s="4">
        <v>0.0</v>
      </c>
      <c r="K38" s="4">
        <v>1.0</v>
      </c>
      <c r="L38" s="4" t="s">
        <v>660</v>
      </c>
      <c r="M38" s="4" t="s">
        <v>661</v>
      </c>
      <c r="P38" s="4">
        <v>0.0</v>
      </c>
      <c r="Q38" s="104">
        <v>43833.0</v>
      </c>
      <c r="S38" s="4" t="s">
        <v>662</v>
      </c>
      <c r="U38" s="4">
        <v>0.0</v>
      </c>
      <c r="V38" s="4">
        <v>0.0</v>
      </c>
    </row>
    <row r="39">
      <c r="A39" s="23">
        <v>39203.0</v>
      </c>
      <c r="B39" s="4" t="s">
        <v>216</v>
      </c>
      <c r="C39" s="24">
        <v>0.0</v>
      </c>
      <c r="D39" s="24">
        <v>0.041666666666666664</v>
      </c>
      <c r="E39" s="4" t="s">
        <v>197</v>
      </c>
      <c r="H39" s="4">
        <v>0.0</v>
      </c>
      <c r="K39" s="4">
        <v>1.0</v>
      </c>
      <c r="L39" s="4" t="s">
        <v>660</v>
      </c>
      <c r="M39" s="4" t="s">
        <v>661</v>
      </c>
      <c r="P39" s="4">
        <v>0.0</v>
      </c>
      <c r="Q39" s="104">
        <v>43833.0</v>
      </c>
      <c r="S39" s="4" t="s">
        <v>662</v>
      </c>
      <c r="U39" s="4">
        <v>0.0</v>
      </c>
      <c r="V39" s="4">
        <v>0.0</v>
      </c>
    </row>
    <row r="40">
      <c r="A40" s="23">
        <v>39204.0</v>
      </c>
      <c r="B40" s="4" t="s">
        <v>219</v>
      </c>
      <c r="C40" s="24">
        <v>0.0</v>
      </c>
      <c r="D40" s="24">
        <v>0.041666666666666664</v>
      </c>
      <c r="E40" s="4" t="s">
        <v>197</v>
      </c>
      <c r="H40" s="4">
        <v>0.0</v>
      </c>
      <c r="K40" s="4">
        <v>1.0</v>
      </c>
      <c r="L40" s="4" t="s">
        <v>660</v>
      </c>
      <c r="M40" s="4" t="s">
        <v>661</v>
      </c>
      <c r="P40" s="4">
        <v>0.0</v>
      </c>
      <c r="Q40" s="104">
        <v>43833.0</v>
      </c>
      <c r="S40" s="4" t="s">
        <v>662</v>
      </c>
      <c r="U40" s="4">
        <v>0.0</v>
      </c>
      <c r="V40" s="4">
        <v>0.0</v>
      </c>
    </row>
    <row r="41">
      <c r="A41" s="23">
        <v>39206.0</v>
      </c>
      <c r="B41" s="4" t="s">
        <v>216</v>
      </c>
      <c r="C41" s="24">
        <v>0.0</v>
      </c>
      <c r="D41" s="24">
        <v>0.041666666666666664</v>
      </c>
      <c r="E41" s="4" t="s">
        <v>197</v>
      </c>
      <c r="H41" s="4">
        <v>0.0</v>
      </c>
      <c r="K41" s="4">
        <v>1.0</v>
      </c>
      <c r="L41" s="4" t="s">
        <v>660</v>
      </c>
      <c r="M41" s="4" t="s">
        <v>661</v>
      </c>
      <c r="P41" s="4">
        <v>0.0</v>
      </c>
      <c r="Q41" s="104">
        <v>43833.0</v>
      </c>
      <c r="S41" s="4" t="s">
        <v>662</v>
      </c>
      <c r="U41" s="4">
        <v>0.0</v>
      </c>
      <c r="V41" s="4">
        <v>0.0</v>
      </c>
    </row>
    <row r="42">
      <c r="A42" s="23">
        <v>39217.0</v>
      </c>
      <c r="B42" s="4" t="s">
        <v>259</v>
      </c>
      <c r="C42" s="24">
        <v>0.0</v>
      </c>
      <c r="D42" s="24">
        <v>0.041666666666666664</v>
      </c>
      <c r="E42" s="4" t="s">
        <v>197</v>
      </c>
      <c r="H42" s="4">
        <v>0.0</v>
      </c>
      <c r="K42" s="4">
        <v>1.0</v>
      </c>
      <c r="L42" s="4" t="s">
        <v>660</v>
      </c>
      <c r="M42" s="4" t="s">
        <v>661</v>
      </c>
      <c r="P42" s="4">
        <v>0.0</v>
      </c>
      <c r="Q42" s="104">
        <v>43833.0</v>
      </c>
      <c r="S42" s="4" t="s">
        <v>662</v>
      </c>
      <c r="U42" s="4">
        <v>0.0</v>
      </c>
      <c r="V42" s="4">
        <v>0.0</v>
      </c>
    </row>
    <row r="43">
      <c r="A43" s="23">
        <v>39218.0</v>
      </c>
      <c r="B43" s="4" t="s">
        <v>216</v>
      </c>
      <c r="C43" s="24">
        <v>0.0</v>
      </c>
      <c r="D43" s="24">
        <v>0.041666666666666664</v>
      </c>
      <c r="E43" s="4" t="s">
        <v>197</v>
      </c>
      <c r="H43" s="4">
        <v>0.0</v>
      </c>
      <c r="K43" s="4">
        <v>1.0</v>
      </c>
      <c r="L43" s="4" t="s">
        <v>660</v>
      </c>
      <c r="M43" s="4" t="s">
        <v>661</v>
      </c>
      <c r="P43" s="4">
        <v>0.0</v>
      </c>
      <c r="Q43" s="104">
        <v>43833.0</v>
      </c>
      <c r="S43" s="4" t="s">
        <v>662</v>
      </c>
      <c r="U43" s="4">
        <v>0.0</v>
      </c>
      <c r="V43" s="4">
        <v>0.0</v>
      </c>
    </row>
    <row r="44">
      <c r="A44" s="23">
        <v>39219.0</v>
      </c>
      <c r="B44" s="4" t="s">
        <v>247</v>
      </c>
      <c r="C44" s="24">
        <v>0.0</v>
      </c>
      <c r="D44" s="24">
        <v>0.041666666666666664</v>
      </c>
      <c r="E44" s="4" t="s">
        <v>197</v>
      </c>
      <c r="H44" s="4">
        <v>0.0</v>
      </c>
      <c r="K44" s="4">
        <v>1.0</v>
      </c>
      <c r="L44" s="4" t="s">
        <v>660</v>
      </c>
      <c r="M44" s="4" t="s">
        <v>661</v>
      </c>
      <c r="P44" s="4">
        <v>0.0</v>
      </c>
      <c r="Q44" s="104">
        <v>43833.0</v>
      </c>
      <c r="S44" s="4" t="s">
        <v>662</v>
      </c>
      <c r="U44" s="4">
        <v>0.0</v>
      </c>
      <c r="V44" s="4">
        <v>0.0</v>
      </c>
    </row>
    <row r="45">
      <c r="A45" s="23">
        <v>39220.0</v>
      </c>
      <c r="B45" s="4" t="s">
        <v>219</v>
      </c>
      <c r="C45" s="24">
        <v>0.0</v>
      </c>
      <c r="D45" s="24">
        <v>0.041666666666666664</v>
      </c>
      <c r="E45" s="4" t="s">
        <v>197</v>
      </c>
      <c r="H45" s="4">
        <v>0.0</v>
      </c>
      <c r="K45" s="4">
        <v>1.0</v>
      </c>
      <c r="L45" s="4" t="s">
        <v>660</v>
      </c>
      <c r="M45" s="4" t="s">
        <v>661</v>
      </c>
      <c r="P45" s="4">
        <v>0.0</v>
      </c>
      <c r="Q45" s="104">
        <v>43833.0</v>
      </c>
      <c r="S45" s="4" t="s">
        <v>662</v>
      </c>
      <c r="U45" s="4">
        <v>0.0</v>
      </c>
      <c r="V45" s="4">
        <v>0.0</v>
      </c>
    </row>
    <row r="46">
      <c r="A46" s="23">
        <v>39501.0</v>
      </c>
      <c r="B46" s="4" t="s">
        <v>250</v>
      </c>
      <c r="C46" s="24">
        <v>0.0</v>
      </c>
      <c r="D46" s="24">
        <v>0.041666666666666664</v>
      </c>
      <c r="E46" s="4" t="s">
        <v>197</v>
      </c>
      <c r="H46" s="4">
        <v>0.0</v>
      </c>
      <c r="K46" s="4">
        <v>1.0</v>
      </c>
      <c r="L46" s="4" t="s">
        <v>660</v>
      </c>
      <c r="M46" s="4" t="s">
        <v>661</v>
      </c>
      <c r="P46" s="4">
        <v>0.0</v>
      </c>
      <c r="Q46" s="104">
        <v>43833.0</v>
      </c>
      <c r="S46" s="4" t="s">
        <v>662</v>
      </c>
      <c r="U46" s="4">
        <v>0.0</v>
      </c>
      <c r="V46" s="4">
        <v>0.0</v>
      </c>
    </row>
    <row r="47">
      <c r="A47" s="23">
        <v>42420.0</v>
      </c>
      <c r="B47" s="4" t="s">
        <v>216</v>
      </c>
      <c r="C47" s="24">
        <v>0.3638888888888889</v>
      </c>
      <c r="D47" s="24">
        <v>0.4305555555555556</v>
      </c>
      <c r="E47" s="4" t="s">
        <v>197</v>
      </c>
      <c r="H47" s="105">
        <v>0.40902777777777777</v>
      </c>
      <c r="I47" s="4">
        <v>0.0</v>
      </c>
      <c r="J47" s="4" t="s">
        <v>659</v>
      </c>
      <c r="K47" s="4">
        <v>24.0</v>
      </c>
      <c r="L47" s="4" t="s">
        <v>660</v>
      </c>
      <c r="M47" s="4" t="s">
        <v>664</v>
      </c>
      <c r="O47" s="4" t="s">
        <v>659</v>
      </c>
      <c r="P47" s="104">
        <v>43835.0</v>
      </c>
      <c r="Q47" s="104">
        <v>43833.0</v>
      </c>
      <c r="R47" s="4" t="s">
        <v>659</v>
      </c>
      <c r="S47" s="4" t="s">
        <v>662</v>
      </c>
      <c r="T47" s="4" t="s">
        <v>659</v>
      </c>
      <c r="U47" s="104">
        <v>43835.0</v>
      </c>
      <c r="X47" s="4" t="s">
        <v>665</v>
      </c>
    </row>
    <row r="48">
      <c r="A48" s="23">
        <v>42427.0</v>
      </c>
      <c r="B48" s="4" t="s">
        <v>266</v>
      </c>
      <c r="C48" s="24">
        <v>0.4826388888888889</v>
      </c>
      <c r="D48" s="24">
        <v>0.5416666666666666</v>
      </c>
      <c r="E48" s="4" t="s">
        <v>197</v>
      </c>
      <c r="H48" s="105">
        <v>0.5208333333333334</v>
      </c>
      <c r="I48" s="4">
        <v>0.1</v>
      </c>
      <c r="J48" s="4" t="s">
        <v>571</v>
      </c>
      <c r="K48" s="4">
        <v>5.0</v>
      </c>
      <c r="L48" s="4" t="s">
        <v>660</v>
      </c>
      <c r="M48" s="4" t="s">
        <v>664</v>
      </c>
      <c r="O48" s="4" t="s">
        <v>571</v>
      </c>
      <c r="P48" s="104">
        <v>43835.0</v>
      </c>
      <c r="Q48" s="104">
        <v>43833.0</v>
      </c>
      <c r="R48" s="4" t="s">
        <v>571</v>
      </c>
      <c r="S48" s="104">
        <v>43833.0</v>
      </c>
      <c r="T48" s="4" t="s">
        <v>571</v>
      </c>
      <c r="U48" s="104">
        <v>43835.0</v>
      </c>
      <c r="V48" s="4">
        <v>0.0</v>
      </c>
      <c r="X48" s="4" t="s">
        <v>666</v>
      </c>
    </row>
    <row r="49">
      <c r="A49" s="23">
        <v>42428.0</v>
      </c>
      <c r="B49" s="4" t="s">
        <v>266</v>
      </c>
      <c r="C49" s="24">
        <v>0.4895833333333333</v>
      </c>
      <c r="D49" s="24">
        <v>0.5625</v>
      </c>
      <c r="E49" s="4" t="s">
        <v>197</v>
      </c>
      <c r="H49" s="105">
        <v>0.5625</v>
      </c>
      <c r="I49" s="4">
        <v>0.1</v>
      </c>
      <c r="J49" s="4" t="s">
        <v>571</v>
      </c>
      <c r="K49" s="4">
        <v>5.0</v>
      </c>
      <c r="L49" s="4" t="s">
        <v>660</v>
      </c>
      <c r="M49" s="4" t="s">
        <v>661</v>
      </c>
      <c r="O49" s="4" t="s">
        <v>571</v>
      </c>
      <c r="P49" s="4">
        <v>0.0</v>
      </c>
      <c r="Q49" s="104">
        <v>43833.0</v>
      </c>
      <c r="R49" s="4" t="s">
        <v>571</v>
      </c>
      <c r="S49" s="104">
        <v>43833.0</v>
      </c>
      <c r="T49" s="4" t="s">
        <v>571</v>
      </c>
      <c r="U49" s="4">
        <v>0.0</v>
      </c>
      <c r="V49" s="4">
        <v>0.0</v>
      </c>
      <c r="X49" s="4" t="s">
        <v>667</v>
      </c>
    </row>
    <row r="50">
      <c r="A50" s="23">
        <v>42428.0</v>
      </c>
      <c r="B50" s="4" t="s">
        <v>201</v>
      </c>
      <c r="C50" s="24"/>
      <c r="D50" s="24"/>
      <c r="E50" s="4"/>
      <c r="H50" s="105"/>
      <c r="I50" s="4"/>
      <c r="J50" s="4"/>
      <c r="K50" s="4"/>
      <c r="L50" s="4"/>
      <c r="M50" s="4"/>
      <c r="N50" s="4"/>
      <c r="O50" s="4"/>
      <c r="P50" s="4"/>
      <c r="Q50" s="104"/>
      <c r="R50" s="4"/>
      <c r="S50" s="4"/>
      <c r="T50" s="4"/>
      <c r="U50" s="4"/>
      <c r="V50" s="4"/>
      <c r="Y50" s="4"/>
    </row>
    <row r="51">
      <c r="A51" s="23">
        <v>42435.0</v>
      </c>
      <c r="B51" s="4" t="s">
        <v>216</v>
      </c>
      <c r="C51" s="24"/>
      <c r="D51" s="24"/>
      <c r="E51" s="4"/>
      <c r="H51" s="105"/>
      <c r="I51" s="4"/>
      <c r="J51" s="4"/>
      <c r="K51" s="4"/>
      <c r="L51" s="4"/>
      <c r="M51" s="4"/>
      <c r="N51" s="4"/>
      <c r="O51" s="4"/>
      <c r="P51" s="4"/>
      <c r="Q51" s="104"/>
      <c r="R51" s="4"/>
      <c r="S51" s="4"/>
      <c r="T51" s="4"/>
      <c r="U51" s="4"/>
      <c r="V51" s="4"/>
      <c r="Y51" s="4"/>
    </row>
    <row r="52">
      <c r="A52" s="23">
        <v>42437.0</v>
      </c>
      <c r="B52" s="4" t="s">
        <v>219</v>
      </c>
      <c r="C52" s="24">
        <v>0.4201388888888889</v>
      </c>
      <c r="D52" s="24">
        <v>0.4722222222222222</v>
      </c>
      <c r="E52" s="4" t="s">
        <v>269</v>
      </c>
      <c r="H52" s="105">
        <v>0.4263888888888889</v>
      </c>
      <c r="I52" s="4">
        <v>-0.23</v>
      </c>
      <c r="J52" s="4" t="s">
        <v>659</v>
      </c>
      <c r="K52" s="4">
        <v>31.0</v>
      </c>
      <c r="L52" s="4" t="s">
        <v>668</v>
      </c>
      <c r="M52" s="4" t="s">
        <v>664</v>
      </c>
      <c r="N52" s="4">
        <v>1.0</v>
      </c>
      <c r="O52" s="4" t="s">
        <v>659</v>
      </c>
      <c r="P52" s="4">
        <v>0.0</v>
      </c>
      <c r="Q52" s="104">
        <v>43833.0</v>
      </c>
      <c r="R52" s="4" t="s">
        <v>659</v>
      </c>
      <c r="S52" s="4" t="s">
        <v>669</v>
      </c>
      <c r="T52" s="4" t="s">
        <v>659</v>
      </c>
      <c r="U52" s="4">
        <v>0.0</v>
      </c>
      <c r="V52" s="4">
        <v>0.0</v>
      </c>
      <c r="Y52" s="4" t="s">
        <v>670</v>
      </c>
    </row>
    <row r="53">
      <c r="A53" s="23">
        <v>42439.0</v>
      </c>
      <c r="B53" s="4" t="s">
        <v>216</v>
      </c>
      <c r="C53" s="24">
        <v>0.43194444444444446</v>
      </c>
      <c r="D53" s="24">
        <v>0.4798611111111111</v>
      </c>
      <c r="E53" s="4" t="s">
        <v>272</v>
      </c>
      <c r="H53" s="105">
        <v>0.4736111111111111</v>
      </c>
      <c r="I53" s="4">
        <v>-0.09</v>
      </c>
      <c r="J53" s="4" t="s">
        <v>659</v>
      </c>
      <c r="K53" s="4">
        <v>26.0</v>
      </c>
      <c r="L53" s="4" t="s">
        <v>668</v>
      </c>
      <c r="M53" s="4" t="s">
        <v>664</v>
      </c>
      <c r="O53" s="4" t="s">
        <v>659</v>
      </c>
      <c r="P53" s="104">
        <v>43992.0</v>
      </c>
      <c r="Q53" s="104">
        <v>43833.0</v>
      </c>
      <c r="R53" s="4" t="s">
        <v>659</v>
      </c>
      <c r="S53" s="4" t="s">
        <v>669</v>
      </c>
      <c r="T53" s="4" t="s">
        <v>659</v>
      </c>
      <c r="U53" s="104">
        <v>43835.0</v>
      </c>
      <c r="V53" s="104">
        <v>43835.0</v>
      </c>
    </row>
    <row r="54">
      <c r="A54" s="23">
        <v>42439.0</v>
      </c>
      <c r="B54" s="4" t="s">
        <v>266</v>
      </c>
      <c r="C54" s="24">
        <v>0.375</v>
      </c>
      <c r="D54" s="24">
        <v>0.5416666666666666</v>
      </c>
      <c r="E54" s="4" t="s">
        <v>274</v>
      </c>
      <c r="H54" s="105">
        <v>0.5</v>
      </c>
      <c r="I54" s="4">
        <v>-0.14</v>
      </c>
      <c r="J54" s="4" t="s">
        <v>671</v>
      </c>
      <c r="K54" s="4">
        <v>18.0</v>
      </c>
      <c r="L54" s="4" t="s">
        <v>668</v>
      </c>
      <c r="M54" s="4" t="s">
        <v>661</v>
      </c>
      <c r="O54" s="4" t="s">
        <v>571</v>
      </c>
      <c r="P54" s="4">
        <v>0.0</v>
      </c>
      <c r="Q54" s="104">
        <v>43833.0</v>
      </c>
      <c r="R54" s="4" t="s">
        <v>571</v>
      </c>
      <c r="S54" s="4" t="s">
        <v>672</v>
      </c>
      <c r="T54" s="4" t="s">
        <v>571</v>
      </c>
      <c r="U54" s="4">
        <v>0.0</v>
      </c>
      <c r="V54" s="4">
        <v>0.0</v>
      </c>
      <c r="Y54" s="4" t="s">
        <v>673</v>
      </c>
    </row>
    <row r="55">
      <c r="A55" s="23">
        <v>42440.0</v>
      </c>
      <c r="B55" s="4" t="s">
        <v>246</v>
      </c>
      <c r="C55" s="24">
        <v>0.4270833333333333</v>
      </c>
      <c r="D55" s="24">
        <v>0.4791666666666667</v>
      </c>
      <c r="E55" s="4" t="s">
        <v>274</v>
      </c>
      <c r="H55" s="105">
        <v>0.4673611111111111</v>
      </c>
      <c r="I55" s="4">
        <v>0.3</v>
      </c>
      <c r="J55" s="4" t="s">
        <v>674</v>
      </c>
      <c r="K55" s="4">
        <v>16.0</v>
      </c>
      <c r="L55" s="4" t="s">
        <v>660</v>
      </c>
      <c r="M55" s="4" t="s">
        <v>661</v>
      </c>
      <c r="O55" s="4" t="s">
        <v>674</v>
      </c>
      <c r="P55" s="104">
        <v>43835.0</v>
      </c>
      <c r="Q55" s="104">
        <v>43833.0</v>
      </c>
      <c r="R55" s="4" t="s">
        <v>674</v>
      </c>
      <c r="S55" s="4" t="s">
        <v>669</v>
      </c>
      <c r="T55" s="4" t="s">
        <v>674</v>
      </c>
      <c r="U55" s="4">
        <v>0.0</v>
      </c>
      <c r="V55" s="4">
        <v>0.0</v>
      </c>
      <c r="Y55" s="4" t="s">
        <v>675</v>
      </c>
    </row>
    <row r="56">
      <c r="A56" s="23">
        <v>42443.0</v>
      </c>
      <c r="B56" s="4" t="s">
        <v>230</v>
      </c>
      <c r="C56" s="24">
        <v>0.5520833333333334</v>
      </c>
      <c r="D56" s="24">
        <v>0.625</v>
      </c>
      <c r="E56" s="4" t="s">
        <v>197</v>
      </c>
      <c r="H56" s="105">
        <v>0.5909722222222222</v>
      </c>
      <c r="I56" s="4">
        <v>0.05</v>
      </c>
      <c r="J56" s="4" t="s">
        <v>676</v>
      </c>
      <c r="K56" s="4">
        <v>0.0</v>
      </c>
      <c r="L56" s="4" t="s">
        <v>660</v>
      </c>
      <c r="M56" s="4" t="s">
        <v>661</v>
      </c>
      <c r="O56" s="4" t="s">
        <v>676</v>
      </c>
      <c r="P56" s="104">
        <v>43835.0</v>
      </c>
      <c r="Q56" s="104">
        <v>43833.0</v>
      </c>
      <c r="R56" s="4" t="s">
        <v>676</v>
      </c>
      <c r="S56" s="4" t="s">
        <v>669</v>
      </c>
      <c r="T56" s="4" t="s">
        <v>676</v>
      </c>
      <c r="U56" s="104">
        <v>43835.0</v>
      </c>
      <c r="V56" s="4">
        <v>0.0</v>
      </c>
      <c r="X56" s="4" t="s">
        <v>677</v>
      </c>
    </row>
    <row r="57">
      <c r="A57" s="23">
        <v>42464.0</v>
      </c>
      <c r="B57" s="4" t="s">
        <v>244</v>
      </c>
      <c r="C57" s="24">
        <v>0.375</v>
      </c>
      <c r="D57" s="24">
        <v>0.4583333333333333</v>
      </c>
      <c r="E57" s="4" t="s">
        <v>278</v>
      </c>
      <c r="H57" s="105">
        <v>0.35</v>
      </c>
      <c r="I57" s="4">
        <v>-0.03</v>
      </c>
      <c r="J57" s="4" t="s">
        <v>244</v>
      </c>
      <c r="K57" s="4">
        <v>19.0</v>
      </c>
      <c r="L57" s="4" t="s">
        <v>660</v>
      </c>
      <c r="M57" s="4" t="s">
        <v>661</v>
      </c>
      <c r="O57" s="4" t="s">
        <v>244</v>
      </c>
      <c r="P57" s="104">
        <v>43992.0</v>
      </c>
      <c r="Q57" s="104">
        <v>43833.0</v>
      </c>
      <c r="R57" s="4" t="s">
        <v>244</v>
      </c>
      <c r="S57" s="104">
        <v>43928.0</v>
      </c>
      <c r="T57" s="4" t="s">
        <v>244</v>
      </c>
      <c r="U57" s="104">
        <v>43835.0</v>
      </c>
      <c r="V57" s="4">
        <v>0.0</v>
      </c>
    </row>
    <row r="58">
      <c r="A58" s="23">
        <v>42465.0</v>
      </c>
      <c r="B58" s="4" t="s">
        <v>280</v>
      </c>
      <c r="C58" s="24">
        <v>0.4305555555555556</v>
      </c>
      <c r="D58" s="24">
        <v>0.4791666666666667</v>
      </c>
      <c r="E58" s="4" t="s">
        <v>274</v>
      </c>
      <c r="H58" s="105">
        <v>0.4166666666666667</v>
      </c>
      <c r="I58" s="4">
        <v>-0.04</v>
      </c>
      <c r="J58" s="4" t="s">
        <v>678</v>
      </c>
      <c r="K58" s="4">
        <v>32.0</v>
      </c>
      <c r="L58" s="4" t="s">
        <v>660</v>
      </c>
      <c r="M58" s="4" t="s">
        <v>664</v>
      </c>
      <c r="O58" s="4" t="s">
        <v>678</v>
      </c>
      <c r="P58" s="104">
        <v>43992.0</v>
      </c>
      <c r="Q58" s="104">
        <v>43833.0</v>
      </c>
      <c r="R58" s="4" t="s">
        <v>678</v>
      </c>
      <c r="S58" s="4" t="s">
        <v>662</v>
      </c>
      <c r="T58" s="4" t="s">
        <v>678</v>
      </c>
      <c r="U58" s="4">
        <v>0.0</v>
      </c>
      <c r="V58" s="4">
        <v>0.0</v>
      </c>
      <c r="Y58" s="4" t="s">
        <v>679</v>
      </c>
    </row>
    <row r="59">
      <c r="A59" s="23">
        <v>42465.0</v>
      </c>
      <c r="B59" s="4" t="s">
        <v>244</v>
      </c>
      <c r="C59" s="24">
        <v>0.3541666666666667</v>
      </c>
      <c r="D59" s="24">
        <v>0.41875</v>
      </c>
      <c r="E59" s="4" t="s">
        <v>274</v>
      </c>
      <c r="H59" s="105">
        <v>0.37222222222222223</v>
      </c>
      <c r="I59" s="4">
        <v>-0.1</v>
      </c>
      <c r="J59" s="4" t="s">
        <v>244</v>
      </c>
      <c r="K59" s="4">
        <v>24.0</v>
      </c>
      <c r="L59" s="4" t="s">
        <v>668</v>
      </c>
      <c r="M59" s="4" t="s">
        <v>661</v>
      </c>
      <c r="O59" s="4" t="s">
        <v>244</v>
      </c>
      <c r="P59" s="4" t="s">
        <v>680</v>
      </c>
      <c r="Q59" s="104">
        <v>43833.0</v>
      </c>
      <c r="R59" s="4" t="s">
        <v>244</v>
      </c>
      <c r="S59" s="104">
        <v>43928.0</v>
      </c>
      <c r="T59" s="4" t="s">
        <v>244</v>
      </c>
      <c r="U59" s="4">
        <v>0.0</v>
      </c>
      <c r="V59" s="4">
        <v>0.0</v>
      </c>
      <c r="X59" s="4" t="s">
        <v>681</v>
      </c>
      <c r="Y59" s="4" t="s">
        <v>682</v>
      </c>
    </row>
    <row r="60">
      <c r="A60" s="23">
        <v>42465.0</v>
      </c>
      <c r="B60" s="4" t="s">
        <v>244</v>
      </c>
      <c r="C60" s="24">
        <v>0.375</v>
      </c>
      <c r="D60" s="24">
        <v>0.4583333333333333</v>
      </c>
      <c r="E60" s="4" t="s">
        <v>278</v>
      </c>
      <c r="H60" s="105">
        <v>0.37222222222222223</v>
      </c>
      <c r="I60" s="4">
        <v>-0.1</v>
      </c>
      <c r="J60" s="4" t="s">
        <v>244</v>
      </c>
      <c r="K60" s="4">
        <v>20.0</v>
      </c>
      <c r="L60" s="4" t="s">
        <v>660</v>
      </c>
      <c r="M60" s="4" t="s">
        <v>661</v>
      </c>
      <c r="O60" s="4" t="s">
        <v>244</v>
      </c>
      <c r="P60" s="4" t="s">
        <v>680</v>
      </c>
      <c r="Q60" s="104">
        <v>43833.0</v>
      </c>
      <c r="R60" s="4" t="s">
        <v>244</v>
      </c>
      <c r="S60" s="104">
        <v>43928.0</v>
      </c>
      <c r="T60" s="4" t="s">
        <v>244</v>
      </c>
      <c r="U60" s="4">
        <v>0.0</v>
      </c>
      <c r="V60" s="4">
        <v>0.0</v>
      </c>
      <c r="X60" s="4" t="s">
        <v>681</v>
      </c>
    </row>
    <row r="61">
      <c r="A61" s="23">
        <v>42465.0</v>
      </c>
      <c r="B61" s="4" t="s">
        <v>312</v>
      </c>
      <c r="C61" s="24">
        <v>0.40625</v>
      </c>
      <c r="D61" s="24">
        <v>0.4930555555555556</v>
      </c>
      <c r="E61" s="4"/>
      <c r="H61" s="105">
        <v>0.3590277777777778</v>
      </c>
      <c r="I61" s="4">
        <v>-0.17</v>
      </c>
      <c r="J61" s="4" t="s">
        <v>678</v>
      </c>
      <c r="K61" s="4">
        <v>8.0</v>
      </c>
      <c r="L61" s="4" t="s">
        <v>660</v>
      </c>
      <c r="M61" s="4" t="s">
        <v>661</v>
      </c>
      <c r="O61" s="4" t="s">
        <v>678</v>
      </c>
      <c r="P61" s="4" t="s">
        <v>680</v>
      </c>
      <c r="Q61" s="104">
        <v>43833.0</v>
      </c>
      <c r="R61" s="4" t="s">
        <v>678</v>
      </c>
      <c r="S61" s="4" t="s">
        <v>662</v>
      </c>
      <c r="T61" s="4" t="s">
        <v>678</v>
      </c>
      <c r="U61" s="104">
        <v>43835.0</v>
      </c>
      <c r="V61" s="104">
        <v>43835.0</v>
      </c>
      <c r="W61" s="4" t="s">
        <v>683</v>
      </c>
    </row>
    <row r="62">
      <c r="A62" s="23">
        <v>42467.0</v>
      </c>
      <c r="B62" s="4" t="s">
        <v>201</v>
      </c>
      <c r="C62" s="24">
        <v>0.3819444444444444</v>
      </c>
      <c r="D62" s="24">
        <v>0.46875</v>
      </c>
      <c r="E62" s="4" t="s">
        <v>274</v>
      </c>
      <c r="H62" s="105">
        <v>0.41805555555555557</v>
      </c>
      <c r="I62" s="4">
        <v>-0.39</v>
      </c>
      <c r="J62" s="4" t="s">
        <v>659</v>
      </c>
      <c r="K62" s="4">
        <v>26.0</v>
      </c>
      <c r="L62" s="4" t="s">
        <v>660</v>
      </c>
      <c r="M62" s="4" t="s">
        <v>664</v>
      </c>
      <c r="O62" s="4" t="s">
        <v>659</v>
      </c>
      <c r="P62" s="4" t="s">
        <v>684</v>
      </c>
      <c r="Q62" s="104">
        <v>43833.0</v>
      </c>
      <c r="R62" s="4" t="s">
        <v>659</v>
      </c>
      <c r="S62" s="4" t="s">
        <v>669</v>
      </c>
      <c r="T62" s="4" t="s">
        <v>659</v>
      </c>
      <c r="U62" s="104">
        <v>43835.0</v>
      </c>
      <c r="V62" s="4">
        <v>0.0</v>
      </c>
      <c r="Y62" s="4" t="s">
        <v>685</v>
      </c>
    </row>
    <row r="63">
      <c r="A63" s="23">
        <v>42467.0</v>
      </c>
      <c r="B63" s="4" t="s">
        <v>233</v>
      </c>
      <c r="C63" s="24">
        <v>0.375</v>
      </c>
      <c r="D63" s="24">
        <v>0.4388888888888889</v>
      </c>
      <c r="E63" s="4" t="s">
        <v>286</v>
      </c>
      <c r="H63" s="105">
        <v>0.4152777777777778</v>
      </c>
      <c r="I63" s="4">
        <v>-1.0</v>
      </c>
      <c r="J63" s="4" t="s">
        <v>686</v>
      </c>
      <c r="K63" s="4">
        <v>17.0</v>
      </c>
      <c r="L63" s="4" t="s">
        <v>687</v>
      </c>
      <c r="M63" s="4" t="s">
        <v>661</v>
      </c>
      <c r="O63" s="4" t="s">
        <v>686</v>
      </c>
      <c r="P63" s="4">
        <v>0.0</v>
      </c>
      <c r="Q63" s="104">
        <v>43833.0</v>
      </c>
      <c r="R63" s="4" t="s">
        <v>686</v>
      </c>
      <c r="S63" s="4" t="s">
        <v>662</v>
      </c>
      <c r="T63" s="4" t="s">
        <v>686</v>
      </c>
      <c r="U63" s="4">
        <v>0.0</v>
      </c>
      <c r="V63" s="4">
        <v>0.0</v>
      </c>
    </row>
    <row r="64">
      <c r="A64" s="23">
        <v>42468.0</v>
      </c>
      <c r="B64" s="4" t="s">
        <v>247</v>
      </c>
      <c r="C64" s="24">
        <v>0.3972222222222222</v>
      </c>
      <c r="D64" s="24">
        <v>0.4479166666666667</v>
      </c>
      <c r="E64" s="4" t="s">
        <v>289</v>
      </c>
      <c r="H64" s="105">
        <v>0.4166666666666667</v>
      </c>
      <c r="I64" s="4">
        <v>-0.5</v>
      </c>
      <c r="J64" s="4" t="s">
        <v>688</v>
      </c>
      <c r="K64" s="4">
        <v>13.0</v>
      </c>
      <c r="L64" s="4" t="s">
        <v>660</v>
      </c>
      <c r="M64" s="4" t="s">
        <v>664</v>
      </c>
      <c r="O64" s="4" t="s">
        <v>688</v>
      </c>
      <c r="P64" s="104">
        <v>44150.0</v>
      </c>
      <c r="Q64" s="104">
        <v>43833.0</v>
      </c>
      <c r="R64" s="4" t="s">
        <v>688</v>
      </c>
      <c r="S64" s="104">
        <v>43928.0</v>
      </c>
      <c r="T64" s="4" t="s">
        <v>688</v>
      </c>
      <c r="U64" s="4">
        <v>0.0</v>
      </c>
      <c r="V64" s="4">
        <v>0.0</v>
      </c>
    </row>
    <row r="65">
      <c r="A65" s="23">
        <v>42468.0</v>
      </c>
      <c r="B65" s="4" t="s">
        <v>291</v>
      </c>
      <c r="C65" s="24">
        <v>0.3819444444444444</v>
      </c>
      <c r="D65" s="24">
        <v>0.4583333333333333</v>
      </c>
      <c r="E65" s="4" t="s">
        <v>274</v>
      </c>
      <c r="H65" s="105">
        <v>0.4076388888888889</v>
      </c>
      <c r="I65" s="4">
        <v>0.0</v>
      </c>
      <c r="J65" s="4" t="s">
        <v>688</v>
      </c>
      <c r="K65" s="4">
        <v>29.0</v>
      </c>
      <c r="L65" s="4" t="s">
        <v>689</v>
      </c>
      <c r="M65" s="4" t="s">
        <v>664</v>
      </c>
      <c r="O65" s="4" t="s">
        <v>688</v>
      </c>
      <c r="P65" s="4" t="s">
        <v>680</v>
      </c>
      <c r="Q65" s="104">
        <v>43833.0</v>
      </c>
      <c r="R65" s="4" t="s">
        <v>688</v>
      </c>
      <c r="S65" s="104">
        <v>43928.0</v>
      </c>
      <c r="T65" s="4" t="s">
        <v>688</v>
      </c>
      <c r="U65" s="4">
        <v>0.0</v>
      </c>
      <c r="V65" s="4">
        <v>0.0</v>
      </c>
      <c r="Y65" s="4" t="s">
        <v>690</v>
      </c>
    </row>
    <row r="66">
      <c r="A66" s="23">
        <v>42468.0</v>
      </c>
      <c r="B66" s="4" t="s">
        <v>196</v>
      </c>
      <c r="C66" s="24">
        <v>0.3645833333333333</v>
      </c>
      <c r="D66" s="24">
        <v>0.40625</v>
      </c>
      <c r="E66" s="4" t="s">
        <v>325</v>
      </c>
      <c r="H66" s="105">
        <v>0.39791666666666664</v>
      </c>
      <c r="I66" s="4">
        <v>-0.26</v>
      </c>
      <c r="J66" s="4" t="s">
        <v>691</v>
      </c>
      <c r="K66" s="4">
        <v>12.0</v>
      </c>
      <c r="L66" s="4" t="s">
        <v>668</v>
      </c>
      <c r="M66" s="4" t="s">
        <v>664</v>
      </c>
      <c r="O66" s="4" t="s">
        <v>691</v>
      </c>
      <c r="P66" s="4">
        <v>0.0</v>
      </c>
      <c r="Q66" s="104">
        <v>43833.0</v>
      </c>
      <c r="R66" s="4" t="s">
        <v>691</v>
      </c>
      <c r="S66" s="104">
        <v>44055.0</v>
      </c>
      <c r="T66" s="4" t="s">
        <v>691</v>
      </c>
      <c r="U66" s="4">
        <v>0.0</v>
      </c>
      <c r="V66" s="4">
        <v>0.0</v>
      </c>
    </row>
    <row r="67">
      <c r="A67" s="23">
        <v>42469.0</v>
      </c>
      <c r="B67" s="4" t="s">
        <v>293</v>
      </c>
      <c r="C67" s="24">
        <v>0.4076388888888889</v>
      </c>
      <c r="D67" s="24">
        <v>0.4652777777777778</v>
      </c>
      <c r="E67" s="4" t="s">
        <v>197</v>
      </c>
      <c r="H67" s="105">
        <v>0.43333333333333335</v>
      </c>
      <c r="I67" s="4">
        <v>-0.5</v>
      </c>
      <c r="J67" s="4" t="s">
        <v>688</v>
      </c>
      <c r="K67" s="4">
        <v>3.0</v>
      </c>
      <c r="L67" s="4" t="s">
        <v>660</v>
      </c>
      <c r="M67" s="4" t="s">
        <v>661</v>
      </c>
      <c r="O67" s="4" t="s">
        <v>688</v>
      </c>
      <c r="P67" s="4" t="s">
        <v>684</v>
      </c>
      <c r="Q67" s="104">
        <v>43833.0</v>
      </c>
      <c r="R67" s="4" t="s">
        <v>688</v>
      </c>
      <c r="S67" s="4" t="s">
        <v>662</v>
      </c>
      <c r="T67" s="4" t="s">
        <v>688</v>
      </c>
      <c r="U67" s="4">
        <v>0.0</v>
      </c>
      <c r="V67" s="4">
        <v>0.0</v>
      </c>
      <c r="X67" s="4" t="s">
        <v>692</v>
      </c>
    </row>
    <row r="68">
      <c r="A68" s="23">
        <v>42470.0</v>
      </c>
      <c r="B68" s="4" t="s">
        <v>293</v>
      </c>
      <c r="C68" s="24">
        <v>0.4340277777777778</v>
      </c>
      <c r="D68" s="24">
        <v>0.5277777777777778</v>
      </c>
      <c r="E68" s="4" t="s">
        <v>197</v>
      </c>
      <c r="H68" s="105">
        <v>0.46111111111111114</v>
      </c>
      <c r="I68" s="4">
        <v>-0.4</v>
      </c>
      <c r="J68" s="4" t="s">
        <v>688</v>
      </c>
      <c r="K68" s="4">
        <v>3.0</v>
      </c>
      <c r="L68" s="4" t="s">
        <v>660</v>
      </c>
      <c r="M68" s="4" t="s">
        <v>661</v>
      </c>
      <c r="O68" s="4" t="s">
        <v>688</v>
      </c>
      <c r="P68" s="104">
        <v>43992.0</v>
      </c>
      <c r="Q68" s="104">
        <v>43833.0</v>
      </c>
      <c r="R68" s="4" t="s">
        <v>688</v>
      </c>
      <c r="S68" s="104">
        <v>43833.0</v>
      </c>
      <c r="T68" s="4" t="s">
        <v>688</v>
      </c>
      <c r="U68" s="4">
        <v>0.0</v>
      </c>
      <c r="V68" s="104">
        <v>43835.0</v>
      </c>
      <c r="W68" s="4" t="s">
        <v>693</v>
      </c>
      <c r="X68" s="4" t="s">
        <v>677</v>
      </c>
    </row>
    <row r="69">
      <c r="A69" s="23">
        <v>42471.0</v>
      </c>
      <c r="B69" s="4" t="s">
        <v>266</v>
      </c>
      <c r="C69" s="24">
        <v>0.4895833333333333</v>
      </c>
      <c r="D69" s="24">
        <v>0.5416666666666666</v>
      </c>
      <c r="E69" s="4" t="s">
        <v>297</v>
      </c>
      <c r="H69" s="105">
        <v>0.5069444444444444</v>
      </c>
      <c r="I69" s="4">
        <v>-0.1</v>
      </c>
      <c r="J69" s="4" t="s">
        <v>571</v>
      </c>
      <c r="K69" s="4">
        <v>21.0</v>
      </c>
      <c r="L69" s="4" t="s">
        <v>668</v>
      </c>
      <c r="M69" s="4" t="s">
        <v>664</v>
      </c>
      <c r="O69" s="4" t="s">
        <v>571</v>
      </c>
      <c r="P69" s="4">
        <v>0.0</v>
      </c>
      <c r="Q69" s="104">
        <v>43833.0</v>
      </c>
      <c r="R69" s="4" t="s">
        <v>571</v>
      </c>
      <c r="S69" s="4" t="s">
        <v>669</v>
      </c>
      <c r="T69" s="4" t="s">
        <v>571</v>
      </c>
      <c r="U69" s="4">
        <v>0.0</v>
      </c>
      <c r="V69" s="4">
        <v>0.0</v>
      </c>
    </row>
    <row r="70">
      <c r="A70" s="23">
        <v>42471.0</v>
      </c>
      <c r="B70" s="4" t="s">
        <v>216</v>
      </c>
      <c r="C70" s="24">
        <v>0.5277777777777778</v>
      </c>
      <c r="D70" s="24">
        <v>0.5729166666666666</v>
      </c>
      <c r="E70" s="4" t="s">
        <v>299</v>
      </c>
      <c r="H70" s="105">
        <v>0.5270833333333333</v>
      </c>
      <c r="I70" s="4">
        <v>-0.08</v>
      </c>
      <c r="J70" s="4" t="s">
        <v>659</v>
      </c>
      <c r="K70" s="4">
        <v>12.0</v>
      </c>
      <c r="L70" s="4" t="s">
        <v>668</v>
      </c>
      <c r="M70" s="4" t="s">
        <v>664</v>
      </c>
      <c r="O70" s="4" t="s">
        <v>659</v>
      </c>
      <c r="P70" s="104">
        <v>43992.0</v>
      </c>
      <c r="Q70" s="104">
        <v>43833.0</v>
      </c>
      <c r="R70" s="4" t="s">
        <v>659</v>
      </c>
      <c r="S70" s="104">
        <v>44055.0</v>
      </c>
      <c r="T70" s="4" t="s">
        <v>659</v>
      </c>
      <c r="U70" s="4">
        <v>0.0</v>
      </c>
      <c r="V70" s="4">
        <v>0.0</v>
      </c>
    </row>
    <row r="71">
      <c r="A71" s="23">
        <v>42471.0</v>
      </c>
      <c r="B71" s="4" t="s">
        <v>301</v>
      </c>
      <c r="C71" s="24">
        <v>0.4895833333333333</v>
      </c>
      <c r="D71" s="24">
        <v>0.5416666666666666</v>
      </c>
      <c r="E71" s="4" t="s">
        <v>302</v>
      </c>
      <c r="H71" s="105">
        <v>0.5097222222222222</v>
      </c>
      <c r="I71" s="4">
        <v>-0.1</v>
      </c>
      <c r="J71" s="4" t="s">
        <v>671</v>
      </c>
      <c r="K71" s="4">
        <v>21.0</v>
      </c>
      <c r="L71" s="4" t="s">
        <v>689</v>
      </c>
      <c r="M71" s="4" t="s">
        <v>664</v>
      </c>
      <c r="N71" s="4">
        <v>0.5</v>
      </c>
      <c r="O71" s="4" t="s">
        <v>671</v>
      </c>
      <c r="P71" s="4">
        <v>0.0</v>
      </c>
      <c r="Q71" s="104">
        <v>43833.0</v>
      </c>
      <c r="R71" s="4" t="s">
        <v>671</v>
      </c>
      <c r="S71" s="104">
        <v>44055.0</v>
      </c>
      <c r="T71" s="4" t="s">
        <v>671</v>
      </c>
      <c r="U71" s="4">
        <v>0.0</v>
      </c>
      <c r="V71" s="4">
        <v>0.0</v>
      </c>
    </row>
    <row r="72">
      <c r="A72" s="23">
        <v>42475.0</v>
      </c>
      <c r="B72" s="4" t="s">
        <v>303</v>
      </c>
      <c r="C72" s="24">
        <v>0.3333333333333333</v>
      </c>
      <c r="D72" s="24">
        <v>0.4166666666666667</v>
      </c>
      <c r="E72" s="4" t="s">
        <v>274</v>
      </c>
      <c r="H72" s="105">
        <v>0.3333333333333333</v>
      </c>
      <c r="I72" s="4">
        <v>-0.5</v>
      </c>
      <c r="J72" s="4" t="s">
        <v>694</v>
      </c>
      <c r="K72" s="4">
        <v>16.0</v>
      </c>
      <c r="L72" s="4" t="s">
        <v>660</v>
      </c>
      <c r="M72" s="4" t="s">
        <v>661</v>
      </c>
      <c r="O72" s="4" t="s">
        <v>694</v>
      </c>
      <c r="P72" s="4">
        <v>0.0</v>
      </c>
      <c r="Q72" s="104">
        <v>43833.0</v>
      </c>
      <c r="R72" s="4" t="s">
        <v>694</v>
      </c>
      <c r="S72" s="4" t="s">
        <v>662</v>
      </c>
      <c r="T72" s="4" t="s">
        <v>694</v>
      </c>
      <c r="U72" s="4">
        <v>0.0</v>
      </c>
      <c r="V72" s="4">
        <v>0.0</v>
      </c>
    </row>
    <row r="73">
      <c r="A73" s="23">
        <v>42479.0</v>
      </c>
      <c r="B73" s="4" t="s">
        <v>201</v>
      </c>
      <c r="C73" s="24">
        <v>0.3611111111111111</v>
      </c>
      <c r="D73" s="24">
        <v>0.4166666666666667</v>
      </c>
      <c r="E73" s="4" t="s">
        <v>274</v>
      </c>
      <c r="H73" s="105">
        <v>0.36041666666666666</v>
      </c>
      <c r="I73" s="4">
        <v>-0.13</v>
      </c>
      <c r="J73" s="4" t="s">
        <v>659</v>
      </c>
      <c r="K73" s="4">
        <v>10.0</v>
      </c>
      <c r="L73" s="4" t="s">
        <v>660</v>
      </c>
      <c r="M73" s="4" t="s">
        <v>664</v>
      </c>
      <c r="N73" s="4">
        <v>0.25</v>
      </c>
      <c r="O73" s="4" t="s">
        <v>659</v>
      </c>
      <c r="P73" s="104">
        <v>43835.0</v>
      </c>
      <c r="Q73" s="104">
        <v>43833.0</v>
      </c>
      <c r="R73" s="4" t="s">
        <v>659</v>
      </c>
      <c r="S73" s="104">
        <v>44055.0</v>
      </c>
      <c r="T73" s="4" t="s">
        <v>695</v>
      </c>
      <c r="U73" s="104">
        <v>43835.0</v>
      </c>
      <c r="V73" s="4">
        <v>0.0</v>
      </c>
      <c r="Y73" s="4" t="s">
        <v>696</v>
      </c>
    </row>
    <row r="74">
      <c r="A74" s="23">
        <v>42479.0</v>
      </c>
      <c r="B74" s="4" t="s">
        <v>293</v>
      </c>
      <c r="C74" s="24">
        <v>0.4305555555555556</v>
      </c>
      <c r="D74" s="24">
        <v>0.4618055555555556</v>
      </c>
      <c r="E74" s="4" t="s">
        <v>274</v>
      </c>
      <c r="H74" s="105">
        <v>0.3263888888888889</v>
      </c>
      <c r="I74" s="4">
        <v>-0.09</v>
      </c>
      <c r="J74" s="4" t="s">
        <v>688</v>
      </c>
      <c r="K74" s="4">
        <v>24.0</v>
      </c>
      <c r="L74" s="4" t="s">
        <v>668</v>
      </c>
      <c r="M74" s="4" t="s">
        <v>664</v>
      </c>
      <c r="O74" s="4" t="s">
        <v>697</v>
      </c>
      <c r="P74" s="4" t="s">
        <v>698</v>
      </c>
      <c r="Q74" s="104">
        <v>43833.0</v>
      </c>
      <c r="R74" s="4" t="s">
        <v>697</v>
      </c>
      <c r="S74" s="104">
        <v>43928.0</v>
      </c>
      <c r="T74" s="4" t="s">
        <v>697</v>
      </c>
      <c r="U74" s="104">
        <v>43835.0</v>
      </c>
      <c r="V74" s="4">
        <v>0.0</v>
      </c>
      <c r="Y74" s="4" t="s">
        <v>699</v>
      </c>
    </row>
    <row r="75">
      <c r="A75" s="23">
        <v>42481.0</v>
      </c>
      <c r="B75" s="4" t="s">
        <v>240</v>
      </c>
      <c r="C75" s="24">
        <v>0.3736111111111111</v>
      </c>
      <c r="D75" s="24">
        <v>0.4076388888888889</v>
      </c>
      <c r="E75" s="4" t="s">
        <v>286</v>
      </c>
      <c r="H75" s="105">
        <v>0.39166666666666666</v>
      </c>
      <c r="I75" s="4">
        <v>-0.07</v>
      </c>
      <c r="J75" s="4" t="s">
        <v>686</v>
      </c>
      <c r="K75" s="4">
        <v>17.0</v>
      </c>
      <c r="L75" s="4" t="s">
        <v>668</v>
      </c>
      <c r="M75" s="4" t="s">
        <v>664</v>
      </c>
      <c r="O75" s="4" t="s">
        <v>686</v>
      </c>
      <c r="P75" s="4">
        <v>0.0</v>
      </c>
      <c r="Q75" s="104">
        <v>43833.0</v>
      </c>
      <c r="R75" s="4" t="s">
        <v>686</v>
      </c>
      <c r="S75" s="104">
        <v>44055.0</v>
      </c>
      <c r="T75" s="4" t="s">
        <v>686</v>
      </c>
      <c r="U75" s="4">
        <v>0.0</v>
      </c>
      <c r="V75" s="4">
        <v>0.0</v>
      </c>
    </row>
    <row r="76">
      <c r="A76" s="23">
        <v>42482.0</v>
      </c>
      <c r="B76" s="4" t="s">
        <v>352</v>
      </c>
      <c r="C76" s="24">
        <v>0.4270833333333333</v>
      </c>
      <c r="D76" s="24">
        <v>0.4791666666666667</v>
      </c>
      <c r="E76" s="4" t="s">
        <v>353</v>
      </c>
      <c r="H76" s="105">
        <v>0.3277777777777778</v>
      </c>
      <c r="I76" s="4">
        <v>-0.06</v>
      </c>
      <c r="J76" s="4" t="s">
        <v>700</v>
      </c>
      <c r="K76" s="4">
        <v>16.0</v>
      </c>
      <c r="L76" s="4" t="s">
        <v>668</v>
      </c>
      <c r="M76" s="4" t="s">
        <v>661</v>
      </c>
      <c r="O76" s="4" t="s">
        <v>700</v>
      </c>
      <c r="P76" s="104">
        <v>43835.0</v>
      </c>
      <c r="Q76" s="104">
        <v>43833.0</v>
      </c>
      <c r="R76" s="4" t="s">
        <v>700</v>
      </c>
      <c r="S76" s="4" t="s">
        <v>662</v>
      </c>
      <c r="T76" s="4" t="s">
        <v>700</v>
      </c>
      <c r="U76" s="4">
        <v>0.0</v>
      </c>
      <c r="V76" s="4">
        <v>0.0</v>
      </c>
    </row>
    <row r="77">
      <c r="A77" s="23">
        <v>42482.0</v>
      </c>
      <c r="B77" s="4" t="s">
        <v>359</v>
      </c>
      <c r="C77" s="24">
        <v>0.3597222222222222</v>
      </c>
      <c r="D77" s="24">
        <v>0.3958333333333333</v>
      </c>
      <c r="E77" s="4" t="s">
        <v>286</v>
      </c>
      <c r="H77" s="105">
        <v>0.41041666666666665</v>
      </c>
      <c r="I77" s="4">
        <v>-0.1</v>
      </c>
      <c r="J77" s="4" t="s">
        <v>686</v>
      </c>
      <c r="K77" s="4">
        <v>14.0</v>
      </c>
      <c r="L77" s="4" t="s">
        <v>660</v>
      </c>
      <c r="M77" s="4" t="s">
        <v>661</v>
      </c>
      <c r="O77" s="4" t="s">
        <v>686</v>
      </c>
      <c r="P77" s="4">
        <v>0.0</v>
      </c>
      <c r="Q77" s="104">
        <v>43833.0</v>
      </c>
      <c r="R77" s="4" t="s">
        <v>686</v>
      </c>
      <c r="S77" s="4" t="s">
        <v>662</v>
      </c>
      <c r="T77" s="4" t="s">
        <v>686</v>
      </c>
      <c r="U77" s="4">
        <v>0.0</v>
      </c>
      <c r="V77" s="4">
        <v>0.0</v>
      </c>
    </row>
    <row r="78">
      <c r="A78" s="23">
        <v>42487.0</v>
      </c>
      <c r="B78" s="4" t="s">
        <v>366</v>
      </c>
      <c r="C78" s="24">
        <v>0.4444444444444444</v>
      </c>
      <c r="D78" s="24">
        <v>0.46805555555555556</v>
      </c>
      <c r="E78" s="4" t="s">
        <v>367</v>
      </c>
      <c r="H78" s="105">
        <v>0.5</v>
      </c>
      <c r="I78" s="4">
        <v>0.08</v>
      </c>
      <c r="J78" s="4" t="s">
        <v>678</v>
      </c>
      <c r="K78" s="4">
        <v>9.0</v>
      </c>
      <c r="L78" s="4" t="s">
        <v>660</v>
      </c>
      <c r="M78" s="4" t="s">
        <v>664</v>
      </c>
      <c r="O78" s="4" t="s">
        <v>678</v>
      </c>
      <c r="P78" s="104">
        <v>43835.0</v>
      </c>
      <c r="Q78" s="104">
        <v>43833.0</v>
      </c>
      <c r="R78" s="4" t="s">
        <v>678</v>
      </c>
      <c r="S78" s="104">
        <v>43833.0</v>
      </c>
      <c r="T78" s="4" t="s">
        <v>678</v>
      </c>
      <c r="U78" s="4">
        <v>0.0</v>
      </c>
      <c r="V78" s="4">
        <v>0.0</v>
      </c>
    </row>
    <row r="79">
      <c r="A79" s="23">
        <v>42488.0</v>
      </c>
      <c r="B79" s="4" t="s">
        <v>230</v>
      </c>
      <c r="C79" s="24">
        <v>0.4111111111111111</v>
      </c>
      <c r="D79" s="24">
        <v>0.5152777777777777</v>
      </c>
      <c r="E79" s="4" t="s">
        <v>274</v>
      </c>
      <c r="H79" s="105">
        <v>0.4166666666666667</v>
      </c>
      <c r="I79" s="4">
        <v>0.2</v>
      </c>
      <c r="J79" s="4" t="s">
        <v>676</v>
      </c>
      <c r="K79" s="4">
        <v>15.0</v>
      </c>
      <c r="L79" s="4" t="s">
        <v>660</v>
      </c>
      <c r="M79" s="4" t="s">
        <v>661</v>
      </c>
      <c r="O79" s="4" t="s">
        <v>676</v>
      </c>
      <c r="P79" s="104">
        <v>44150.0</v>
      </c>
      <c r="Q79" s="104">
        <v>43833.0</v>
      </c>
      <c r="R79" s="4" t="s">
        <v>676</v>
      </c>
      <c r="S79" s="4" t="s">
        <v>701</v>
      </c>
      <c r="T79" s="4" t="s">
        <v>676</v>
      </c>
      <c r="U79" s="104">
        <v>43835.0</v>
      </c>
      <c r="V79" s="4">
        <v>0.0</v>
      </c>
      <c r="Y79" s="4" t="s">
        <v>702</v>
      </c>
    </row>
    <row r="80">
      <c r="A80" s="23">
        <v>42495.0</v>
      </c>
      <c r="B80" s="4" t="s">
        <v>307</v>
      </c>
      <c r="C80" s="24">
        <v>0.36180555555555555</v>
      </c>
      <c r="D80" s="24">
        <v>0.4166666666666667</v>
      </c>
      <c r="E80" s="4" t="s">
        <v>308</v>
      </c>
      <c r="F80" s="4" t="s">
        <v>664</v>
      </c>
      <c r="G80" s="4" t="s">
        <v>703</v>
      </c>
      <c r="H80" s="105">
        <v>0.3333333333333333</v>
      </c>
      <c r="I80" s="4">
        <v>-0.6</v>
      </c>
      <c r="J80" s="4" t="s">
        <v>688</v>
      </c>
      <c r="K80" s="4">
        <v>29.0</v>
      </c>
      <c r="L80" s="4" t="s">
        <v>660</v>
      </c>
      <c r="M80" s="4" t="s">
        <v>664</v>
      </c>
      <c r="N80" s="4">
        <v>0.19</v>
      </c>
      <c r="O80" s="4" t="s">
        <v>688</v>
      </c>
      <c r="P80" s="4">
        <v>0.0</v>
      </c>
      <c r="Q80" s="104">
        <v>43833.0</v>
      </c>
      <c r="R80" s="4" t="s">
        <v>688</v>
      </c>
      <c r="S80" s="104">
        <v>43928.0</v>
      </c>
      <c r="T80" s="4" t="s">
        <v>688</v>
      </c>
      <c r="U80" s="4">
        <v>0.0</v>
      </c>
      <c r="V80" s="4">
        <v>0.0</v>
      </c>
    </row>
    <row r="81">
      <c r="A81" s="23">
        <v>42508.0</v>
      </c>
      <c r="B81" s="4" t="s">
        <v>377</v>
      </c>
      <c r="C81" s="24">
        <v>0.37222222222222223</v>
      </c>
      <c r="D81" s="24">
        <v>0.4166666666666667</v>
      </c>
      <c r="E81" s="4" t="s">
        <v>704</v>
      </c>
      <c r="H81" s="105">
        <v>0.3215277777777778</v>
      </c>
      <c r="I81" s="4">
        <v>0.0</v>
      </c>
      <c r="J81" s="4" t="s">
        <v>705</v>
      </c>
      <c r="K81" s="4">
        <v>18.0</v>
      </c>
      <c r="L81" s="4" t="s">
        <v>660</v>
      </c>
      <c r="M81" s="4" t="s">
        <v>661</v>
      </c>
      <c r="O81" s="4" t="s">
        <v>377</v>
      </c>
      <c r="P81" s="4" t="s">
        <v>698</v>
      </c>
      <c r="Q81" s="104">
        <v>43833.0</v>
      </c>
      <c r="R81" s="4" t="s">
        <v>377</v>
      </c>
      <c r="S81" s="104">
        <v>43833.0</v>
      </c>
      <c r="T81" s="4" t="s">
        <v>377</v>
      </c>
      <c r="U81" s="4">
        <v>0.0</v>
      </c>
      <c r="V81" s="4">
        <v>0.0</v>
      </c>
    </row>
    <row r="82">
      <c r="A82" s="23">
        <v>42510.0</v>
      </c>
      <c r="B82" s="4" t="s">
        <v>310</v>
      </c>
      <c r="C82" s="24">
        <v>0.3194444444444444</v>
      </c>
      <c r="D82" s="24">
        <v>0.3854166666666667</v>
      </c>
      <c r="E82" s="4" t="s">
        <v>197</v>
      </c>
      <c r="H82" s="105">
        <v>0.3611111111111111</v>
      </c>
      <c r="I82" s="4">
        <v>-0.2</v>
      </c>
      <c r="J82" s="4" t="s">
        <v>706</v>
      </c>
      <c r="K82" s="4">
        <v>5.0</v>
      </c>
      <c r="L82" s="4" t="s">
        <v>660</v>
      </c>
      <c r="M82" s="4" t="s">
        <v>661</v>
      </c>
      <c r="O82" s="4" t="s">
        <v>706</v>
      </c>
      <c r="P82" s="104">
        <v>43835.0</v>
      </c>
      <c r="Q82" s="104">
        <v>43833.0</v>
      </c>
      <c r="R82" s="4" t="s">
        <v>706</v>
      </c>
      <c r="S82" s="104">
        <v>43833.0</v>
      </c>
      <c r="T82" s="4" t="s">
        <v>706</v>
      </c>
      <c r="U82" s="4">
        <v>0.0</v>
      </c>
      <c r="V82" s="4">
        <v>0.0</v>
      </c>
      <c r="X82" s="4" t="s">
        <v>677</v>
      </c>
    </row>
    <row r="83">
      <c r="A83" s="23">
        <v>42761.0</v>
      </c>
      <c r="B83" s="4" t="s">
        <v>233</v>
      </c>
      <c r="C83" s="24">
        <v>0.4166666666666667</v>
      </c>
      <c r="D83" s="24">
        <v>0.4722222222222222</v>
      </c>
      <c r="E83" s="4" t="s">
        <v>286</v>
      </c>
      <c r="H83" s="105">
        <v>0.4395833333333333</v>
      </c>
      <c r="I83" s="4">
        <v>-0.2</v>
      </c>
      <c r="J83" s="4" t="s">
        <v>686</v>
      </c>
      <c r="K83" s="4">
        <v>13.0</v>
      </c>
      <c r="L83" s="4" t="s">
        <v>668</v>
      </c>
      <c r="M83" s="4" t="s">
        <v>664</v>
      </c>
      <c r="O83" s="4" t="s">
        <v>686</v>
      </c>
      <c r="P83" s="4">
        <v>0.0</v>
      </c>
      <c r="Q83" s="104">
        <v>43833.0</v>
      </c>
      <c r="R83" s="4" t="s">
        <v>686</v>
      </c>
      <c r="S83" s="4" t="s">
        <v>669</v>
      </c>
      <c r="T83" s="4" t="s">
        <v>686</v>
      </c>
      <c r="U83" s="4">
        <v>0.0</v>
      </c>
      <c r="V83" s="4">
        <v>0.0</v>
      </c>
      <c r="X83" s="4" t="s">
        <v>707</v>
      </c>
    </row>
    <row r="84">
      <c r="A84" s="23">
        <v>42778.0</v>
      </c>
      <c r="B84" s="4" t="s">
        <v>201</v>
      </c>
      <c r="C84" s="24">
        <v>0.4479166666666667</v>
      </c>
      <c r="D84" s="24">
        <v>0.4895833333333333</v>
      </c>
      <c r="E84" s="4" t="s">
        <v>197</v>
      </c>
      <c r="F84" s="4" t="s">
        <v>664</v>
      </c>
      <c r="G84" s="4" t="s">
        <v>703</v>
      </c>
      <c r="H84" s="105">
        <v>0.4798611111111111</v>
      </c>
      <c r="I84" s="4">
        <v>0.0</v>
      </c>
      <c r="J84" s="4" t="s">
        <v>659</v>
      </c>
      <c r="K84" s="4">
        <v>19.0</v>
      </c>
      <c r="L84" s="4" t="s">
        <v>660</v>
      </c>
      <c r="M84" s="4" t="s">
        <v>664</v>
      </c>
      <c r="N84" s="4">
        <v>3.0</v>
      </c>
      <c r="O84" s="4" t="s">
        <v>659</v>
      </c>
      <c r="P84" s="4" t="s">
        <v>698</v>
      </c>
      <c r="Q84" s="104">
        <v>43833.0</v>
      </c>
      <c r="R84" s="4" t="s">
        <v>695</v>
      </c>
      <c r="S84" s="104">
        <v>43928.0</v>
      </c>
      <c r="T84" s="4" t="s">
        <v>659</v>
      </c>
      <c r="U84" s="104">
        <v>43835.0</v>
      </c>
      <c r="V84" s="104">
        <v>43835.0</v>
      </c>
      <c r="W84" s="4" t="s">
        <v>683</v>
      </c>
      <c r="X84" s="4" t="s">
        <v>665</v>
      </c>
      <c r="Y84" s="4" t="s">
        <v>708</v>
      </c>
    </row>
    <row r="85">
      <c r="A85" s="23">
        <v>42788.0</v>
      </c>
      <c r="B85" s="4" t="s">
        <v>320</v>
      </c>
      <c r="C85" s="24">
        <v>0.3819444444444444</v>
      </c>
      <c r="D85" s="24">
        <v>0.48125</v>
      </c>
      <c r="E85" s="4" t="s">
        <v>321</v>
      </c>
      <c r="H85" s="105">
        <v>0.3701388888888889</v>
      </c>
      <c r="K85" s="4">
        <v>16.0</v>
      </c>
      <c r="L85" s="4" t="s">
        <v>689</v>
      </c>
      <c r="M85" s="4" t="s">
        <v>661</v>
      </c>
      <c r="P85" s="104">
        <v>43992.0</v>
      </c>
      <c r="Q85" s="104">
        <v>43833.0</v>
      </c>
      <c r="S85" s="4" t="s">
        <v>672</v>
      </c>
      <c r="U85" s="104">
        <v>43835.0</v>
      </c>
      <c r="V85" s="104">
        <v>43835.0</v>
      </c>
      <c r="W85" s="4" t="s">
        <v>709</v>
      </c>
    </row>
    <row r="86">
      <c r="A86" s="23">
        <v>42791.0</v>
      </c>
      <c r="B86" s="4" t="s">
        <v>244</v>
      </c>
      <c r="C86" s="24">
        <v>0.4131944444444444</v>
      </c>
      <c r="D86" s="24">
        <v>0.4791666666666667</v>
      </c>
      <c r="E86" s="4" t="s">
        <v>197</v>
      </c>
      <c r="H86" s="105">
        <v>0.4270833333333333</v>
      </c>
      <c r="I86" s="4">
        <v>0.0</v>
      </c>
      <c r="J86" s="4" t="s">
        <v>244</v>
      </c>
      <c r="K86" s="4">
        <v>18.0</v>
      </c>
      <c r="L86" s="4" t="s">
        <v>668</v>
      </c>
      <c r="M86" s="4" t="s">
        <v>661</v>
      </c>
      <c r="O86" s="4" t="s">
        <v>244</v>
      </c>
      <c r="P86" s="104">
        <v>43992.0</v>
      </c>
      <c r="Q86" s="104">
        <v>43833.0</v>
      </c>
      <c r="R86" s="4" t="s">
        <v>244</v>
      </c>
      <c r="S86" s="104">
        <v>43833.0</v>
      </c>
      <c r="T86" s="4" t="s">
        <v>244</v>
      </c>
      <c r="U86" s="4">
        <v>0.0</v>
      </c>
      <c r="V86" s="104">
        <v>43835.0</v>
      </c>
      <c r="W86" s="4" t="s">
        <v>710</v>
      </c>
      <c r="X86" s="4" t="s">
        <v>711</v>
      </c>
      <c r="Y86" s="4" t="s">
        <v>712</v>
      </c>
    </row>
    <row r="87">
      <c r="A87" s="23">
        <v>42798.0</v>
      </c>
      <c r="B87" s="4" t="s">
        <v>230</v>
      </c>
      <c r="C87" s="24">
        <v>0.5902777777777778</v>
      </c>
      <c r="D87" s="24">
        <v>0.6770833333333334</v>
      </c>
      <c r="E87" s="4" t="s">
        <v>197</v>
      </c>
      <c r="H87" s="105">
        <v>0.5861111111111111</v>
      </c>
      <c r="I87" s="4">
        <v>0.05</v>
      </c>
      <c r="J87" s="4" t="s">
        <v>705</v>
      </c>
      <c r="K87" s="4">
        <v>6.0</v>
      </c>
      <c r="L87" s="4" t="s">
        <v>668</v>
      </c>
      <c r="M87" s="4" t="s">
        <v>713</v>
      </c>
      <c r="N87" s="4">
        <v>0.09</v>
      </c>
      <c r="O87" s="4" t="s">
        <v>676</v>
      </c>
      <c r="P87" s="104">
        <v>44150.0</v>
      </c>
      <c r="Q87" s="104">
        <v>43833.0</v>
      </c>
      <c r="R87" s="4" t="s">
        <v>676</v>
      </c>
      <c r="S87" s="104">
        <v>43928.0</v>
      </c>
      <c r="T87" s="4" t="s">
        <v>676</v>
      </c>
      <c r="U87" s="104">
        <v>43835.0</v>
      </c>
      <c r="V87" s="4">
        <v>0.0</v>
      </c>
      <c r="X87" s="4" t="s">
        <v>714</v>
      </c>
      <c r="Y87" s="4" t="s">
        <v>715</v>
      </c>
    </row>
    <row r="88">
      <c r="A88" s="23">
        <v>42802.0</v>
      </c>
      <c r="B88" s="4" t="s">
        <v>244</v>
      </c>
      <c r="C88" s="24">
        <v>0.3854166666666667</v>
      </c>
      <c r="D88" s="24">
        <v>0.46875</v>
      </c>
      <c r="E88" s="4" t="s">
        <v>278</v>
      </c>
      <c r="H88" s="105">
        <v>0.35555555555555557</v>
      </c>
      <c r="I88" s="4">
        <v>0.0</v>
      </c>
      <c r="J88" s="106" t="s">
        <v>716</v>
      </c>
      <c r="K88" s="4">
        <v>21.0</v>
      </c>
      <c r="L88" s="4" t="s">
        <v>660</v>
      </c>
      <c r="M88" s="4" t="s">
        <v>664</v>
      </c>
      <c r="N88" s="4">
        <v>0.33</v>
      </c>
      <c r="O88" s="106" t="s">
        <v>717</v>
      </c>
      <c r="P88" s="104">
        <v>43835.0</v>
      </c>
      <c r="Q88" s="104">
        <v>43833.0</v>
      </c>
      <c r="R88" s="106" t="s">
        <v>718</v>
      </c>
      <c r="S88" s="104">
        <v>43928.0</v>
      </c>
      <c r="T88" s="107" t="s">
        <v>719</v>
      </c>
      <c r="U88" s="104">
        <v>43835.0</v>
      </c>
      <c r="V88" s="104">
        <v>43835.0</v>
      </c>
      <c r="W88" s="4" t="s">
        <v>720</v>
      </c>
      <c r="X88" s="4" t="s">
        <v>721</v>
      </c>
    </row>
    <row r="89">
      <c r="A89" s="23">
        <v>42803.0</v>
      </c>
      <c r="B89" s="4" t="s">
        <v>244</v>
      </c>
      <c r="C89" s="24">
        <v>0.3958333333333333</v>
      </c>
      <c r="D89" s="24">
        <v>0.4791666666666667</v>
      </c>
      <c r="E89" s="4" t="s">
        <v>326</v>
      </c>
      <c r="H89" s="105">
        <v>0.3861111111111111</v>
      </c>
      <c r="K89" s="4">
        <v>24.0</v>
      </c>
      <c r="L89" s="4" t="s">
        <v>668</v>
      </c>
      <c r="M89" s="4" t="s">
        <v>661</v>
      </c>
      <c r="P89" s="104">
        <v>43835.0</v>
      </c>
      <c r="Q89" s="104">
        <v>43833.0</v>
      </c>
      <c r="S89" s="4" t="s">
        <v>662</v>
      </c>
      <c r="U89" s="4">
        <v>0.0</v>
      </c>
      <c r="V89" s="104">
        <v>43835.0</v>
      </c>
      <c r="W89" s="4" t="s">
        <v>683</v>
      </c>
      <c r="X89" s="4" t="s">
        <v>722</v>
      </c>
    </row>
    <row r="90">
      <c r="A90" s="23">
        <v>42804.0</v>
      </c>
      <c r="B90" s="4" t="s">
        <v>329</v>
      </c>
      <c r="C90" s="24">
        <v>0.4375</v>
      </c>
      <c r="D90" s="24">
        <v>0.4673611111111111</v>
      </c>
      <c r="E90" s="4" t="s">
        <v>330</v>
      </c>
      <c r="H90" s="105">
        <v>0.40069444444444446</v>
      </c>
      <c r="I90" s="4">
        <v>-0.1</v>
      </c>
      <c r="J90" s="4" t="s">
        <v>723</v>
      </c>
      <c r="K90" s="4">
        <v>17.0</v>
      </c>
      <c r="L90" s="4" t="s">
        <v>660</v>
      </c>
      <c r="M90" s="4" t="s">
        <v>664</v>
      </c>
      <c r="N90" s="4">
        <v>2.0</v>
      </c>
      <c r="O90" s="4" t="s">
        <v>724</v>
      </c>
      <c r="P90" s="4">
        <v>0.0</v>
      </c>
      <c r="Q90" s="104">
        <v>43833.0</v>
      </c>
      <c r="R90" s="4" t="s">
        <v>725</v>
      </c>
      <c r="S90" s="4" t="s">
        <v>662</v>
      </c>
      <c r="T90" s="4" t="s">
        <v>724</v>
      </c>
      <c r="U90" s="4">
        <v>0.0</v>
      </c>
      <c r="V90" s="4">
        <v>0.0</v>
      </c>
    </row>
    <row r="91">
      <c r="A91" s="23">
        <v>42804.0</v>
      </c>
      <c r="B91" s="4" t="s">
        <v>201</v>
      </c>
      <c r="C91" s="24">
        <v>0.4166666666666667</v>
      </c>
      <c r="D91" s="24">
        <v>0.4583333333333333</v>
      </c>
      <c r="E91" s="4" t="s">
        <v>325</v>
      </c>
      <c r="H91" s="105">
        <v>0.4</v>
      </c>
      <c r="I91" s="4">
        <v>-0.1</v>
      </c>
      <c r="J91" s="4" t="s">
        <v>726</v>
      </c>
      <c r="K91" s="4">
        <v>12.0</v>
      </c>
      <c r="L91" s="4" t="s">
        <v>660</v>
      </c>
      <c r="M91" s="4" t="s">
        <v>664</v>
      </c>
      <c r="N91" s="4">
        <v>3.0</v>
      </c>
      <c r="O91" s="4" t="s">
        <v>727</v>
      </c>
      <c r="P91" s="104">
        <v>43992.0</v>
      </c>
      <c r="Q91" s="104">
        <v>43833.0</v>
      </c>
      <c r="R91" s="4" t="s">
        <v>728</v>
      </c>
      <c r="S91" s="104">
        <v>44055.0</v>
      </c>
      <c r="T91" s="4" t="s">
        <v>726</v>
      </c>
      <c r="U91" s="4">
        <v>0.0</v>
      </c>
      <c r="V91" s="4">
        <v>0.0</v>
      </c>
      <c r="X91" s="4" t="s">
        <v>729</v>
      </c>
    </row>
    <row r="92">
      <c r="A92" s="23">
        <v>42804.0</v>
      </c>
      <c r="B92" s="4" t="s">
        <v>219</v>
      </c>
      <c r="C92" s="24">
        <v>0.3854166666666667</v>
      </c>
      <c r="D92" s="24">
        <v>0.4479166666666667</v>
      </c>
      <c r="E92" s="4" t="s">
        <v>333</v>
      </c>
      <c r="H92" s="105">
        <v>0.4013888888888889</v>
      </c>
      <c r="K92" s="4">
        <v>34.0</v>
      </c>
      <c r="L92" s="4" t="s">
        <v>660</v>
      </c>
      <c r="M92" s="4" t="s">
        <v>664</v>
      </c>
      <c r="N92" s="4">
        <v>0.01</v>
      </c>
      <c r="P92" s="104">
        <v>43835.0</v>
      </c>
      <c r="Q92" s="104">
        <v>43927.0</v>
      </c>
      <c r="S92" s="104">
        <v>43928.0</v>
      </c>
      <c r="U92" s="4">
        <v>0.0</v>
      </c>
      <c r="V92" s="4">
        <v>0.0</v>
      </c>
      <c r="X92" s="4" t="s">
        <v>730</v>
      </c>
    </row>
    <row r="93">
      <c r="A93" s="23">
        <v>42806.0</v>
      </c>
      <c r="B93" s="4" t="s">
        <v>293</v>
      </c>
      <c r="C93" s="24">
        <v>0.3993055555555556</v>
      </c>
      <c r="D93" s="24">
        <v>0.43333333333333335</v>
      </c>
      <c r="E93" s="4" t="s">
        <v>197</v>
      </c>
      <c r="H93" s="105">
        <v>0.39652777777777776</v>
      </c>
      <c r="I93" s="4">
        <v>-0.1</v>
      </c>
      <c r="J93" s="4" t="s">
        <v>688</v>
      </c>
      <c r="K93" s="4">
        <v>14.0</v>
      </c>
      <c r="L93" s="4" t="s">
        <v>660</v>
      </c>
      <c r="M93" s="4" t="s">
        <v>664</v>
      </c>
      <c r="N93" s="4">
        <v>0.18</v>
      </c>
      <c r="O93" s="4" t="s">
        <v>688</v>
      </c>
      <c r="P93" s="104">
        <v>43835.0</v>
      </c>
      <c r="Q93" s="104">
        <v>43833.0</v>
      </c>
      <c r="R93" s="4" t="s">
        <v>688</v>
      </c>
      <c r="S93" s="104">
        <v>43928.0</v>
      </c>
      <c r="T93" s="4" t="s">
        <v>688</v>
      </c>
      <c r="U93" s="4">
        <v>0.0</v>
      </c>
      <c r="V93" s="4">
        <v>0.0</v>
      </c>
      <c r="X93" s="4" t="s">
        <v>692</v>
      </c>
      <c r="Y93" s="4" t="s">
        <v>731</v>
      </c>
    </row>
    <row r="94">
      <c r="A94" s="23">
        <v>42810.0</v>
      </c>
      <c r="B94" s="4" t="s">
        <v>337</v>
      </c>
      <c r="C94" s="24">
        <v>0.48055555555555557</v>
      </c>
      <c r="D94" s="24">
        <v>0.5520833333333334</v>
      </c>
      <c r="E94" s="4" t="s">
        <v>313</v>
      </c>
      <c r="H94" s="105">
        <v>0.5020833333333333</v>
      </c>
      <c r="I94" s="4">
        <v>0.1</v>
      </c>
      <c r="J94" s="106" t="s">
        <v>732</v>
      </c>
      <c r="K94" s="4">
        <v>26.0</v>
      </c>
      <c r="L94" s="4" t="s">
        <v>660</v>
      </c>
      <c r="M94" s="4" t="s">
        <v>661</v>
      </c>
      <c r="O94" s="106" t="s">
        <v>733</v>
      </c>
      <c r="P94" s="104">
        <v>44150.0</v>
      </c>
      <c r="Q94" s="104">
        <v>43833.0</v>
      </c>
      <c r="R94" s="106" t="s">
        <v>734</v>
      </c>
      <c r="S94" s="104">
        <v>43928.0</v>
      </c>
      <c r="T94" s="106" t="s">
        <v>735</v>
      </c>
      <c r="U94" s="104">
        <v>43835.0</v>
      </c>
      <c r="V94" s="104">
        <v>43835.0</v>
      </c>
      <c r="W94" s="4" t="s">
        <v>683</v>
      </c>
      <c r="X94" s="4" t="s">
        <v>736</v>
      </c>
    </row>
    <row r="95">
      <c r="A95" s="23">
        <v>42822.0</v>
      </c>
      <c r="B95" s="4" t="s">
        <v>216</v>
      </c>
      <c r="C95" s="24">
        <v>0.4027777777777778</v>
      </c>
      <c r="D95" s="24">
        <v>0.4583333333333333</v>
      </c>
      <c r="E95" s="4" t="s">
        <v>542</v>
      </c>
      <c r="F95" s="4" t="s">
        <v>664</v>
      </c>
      <c r="G95" s="4" t="s">
        <v>737</v>
      </c>
      <c r="H95" s="105">
        <v>0.4361111111111111</v>
      </c>
      <c r="I95" s="4">
        <v>-0.29</v>
      </c>
      <c r="J95" s="108" t="s">
        <v>738</v>
      </c>
      <c r="K95" s="4">
        <v>18.0</v>
      </c>
      <c r="L95" s="4" t="s">
        <v>689</v>
      </c>
      <c r="M95" s="4" t="s">
        <v>661</v>
      </c>
      <c r="N95" s="4"/>
      <c r="O95" s="4" t="s">
        <v>739</v>
      </c>
      <c r="P95" s="104">
        <v>43992.0</v>
      </c>
      <c r="Q95" s="104">
        <v>43833.0</v>
      </c>
      <c r="R95" s="4" t="s">
        <v>738</v>
      </c>
      <c r="S95" s="104">
        <v>43928.0</v>
      </c>
      <c r="T95" s="4" t="s">
        <v>740</v>
      </c>
      <c r="U95" s="104">
        <v>43992.0</v>
      </c>
      <c r="V95" s="4">
        <v>0.0</v>
      </c>
    </row>
    <row r="96">
      <c r="A96" s="23">
        <v>42823.0</v>
      </c>
      <c r="B96" s="4" t="s">
        <v>244</v>
      </c>
      <c r="C96" s="24">
        <v>0.3854166666666667</v>
      </c>
      <c r="D96" s="24">
        <v>0.46875</v>
      </c>
      <c r="E96" s="4" t="s">
        <v>278</v>
      </c>
      <c r="H96" s="105">
        <v>0.45902777777777776</v>
      </c>
      <c r="I96" s="4">
        <v>-0.3</v>
      </c>
      <c r="J96" s="107" t="s">
        <v>741</v>
      </c>
      <c r="K96" s="4">
        <v>22.0</v>
      </c>
      <c r="L96" s="4" t="s">
        <v>668</v>
      </c>
      <c r="M96" s="4" t="s">
        <v>664</v>
      </c>
      <c r="N96" s="4">
        <v>1.0</v>
      </c>
      <c r="O96" s="109" t="s">
        <v>742</v>
      </c>
      <c r="P96" s="4">
        <v>0.0</v>
      </c>
      <c r="Q96" s="104">
        <v>43833.0</v>
      </c>
      <c r="R96" s="109" t="s">
        <v>743</v>
      </c>
      <c r="S96" s="104">
        <v>43928.0</v>
      </c>
      <c r="T96" s="109" t="s">
        <v>719</v>
      </c>
      <c r="U96" s="4">
        <v>0.0</v>
      </c>
      <c r="V96" s="4">
        <v>0.0</v>
      </c>
    </row>
    <row r="97">
      <c r="A97" s="23">
        <v>42825.0</v>
      </c>
      <c r="B97" s="4" t="s">
        <v>246</v>
      </c>
      <c r="C97" s="24">
        <v>0.4173611111111111</v>
      </c>
      <c r="D97" s="24">
        <v>0.45069444444444445</v>
      </c>
      <c r="E97" s="4" t="s">
        <v>278</v>
      </c>
      <c r="F97" s="4" t="s">
        <v>664</v>
      </c>
      <c r="G97" s="4" t="s">
        <v>39</v>
      </c>
      <c r="H97" s="105">
        <v>0.49027777777777776</v>
      </c>
      <c r="I97" s="4">
        <v>-0.1</v>
      </c>
      <c r="J97" s="4" t="s">
        <v>674</v>
      </c>
      <c r="K97" s="4">
        <v>17.0</v>
      </c>
      <c r="L97" s="4" t="s">
        <v>660</v>
      </c>
      <c r="M97" s="4" t="s">
        <v>661</v>
      </c>
      <c r="O97" s="4" t="s">
        <v>674</v>
      </c>
      <c r="P97" s="104">
        <v>43835.0</v>
      </c>
      <c r="Q97" s="104">
        <v>43833.0</v>
      </c>
      <c r="R97" s="4" t="s">
        <v>744</v>
      </c>
      <c r="S97" s="4" t="s">
        <v>701</v>
      </c>
      <c r="T97" s="4" t="s">
        <v>246</v>
      </c>
      <c r="U97" s="4">
        <v>0.0</v>
      </c>
      <c r="V97" s="4">
        <v>0.0</v>
      </c>
    </row>
    <row r="98">
      <c r="A98" s="23">
        <v>42826.0</v>
      </c>
      <c r="B98" s="4" t="s">
        <v>303</v>
      </c>
      <c r="C98" s="24">
        <v>0.4708333333333333</v>
      </c>
      <c r="D98" s="24">
        <v>0.5041666666666667</v>
      </c>
      <c r="E98" s="4" t="s">
        <v>197</v>
      </c>
      <c r="F98" s="4" t="s">
        <v>664</v>
      </c>
      <c r="G98" s="4" t="s">
        <v>703</v>
      </c>
      <c r="H98" s="105">
        <v>0.5076388888888889</v>
      </c>
      <c r="I98" s="4">
        <v>-0.1</v>
      </c>
      <c r="J98" s="4" t="s">
        <v>694</v>
      </c>
      <c r="K98" s="4">
        <v>6.0</v>
      </c>
      <c r="L98" s="4" t="s">
        <v>660</v>
      </c>
      <c r="M98" s="4" t="s">
        <v>661</v>
      </c>
      <c r="O98" s="4" t="s">
        <v>694</v>
      </c>
      <c r="P98" s="104">
        <v>43992.0</v>
      </c>
      <c r="Q98" s="104">
        <v>43927.0</v>
      </c>
      <c r="R98" s="4" t="s">
        <v>694</v>
      </c>
      <c r="S98" s="4" t="s">
        <v>672</v>
      </c>
      <c r="T98" s="4" t="s">
        <v>694</v>
      </c>
      <c r="U98" s="4">
        <v>0.0</v>
      </c>
      <c r="V98" s="4">
        <v>0.0</v>
      </c>
      <c r="X98" s="4" t="s">
        <v>745</v>
      </c>
    </row>
    <row r="99">
      <c r="A99" s="23">
        <v>42827.0</v>
      </c>
      <c r="B99" s="4" t="s">
        <v>340</v>
      </c>
      <c r="C99" s="24">
        <v>0.48680555555555555</v>
      </c>
      <c r="D99" s="24">
        <v>0.525</v>
      </c>
      <c r="E99" s="4" t="s">
        <v>197</v>
      </c>
      <c r="H99" s="105">
        <v>0.07291666666666667</v>
      </c>
      <c r="I99" s="4">
        <v>-0.1</v>
      </c>
      <c r="J99" s="4" t="s">
        <v>678</v>
      </c>
      <c r="K99" s="4">
        <v>7.0</v>
      </c>
      <c r="L99" s="4" t="s">
        <v>660</v>
      </c>
      <c r="M99" s="4" t="s">
        <v>664</v>
      </c>
      <c r="O99" s="4">
        <v>0.57</v>
      </c>
      <c r="P99" s="104">
        <v>43992.0</v>
      </c>
      <c r="Q99" s="104">
        <v>43927.0</v>
      </c>
      <c r="R99" s="4" t="s">
        <v>678</v>
      </c>
      <c r="S99" s="104">
        <v>43928.0</v>
      </c>
      <c r="T99" s="4" t="s">
        <v>582</v>
      </c>
      <c r="U99" s="4">
        <v>0.0</v>
      </c>
      <c r="V99" s="104">
        <v>43835.0</v>
      </c>
      <c r="W99" s="4" t="s">
        <v>746</v>
      </c>
      <c r="X99" s="4" t="s">
        <v>747</v>
      </c>
      <c r="Y99" s="4" t="s">
        <v>748</v>
      </c>
    </row>
    <row r="100">
      <c r="A100" s="23">
        <v>42831.0</v>
      </c>
      <c r="B100" s="4" t="s">
        <v>201</v>
      </c>
      <c r="C100" s="24">
        <v>0.0</v>
      </c>
      <c r="D100" s="24">
        <v>0.041666666666666664</v>
      </c>
      <c r="E100" s="4" t="s">
        <v>197</v>
      </c>
      <c r="H100" s="105">
        <v>0.0</v>
      </c>
      <c r="K100" s="4">
        <v>1.0</v>
      </c>
      <c r="L100" s="4" t="s">
        <v>660</v>
      </c>
      <c r="M100" s="4" t="s">
        <v>661</v>
      </c>
      <c r="P100" s="4">
        <v>0.0</v>
      </c>
      <c r="Q100" s="104">
        <v>43833.0</v>
      </c>
      <c r="S100" s="4" t="s">
        <v>662</v>
      </c>
      <c r="U100" s="4">
        <v>0.0</v>
      </c>
      <c r="V100" s="4">
        <v>0.0</v>
      </c>
    </row>
    <row r="101">
      <c r="A101" s="23">
        <v>42832.0</v>
      </c>
      <c r="B101" s="4" t="s">
        <v>250</v>
      </c>
      <c r="C101" s="24">
        <v>0.375</v>
      </c>
      <c r="D101" s="24">
        <v>0.4791666666666667</v>
      </c>
      <c r="E101" s="4"/>
      <c r="H101" s="105">
        <v>0.375</v>
      </c>
      <c r="I101" s="4">
        <v>-0.15</v>
      </c>
      <c r="J101" s="4" t="s">
        <v>749</v>
      </c>
      <c r="K101" s="4">
        <v>17.0</v>
      </c>
      <c r="L101" s="4" t="s">
        <v>660</v>
      </c>
      <c r="M101" s="4" t="s">
        <v>661</v>
      </c>
      <c r="O101" s="4" t="s">
        <v>749</v>
      </c>
      <c r="P101" s="104">
        <v>43835.0</v>
      </c>
      <c r="Q101" s="104">
        <v>43833.0</v>
      </c>
      <c r="R101" s="4" t="s">
        <v>749</v>
      </c>
      <c r="S101" s="104">
        <v>43833.0</v>
      </c>
      <c r="T101" s="4" t="s">
        <v>750</v>
      </c>
      <c r="U101" s="104">
        <v>43835.0</v>
      </c>
      <c r="V101" s="4">
        <v>0.0</v>
      </c>
      <c r="X101" s="4"/>
    </row>
    <row r="102">
      <c r="A102" s="23">
        <v>42834.0</v>
      </c>
      <c r="B102" s="4" t="s">
        <v>301</v>
      </c>
      <c r="C102" s="24">
        <v>0.36875</v>
      </c>
      <c r="D102" s="24">
        <v>0.41041666666666665</v>
      </c>
      <c r="E102" s="4" t="s">
        <v>344</v>
      </c>
      <c r="H102" s="105">
        <v>0.3715277777777778</v>
      </c>
      <c r="I102" s="4">
        <v>-0.07</v>
      </c>
      <c r="J102" s="4" t="s">
        <v>671</v>
      </c>
      <c r="K102" s="4">
        <v>9.0</v>
      </c>
      <c r="L102" s="4" t="s">
        <v>668</v>
      </c>
      <c r="M102" s="4" t="s">
        <v>661</v>
      </c>
      <c r="O102" s="4" t="s">
        <v>751</v>
      </c>
      <c r="P102" s="104">
        <v>43992.0</v>
      </c>
      <c r="Q102" s="104">
        <v>43833.0</v>
      </c>
      <c r="R102" s="4" t="s">
        <v>752</v>
      </c>
      <c r="S102" s="104">
        <v>43833.0</v>
      </c>
      <c r="T102" s="4" t="s">
        <v>753</v>
      </c>
      <c r="U102" s="104">
        <v>43835.0</v>
      </c>
      <c r="V102" s="4">
        <v>0.0</v>
      </c>
      <c r="X102" s="4" t="s">
        <v>754</v>
      </c>
    </row>
    <row r="103">
      <c r="A103" s="23">
        <v>42835.0</v>
      </c>
      <c r="B103" s="4" t="s">
        <v>216</v>
      </c>
      <c r="C103" s="24">
        <v>0.3888888888888889</v>
      </c>
      <c r="D103" s="24">
        <v>0.4236111111111111</v>
      </c>
      <c r="E103" s="4" t="s">
        <v>272</v>
      </c>
      <c r="F103" s="4" t="s">
        <v>664</v>
      </c>
      <c r="G103" s="4" t="s">
        <v>703</v>
      </c>
      <c r="H103" s="105">
        <v>0.4027777777777778</v>
      </c>
      <c r="I103" s="4">
        <v>-0.15</v>
      </c>
      <c r="J103" s="4" t="s">
        <v>755</v>
      </c>
      <c r="K103" s="4">
        <v>30.0</v>
      </c>
      <c r="L103" s="4" t="s">
        <v>660</v>
      </c>
      <c r="M103" s="4" t="s">
        <v>661</v>
      </c>
      <c r="O103" s="4" t="s">
        <v>756</v>
      </c>
      <c r="P103" s="104">
        <v>43992.0</v>
      </c>
      <c r="Q103" s="104">
        <v>43833.0</v>
      </c>
      <c r="R103" s="4" t="s">
        <v>757</v>
      </c>
      <c r="S103" s="104">
        <v>43833.0</v>
      </c>
      <c r="T103" s="4" t="s">
        <v>756</v>
      </c>
      <c r="U103" s="4">
        <v>0.0</v>
      </c>
      <c r="V103" s="104">
        <v>43833.0</v>
      </c>
      <c r="W103" s="4" t="s">
        <v>758</v>
      </c>
    </row>
    <row r="104">
      <c r="A104" s="23">
        <v>42836.0</v>
      </c>
      <c r="B104" s="4" t="s">
        <v>301</v>
      </c>
      <c r="C104" s="24">
        <v>0.3958333333333333</v>
      </c>
      <c r="D104" s="24">
        <v>0.44375</v>
      </c>
      <c r="E104" s="4" t="s">
        <v>347</v>
      </c>
      <c r="F104" s="4" t="s">
        <v>664</v>
      </c>
      <c r="G104" s="4" t="s">
        <v>759</v>
      </c>
      <c r="H104" s="105">
        <v>0.3854166666666667</v>
      </c>
      <c r="I104" s="4">
        <v>-0.13</v>
      </c>
      <c r="J104" s="4" t="s">
        <v>571</v>
      </c>
      <c r="K104" s="4">
        <v>23.0</v>
      </c>
      <c r="L104" s="4" t="s">
        <v>668</v>
      </c>
      <c r="M104" s="4" t="s">
        <v>661</v>
      </c>
      <c r="O104" s="4" t="s">
        <v>760</v>
      </c>
      <c r="P104" s="4">
        <v>0.0</v>
      </c>
      <c r="Q104" s="104">
        <v>43833.0</v>
      </c>
      <c r="R104" s="4" t="s">
        <v>671</v>
      </c>
      <c r="S104" s="104">
        <v>43928.0</v>
      </c>
      <c r="T104" s="4" t="s">
        <v>760</v>
      </c>
      <c r="U104" s="4">
        <v>0.0</v>
      </c>
      <c r="V104" s="4">
        <v>0.0</v>
      </c>
      <c r="W104" s="4" t="s">
        <v>761</v>
      </c>
      <c r="X104" s="4" t="s">
        <v>762</v>
      </c>
    </row>
    <row r="105">
      <c r="A105" s="23">
        <v>42836.0</v>
      </c>
      <c r="B105" s="4" t="s">
        <v>266</v>
      </c>
      <c r="C105" s="24">
        <v>0.4041666666666667</v>
      </c>
      <c r="D105" s="24">
        <v>0.4409722222222222</v>
      </c>
      <c r="E105" s="4" t="s">
        <v>297</v>
      </c>
      <c r="H105" s="105">
        <v>0.40069444444444446</v>
      </c>
      <c r="I105" s="4">
        <v>-0.13</v>
      </c>
      <c r="J105" s="4" t="s">
        <v>571</v>
      </c>
      <c r="K105" s="4">
        <v>24.0</v>
      </c>
      <c r="L105" s="4" t="s">
        <v>668</v>
      </c>
      <c r="M105" s="4" t="s">
        <v>661</v>
      </c>
      <c r="O105" s="4">
        <v>0.0</v>
      </c>
      <c r="P105" s="4">
        <v>0.0</v>
      </c>
      <c r="Q105" s="104">
        <v>43833.0</v>
      </c>
      <c r="R105" s="4" t="s">
        <v>760</v>
      </c>
      <c r="S105" s="104">
        <v>43928.0</v>
      </c>
      <c r="T105" s="4" t="s">
        <v>760</v>
      </c>
      <c r="U105" s="4">
        <v>0.0</v>
      </c>
      <c r="V105" s="4">
        <v>0.0</v>
      </c>
    </row>
    <row r="106">
      <c r="A106" s="23">
        <v>42837.0</v>
      </c>
      <c r="B106" s="4" t="s">
        <v>266</v>
      </c>
      <c r="C106" s="24">
        <v>0.3611111111111111</v>
      </c>
      <c r="D106" s="24">
        <v>0.4409722222222222</v>
      </c>
      <c r="E106" s="4" t="s">
        <v>350</v>
      </c>
      <c r="H106" s="105">
        <v>0.41944444444444445</v>
      </c>
      <c r="I106" s="4">
        <v>-0.1</v>
      </c>
      <c r="J106" s="4" t="s">
        <v>763</v>
      </c>
      <c r="K106" s="4">
        <v>18.0</v>
      </c>
      <c r="L106" s="4" t="s">
        <v>764</v>
      </c>
      <c r="M106" s="4" t="s">
        <v>664</v>
      </c>
      <c r="N106" s="4">
        <v>0.54</v>
      </c>
      <c r="O106" s="4" t="s">
        <v>765</v>
      </c>
      <c r="P106" s="104">
        <v>43992.0</v>
      </c>
      <c r="Q106" s="104">
        <v>43833.0</v>
      </c>
      <c r="R106" s="4" t="s">
        <v>766</v>
      </c>
      <c r="S106" s="104">
        <v>43928.0</v>
      </c>
      <c r="T106" s="4" t="s">
        <v>766</v>
      </c>
      <c r="U106" s="4">
        <v>0.0</v>
      </c>
      <c r="V106" s="104">
        <v>43835.0</v>
      </c>
      <c r="W106" s="4" t="s">
        <v>683</v>
      </c>
      <c r="X106" s="4" t="s">
        <v>767</v>
      </c>
    </row>
    <row r="107">
      <c r="A107" s="23">
        <v>42837.0</v>
      </c>
      <c r="B107" s="4" t="s">
        <v>355</v>
      </c>
      <c r="C107" s="24">
        <v>0.39791666666666664</v>
      </c>
      <c r="D107" s="24">
        <v>0.4409722222222222</v>
      </c>
      <c r="E107" s="4" t="s">
        <v>356</v>
      </c>
      <c r="F107" s="4" t="s">
        <v>664</v>
      </c>
      <c r="G107" s="4" t="s">
        <v>768</v>
      </c>
      <c r="H107" s="105">
        <v>0.4048611111111111</v>
      </c>
      <c r="I107" s="4">
        <v>-0.14</v>
      </c>
      <c r="J107" s="4" t="s">
        <v>674</v>
      </c>
      <c r="K107" s="4">
        <v>22.0</v>
      </c>
      <c r="L107" s="4" t="s">
        <v>660</v>
      </c>
      <c r="M107" s="4" t="s">
        <v>661</v>
      </c>
      <c r="O107" s="4" t="s">
        <v>769</v>
      </c>
      <c r="P107" s="4" t="s">
        <v>698</v>
      </c>
      <c r="Q107" s="104">
        <v>43833.0</v>
      </c>
      <c r="R107" s="4" t="s">
        <v>770</v>
      </c>
      <c r="S107" s="4" t="s">
        <v>669</v>
      </c>
      <c r="T107" s="4" t="s">
        <v>771</v>
      </c>
      <c r="U107" s="104">
        <v>43835.0</v>
      </c>
      <c r="V107" s="104">
        <v>43835.0</v>
      </c>
      <c r="W107" s="4" t="s">
        <v>772</v>
      </c>
      <c r="X107" s="4" t="s">
        <v>773</v>
      </c>
    </row>
    <row r="108">
      <c r="A108" s="23">
        <v>42838.0</v>
      </c>
      <c r="B108" s="4" t="s">
        <v>259</v>
      </c>
      <c r="C108" s="24">
        <v>0.4027777777777778</v>
      </c>
      <c r="D108" s="24">
        <v>0.47847222222222224</v>
      </c>
      <c r="E108" s="4" t="s">
        <v>358</v>
      </c>
      <c r="H108" s="105">
        <v>0.4097222222222222</v>
      </c>
      <c r="I108" s="4">
        <v>-3.0</v>
      </c>
      <c r="J108" s="4" t="s">
        <v>688</v>
      </c>
      <c r="K108" s="4">
        <v>15.0</v>
      </c>
      <c r="L108" s="4" t="s">
        <v>660</v>
      </c>
      <c r="M108" s="4" t="s">
        <v>713</v>
      </c>
      <c r="N108" s="4">
        <v>0.68</v>
      </c>
      <c r="O108" s="4" t="s">
        <v>774</v>
      </c>
      <c r="P108" s="4" t="s">
        <v>698</v>
      </c>
      <c r="Q108" s="104">
        <v>43833.0</v>
      </c>
      <c r="R108" s="104">
        <v>43833.0</v>
      </c>
      <c r="S108" s="4" t="s">
        <v>662</v>
      </c>
      <c r="T108" s="4" t="s">
        <v>775</v>
      </c>
      <c r="U108" s="104">
        <v>43835.0</v>
      </c>
      <c r="V108" s="4">
        <v>0.0</v>
      </c>
      <c r="W108" s="4" t="s">
        <v>693</v>
      </c>
      <c r="X108" s="4" t="s">
        <v>776</v>
      </c>
    </row>
    <row r="109">
      <c r="A109" s="23">
        <v>42838.0</v>
      </c>
      <c r="B109" s="4" t="s">
        <v>352</v>
      </c>
      <c r="C109" s="24">
        <v>0.4375</v>
      </c>
      <c r="D109" s="24">
        <v>0.4791666666666667</v>
      </c>
      <c r="E109" s="4" t="s">
        <v>353</v>
      </c>
      <c r="F109" s="4" t="s">
        <v>664</v>
      </c>
      <c r="G109" s="4" t="s">
        <v>768</v>
      </c>
      <c r="H109" s="105">
        <v>0.36944444444444446</v>
      </c>
      <c r="I109" s="4">
        <v>-0.02</v>
      </c>
      <c r="J109" s="4" t="s">
        <v>777</v>
      </c>
      <c r="K109" s="4">
        <v>29.0</v>
      </c>
      <c r="L109" s="4" t="s">
        <v>660</v>
      </c>
      <c r="M109" s="4" t="s">
        <v>664</v>
      </c>
      <c r="N109" s="4">
        <v>0.45</v>
      </c>
      <c r="O109" s="4" t="s">
        <v>778</v>
      </c>
      <c r="P109" s="104">
        <v>43992.0</v>
      </c>
      <c r="Q109" s="104">
        <v>43927.0</v>
      </c>
      <c r="R109" s="4" t="s">
        <v>779</v>
      </c>
      <c r="S109" s="4" t="s">
        <v>672</v>
      </c>
      <c r="T109" s="4" t="s">
        <v>780</v>
      </c>
      <c r="U109" s="4">
        <v>0.0</v>
      </c>
      <c r="V109" s="4">
        <v>0.0</v>
      </c>
    </row>
    <row r="110">
      <c r="A110" s="23">
        <v>42838.0</v>
      </c>
      <c r="B110" s="4" t="s">
        <v>226</v>
      </c>
      <c r="C110" s="24">
        <v>0.4375</v>
      </c>
      <c r="D110" s="24">
        <v>0.4583333333333333</v>
      </c>
      <c r="E110" s="4" t="s">
        <v>353</v>
      </c>
      <c r="H110" s="105">
        <v>0.36944444444444446</v>
      </c>
      <c r="I110" s="4">
        <v>-0.02</v>
      </c>
      <c r="J110" s="4" t="s">
        <v>777</v>
      </c>
      <c r="K110" s="4">
        <v>16.0</v>
      </c>
      <c r="L110" s="4" t="s">
        <v>660</v>
      </c>
      <c r="M110" s="4" t="s">
        <v>664</v>
      </c>
      <c r="N110" s="4">
        <v>0.45</v>
      </c>
      <c r="O110" s="4" t="s">
        <v>778</v>
      </c>
      <c r="P110" s="4">
        <v>0.0</v>
      </c>
      <c r="Q110" s="104">
        <v>43927.0</v>
      </c>
      <c r="R110" s="4" t="s">
        <v>779</v>
      </c>
      <c r="S110" s="4" t="s">
        <v>672</v>
      </c>
      <c r="T110" s="4" t="s">
        <v>780</v>
      </c>
      <c r="U110" s="4">
        <v>0.0</v>
      </c>
      <c r="V110" s="4">
        <v>0.0</v>
      </c>
    </row>
    <row r="111">
      <c r="A111" s="23">
        <v>42844.0</v>
      </c>
      <c r="B111" s="4" t="s">
        <v>244</v>
      </c>
      <c r="C111" s="24">
        <v>0.3854166666666667</v>
      </c>
      <c r="D111" s="24">
        <v>0.46875</v>
      </c>
      <c r="E111" s="4" t="s">
        <v>278</v>
      </c>
      <c r="H111" s="105">
        <v>0.25069444444444444</v>
      </c>
      <c r="I111" s="4">
        <v>0.1</v>
      </c>
      <c r="J111" s="109" t="s">
        <v>741</v>
      </c>
      <c r="K111" s="4">
        <v>23.0</v>
      </c>
      <c r="L111" s="4" t="s">
        <v>668</v>
      </c>
      <c r="M111" s="4" t="s">
        <v>664</v>
      </c>
      <c r="N111" s="4">
        <v>0.3</v>
      </c>
      <c r="O111" s="109" t="s">
        <v>781</v>
      </c>
      <c r="P111" s="104">
        <v>43835.0</v>
      </c>
      <c r="Q111" s="104">
        <v>43833.0</v>
      </c>
      <c r="R111" s="109" t="s">
        <v>782</v>
      </c>
      <c r="S111" s="4" t="s">
        <v>662</v>
      </c>
      <c r="T111" s="109" t="s">
        <v>743</v>
      </c>
      <c r="U111" s="104">
        <v>43835.0</v>
      </c>
      <c r="V111" s="4">
        <v>0.0</v>
      </c>
      <c r="X111" s="4" t="s">
        <v>783</v>
      </c>
    </row>
    <row r="112">
      <c r="A112" s="23">
        <v>42844.0</v>
      </c>
      <c r="B112" s="4" t="s">
        <v>369</v>
      </c>
      <c r="C112" s="24">
        <v>0.3541666666666667</v>
      </c>
      <c r="D112" s="24">
        <v>0.5</v>
      </c>
      <c r="E112" s="4" t="s">
        <v>321</v>
      </c>
      <c r="H112" s="105">
        <v>0.25</v>
      </c>
      <c r="I112" s="4">
        <v>0.2</v>
      </c>
      <c r="J112" s="4" t="s">
        <v>784</v>
      </c>
      <c r="K112" s="4">
        <v>18.0</v>
      </c>
      <c r="L112" s="4" t="s">
        <v>668</v>
      </c>
      <c r="M112" s="4" t="s">
        <v>664</v>
      </c>
      <c r="N112" s="4">
        <v>0.01</v>
      </c>
      <c r="O112" s="4" t="s">
        <v>785</v>
      </c>
      <c r="P112" s="4" t="s">
        <v>684</v>
      </c>
      <c r="Q112" s="104">
        <v>43833.0</v>
      </c>
      <c r="R112" s="4" t="s">
        <v>786</v>
      </c>
      <c r="S112" s="4" t="s">
        <v>701</v>
      </c>
      <c r="T112" s="4" t="s">
        <v>787</v>
      </c>
      <c r="U112" s="4">
        <v>0.0</v>
      </c>
      <c r="V112" s="104">
        <v>43835.0</v>
      </c>
      <c r="W112" s="4" t="s">
        <v>683</v>
      </c>
    </row>
    <row r="113">
      <c r="A113" s="23">
        <v>42850.0</v>
      </c>
      <c r="B113" s="4" t="s">
        <v>244</v>
      </c>
      <c r="C113" s="24">
        <v>0.3958333333333333</v>
      </c>
      <c r="D113" s="24">
        <v>0.4583333333333333</v>
      </c>
      <c r="E113" s="4" t="s">
        <v>326</v>
      </c>
      <c r="H113" s="105">
        <v>0.38680555555555557</v>
      </c>
      <c r="I113" s="4">
        <v>0.0</v>
      </c>
      <c r="J113" s="4" t="s">
        <v>788</v>
      </c>
      <c r="K113" s="4">
        <v>26.0</v>
      </c>
      <c r="L113" s="4" t="s">
        <v>660</v>
      </c>
      <c r="M113" s="4" t="s">
        <v>661</v>
      </c>
      <c r="O113" s="4" t="s">
        <v>788</v>
      </c>
      <c r="P113" s="104">
        <v>43835.0</v>
      </c>
      <c r="Q113" s="104">
        <v>43833.0</v>
      </c>
      <c r="R113" s="4" t="s">
        <v>788</v>
      </c>
      <c r="S113" s="4" t="s">
        <v>662</v>
      </c>
      <c r="T113" s="4" t="s">
        <v>788</v>
      </c>
      <c r="U113" s="4">
        <v>0.0</v>
      </c>
      <c r="V113" s="104">
        <v>43835.0</v>
      </c>
      <c r="W113" s="4" t="s">
        <v>789</v>
      </c>
      <c r="X113" s="4" t="s">
        <v>790</v>
      </c>
    </row>
    <row r="114">
      <c r="A114" s="23">
        <v>42850.0</v>
      </c>
      <c r="B114" s="4" t="s">
        <v>250</v>
      </c>
      <c r="C114" s="24">
        <v>0.3888888888888889</v>
      </c>
      <c r="D114" s="24">
        <v>0.4791666666666667</v>
      </c>
      <c r="E114" s="4" t="s">
        <v>372</v>
      </c>
      <c r="H114" s="105">
        <v>0.3951388888888889</v>
      </c>
      <c r="I114" s="4">
        <v>-0.4</v>
      </c>
      <c r="J114" s="107" t="s">
        <v>791</v>
      </c>
      <c r="K114" s="4">
        <v>15.0</v>
      </c>
      <c r="L114" s="4" t="s">
        <v>660</v>
      </c>
      <c r="M114" s="4" t="s">
        <v>661</v>
      </c>
      <c r="O114" s="107" t="s">
        <v>792</v>
      </c>
      <c r="P114" s="104">
        <v>43835.0</v>
      </c>
      <c r="Q114" s="104">
        <v>43833.0</v>
      </c>
      <c r="R114" s="107" t="s">
        <v>793</v>
      </c>
      <c r="S114" s="104">
        <v>43928.0</v>
      </c>
      <c r="T114" s="107" t="s">
        <v>793</v>
      </c>
      <c r="U114" s="104">
        <v>43835.0</v>
      </c>
      <c r="V114" s="104">
        <v>43835.0</v>
      </c>
      <c r="W114" s="4" t="s">
        <v>794</v>
      </c>
    </row>
    <row r="115">
      <c r="A115" s="23">
        <v>42850.0</v>
      </c>
      <c r="B115" s="4" t="s">
        <v>374</v>
      </c>
      <c r="C115" s="24">
        <v>0.40625</v>
      </c>
      <c r="D115" s="24">
        <v>0.46875</v>
      </c>
      <c r="E115" s="4" t="s">
        <v>375</v>
      </c>
      <c r="H115" s="105">
        <v>0.3958333333333333</v>
      </c>
      <c r="I115" s="4">
        <v>-0.4</v>
      </c>
      <c r="J115" s="4" t="s">
        <v>795</v>
      </c>
      <c r="K115" s="4">
        <v>20.0</v>
      </c>
      <c r="L115" s="4" t="s">
        <v>660</v>
      </c>
      <c r="M115" s="4" t="s">
        <v>661</v>
      </c>
      <c r="O115" s="4" t="s">
        <v>796</v>
      </c>
      <c r="P115" s="104">
        <v>43835.0</v>
      </c>
      <c r="Q115" s="104">
        <v>43833.0</v>
      </c>
      <c r="R115" s="4" t="s">
        <v>795</v>
      </c>
      <c r="S115" s="4" t="s">
        <v>662</v>
      </c>
      <c r="T115" s="4" t="s">
        <v>796</v>
      </c>
      <c r="U115" s="4">
        <v>0.0</v>
      </c>
      <c r="V115" s="4">
        <v>0.0</v>
      </c>
      <c r="X115" s="4" t="s">
        <v>797</v>
      </c>
    </row>
    <row r="116">
      <c r="A116" s="23">
        <v>42851.0</v>
      </c>
      <c r="B116" s="4" t="s">
        <v>369</v>
      </c>
      <c r="C116" s="24">
        <v>0.375</v>
      </c>
      <c r="D116" s="24">
        <v>0.5625</v>
      </c>
      <c r="E116" s="4" t="s">
        <v>321</v>
      </c>
      <c r="H116" s="105">
        <v>0.25</v>
      </c>
      <c r="I116" s="4">
        <v>0.02</v>
      </c>
      <c r="J116" s="4" t="s">
        <v>784</v>
      </c>
      <c r="K116" s="4">
        <v>15.0</v>
      </c>
      <c r="L116" s="4" t="s">
        <v>668</v>
      </c>
      <c r="M116" s="4" t="s">
        <v>664</v>
      </c>
      <c r="N116" s="4">
        <v>0.01</v>
      </c>
      <c r="O116" s="4" t="s">
        <v>786</v>
      </c>
      <c r="P116" s="104">
        <v>43835.0</v>
      </c>
      <c r="Q116" s="104">
        <v>43833.0</v>
      </c>
      <c r="R116" s="4" t="s">
        <v>786</v>
      </c>
      <c r="S116" s="4" t="s">
        <v>662</v>
      </c>
      <c r="T116" s="4" t="s">
        <v>798</v>
      </c>
      <c r="U116" s="4">
        <v>0.0</v>
      </c>
      <c r="V116" s="4">
        <v>0.0</v>
      </c>
    </row>
    <row r="117">
      <c r="A117" s="23">
        <v>42851.0</v>
      </c>
      <c r="B117" s="4" t="s">
        <v>340</v>
      </c>
      <c r="C117" s="24">
        <v>0.3854166666666667</v>
      </c>
      <c r="D117" s="24">
        <v>0.4583333333333333</v>
      </c>
      <c r="E117" s="4" t="s">
        <v>381</v>
      </c>
      <c r="H117" s="105">
        <v>0.40347222222222223</v>
      </c>
      <c r="I117" s="4">
        <v>-0.43</v>
      </c>
      <c r="J117" s="4" t="s">
        <v>678</v>
      </c>
      <c r="K117" s="4">
        <v>28.0</v>
      </c>
      <c r="L117" s="4" t="s">
        <v>660</v>
      </c>
      <c r="M117" s="4" t="s">
        <v>664</v>
      </c>
      <c r="O117" s="4" t="s">
        <v>799</v>
      </c>
      <c r="P117" s="104">
        <v>43992.0</v>
      </c>
      <c r="Q117" s="104">
        <v>43833.0</v>
      </c>
      <c r="R117" s="4" t="s">
        <v>800</v>
      </c>
      <c r="S117" s="104">
        <v>43928.0</v>
      </c>
      <c r="T117" s="4" t="s">
        <v>800</v>
      </c>
      <c r="U117" s="4">
        <v>0.0</v>
      </c>
      <c r="V117" s="4">
        <v>0.0</v>
      </c>
    </row>
    <row r="118">
      <c r="A118" s="23">
        <v>42851.0</v>
      </c>
      <c r="B118" s="4" t="s">
        <v>293</v>
      </c>
      <c r="C118" s="24">
        <v>0.3993055555555556</v>
      </c>
      <c r="D118" s="24">
        <v>0.4548611111111111</v>
      </c>
      <c r="E118" s="4" t="s">
        <v>383</v>
      </c>
      <c r="H118" s="105">
        <v>0.37430555555555556</v>
      </c>
      <c r="I118" s="4">
        <v>-0.6</v>
      </c>
      <c r="J118" s="4" t="s">
        <v>801</v>
      </c>
      <c r="K118" s="4">
        <v>20.0</v>
      </c>
      <c r="L118" s="4" t="s">
        <v>668</v>
      </c>
      <c r="M118" s="4" t="s">
        <v>664</v>
      </c>
      <c r="N118" s="4">
        <v>0.1</v>
      </c>
      <c r="O118" s="4" t="s">
        <v>802</v>
      </c>
      <c r="P118" s="4" t="s">
        <v>698</v>
      </c>
      <c r="Q118" s="104">
        <v>43833.0</v>
      </c>
      <c r="R118" s="4" t="s">
        <v>803</v>
      </c>
      <c r="S118" s="104">
        <v>43833.0</v>
      </c>
      <c r="T118" s="4" t="s">
        <v>803</v>
      </c>
      <c r="U118" s="4">
        <v>0.0</v>
      </c>
      <c r="V118" s="4">
        <v>0.0</v>
      </c>
      <c r="X118" s="4" t="s">
        <v>804</v>
      </c>
    </row>
    <row r="119">
      <c r="A119" s="23">
        <v>42851.0</v>
      </c>
      <c r="B119" s="4" t="s">
        <v>216</v>
      </c>
      <c r="C119" s="24">
        <v>0.4027777777777778</v>
      </c>
      <c r="D119" s="24">
        <v>0.4479166666666667</v>
      </c>
      <c r="E119" s="4" t="s">
        <v>385</v>
      </c>
      <c r="H119" s="105">
        <v>0.40625</v>
      </c>
      <c r="I119" s="4">
        <v>-0.4</v>
      </c>
      <c r="J119" s="4" t="s">
        <v>805</v>
      </c>
      <c r="K119" s="4">
        <v>25.0</v>
      </c>
      <c r="L119" s="4" t="s">
        <v>660</v>
      </c>
      <c r="M119" s="4" t="s">
        <v>661</v>
      </c>
      <c r="O119" s="4" t="s">
        <v>756</v>
      </c>
      <c r="P119" s="104">
        <v>43835.0</v>
      </c>
      <c r="Q119" s="104">
        <v>43927.0</v>
      </c>
      <c r="R119" s="4" t="s">
        <v>806</v>
      </c>
      <c r="S119" s="104">
        <v>43928.0</v>
      </c>
      <c r="T119" s="4" t="s">
        <v>807</v>
      </c>
      <c r="U119" s="104">
        <v>43835.0</v>
      </c>
      <c r="V119" s="104">
        <v>43835.0</v>
      </c>
      <c r="W119" s="4" t="s">
        <v>808</v>
      </c>
    </row>
    <row r="120">
      <c r="A120" s="23">
        <v>42852.0</v>
      </c>
      <c r="B120" s="4" t="s">
        <v>293</v>
      </c>
      <c r="C120" s="24">
        <v>0.3611111111111111</v>
      </c>
      <c r="D120" s="24">
        <v>0.4583333333333333</v>
      </c>
      <c r="H120" s="105">
        <v>0.3993055555555556</v>
      </c>
      <c r="I120" s="4">
        <v>-0.6</v>
      </c>
      <c r="J120" s="4" t="s">
        <v>809</v>
      </c>
      <c r="K120" s="4">
        <v>11.0</v>
      </c>
      <c r="L120" s="4" t="s">
        <v>668</v>
      </c>
      <c r="M120" s="4" t="s">
        <v>664</v>
      </c>
      <c r="N120" s="4">
        <v>0.03</v>
      </c>
      <c r="O120" s="4" t="s">
        <v>810</v>
      </c>
      <c r="P120" s="4">
        <v>0.0</v>
      </c>
      <c r="Q120" s="104">
        <v>43833.0</v>
      </c>
      <c r="R120" s="4" t="s">
        <v>809</v>
      </c>
      <c r="S120" s="4" t="s">
        <v>662</v>
      </c>
      <c r="T120" s="4" t="s">
        <v>811</v>
      </c>
      <c r="U120" s="4">
        <v>0.0</v>
      </c>
      <c r="V120" s="4">
        <v>0.0</v>
      </c>
    </row>
    <row r="121">
      <c r="A121" s="23">
        <v>42852.0</v>
      </c>
      <c r="B121" s="4" t="s">
        <v>201</v>
      </c>
      <c r="C121" s="24">
        <v>0.3784722222222222</v>
      </c>
      <c r="D121" s="24">
        <v>0.4236111111111111</v>
      </c>
      <c r="E121" s="4" t="s">
        <v>389</v>
      </c>
      <c r="F121" s="4" t="s">
        <v>664</v>
      </c>
      <c r="G121" s="4" t="s">
        <v>39</v>
      </c>
      <c r="H121" s="105">
        <v>0.4375</v>
      </c>
      <c r="I121" s="4">
        <v>-0.5</v>
      </c>
      <c r="J121" s="4" t="s">
        <v>738</v>
      </c>
      <c r="K121" s="4">
        <v>6.0</v>
      </c>
      <c r="L121" s="4" t="s">
        <v>660</v>
      </c>
      <c r="M121" s="4" t="s">
        <v>713</v>
      </c>
      <c r="N121" s="4">
        <v>0.01</v>
      </c>
      <c r="O121" s="4" t="s">
        <v>756</v>
      </c>
      <c r="P121" s="104">
        <v>43835.0</v>
      </c>
      <c r="Q121" s="104">
        <v>43833.0</v>
      </c>
      <c r="R121" s="4" t="s">
        <v>738</v>
      </c>
      <c r="S121" s="104">
        <v>44055.0</v>
      </c>
      <c r="T121" s="4" t="s">
        <v>738</v>
      </c>
      <c r="U121" s="4">
        <v>0.0</v>
      </c>
      <c r="V121" s="4">
        <v>0.0</v>
      </c>
    </row>
    <row r="122">
      <c r="A122" s="23">
        <v>42852.0</v>
      </c>
      <c r="B122" s="4" t="s">
        <v>201</v>
      </c>
      <c r="C122" s="24">
        <v>0.4236111111111111</v>
      </c>
      <c r="D122" s="24">
        <v>0.4722222222222222</v>
      </c>
      <c r="E122" s="4" t="s">
        <v>812</v>
      </c>
      <c r="F122" s="4" t="s">
        <v>664</v>
      </c>
      <c r="G122" s="4" t="s">
        <v>39</v>
      </c>
      <c r="H122" s="105">
        <v>0.4375</v>
      </c>
      <c r="I122" s="4">
        <v>-0.5</v>
      </c>
      <c r="J122" s="4" t="s">
        <v>738</v>
      </c>
      <c r="K122" s="4">
        <v>6.0</v>
      </c>
      <c r="L122" s="4" t="s">
        <v>660</v>
      </c>
      <c r="M122" s="4" t="s">
        <v>664</v>
      </c>
      <c r="N122" s="4">
        <v>0.01</v>
      </c>
      <c r="O122" s="4" t="s">
        <v>756</v>
      </c>
      <c r="P122" s="104">
        <v>43835.0</v>
      </c>
      <c r="Q122" s="104">
        <v>43833.0</v>
      </c>
      <c r="R122" s="4" t="s">
        <v>738</v>
      </c>
      <c r="S122" s="104">
        <v>44055.0</v>
      </c>
      <c r="T122" s="4" t="s">
        <v>738</v>
      </c>
      <c r="U122" s="4">
        <v>0.0</v>
      </c>
      <c r="V122" s="4">
        <v>0.0</v>
      </c>
    </row>
    <row r="123">
      <c r="A123" s="23">
        <v>42853.0</v>
      </c>
      <c r="B123" s="4" t="s">
        <v>374</v>
      </c>
      <c r="C123" s="24">
        <v>0.4708333333333333</v>
      </c>
      <c r="D123" s="24">
        <v>0.4986111111111111</v>
      </c>
      <c r="E123" s="4" t="s">
        <v>391</v>
      </c>
      <c r="F123" s="4" t="s">
        <v>664</v>
      </c>
      <c r="G123" s="4" t="s">
        <v>703</v>
      </c>
      <c r="H123" s="105">
        <v>0.45902777777777776</v>
      </c>
      <c r="I123" s="4">
        <v>0.0</v>
      </c>
      <c r="J123" s="4" t="s">
        <v>813</v>
      </c>
      <c r="K123" s="4">
        <v>5.0</v>
      </c>
      <c r="L123" s="4" t="s">
        <v>660</v>
      </c>
      <c r="M123" s="4" t="s">
        <v>661</v>
      </c>
      <c r="O123" s="4" t="s">
        <v>814</v>
      </c>
      <c r="P123" s="4">
        <v>0.0</v>
      </c>
      <c r="Q123" s="104">
        <v>43833.0</v>
      </c>
      <c r="R123" s="4" t="s">
        <v>813</v>
      </c>
      <c r="S123" s="104">
        <v>43833.0</v>
      </c>
      <c r="T123" s="4" t="s">
        <v>815</v>
      </c>
      <c r="U123" s="4">
        <v>0.0</v>
      </c>
      <c r="V123" s="4">
        <v>0.0</v>
      </c>
    </row>
    <row r="124">
      <c r="A124" s="23">
        <v>42853.0</v>
      </c>
      <c r="B124" s="4" t="s">
        <v>266</v>
      </c>
      <c r="C124" s="24">
        <v>0.4479166666666667</v>
      </c>
      <c r="D124" s="24">
        <v>0.5048611111111111</v>
      </c>
      <c r="E124" s="4" t="s">
        <v>367</v>
      </c>
      <c r="H124" s="105">
        <v>0.4395833333333333</v>
      </c>
      <c r="I124" s="4">
        <v>-0.33</v>
      </c>
      <c r="J124" s="4" t="s">
        <v>816</v>
      </c>
      <c r="K124" s="4">
        <v>6.0</v>
      </c>
      <c r="L124" s="4" t="s">
        <v>764</v>
      </c>
      <c r="M124" s="4" t="s">
        <v>664</v>
      </c>
      <c r="O124" s="4" t="s">
        <v>765</v>
      </c>
      <c r="P124" s="4">
        <v>0.0</v>
      </c>
      <c r="Q124" s="104">
        <v>43833.0</v>
      </c>
      <c r="R124" s="4" t="s">
        <v>817</v>
      </c>
      <c r="S124" s="104">
        <v>44055.0</v>
      </c>
      <c r="T124" s="4" t="s">
        <v>571</v>
      </c>
      <c r="U124" s="4">
        <v>0.0</v>
      </c>
      <c r="V124" s="4">
        <v>0.0</v>
      </c>
      <c r="X124" s="4" t="s">
        <v>818</v>
      </c>
    </row>
    <row r="125">
      <c r="A125" s="23">
        <v>42853.0</v>
      </c>
      <c r="B125" s="4" t="s">
        <v>293</v>
      </c>
      <c r="C125" s="24">
        <v>0.3888888888888889</v>
      </c>
      <c r="D125" s="24">
        <v>0.4479166666666667</v>
      </c>
      <c r="E125" s="4" t="s">
        <v>459</v>
      </c>
      <c r="H125" s="105">
        <v>0.42569444444444443</v>
      </c>
      <c r="I125" s="4">
        <v>-0.6</v>
      </c>
      <c r="J125" s="4" t="s">
        <v>590</v>
      </c>
      <c r="K125" s="4">
        <v>12.0</v>
      </c>
      <c r="L125" s="4" t="s">
        <v>660</v>
      </c>
      <c r="M125" s="4" t="s">
        <v>664</v>
      </c>
      <c r="N125" s="4">
        <v>0.03</v>
      </c>
      <c r="O125" s="4" t="s">
        <v>819</v>
      </c>
      <c r="P125" s="104">
        <v>43992.0</v>
      </c>
      <c r="Q125" s="104">
        <v>43833.0</v>
      </c>
      <c r="R125" s="4" t="s">
        <v>820</v>
      </c>
      <c r="S125" s="4" t="s">
        <v>662</v>
      </c>
      <c r="T125" s="4" t="s">
        <v>821</v>
      </c>
      <c r="U125" s="104">
        <v>43835.0</v>
      </c>
      <c r="V125" s="4">
        <v>0.0</v>
      </c>
    </row>
    <row r="126">
      <c r="A126" s="23">
        <v>42860.0</v>
      </c>
      <c r="B126" s="4" t="s">
        <v>244</v>
      </c>
      <c r="C126" s="24">
        <v>0.3854166666666667</v>
      </c>
      <c r="D126" s="24">
        <v>0.4583333333333333</v>
      </c>
      <c r="E126" s="4" t="s">
        <v>278</v>
      </c>
      <c r="H126" s="105">
        <v>0.2972222222222222</v>
      </c>
      <c r="I126" s="4">
        <v>-0.2</v>
      </c>
      <c r="J126" s="109" t="s">
        <v>741</v>
      </c>
      <c r="K126" s="4">
        <v>17.0</v>
      </c>
      <c r="L126" s="4" t="s">
        <v>660</v>
      </c>
      <c r="M126" s="4" t="s">
        <v>661</v>
      </c>
      <c r="O126" s="109" t="s">
        <v>743</v>
      </c>
      <c r="P126" s="104">
        <v>43835.0</v>
      </c>
      <c r="Q126" s="104">
        <v>43833.0</v>
      </c>
      <c r="R126" s="109" t="s">
        <v>743</v>
      </c>
      <c r="S126" s="104">
        <v>43833.0</v>
      </c>
      <c r="T126" s="109" t="s">
        <v>743</v>
      </c>
      <c r="U126" s="104">
        <v>43835.0</v>
      </c>
      <c r="V126" s="104">
        <v>43835.0</v>
      </c>
      <c r="W126" s="4" t="s">
        <v>822</v>
      </c>
    </row>
    <row r="127">
      <c r="A127" s="23">
        <v>42860.0</v>
      </c>
      <c r="B127" s="4" t="s">
        <v>394</v>
      </c>
      <c r="C127" s="24">
        <v>0.5104166666666666</v>
      </c>
      <c r="D127" s="24">
        <v>0.5104166666666666</v>
      </c>
      <c r="E127" s="4" t="s">
        <v>367</v>
      </c>
      <c r="H127" s="105">
        <v>0.2902777777777778</v>
      </c>
      <c r="I127" s="4">
        <v>0.04</v>
      </c>
      <c r="J127" s="4" t="s">
        <v>678</v>
      </c>
      <c r="K127" s="4">
        <v>17.0</v>
      </c>
      <c r="L127" s="4" t="s">
        <v>660</v>
      </c>
      <c r="M127" s="4" t="s">
        <v>661</v>
      </c>
      <c r="O127" s="4" t="s">
        <v>678</v>
      </c>
      <c r="P127" s="4" t="s">
        <v>698</v>
      </c>
      <c r="Q127" s="104">
        <v>43833.0</v>
      </c>
      <c r="R127" s="4" t="s">
        <v>678</v>
      </c>
      <c r="S127" s="104">
        <v>43928.0</v>
      </c>
      <c r="T127" s="4" t="s">
        <v>678</v>
      </c>
      <c r="U127" s="4">
        <v>0.0</v>
      </c>
      <c r="V127" s="4">
        <v>0.0</v>
      </c>
      <c r="X127" s="4" t="s">
        <v>823</v>
      </c>
    </row>
    <row r="128">
      <c r="A128" s="23">
        <v>42865.0</v>
      </c>
      <c r="B128" s="4" t="s">
        <v>230</v>
      </c>
      <c r="C128" s="24">
        <v>0.3958333333333333</v>
      </c>
      <c r="D128" s="24">
        <v>0.4652777777777778</v>
      </c>
      <c r="E128" s="4" t="s">
        <v>397</v>
      </c>
      <c r="F128" s="4" t="s">
        <v>664</v>
      </c>
      <c r="G128" s="4" t="s">
        <v>824</v>
      </c>
      <c r="H128" s="105">
        <v>0.38472222222222224</v>
      </c>
      <c r="I128" s="4">
        <v>-0.2</v>
      </c>
      <c r="J128" s="4" t="s">
        <v>774</v>
      </c>
      <c r="K128" s="4">
        <v>12.0</v>
      </c>
      <c r="L128" s="4" t="s">
        <v>660</v>
      </c>
      <c r="M128" s="4" t="s">
        <v>664</v>
      </c>
      <c r="O128" s="4" t="s">
        <v>676</v>
      </c>
      <c r="P128" s="4">
        <v>0.0</v>
      </c>
      <c r="Q128" s="104">
        <v>43833.0</v>
      </c>
      <c r="R128" s="4" t="s">
        <v>825</v>
      </c>
      <c r="S128" s="104">
        <v>43833.0</v>
      </c>
      <c r="T128" s="4" t="s">
        <v>825</v>
      </c>
      <c r="U128" s="4">
        <v>0.0</v>
      </c>
      <c r="V128" s="104">
        <v>44150.0</v>
      </c>
      <c r="W128" s="4" t="s">
        <v>758</v>
      </c>
      <c r="X128" s="4" t="s">
        <v>826</v>
      </c>
      <c r="Y128" s="4" t="s">
        <v>827</v>
      </c>
    </row>
    <row r="129">
      <c r="A129" s="23">
        <v>42865.0</v>
      </c>
      <c r="B129" s="4" t="s">
        <v>828</v>
      </c>
      <c r="C129" s="24">
        <v>0.36319444444444443</v>
      </c>
      <c r="D129" s="24">
        <v>0.37083333333333335</v>
      </c>
      <c r="E129" s="4" t="s">
        <v>468</v>
      </c>
      <c r="F129" s="4" t="s">
        <v>664</v>
      </c>
      <c r="G129" s="4" t="s">
        <v>39</v>
      </c>
      <c r="H129" s="105">
        <v>0.3416666666666667</v>
      </c>
      <c r="I129" s="4">
        <v>-0.17</v>
      </c>
      <c r="J129" s="4" t="s">
        <v>829</v>
      </c>
      <c r="K129" s="4">
        <v>8.0</v>
      </c>
      <c r="L129" s="4" t="s">
        <v>668</v>
      </c>
      <c r="M129" s="4" t="s">
        <v>664</v>
      </c>
      <c r="O129" s="4" t="s">
        <v>830</v>
      </c>
      <c r="P129" s="4">
        <v>0.0</v>
      </c>
      <c r="Q129" s="104">
        <v>43833.0</v>
      </c>
      <c r="R129" s="4" t="s">
        <v>831</v>
      </c>
      <c r="S129" s="104">
        <v>44055.0</v>
      </c>
      <c r="T129" s="4" t="s">
        <v>832</v>
      </c>
      <c r="U129" s="4">
        <v>0.0</v>
      </c>
      <c r="V129" s="4">
        <v>0.0</v>
      </c>
      <c r="X129" s="4" t="s">
        <v>833</v>
      </c>
      <c r="Y129" s="4" t="s">
        <v>834</v>
      </c>
    </row>
    <row r="130">
      <c r="A130" s="23">
        <v>42866.0</v>
      </c>
      <c r="B130" s="4" t="s">
        <v>400</v>
      </c>
      <c r="C130" s="24">
        <v>0.3680555555555556</v>
      </c>
      <c r="D130" s="24">
        <v>0.4131944444444444</v>
      </c>
      <c r="E130" s="4" t="s">
        <v>401</v>
      </c>
      <c r="H130" s="105">
        <v>0.3798611111111111</v>
      </c>
      <c r="I130" s="4">
        <v>-0.27</v>
      </c>
      <c r="J130" s="4" t="s">
        <v>835</v>
      </c>
      <c r="K130" s="4">
        <v>24.0</v>
      </c>
      <c r="L130" s="4" t="s">
        <v>668</v>
      </c>
      <c r="M130" s="4" t="s">
        <v>664</v>
      </c>
      <c r="O130" s="4" t="s">
        <v>836</v>
      </c>
      <c r="P130" s="104">
        <v>43992.0</v>
      </c>
      <c r="Q130" s="104">
        <v>43833.0</v>
      </c>
      <c r="R130" s="4" t="s">
        <v>836</v>
      </c>
      <c r="S130" s="104">
        <v>44055.0</v>
      </c>
      <c r="T130" s="4" t="s">
        <v>836</v>
      </c>
      <c r="U130" s="104">
        <v>43835.0</v>
      </c>
      <c r="V130" s="4">
        <v>0.0</v>
      </c>
    </row>
    <row r="131">
      <c r="A131" s="23">
        <v>42866.0</v>
      </c>
      <c r="B131" s="4" t="s">
        <v>244</v>
      </c>
      <c r="C131" s="24">
        <v>0.3854166666666667</v>
      </c>
      <c r="D131" s="24">
        <v>0.4583333333333333</v>
      </c>
      <c r="E131" s="4" t="s">
        <v>278</v>
      </c>
      <c r="H131" s="105">
        <v>0.4027777777777778</v>
      </c>
      <c r="I131" s="4">
        <v>-0.2</v>
      </c>
      <c r="J131" s="109" t="s">
        <v>741</v>
      </c>
      <c r="K131" s="4">
        <v>20.0</v>
      </c>
      <c r="L131" s="4" t="s">
        <v>660</v>
      </c>
      <c r="M131" s="4" t="s">
        <v>661</v>
      </c>
      <c r="O131" s="109" t="s">
        <v>781</v>
      </c>
      <c r="P131" s="104">
        <v>44150.0</v>
      </c>
      <c r="Q131" s="104">
        <v>43833.0</v>
      </c>
      <c r="R131" s="109" t="s">
        <v>743</v>
      </c>
      <c r="S131" s="104">
        <v>43928.0</v>
      </c>
      <c r="T131" s="109" t="s">
        <v>743</v>
      </c>
      <c r="U131" s="104">
        <v>43835.0</v>
      </c>
      <c r="V131" s="4">
        <v>0.0</v>
      </c>
      <c r="X131" s="4" t="s">
        <v>837</v>
      </c>
    </row>
    <row r="132">
      <c r="A132" s="23">
        <v>42866.0</v>
      </c>
      <c r="B132" s="4" t="s">
        <v>219</v>
      </c>
      <c r="C132" s="24">
        <v>0.4</v>
      </c>
      <c r="D132" s="24">
        <v>0.4583333333333333</v>
      </c>
      <c r="E132" s="4" t="s">
        <v>479</v>
      </c>
      <c r="F132" s="4" t="s">
        <v>664</v>
      </c>
      <c r="G132" s="4" t="s">
        <v>703</v>
      </c>
      <c r="H132" s="105">
        <v>0.3923611111111111</v>
      </c>
      <c r="I132" s="4">
        <v>-1.0</v>
      </c>
      <c r="J132" s="4" t="s">
        <v>838</v>
      </c>
      <c r="K132" s="4">
        <v>29.0</v>
      </c>
      <c r="L132" s="4" t="s">
        <v>660</v>
      </c>
      <c r="M132" s="4" t="s">
        <v>661</v>
      </c>
      <c r="O132" s="4" t="s">
        <v>839</v>
      </c>
      <c r="P132" s="4">
        <v>0.0</v>
      </c>
      <c r="Q132" s="104">
        <v>43833.0</v>
      </c>
      <c r="R132" s="4" t="s">
        <v>840</v>
      </c>
      <c r="S132" s="4" t="s">
        <v>662</v>
      </c>
      <c r="T132" s="4" t="s">
        <v>839</v>
      </c>
      <c r="U132" s="4">
        <v>0.0</v>
      </c>
      <c r="V132" s="4">
        <v>0.0</v>
      </c>
      <c r="X132" s="4"/>
    </row>
    <row r="133">
      <c r="A133" s="23">
        <v>42866.0</v>
      </c>
      <c r="B133" s="4" t="s">
        <v>377</v>
      </c>
      <c r="C133" s="24">
        <v>0.3645833333333333</v>
      </c>
      <c r="D133" s="24">
        <v>0.4479166666666667</v>
      </c>
      <c r="E133" s="4" t="s">
        <v>704</v>
      </c>
      <c r="F133" s="4" t="s">
        <v>664</v>
      </c>
      <c r="G133" s="4" t="s">
        <v>703</v>
      </c>
      <c r="H133" s="105">
        <v>0.4013888888888889</v>
      </c>
      <c r="I133" s="4">
        <v>-0.2</v>
      </c>
      <c r="J133" s="4" t="s">
        <v>705</v>
      </c>
      <c r="K133" s="4">
        <v>21.0</v>
      </c>
      <c r="L133" s="4" t="s">
        <v>660</v>
      </c>
      <c r="M133" s="4" t="s">
        <v>664</v>
      </c>
      <c r="N133" s="4">
        <v>0.05</v>
      </c>
      <c r="O133" s="4" t="s">
        <v>705</v>
      </c>
      <c r="P133" s="4" t="s">
        <v>698</v>
      </c>
      <c r="Q133" s="104">
        <v>43833.0</v>
      </c>
      <c r="R133" s="4" t="s">
        <v>377</v>
      </c>
      <c r="S133" s="104">
        <v>43833.0</v>
      </c>
      <c r="T133" s="4" t="s">
        <v>705</v>
      </c>
      <c r="U133" s="4">
        <v>0.0</v>
      </c>
      <c r="V133" s="4">
        <v>0.0</v>
      </c>
      <c r="X133" s="4" t="s">
        <v>841</v>
      </c>
    </row>
    <row r="134">
      <c r="A134" s="23">
        <v>42867.0</v>
      </c>
      <c r="B134" s="4" t="s">
        <v>216</v>
      </c>
      <c r="C134" s="24">
        <v>0.4583333333333333</v>
      </c>
      <c r="D134" s="24">
        <v>0.5104166666666666</v>
      </c>
      <c r="E134" s="4" t="s">
        <v>299</v>
      </c>
      <c r="F134" s="4" t="s">
        <v>664</v>
      </c>
      <c r="G134" s="4" t="s">
        <v>703</v>
      </c>
      <c r="H134" s="105">
        <v>0.4222222222222222</v>
      </c>
      <c r="I134" s="4">
        <v>-0.13</v>
      </c>
      <c r="J134" s="4" t="s">
        <v>774</v>
      </c>
      <c r="K134" s="4">
        <v>12.0</v>
      </c>
      <c r="L134" s="4" t="s">
        <v>660</v>
      </c>
      <c r="M134" s="4" t="s">
        <v>661</v>
      </c>
      <c r="O134" s="4" t="s">
        <v>774</v>
      </c>
      <c r="P134" s="104">
        <v>44150.0</v>
      </c>
      <c r="Q134" s="104">
        <v>43833.0</v>
      </c>
      <c r="R134" s="4" t="s">
        <v>842</v>
      </c>
      <c r="S134" s="4" t="s">
        <v>701</v>
      </c>
      <c r="T134" s="4" t="s">
        <v>843</v>
      </c>
      <c r="U134" s="104">
        <v>43835.0</v>
      </c>
      <c r="V134" s="4">
        <v>0.0</v>
      </c>
      <c r="X134" s="4" t="s">
        <v>844</v>
      </c>
    </row>
    <row r="135">
      <c r="A135" s="23">
        <v>42874.0</v>
      </c>
      <c r="B135" s="4" t="s">
        <v>400</v>
      </c>
      <c r="C135" s="24">
        <v>0.3680555555555556</v>
      </c>
      <c r="D135" s="24">
        <v>0.4131944444444444</v>
      </c>
      <c r="E135" s="4" t="s">
        <v>401</v>
      </c>
      <c r="H135" s="105">
        <v>0.3798611111111111</v>
      </c>
      <c r="I135" s="4">
        <v>-0.27</v>
      </c>
      <c r="J135" s="4" t="s">
        <v>835</v>
      </c>
      <c r="K135" s="4">
        <v>24.0</v>
      </c>
      <c r="L135" s="4" t="s">
        <v>668</v>
      </c>
      <c r="M135" s="4" t="s">
        <v>664</v>
      </c>
      <c r="N135" s="4"/>
      <c r="O135" s="4" t="s">
        <v>836</v>
      </c>
      <c r="P135" s="104">
        <v>43992.0</v>
      </c>
      <c r="Q135" s="104">
        <v>43833.0</v>
      </c>
      <c r="R135" s="4" t="s">
        <v>836</v>
      </c>
      <c r="S135" s="104">
        <v>44055.0</v>
      </c>
      <c r="T135" s="4" t="s">
        <v>836</v>
      </c>
      <c r="U135" s="104">
        <v>43835.0</v>
      </c>
      <c r="V135" s="4">
        <v>0.0</v>
      </c>
    </row>
    <row r="136">
      <c r="A136" s="23">
        <v>42879.0</v>
      </c>
      <c r="B136" s="4" t="s">
        <v>247</v>
      </c>
      <c r="C136" s="24">
        <v>0.3854166666666667</v>
      </c>
      <c r="D136" s="24">
        <v>0.46875</v>
      </c>
      <c r="E136" s="4" t="s">
        <v>289</v>
      </c>
      <c r="H136" s="105">
        <v>0.3819444444444444</v>
      </c>
      <c r="I136" s="4">
        <v>-0.75</v>
      </c>
      <c r="J136" s="4" t="s">
        <v>845</v>
      </c>
      <c r="K136" s="4">
        <v>12.0</v>
      </c>
      <c r="L136" s="4" t="s">
        <v>660</v>
      </c>
      <c r="M136" s="4" t="s">
        <v>664</v>
      </c>
      <c r="N136" s="4">
        <v>0.42</v>
      </c>
      <c r="O136" s="4" t="s">
        <v>590</v>
      </c>
      <c r="P136" s="4" t="s">
        <v>680</v>
      </c>
      <c r="Q136" s="104">
        <v>43927.0</v>
      </c>
      <c r="R136" s="4" t="s">
        <v>697</v>
      </c>
      <c r="S136" s="104">
        <v>43928.0</v>
      </c>
      <c r="T136" s="4" t="s">
        <v>697</v>
      </c>
      <c r="U136" s="4">
        <v>0.0</v>
      </c>
      <c r="V136" s="4">
        <v>0.0</v>
      </c>
    </row>
    <row r="137">
      <c r="A137" s="23">
        <v>42908.0</v>
      </c>
      <c r="B137" s="4" t="s">
        <v>246</v>
      </c>
      <c r="C137" s="24">
        <v>0.3194444444444444</v>
      </c>
      <c r="D137" s="24">
        <v>0.3958333333333333</v>
      </c>
      <c r="E137" s="4" t="s">
        <v>197</v>
      </c>
      <c r="H137" s="105">
        <v>0.3333333333333333</v>
      </c>
      <c r="I137" s="4">
        <v>-0.43</v>
      </c>
      <c r="J137" s="4" t="s">
        <v>569</v>
      </c>
      <c r="K137" s="4">
        <v>3.0</v>
      </c>
      <c r="L137" s="4" t="s">
        <v>660</v>
      </c>
      <c r="M137" s="4" t="s">
        <v>664</v>
      </c>
      <c r="O137" s="4" t="s">
        <v>807</v>
      </c>
      <c r="P137" s="4">
        <v>0.0</v>
      </c>
      <c r="Q137" s="104">
        <v>43927.0</v>
      </c>
      <c r="R137" s="4" t="s">
        <v>807</v>
      </c>
      <c r="S137" s="104">
        <v>43928.0</v>
      </c>
      <c r="T137" s="4" t="s">
        <v>569</v>
      </c>
      <c r="U137" s="4">
        <v>0.0</v>
      </c>
      <c r="V137" s="104">
        <v>43835.0</v>
      </c>
    </row>
    <row r="138">
      <c r="A138" s="23">
        <v>42910.0</v>
      </c>
      <c r="B138" s="4" t="s">
        <v>219</v>
      </c>
      <c r="C138" s="24">
        <v>0.3472222222222222</v>
      </c>
      <c r="D138" s="24">
        <v>0.4583333333333333</v>
      </c>
      <c r="E138" s="4" t="s">
        <v>197</v>
      </c>
      <c r="H138" s="105">
        <v>0.3958333333333333</v>
      </c>
      <c r="I138" s="4">
        <v>0.0</v>
      </c>
      <c r="J138" s="4" t="s">
        <v>569</v>
      </c>
      <c r="K138" s="4">
        <v>5.0</v>
      </c>
      <c r="L138" s="4" t="s">
        <v>660</v>
      </c>
      <c r="M138" s="4" t="s">
        <v>661</v>
      </c>
      <c r="O138" s="4" t="s">
        <v>569</v>
      </c>
      <c r="P138" s="104">
        <v>43835.0</v>
      </c>
      <c r="Q138" s="104">
        <v>43833.0</v>
      </c>
      <c r="R138" s="4" t="s">
        <v>569</v>
      </c>
      <c r="S138" s="104">
        <v>43833.0</v>
      </c>
      <c r="T138" s="4" t="s">
        <v>569</v>
      </c>
      <c r="U138" s="104">
        <v>43835.0</v>
      </c>
      <c r="V138" s="104">
        <v>43835.0</v>
      </c>
    </row>
    <row r="139">
      <c r="A139" s="23">
        <v>42911.0</v>
      </c>
      <c r="B139" s="4" t="s">
        <v>250</v>
      </c>
      <c r="C139" s="24">
        <v>0.375</v>
      </c>
      <c r="D139" s="24">
        <v>0.4583333333333333</v>
      </c>
      <c r="E139" s="4" t="s">
        <v>197</v>
      </c>
      <c r="H139" s="105">
        <v>0.4166666666666667</v>
      </c>
      <c r="I139" s="4">
        <v>0.0</v>
      </c>
      <c r="J139" s="4" t="s">
        <v>569</v>
      </c>
      <c r="K139" s="4">
        <v>4.0</v>
      </c>
      <c r="L139" s="4" t="s">
        <v>660</v>
      </c>
      <c r="M139" s="4" t="s">
        <v>661</v>
      </c>
      <c r="O139" s="4" t="s">
        <v>569</v>
      </c>
      <c r="P139" s="104">
        <v>43992.0</v>
      </c>
      <c r="Q139" s="104">
        <v>43833.0</v>
      </c>
      <c r="R139" s="4" t="s">
        <v>569</v>
      </c>
      <c r="S139" s="104">
        <v>43833.0</v>
      </c>
      <c r="T139" s="4" t="s">
        <v>569</v>
      </c>
      <c r="U139" s="4">
        <v>0.0</v>
      </c>
      <c r="V139" s="4">
        <v>0.0</v>
      </c>
    </row>
    <row r="140">
      <c r="A140" s="23">
        <v>43134.0</v>
      </c>
      <c r="B140" s="4" t="s">
        <v>201</v>
      </c>
      <c r="C140" s="24">
        <v>0.4895833333333333</v>
      </c>
      <c r="D140" s="24">
        <v>0.5625</v>
      </c>
      <c r="E140" s="4" t="s">
        <v>197</v>
      </c>
      <c r="F140" s="4" t="s">
        <v>661</v>
      </c>
      <c r="H140" s="105">
        <v>0.5472222222222223</v>
      </c>
      <c r="I140" s="4">
        <v>-0.1</v>
      </c>
      <c r="J140" s="4" t="s">
        <v>569</v>
      </c>
      <c r="K140" s="4">
        <v>10.0</v>
      </c>
      <c r="L140" s="4" t="s">
        <v>689</v>
      </c>
      <c r="M140" s="4" t="s">
        <v>664</v>
      </c>
      <c r="O140" s="4" t="s">
        <v>842</v>
      </c>
      <c r="P140" s="104">
        <v>43992.0</v>
      </c>
      <c r="Q140" s="104">
        <v>43833.0</v>
      </c>
      <c r="R140" s="4" t="s">
        <v>846</v>
      </c>
      <c r="S140" s="104">
        <v>43833.0</v>
      </c>
      <c r="T140" s="4" t="s">
        <v>847</v>
      </c>
      <c r="U140" s="104">
        <v>43835.0</v>
      </c>
      <c r="V140" s="4">
        <v>0.0</v>
      </c>
      <c r="X140" s="4" t="s">
        <v>848</v>
      </c>
    </row>
    <row r="141">
      <c r="A141" s="23">
        <v>43147.0</v>
      </c>
      <c r="B141" s="4" t="s">
        <v>201</v>
      </c>
      <c r="C141" s="24">
        <v>0.4583333333333333</v>
      </c>
      <c r="D141" s="24">
        <v>0.5208333333333334</v>
      </c>
      <c r="E141" s="4" t="s">
        <v>389</v>
      </c>
      <c r="F141" s="4" t="s">
        <v>664</v>
      </c>
      <c r="G141" s="4" t="s">
        <v>39</v>
      </c>
      <c r="H141" s="105">
        <v>0.47430555555555554</v>
      </c>
      <c r="I141" s="4">
        <v>-0.004</v>
      </c>
      <c r="J141" s="4" t="s">
        <v>569</v>
      </c>
      <c r="K141" s="4">
        <v>13.0</v>
      </c>
      <c r="L141" s="4" t="s">
        <v>668</v>
      </c>
      <c r="M141" s="4" t="s">
        <v>664</v>
      </c>
      <c r="N141" s="4">
        <v>2.74</v>
      </c>
      <c r="O141" s="4" t="s">
        <v>849</v>
      </c>
      <c r="P141" s="4" t="s">
        <v>680</v>
      </c>
      <c r="Q141" s="104">
        <v>43833.0</v>
      </c>
      <c r="R141" s="4" t="s">
        <v>569</v>
      </c>
      <c r="S141" s="4" t="s">
        <v>662</v>
      </c>
      <c r="T141" s="4" t="s">
        <v>569</v>
      </c>
      <c r="U141" s="104">
        <v>43835.0</v>
      </c>
      <c r="V141" s="4">
        <v>0.0</v>
      </c>
    </row>
    <row r="142">
      <c r="A142" s="23">
        <v>43148.0</v>
      </c>
      <c r="B142" s="4" t="s">
        <v>244</v>
      </c>
      <c r="C142" s="24">
        <v>0.4986111111111111</v>
      </c>
      <c r="D142" s="24">
        <v>0.56875</v>
      </c>
      <c r="E142" s="4" t="s">
        <v>197</v>
      </c>
      <c r="H142" s="105">
        <v>0.49236111111111114</v>
      </c>
      <c r="I142" s="4">
        <v>0.0</v>
      </c>
      <c r="J142" s="4" t="s">
        <v>569</v>
      </c>
      <c r="K142" s="4">
        <v>8.0</v>
      </c>
      <c r="L142" s="4" t="s">
        <v>668</v>
      </c>
      <c r="M142" s="4" t="s">
        <v>664</v>
      </c>
      <c r="O142" s="4" t="s">
        <v>842</v>
      </c>
      <c r="P142" s="104">
        <v>43835.0</v>
      </c>
      <c r="Q142" s="104">
        <v>43833.0</v>
      </c>
      <c r="R142" s="4" t="s">
        <v>850</v>
      </c>
      <c r="S142" s="104">
        <v>43928.0</v>
      </c>
      <c r="T142" s="4" t="s">
        <v>847</v>
      </c>
      <c r="U142" s="104">
        <v>43835.0</v>
      </c>
      <c r="V142" s="104">
        <v>43835.0</v>
      </c>
      <c r="W142" s="4" t="s">
        <v>758</v>
      </c>
      <c r="X142" s="4" t="s">
        <v>851</v>
      </c>
      <c r="Y142" s="4" t="s">
        <v>852</v>
      </c>
    </row>
    <row r="143">
      <c r="A143" s="23">
        <v>43160.0</v>
      </c>
      <c r="B143" s="4" t="s">
        <v>219</v>
      </c>
      <c r="C143" s="24">
        <v>0.375</v>
      </c>
      <c r="D143" s="24">
        <v>0.4513888888888889</v>
      </c>
      <c r="E143" s="4" t="s">
        <v>333</v>
      </c>
      <c r="H143" s="105">
        <v>0.4395833333333333</v>
      </c>
      <c r="I143" s="4">
        <v>-0.2</v>
      </c>
      <c r="J143" s="4" t="s">
        <v>569</v>
      </c>
      <c r="K143" s="4">
        <v>25.0</v>
      </c>
      <c r="L143" s="4" t="s">
        <v>660</v>
      </c>
      <c r="M143" s="4" t="s">
        <v>661</v>
      </c>
      <c r="O143" s="4" t="s">
        <v>569</v>
      </c>
      <c r="P143" s="104">
        <v>43835.0</v>
      </c>
      <c r="Q143" s="104">
        <v>43833.0</v>
      </c>
      <c r="R143" s="4" t="s">
        <v>853</v>
      </c>
      <c r="S143" s="104">
        <v>43928.0</v>
      </c>
      <c r="T143" s="4" t="s">
        <v>762</v>
      </c>
      <c r="U143" s="4">
        <v>0.0</v>
      </c>
      <c r="V143" s="4">
        <v>0.0</v>
      </c>
      <c r="X143" s="4" t="s">
        <v>854</v>
      </c>
    </row>
    <row r="144">
      <c r="A144" s="23">
        <v>43160.0</v>
      </c>
      <c r="B144" s="4" t="s">
        <v>233</v>
      </c>
      <c r="C144" s="24">
        <v>0.3958333333333333</v>
      </c>
      <c r="D144" s="24">
        <v>0.4388888888888889</v>
      </c>
      <c r="E144" s="4" t="s">
        <v>286</v>
      </c>
      <c r="H144" s="105">
        <v>0.43194444444444446</v>
      </c>
      <c r="I144" s="4">
        <v>-0.1</v>
      </c>
      <c r="J144" s="4" t="s">
        <v>855</v>
      </c>
      <c r="K144" s="4">
        <v>11.0</v>
      </c>
      <c r="L144" s="4" t="s">
        <v>689</v>
      </c>
      <c r="M144" s="4" t="s">
        <v>664</v>
      </c>
      <c r="O144" s="4" t="s">
        <v>686</v>
      </c>
      <c r="P144" s="4">
        <v>0.0</v>
      </c>
      <c r="Q144" s="104">
        <v>43833.0</v>
      </c>
      <c r="R144" s="4" t="s">
        <v>686</v>
      </c>
      <c r="S144" s="4" t="s">
        <v>669</v>
      </c>
      <c r="T144" s="4" t="s">
        <v>686</v>
      </c>
      <c r="U144" s="4">
        <v>0.0</v>
      </c>
      <c r="V144" s="4">
        <v>0.0</v>
      </c>
    </row>
    <row r="145">
      <c r="A145" s="23">
        <v>43163.0</v>
      </c>
      <c r="B145" s="4" t="s">
        <v>293</v>
      </c>
      <c r="C145" s="24">
        <v>0.4270833333333333</v>
      </c>
      <c r="D145" s="24">
        <v>0.53125</v>
      </c>
      <c r="E145" s="4" t="s">
        <v>197</v>
      </c>
      <c r="H145" s="105">
        <v>0.4395833333333333</v>
      </c>
      <c r="I145" s="4">
        <v>-0.1</v>
      </c>
      <c r="J145" s="4" t="s">
        <v>590</v>
      </c>
      <c r="K145" s="4">
        <v>4.0</v>
      </c>
      <c r="L145" s="4" t="s">
        <v>660</v>
      </c>
      <c r="M145" s="4" t="s">
        <v>664</v>
      </c>
      <c r="O145" s="4" t="s">
        <v>842</v>
      </c>
      <c r="P145" s="104">
        <v>43992.0</v>
      </c>
      <c r="Q145" s="104">
        <v>43927.0</v>
      </c>
      <c r="R145" s="4" t="s">
        <v>850</v>
      </c>
      <c r="S145" s="104">
        <v>43833.0</v>
      </c>
      <c r="T145" s="4" t="s">
        <v>856</v>
      </c>
      <c r="U145" s="4">
        <v>0.0</v>
      </c>
      <c r="V145" s="4">
        <v>0.0</v>
      </c>
      <c r="W145" s="4" t="s">
        <v>842</v>
      </c>
      <c r="X145" s="4" t="s">
        <v>857</v>
      </c>
      <c r="Y145" s="4" t="s">
        <v>858</v>
      </c>
    </row>
    <row r="146">
      <c r="A146" s="23">
        <v>43175.0</v>
      </c>
      <c r="B146" s="4" t="s">
        <v>230</v>
      </c>
      <c r="C146" s="24">
        <v>0.4166666666666667</v>
      </c>
      <c r="D146" s="24">
        <v>0.5</v>
      </c>
      <c r="E146" s="4" t="s">
        <v>513</v>
      </c>
      <c r="F146" s="4" t="s">
        <v>859</v>
      </c>
      <c r="H146" s="105">
        <v>0.4791666666666667</v>
      </c>
      <c r="I146" s="4">
        <v>0.1</v>
      </c>
      <c r="J146" s="4" t="s">
        <v>860</v>
      </c>
      <c r="K146" s="4">
        <v>16.0</v>
      </c>
      <c r="L146" s="4" t="s">
        <v>668</v>
      </c>
      <c r="M146" s="4" t="s">
        <v>664</v>
      </c>
      <c r="O146" s="4" t="s">
        <v>676</v>
      </c>
      <c r="P146" s="4" t="s">
        <v>698</v>
      </c>
      <c r="Q146" s="104">
        <v>43833.0</v>
      </c>
      <c r="R146" s="4" t="s">
        <v>676</v>
      </c>
      <c r="S146" s="4" t="s">
        <v>662</v>
      </c>
      <c r="T146" s="4" t="s">
        <v>762</v>
      </c>
      <c r="U146" s="104">
        <v>43835.0</v>
      </c>
      <c r="V146" s="104">
        <v>43835.0</v>
      </c>
      <c r="W146" s="4" t="s">
        <v>861</v>
      </c>
      <c r="X146" s="4" t="s">
        <v>862</v>
      </c>
      <c r="Y146" s="4"/>
    </row>
    <row r="147">
      <c r="A147" s="23">
        <v>43207.0</v>
      </c>
      <c r="B147" s="4" t="s">
        <v>244</v>
      </c>
      <c r="C147" s="24">
        <v>0.3854166666666667</v>
      </c>
      <c r="D147" s="24">
        <v>0.4444444444444444</v>
      </c>
      <c r="E147" s="4" t="s">
        <v>326</v>
      </c>
      <c r="H147" s="105">
        <v>0.4486111111111111</v>
      </c>
      <c r="I147" s="4">
        <v>-0.15</v>
      </c>
      <c r="J147" s="4" t="s">
        <v>863</v>
      </c>
      <c r="K147" s="4">
        <v>50.0</v>
      </c>
      <c r="L147" s="4" t="s">
        <v>689</v>
      </c>
      <c r="M147" s="4" t="s">
        <v>664</v>
      </c>
      <c r="O147" s="4" t="s">
        <v>864</v>
      </c>
      <c r="P147" s="104">
        <v>43835.0</v>
      </c>
      <c r="Q147" s="104">
        <v>43833.0</v>
      </c>
      <c r="R147" s="4" t="s">
        <v>865</v>
      </c>
      <c r="S147" s="4" t="s">
        <v>662</v>
      </c>
      <c r="T147" s="4">
        <v>0.0</v>
      </c>
      <c r="U147" s="4">
        <v>0.0</v>
      </c>
      <c r="Y147" s="4" t="s">
        <v>866</v>
      </c>
    </row>
    <row r="148">
      <c r="A148" s="23">
        <v>43208.0</v>
      </c>
      <c r="B148" s="4" t="s">
        <v>515</v>
      </c>
      <c r="C148" s="24">
        <v>0.4111111111111111</v>
      </c>
      <c r="D148" s="24">
        <v>0.4513888888888889</v>
      </c>
      <c r="E148" s="4" t="s">
        <v>383</v>
      </c>
      <c r="H148" s="105">
        <v>0.44513888888888886</v>
      </c>
      <c r="I148" s="4">
        <v>2.0</v>
      </c>
      <c r="J148" s="4" t="s">
        <v>590</v>
      </c>
      <c r="K148" s="4">
        <v>21.0</v>
      </c>
      <c r="L148" s="4" t="s">
        <v>668</v>
      </c>
      <c r="M148" s="4" t="s">
        <v>661</v>
      </c>
      <c r="N148" s="4">
        <v>0.19</v>
      </c>
      <c r="O148" s="4" t="s">
        <v>867</v>
      </c>
      <c r="P148" s="4" t="s">
        <v>684</v>
      </c>
      <c r="Q148" s="104">
        <v>43927.0</v>
      </c>
      <c r="R148" s="4" t="s">
        <v>590</v>
      </c>
      <c r="S148" s="4" t="s">
        <v>669</v>
      </c>
      <c r="T148" s="4" t="s">
        <v>868</v>
      </c>
      <c r="U148" s="4">
        <v>0.0</v>
      </c>
      <c r="V148" s="4">
        <v>0.0</v>
      </c>
      <c r="X148" s="4"/>
    </row>
    <row r="149">
      <c r="A149" s="23">
        <v>43209.0</v>
      </c>
      <c r="B149" s="4" t="s">
        <v>250</v>
      </c>
      <c r="C149" s="24"/>
      <c r="D149" s="24"/>
      <c r="E149" s="4"/>
      <c r="H149" s="105"/>
      <c r="I149" s="4"/>
      <c r="J149" s="4"/>
      <c r="K149" s="4"/>
      <c r="L149" s="4"/>
      <c r="M149" s="4"/>
      <c r="N149" s="4"/>
      <c r="O149" s="4"/>
      <c r="P149" s="4"/>
      <c r="Q149" s="104"/>
      <c r="R149" s="4"/>
      <c r="S149" s="104"/>
      <c r="T149" s="4"/>
      <c r="U149" s="104"/>
      <c r="V149" s="104"/>
      <c r="X149" s="4"/>
    </row>
    <row r="150">
      <c r="A150" s="23">
        <v>43211.0</v>
      </c>
      <c r="B150" s="4" t="s">
        <v>293</v>
      </c>
      <c r="C150" s="24">
        <v>0.4791666666666667</v>
      </c>
      <c r="D150" s="24">
        <v>0.041666666666666664</v>
      </c>
      <c r="E150" s="4" t="s">
        <v>418</v>
      </c>
      <c r="H150" s="105">
        <v>0.5361111111111111</v>
      </c>
      <c r="I150" s="4">
        <v>0.01</v>
      </c>
      <c r="J150" s="4" t="s">
        <v>688</v>
      </c>
      <c r="K150" s="4">
        <v>2.0</v>
      </c>
      <c r="L150" s="4" t="s">
        <v>689</v>
      </c>
      <c r="M150" s="4" t="s">
        <v>664</v>
      </c>
      <c r="N150" s="4">
        <v>1.57</v>
      </c>
      <c r="O150" s="4" t="s">
        <v>810</v>
      </c>
      <c r="P150" s="4" t="s">
        <v>684</v>
      </c>
      <c r="Q150" s="104">
        <v>43833.0</v>
      </c>
      <c r="R150" s="4" t="s">
        <v>590</v>
      </c>
      <c r="S150" s="104">
        <v>43833.0</v>
      </c>
      <c r="T150" s="4" t="s">
        <v>590</v>
      </c>
      <c r="U150" s="104">
        <v>43835.0</v>
      </c>
      <c r="V150" s="104">
        <v>43835.0</v>
      </c>
      <c r="X150" s="4" t="s">
        <v>869</v>
      </c>
    </row>
    <row r="151">
      <c r="A151" s="23">
        <v>43212.0</v>
      </c>
      <c r="B151" s="4" t="s">
        <v>293</v>
      </c>
      <c r="C151" s="24">
        <v>0.5541666666666667</v>
      </c>
      <c r="D151" s="24">
        <v>0.6458333333333334</v>
      </c>
      <c r="E151" s="4" t="s">
        <v>418</v>
      </c>
      <c r="H151" s="105">
        <v>0.09375</v>
      </c>
      <c r="I151" s="4">
        <v>0.2</v>
      </c>
      <c r="J151" s="4" t="s">
        <v>688</v>
      </c>
      <c r="K151" s="4">
        <v>7.0</v>
      </c>
      <c r="L151" s="4" t="s">
        <v>660</v>
      </c>
      <c r="M151" s="4" t="s">
        <v>664</v>
      </c>
      <c r="N151" s="4">
        <v>1.57</v>
      </c>
      <c r="O151" s="4" t="s">
        <v>810</v>
      </c>
      <c r="P151" s="4">
        <v>0.0</v>
      </c>
      <c r="Q151" s="104">
        <v>43833.0</v>
      </c>
      <c r="R151" s="4" t="s">
        <v>590</v>
      </c>
      <c r="S151" s="104">
        <v>43928.0</v>
      </c>
      <c r="T151" s="4" t="s">
        <v>590</v>
      </c>
      <c r="U151" s="4">
        <v>0.0</v>
      </c>
      <c r="V151" s="4">
        <v>0.0</v>
      </c>
      <c r="X151" s="4" t="s">
        <v>870</v>
      </c>
    </row>
    <row r="152">
      <c r="A152" s="23">
        <v>43213.0</v>
      </c>
      <c r="B152" s="4" t="s">
        <v>219</v>
      </c>
      <c r="C152" s="24">
        <v>0.3333333333333333</v>
      </c>
      <c r="D152" s="24">
        <v>0.4583333333333333</v>
      </c>
      <c r="E152" s="4" t="s">
        <v>269</v>
      </c>
      <c r="H152" s="105">
        <v>0.4166666666666667</v>
      </c>
      <c r="I152" s="4">
        <v>-0.1</v>
      </c>
      <c r="J152" s="4" t="s">
        <v>569</v>
      </c>
      <c r="K152" s="4">
        <v>20.0</v>
      </c>
      <c r="L152" s="4" t="s">
        <v>660</v>
      </c>
      <c r="M152" s="4" t="s">
        <v>664</v>
      </c>
      <c r="O152" s="4" t="s">
        <v>569</v>
      </c>
      <c r="P152" s="104">
        <v>43992.0</v>
      </c>
      <c r="Q152" s="104">
        <v>43833.0</v>
      </c>
      <c r="R152" s="4" t="s">
        <v>569</v>
      </c>
      <c r="S152" s="4" t="s">
        <v>662</v>
      </c>
      <c r="T152" s="4" t="s">
        <v>569</v>
      </c>
      <c r="U152" s="4">
        <v>0.0</v>
      </c>
      <c r="V152" s="4">
        <v>0.0</v>
      </c>
      <c r="Y152" s="4"/>
    </row>
    <row r="153">
      <c r="A153" s="23">
        <v>43214.0</v>
      </c>
      <c r="B153" s="4" t="s">
        <v>244</v>
      </c>
      <c r="C153" s="24">
        <v>0.375</v>
      </c>
      <c r="D153" s="24">
        <v>0.4444444444444444</v>
      </c>
      <c r="E153" s="4" t="s">
        <v>326</v>
      </c>
      <c r="H153" s="105">
        <v>0.2916666666666667</v>
      </c>
      <c r="I153" s="4">
        <v>-0.11</v>
      </c>
      <c r="J153" s="4" t="s">
        <v>863</v>
      </c>
      <c r="K153" s="4">
        <v>30.0</v>
      </c>
      <c r="L153" s="4" t="s">
        <v>668</v>
      </c>
      <c r="M153" s="4" t="s">
        <v>664</v>
      </c>
      <c r="O153" s="4" t="s">
        <v>864</v>
      </c>
      <c r="P153" s="104">
        <v>43835.0</v>
      </c>
      <c r="Q153" s="104">
        <v>43833.0</v>
      </c>
      <c r="R153" s="4" t="s">
        <v>865</v>
      </c>
      <c r="S153" s="4" t="s">
        <v>662</v>
      </c>
      <c r="T153" s="4" t="s">
        <v>865</v>
      </c>
      <c r="U153" s="104">
        <v>43835.0</v>
      </c>
      <c r="V153" s="4">
        <v>0.0</v>
      </c>
      <c r="Y153" s="4" t="s">
        <v>871</v>
      </c>
    </row>
    <row r="154">
      <c r="A154" s="23">
        <v>43214.0</v>
      </c>
      <c r="B154" s="4" t="s">
        <v>201</v>
      </c>
      <c r="C154" s="24">
        <v>0.3854166666666667</v>
      </c>
      <c r="D154" s="24">
        <v>0.4097222222222222</v>
      </c>
      <c r="E154" s="4" t="s">
        <v>422</v>
      </c>
      <c r="H154" s="105">
        <v>0.2916666666666667</v>
      </c>
      <c r="I154" s="4">
        <v>-0.15</v>
      </c>
      <c r="J154" s="4" t="s">
        <v>569</v>
      </c>
      <c r="K154" s="4">
        <v>22.0</v>
      </c>
      <c r="L154" s="4" t="s">
        <v>764</v>
      </c>
      <c r="M154" s="4" t="s">
        <v>664</v>
      </c>
      <c r="N154" s="4">
        <v>0.04</v>
      </c>
      <c r="O154" s="4" t="s">
        <v>872</v>
      </c>
      <c r="P154" s="104">
        <v>43835.0</v>
      </c>
      <c r="Q154" s="104">
        <v>43833.0</v>
      </c>
      <c r="R154" s="4" t="s">
        <v>873</v>
      </c>
      <c r="S154" s="4" t="s">
        <v>701</v>
      </c>
      <c r="T154" s="4" t="s">
        <v>873</v>
      </c>
      <c r="U154" s="104">
        <v>43835.0</v>
      </c>
      <c r="V154" s="4">
        <v>0.0</v>
      </c>
      <c r="X154" s="4" t="s">
        <v>874</v>
      </c>
    </row>
    <row r="155">
      <c r="A155" s="23">
        <v>43215.0</v>
      </c>
      <c r="B155" s="4" t="s">
        <v>340</v>
      </c>
      <c r="C155" s="24">
        <v>0.3159722222222222</v>
      </c>
      <c r="D155" s="24">
        <v>0.34375</v>
      </c>
      <c r="E155" s="4" t="s">
        <v>381</v>
      </c>
      <c r="H155" s="105">
        <v>0.30694444444444446</v>
      </c>
      <c r="I155" s="4">
        <v>0.02</v>
      </c>
      <c r="J155" s="4" t="s">
        <v>875</v>
      </c>
      <c r="K155" s="4">
        <v>24.0</v>
      </c>
      <c r="L155" s="4" t="s">
        <v>668</v>
      </c>
      <c r="M155" s="4" t="s">
        <v>661</v>
      </c>
      <c r="O155" s="4" t="s">
        <v>876</v>
      </c>
      <c r="P155" s="104">
        <v>43992.0</v>
      </c>
      <c r="Q155" s="104">
        <v>43833.0</v>
      </c>
      <c r="R155" s="4" t="s">
        <v>678</v>
      </c>
      <c r="S155" s="104">
        <v>43928.0</v>
      </c>
      <c r="T155" s="4" t="s">
        <v>678</v>
      </c>
      <c r="U155" s="4">
        <v>0.0</v>
      </c>
      <c r="V155" s="4">
        <v>0.0</v>
      </c>
    </row>
    <row r="156">
      <c r="A156" s="23">
        <v>43216.0</v>
      </c>
      <c r="B156" s="4" t="s">
        <v>329</v>
      </c>
      <c r="C156" s="24">
        <v>0.3958333333333333</v>
      </c>
      <c r="D156" s="24">
        <v>0.4236111111111111</v>
      </c>
      <c r="E156" s="4" t="s">
        <v>330</v>
      </c>
      <c r="F156" s="4" t="s">
        <v>664</v>
      </c>
      <c r="G156" s="4" t="s">
        <v>39</v>
      </c>
      <c r="H156" s="105">
        <v>0.3375</v>
      </c>
      <c r="I156" s="4">
        <v>-0.2</v>
      </c>
      <c r="J156" s="4" t="s">
        <v>877</v>
      </c>
      <c r="K156" s="4">
        <v>10.0</v>
      </c>
      <c r="L156" s="4" t="s">
        <v>660</v>
      </c>
      <c r="M156" s="4" t="s">
        <v>664</v>
      </c>
      <c r="N156" s="4">
        <v>1.0</v>
      </c>
      <c r="O156" s="4" t="s">
        <v>569</v>
      </c>
      <c r="P156" s="4">
        <v>0.0</v>
      </c>
      <c r="Q156" s="104">
        <v>43833.0</v>
      </c>
      <c r="R156" s="4" t="s">
        <v>569</v>
      </c>
      <c r="S156" s="4" t="s">
        <v>662</v>
      </c>
      <c r="T156" s="4" t="s">
        <v>805</v>
      </c>
      <c r="U156" s="4">
        <v>0.0</v>
      </c>
      <c r="V156" s="4">
        <v>0.0</v>
      </c>
      <c r="X156" s="4" t="s">
        <v>878</v>
      </c>
    </row>
    <row r="157">
      <c r="A157" s="23">
        <v>43217.0</v>
      </c>
      <c r="B157" s="4" t="s">
        <v>377</v>
      </c>
      <c r="C157" s="24">
        <v>0.4284722222222222</v>
      </c>
      <c r="D157" s="24">
        <v>0.4736111111111111</v>
      </c>
      <c r="E157" s="4" t="s">
        <v>704</v>
      </c>
      <c r="H157" s="105">
        <v>0.3388888888888889</v>
      </c>
      <c r="I157" s="4">
        <v>0.02</v>
      </c>
      <c r="J157" s="4" t="s">
        <v>879</v>
      </c>
      <c r="K157" s="4">
        <v>19.0</v>
      </c>
      <c r="L157" s="4" t="s">
        <v>689</v>
      </c>
      <c r="M157" s="4" t="s">
        <v>664</v>
      </c>
      <c r="N157" s="4">
        <v>0.14</v>
      </c>
      <c r="O157" s="4" t="s">
        <v>880</v>
      </c>
      <c r="P157" s="4" t="s">
        <v>684</v>
      </c>
      <c r="Q157" s="104">
        <v>43833.0</v>
      </c>
      <c r="R157" s="4" t="s">
        <v>880</v>
      </c>
      <c r="S157" s="4" t="s">
        <v>662</v>
      </c>
      <c r="T157" s="4" t="s">
        <v>880</v>
      </c>
      <c r="U157" s="4">
        <v>0.0</v>
      </c>
      <c r="V157" s="4">
        <v>0.0</v>
      </c>
      <c r="X157" s="4" t="s">
        <v>881</v>
      </c>
    </row>
    <row r="158">
      <c r="A158" s="23">
        <v>43219.0</v>
      </c>
      <c r="B158" s="4" t="s">
        <v>374</v>
      </c>
      <c r="C158" s="24">
        <v>0.35625</v>
      </c>
      <c r="D158" s="24">
        <v>0.4479166666666667</v>
      </c>
      <c r="E158" s="4" t="s">
        <v>375</v>
      </c>
      <c r="G158" s="4" t="s">
        <v>703</v>
      </c>
      <c r="H158" s="105">
        <v>0.39375</v>
      </c>
      <c r="I158" s="4">
        <v>-3.1</v>
      </c>
      <c r="J158" s="4" t="s">
        <v>795</v>
      </c>
      <c r="K158" s="4">
        <v>8.0</v>
      </c>
      <c r="L158" s="4" t="s">
        <v>689</v>
      </c>
      <c r="M158" s="4" t="s">
        <v>661</v>
      </c>
      <c r="O158" s="4" t="s">
        <v>882</v>
      </c>
      <c r="P158" s="104">
        <v>43835.0</v>
      </c>
      <c r="Q158" s="104">
        <v>43833.0</v>
      </c>
      <c r="R158" s="4" t="s">
        <v>662</v>
      </c>
      <c r="S158" s="104">
        <v>43833.0</v>
      </c>
      <c r="T158" s="4" t="s">
        <v>882</v>
      </c>
      <c r="U158" s="104">
        <v>43835.0</v>
      </c>
      <c r="V158" s="4">
        <v>0.0</v>
      </c>
    </row>
    <row r="159">
      <c r="A159" s="23">
        <v>43221.0</v>
      </c>
      <c r="B159" s="4" t="s">
        <v>456</v>
      </c>
      <c r="C159" s="24">
        <v>0.3854166666666667</v>
      </c>
      <c r="D159" s="24">
        <v>0.4409722222222222</v>
      </c>
      <c r="E159" s="4" t="s">
        <v>385</v>
      </c>
      <c r="H159" s="105">
        <v>0.375</v>
      </c>
      <c r="I159" s="4">
        <v>-0.1</v>
      </c>
      <c r="J159" s="4" t="s">
        <v>769</v>
      </c>
      <c r="K159" s="4">
        <v>23.0</v>
      </c>
      <c r="L159" s="4" t="s">
        <v>660</v>
      </c>
      <c r="M159" s="4" t="s">
        <v>661</v>
      </c>
      <c r="O159" s="4" t="s">
        <v>769</v>
      </c>
      <c r="P159" s="4" t="s">
        <v>684</v>
      </c>
      <c r="Q159" s="104">
        <v>43927.0</v>
      </c>
      <c r="R159" s="4" t="s">
        <v>883</v>
      </c>
      <c r="S159" s="104">
        <v>43928.0</v>
      </c>
      <c r="T159" s="4" t="s">
        <v>883</v>
      </c>
      <c r="U159" s="104">
        <v>43835.0</v>
      </c>
      <c r="V159" s="104">
        <v>43835.0</v>
      </c>
      <c r="W159" s="4" t="s">
        <v>884</v>
      </c>
      <c r="X159" s="4" t="s">
        <v>885</v>
      </c>
    </row>
    <row r="160">
      <c r="A160" s="23">
        <v>43222.0</v>
      </c>
      <c r="B160" s="4" t="s">
        <v>246</v>
      </c>
      <c r="C160" s="24"/>
      <c r="D160" s="24"/>
      <c r="E160" s="4"/>
      <c r="H160" s="105"/>
      <c r="I160" s="4"/>
      <c r="J160" s="4"/>
      <c r="K160" s="4"/>
      <c r="L160" s="4"/>
      <c r="M160" s="4"/>
      <c r="O160" s="4"/>
      <c r="P160" s="4"/>
      <c r="Q160" s="104"/>
      <c r="R160" s="4"/>
      <c r="S160" s="104"/>
      <c r="T160" s="4"/>
      <c r="U160" s="104"/>
      <c r="V160" s="4"/>
    </row>
    <row r="161">
      <c r="A161" s="23">
        <v>43222.0</v>
      </c>
      <c r="B161" s="4" t="s">
        <v>216</v>
      </c>
      <c r="C161" s="24">
        <v>0.3854166666666667</v>
      </c>
      <c r="D161" s="24">
        <v>0.4375</v>
      </c>
      <c r="E161" s="4" t="s">
        <v>385</v>
      </c>
      <c r="H161" s="105">
        <v>0.4479166666666667</v>
      </c>
      <c r="I161" s="4">
        <v>-0.1</v>
      </c>
      <c r="J161" s="4" t="s">
        <v>569</v>
      </c>
      <c r="K161" s="4">
        <v>30.0</v>
      </c>
      <c r="L161" s="4" t="s">
        <v>764</v>
      </c>
      <c r="M161" s="4" t="s">
        <v>661</v>
      </c>
      <c r="O161" s="4" t="s">
        <v>569</v>
      </c>
      <c r="P161" s="4">
        <v>0.0</v>
      </c>
      <c r="Q161" s="104">
        <v>43833.0</v>
      </c>
      <c r="R161" s="4" t="s">
        <v>569</v>
      </c>
      <c r="S161" s="104">
        <v>43928.0</v>
      </c>
      <c r="T161" s="4" t="s">
        <v>569</v>
      </c>
      <c r="U161" s="104">
        <v>43835.0</v>
      </c>
      <c r="V161" s="4">
        <v>0.0</v>
      </c>
    </row>
    <row r="162">
      <c r="A162" s="23">
        <v>43230.0</v>
      </c>
      <c r="B162" s="4" t="s">
        <v>201</v>
      </c>
      <c r="C162" s="24">
        <v>0.3611111111111111</v>
      </c>
      <c r="D162" s="24">
        <v>0.4027777777777778</v>
      </c>
      <c r="E162" s="4" t="s">
        <v>299</v>
      </c>
      <c r="H162" s="105">
        <v>0.29444444444444445</v>
      </c>
      <c r="I162" s="4">
        <v>-0.08</v>
      </c>
      <c r="J162" s="4" t="s">
        <v>886</v>
      </c>
      <c r="K162" s="4">
        <v>16.0</v>
      </c>
      <c r="L162" s="4" t="s">
        <v>689</v>
      </c>
      <c r="M162" s="4" t="s">
        <v>661</v>
      </c>
      <c r="O162" s="4" t="s">
        <v>739</v>
      </c>
      <c r="P162" s="104">
        <v>43835.0</v>
      </c>
      <c r="Q162" s="104">
        <v>43833.0</v>
      </c>
      <c r="R162" s="4" t="s">
        <v>859</v>
      </c>
      <c r="S162" s="4" t="s">
        <v>662</v>
      </c>
      <c r="T162" s="4" t="s">
        <v>859</v>
      </c>
      <c r="U162" s="4">
        <v>0.0</v>
      </c>
      <c r="V162" s="4">
        <v>0.0</v>
      </c>
      <c r="X162" s="4" t="s">
        <v>887</v>
      </c>
    </row>
    <row r="163">
      <c r="A163" s="23">
        <v>43231.0</v>
      </c>
      <c r="B163" s="4" t="s">
        <v>201</v>
      </c>
      <c r="C163" s="24">
        <v>0.375</v>
      </c>
      <c r="D163" s="24">
        <v>0.4097222222222222</v>
      </c>
      <c r="E163" s="4" t="s">
        <v>299</v>
      </c>
      <c r="H163" s="105">
        <v>0.31319444444444444</v>
      </c>
      <c r="I163" s="4">
        <v>-0.05</v>
      </c>
      <c r="J163" s="4" t="s">
        <v>886</v>
      </c>
      <c r="K163" s="4">
        <v>16.0</v>
      </c>
      <c r="L163" s="4" t="s">
        <v>668</v>
      </c>
      <c r="M163" s="4" t="s">
        <v>661</v>
      </c>
      <c r="O163" s="4" t="s">
        <v>739</v>
      </c>
      <c r="P163" s="104">
        <v>43992.0</v>
      </c>
      <c r="Q163" s="104">
        <v>43833.0</v>
      </c>
      <c r="R163" s="4" t="s">
        <v>859</v>
      </c>
      <c r="S163" s="4" t="s">
        <v>662</v>
      </c>
      <c r="T163" s="4" t="s">
        <v>859</v>
      </c>
      <c r="U163" s="104">
        <v>43835.0</v>
      </c>
      <c r="V163" s="4">
        <v>0.0</v>
      </c>
      <c r="X163" s="4" t="s">
        <v>888</v>
      </c>
    </row>
    <row r="164">
      <c r="A164" s="23">
        <v>43232.0</v>
      </c>
      <c r="B164" s="4" t="s">
        <v>374</v>
      </c>
      <c r="C164" s="24">
        <v>0.3715277777777778</v>
      </c>
      <c r="D164" s="24">
        <v>0.42083333333333334</v>
      </c>
      <c r="E164" s="4" t="s">
        <v>391</v>
      </c>
      <c r="H164" s="105">
        <v>0.3326388888888889</v>
      </c>
      <c r="I164" s="4">
        <v>0.0</v>
      </c>
      <c r="J164" s="4" t="s">
        <v>889</v>
      </c>
      <c r="K164" s="4">
        <v>5.0</v>
      </c>
      <c r="L164" s="4" t="s">
        <v>660</v>
      </c>
      <c r="M164" s="4" t="s">
        <v>661</v>
      </c>
      <c r="O164" s="4" t="s">
        <v>890</v>
      </c>
      <c r="P164" s="4">
        <v>0.0</v>
      </c>
      <c r="Q164" s="104">
        <v>43833.0</v>
      </c>
      <c r="R164" s="104">
        <v>43833.0</v>
      </c>
      <c r="S164" s="4" t="s">
        <v>662</v>
      </c>
      <c r="T164" s="4" t="s">
        <v>890</v>
      </c>
      <c r="U164" s="4">
        <v>0.0</v>
      </c>
      <c r="V164" s="4">
        <v>0.0</v>
      </c>
      <c r="W164" s="4" t="s">
        <v>891</v>
      </c>
      <c r="X164" s="4" t="s">
        <v>891</v>
      </c>
      <c r="Y164" s="4" t="s">
        <v>891</v>
      </c>
    </row>
    <row r="165">
      <c r="A165" s="23">
        <v>43234.0</v>
      </c>
      <c r="B165" s="4" t="s">
        <v>216</v>
      </c>
      <c r="C165" s="24">
        <v>0.38263888888888886</v>
      </c>
      <c r="D165" s="24">
        <v>0.41944444444444445</v>
      </c>
      <c r="E165" s="4" t="s">
        <v>272</v>
      </c>
      <c r="H165" s="105">
        <v>0.37083333333333335</v>
      </c>
      <c r="I165" s="4">
        <v>-36.0</v>
      </c>
      <c r="J165" s="4" t="s">
        <v>569</v>
      </c>
      <c r="K165" s="4">
        <v>20.0</v>
      </c>
      <c r="L165" s="4" t="s">
        <v>660</v>
      </c>
      <c r="M165" s="4" t="s">
        <v>661</v>
      </c>
      <c r="O165" s="4" t="s">
        <v>569</v>
      </c>
      <c r="P165" s="104">
        <v>43835.0</v>
      </c>
      <c r="Q165" s="104">
        <v>43833.0</v>
      </c>
      <c r="R165" s="4" t="s">
        <v>569</v>
      </c>
      <c r="S165" s="4" t="s">
        <v>701</v>
      </c>
      <c r="T165" s="4" t="s">
        <v>569</v>
      </c>
      <c r="U165" s="4">
        <v>0.0</v>
      </c>
      <c r="V165" s="104">
        <v>43835.0</v>
      </c>
      <c r="W165" s="4" t="s">
        <v>892</v>
      </c>
      <c r="X165" s="4" t="s">
        <v>893</v>
      </c>
    </row>
    <row r="166">
      <c r="A166" s="23">
        <v>43235.0</v>
      </c>
      <c r="B166" s="4" t="s">
        <v>216</v>
      </c>
      <c r="C166" s="24">
        <v>0.38263888888888886</v>
      </c>
      <c r="D166" s="24">
        <v>0.4083333333333333</v>
      </c>
      <c r="E166" s="4" t="s">
        <v>272</v>
      </c>
      <c r="H166" s="105">
        <v>0.39375</v>
      </c>
      <c r="I166" s="4">
        <v>-0.39</v>
      </c>
      <c r="J166" s="4" t="s">
        <v>569</v>
      </c>
      <c r="K166" s="4">
        <v>20.0</v>
      </c>
      <c r="L166" s="4" t="s">
        <v>668</v>
      </c>
      <c r="M166" s="4" t="s">
        <v>661</v>
      </c>
      <c r="N166" s="4"/>
      <c r="O166" s="4" t="s">
        <v>569</v>
      </c>
      <c r="P166" s="104">
        <v>43835.0</v>
      </c>
      <c r="Q166" s="104">
        <v>43833.0</v>
      </c>
      <c r="R166" s="4" t="s">
        <v>569</v>
      </c>
      <c r="S166" s="104">
        <v>44055.0</v>
      </c>
      <c r="T166" s="4" t="s">
        <v>569</v>
      </c>
      <c r="U166" s="4">
        <v>0.0</v>
      </c>
      <c r="V166" s="4">
        <v>0.0</v>
      </c>
      <c r="X166" s="4" t="s">
        <v>894</v>
      </c>
    </row>
    <row r="167">
      <c r="A167" s="23">
        <v>43235.0</v>
      </c>
      <c r="B167" s="110" t="s">
        <v>828</v>
      </c>
      <c r="C167" s="24"/>
      <c r="D167" s="24"/>
      <c r="E167" s="4"/>
      <c r="H167" s="105"/>
      <c r="I167" s="4"/>
      <c r="J167" s="4"/>
      <c r="K167" s="4"/>
      <c r="L167" s="4"/>
      <c r="M167" s="4"/>
      <c r="N167" s="4"/>
      <c r="O167" s="4"/>
      <c r="P167" s="4"/>
      <c r="Q167" s="104"/>
      <c r="R167" s="4"/>
      <c r="S167" s="4"/>
      <c r="T167" s="4"/>
      <c r="U167" s="4"/>
      <c r="V167" s="4"/>
      <c r="X167" s="4"/>
    </row>
    <row r="168">
      <c r="A168" s="23">
        <v>43236.0</v>
      </c>
      <c r="B168" s="4" t="s">
        <v>259</v>
      </c>
      <c r="C168" s="24">
        <v>0.375</v>
      </c>
      <c r="D168" s="24">
        <v>0.4166666666666667</v>
      </c>
      <c r="E168" s="4" t="s">
        <v>358</v>
      </c>
      <c r="H168" s="105">
        <v>0.44930555555555557</v>
      </c>
      <c r="I168" s="4">
        <v>-0.43</v>
      </c>
      <c r="J168" s="4" t="s">
        <v>688</v>
      </c>
      <c r="K168" s="4">
        <v>28.0</v>
      </c>
      <c r="L168" s="4" t="s">
        <v>660</v>
      </c>
      <c r="M168" s="4" t="s">
        <v>664</v>
      </c>
      <c r="N168" s="4">
        <v>0.3</v>
      </c>
      <c r="O168" s="4" t="s">
        <v>590</v>
      </c>
      <c r="P168" s="4">
        <v>0.0</v>
      </c>
      <c r="Q168" s="104">
        <v>43833.0</v>
      </c>
      <c r="R168" s="4" t="s">
        <v>590</v>
      </c>
      <c r="S168" s="4" t="s">
        <v>662</v>
      </c>
      <c r="T168" s="4" t="s">
        <v>590</v>
      </c>
      <c r="U168" s="4">
        <v>0.0</v>
      </c>
      <c r="V168" s="4">
        <v>0.0</v>
      </c>
      <c r="X168" s="4" t="s">
        <v>895</v>
      </c>
    </row>
    <row r="169">
      <c r="A169" s="23">
        <v>43236.0</v>
      </c>
      <c r="B169" s="4" t="s">
        <v>266</v>
      </c>
      <c r="C169" s="24">
        <v>0.40625</v>
      </c>
      <c r="D169" s="24">
        <v>0.45555555555555555</v>
      </c>
      <c r="E169" s="4" t="s">
        <v>347</v>
      </c>
      <c r="H169" s="105">
        <v>0.40625</v>
      </c>
      <c r="I169" s="4">
        <v>-0.34</v>
      </c>
      <c r="J169" s="4" t="s">
        <v>896</v>
      </c>
      <c r="K169" s="4">
        <v>38.0</v>
      </c>
      <c r="L169" s="4" t="s">
        <v>660</v>
      </c>
      <c r="M169" s="4" t="s">
        <v>661</v>
      </c>
      <c r="O169" s="4" t="s">
        <v>571</v>
      </c>
      <c r="P169" s="4">
        <v>0.0</v>
      </c>
      <c r="Q169" s="104">
        <v>43833.0</v>
      </c>
      <c r="R169" s="4" t="s">
        <v>752</v>
      </c>
      <c r="S169" s="4" t="s">
        <v>662</v>
      </c>
      <c r="T169" s="4" t="s">
        <v>897</v>
      </c>
      <c r="U169" s="4">
        <v>0.0</v>
      </c>
      <c r="V169" s="4">
        <v>0.0</v>
      </c>
      <c r="X169" s="4" t="s">
        <v>898</v>
      </c>
    </row>
    <row r="170">
      <c r="A170" s="23">
        <v>43237.0</v>
      </c>
      <c r="B170" s="4" t="s">
        <v>216</v>
      </c>
      <c r="C170" s="24">
        <v>0.375</v>
      </c>
      <c r="D170" s="24">
        <v>0.4583333333333333</v>
      </c>
      <c r="E170" s="4" t="s">
        <v>413</v>
      </c>
      <c r="H170" s="105">
        <v>0.44513888888888886</v>
      </c>
      <c r="I170" s="4">
        <v>-0.3</v>
      </c>
      <c r="J170" s="4" t="s">
        <v>569</v>
      </c>
      <c r="K170" s="4">
        <v>26.0</v>
      </c>
      <c r="L170" s="4" t="s">
        <v>660</v>
      </c>
      <c r="M170" s="4" t="s">
        <v>661</v>
      </c>
      <c r="O170" s="4" t="s">
        <v>569</v>
      </c>
      <c r="P170" s="104">
        <v>43835.0</v>
      </c>
      <c r="Q170" s="104">
        <v>43833.0</v>
      </c>
      <c r="R170" s="4" t="s">
        <v>569</v>
      </c>
      <c r="S170" s="4" t="s">
        <v>662</v>
      </c>
      <c r="T170" s="4" t="s">
        <v>569</v>
      </c>
      <c r="U170" s="4">
        <v>0.0</v>
      </c>
      <c r="V170" s="4">
        <v>0.0</v>
      </c>
      <c r="X170" s="4" t="s">
        <v>899</v>
      </c>
    </row>
    <row r="171">
      <c r="A171" s="23">
        <v>43238.0</v>
      </c>
      <c r="B171" s="4" t="s">
        <v>201</v>
      </c>
      <c r="C171" s="24">
        <v>0.4270833333333333</v>
      </c>
      <c r="D171" s="24">
        <v>0.4673611111111111</v>
      </c>
      <c r="E171" s="4" t="s">
        <v>325</v>
      </c>
      <c r="H171" s="105">
        <v>0.4756944444444444</v>
      </c>
      <c r="I171" s="4">
        <v>-0.2</v>
      </c>
      <c r="J171" s="4" t="s">
        <v>726</v>
      </c>
      <c r="K171" s="4">
        <v>7.0</v>
      </c>
      <c r="L171" s="4" t="s">
        <v>660</v>
      </c>
      <c r="M171" s="4" t="s">
        <v>664</v>
      </c>
      <c r="N171" s="4">
        <v>0.46</v>
      </c>
      <c r="O171" s="4" t="s">
        <v>900</v>
      </c>
      <c r="P171" s="104">
        <v>44150.0</v>
      </c>
      <c r="Q171" s="104">
        <v>43833.0</v>
      </c>
      <c r="R171" s="4" t="s">
        <v>901</v>
      </c>
      <c r="S171" s="4" t="s">
        <v>669</v>
      </c>
      <c r="T171" s="4" t="s">
        <v>901</v>
      </c>
      <c r="U171" s="104">
        <v>43835.0</v>
      </c>
      <c r="V171" s="104">
        <v>43835.0</v>
      </c>
      <c r="W171" s="4" t="s">
        <v>902</v>
      </c>
    </row>
    <row r="172">
      <c r="A172" s="23">
        <v>43238.0</v>
      </c>
      <c r="B172" s="4" t="s">
        <v>259</v>
      </c>
      <c r="C172" s="24">
        <v>0.3888888888888889</v>
      </c>
      <c r="D172" s="24">
        <v>0.4166666666666667</v>
      </c>
      <c r="E172" s="4" t="s">
        <v>358</v>
      </c>
      <c r="F172" s="4" t="s">
        <v>664</v>
      </c>
      <c r="G172" s="4" t="s">
        <v>703</v>
      </c>
      <c r="H172" s="105">
        <v>0.3888888888888889</v>
      </c>
      <c r="I172" s="4">
        <v>10.47</v>
      </c>
      <c r="J172" s="4" t="s">
        <v>903</v>
      </c>
      <c r="K172" s="4">
        <v>28.0</v>
      </c>
      <c r="L172" s="4" t="s">
        <v>660</v>
      </c>
      <c r="M172" s="4" t="s">
        <v>664</v>
      </c>
      <c r="N172" s="4">
        <v>0.32</v>
      </c>
      <c r="O172" s="4">
        <v>0.32</v>
      </c>
      <c r="P172" s="4">
        <v>0.0</v>
      </c>
      <c r="Q172" s="104">
        <v>43833.0</v>
      </c>
      <c r="R172" s="4" t="s">
        <v>845</v>
      </c>
      <c r="S172" s="4" t="s">
        <v>662</v>
      </c>
      <c r="T172" s="4" t="s">
        <v>904</v>
      </c>
      <c r="U172" s="4">
        <v>0.0</v>
      </c>
      <c r="V172" s="4">
        <v>0.0</v>
      </c>
      <c r="W172" s="4">
        <v>0.0</v>
      </c>
    </row>
    <row r="173">
      <c r="A173" s="23">
        <v>43238.0</v>
      </c>
      <c r="B173" s="4" t="s">
        <v>246</v>
      </c>
      <c r="C173" s="24"/>
      <c r="D173" s="24"/>
      <c r="E173" s="4"/>
      <c r="F173" s="4"/>
      <c r="G173" s="4"/>
      <c r="H173" s="105"/>
      <c r="I173" s="4"/>
      <c r="J173" s="4"/>
      <c r="K173" s="4"/>
      <c r="L173" s="4"/>
      <c r="M173" s="4"/>
      <c r="O173" s="4"/>
      <c r="P173" s="4"/>
      <c r="Q173" s="104"/>
      <c r="R173" s="4"/>
      <c r="S173" s="4"/>
      <c r="T173" s="4"/>
      <c r="U173" s="104"/>
      <c r="V173" s="4"/>
      <c r="Y173" s="4"/>
    </row>
    <row r="174">
      <c r="A174" s="23">
        <v>43239.0</v>
      </c>
      <c r="B174" s="4" t="s">
        <v>369</v>
      </c>
      <c r="C174" s="24">
        <v>0.45694444444444443</v>
      </c>
      <c r="D174" s="24">
        <v>0.4756944444444444</v>
      </c>
      <c r="E174" s="4" t="s">
        <v>321</v>
      </c>
      <c r="F174" s="4" t="s">
        <v>664</v>
      </c>
      <c r="G174" s="4" t="s">
        <v>703</v>
      </c>
      <c r="H174" s="105">
        <v>0.49583333333333335</v>
      </c>
      <c r="I174" s="4">
        <v>-0.05</v>
      </c>
      <c r="J174" s="109" t="s">
        <v>905</v>
      </c>
      <c r="K174" s="4">
        <v>5.0</v>
      </c>
      <c r="L174" s="4" t="s">
        <v>668</v>
      </c>
      <c r="M174" s="4" t="s">
        <v>661</v>
      </c>
      <c r="O174" s="109" t="s">
        <v>781</v>
      </c>
      <c r="P174" s="4" t="s">
        <v>684</v>
      </c>
      <c r="Q174" s="104">
        <v>43833.0</v>
      </c>
      <c r="R174" s="109" t="s">
        <v>906</v>
      </c>
      <c r="S174" s="4" t="s">
        <v>669</v>
      </c>
      <c r="T174" s="109" t="s">
        <v>907</v>
      </c>
      <c r="U174" s="104">
        <v>43835.0</v>
      </c>
      <c r="V174" s="4">
        <v>0.0</v>
      </c>
      <c r="Y174" s="4" t="s">
        <v>908</v>
      </c>
    </row>
    <row r="175">
      <c r="A175" s="23">
        <v>43241.0</v>
      </c>
      <c r="B175" s="4" t="s">
        <v>230</v>
      </c>
      <c r="C175" s="24">
        <v>0.46875</v>
      </c>
      <c r="D175" s="24">
        <v>0.5416666666666666</v>
      </c>
      <c r="E175" s="4" t="s">
        <v>397</v>
      </c>
      <c r="F175" s="4" t="s">
        <v>664</v>
      </c>
      <c r="G175" s="4" t="s">
        <v>39</v>
      </c>
      <c r="H175" s="105">
        <v>0.08541666666666667</v>
      </c>
      <c r="I175" s="4">
        <v>0.18</v>
      </c>
      <c r="J175" s="4" t="s">
        <v>825</v>
      </c>
      <c r="K175" s="4">
        <v>13.0</v>
      </c>
      <c r="L175" s="4" t="s">
        <v>668</v>
      </c>
      <c r="M175" s="4" t="s">
        <v>661</v>
      </c>
      <c r="O175" s="4" t="s">
        <v>825</v>
      </c>
      <c r="P175" s="104">
        <v>43835.0</v>
      </c>
      <c r="Q175" s="104">
        <v>43833.0</v>
      </c>
      <c r="R175" s="4" t="s">
        <v>909</v>
      </c>
      <c r="S175" s="4" t="s">
        <v>662</v>
      </c>
      <c r="T175" s="4" t="s">
        <v>825</v>
      </c>
      <c r="U175" s="104">
        <v>43835.0</v>
      </c>
      <c r="V175" s="4">
        <v>0.0</v>
      </c>
      <c r="W175" s="4" t="s">
        <v>891</v>
      </c>
      <c r="X175" s="4" t="s">
        <v>910</v>
      </c>
      <c r="Y175" s="4" t="s">
        <v>911</v>
      </c>
    </row>
    <row r="176">
      <c r="A176" s="23">
        <v>43248.0</v>
      </c>
      <c r="B176" s="4" t="s">
        <v>246</v>
      </c>
      <c r="C176" s="24"/>
      <c r="D176" s="24"/>
      <c r="E176" s="4"/>
      <c r="H176" s="105"/>
      <c r="I176" s="4"/>
      <c r="J176" s="4"/>
      <c r="K176" s="4"/>
      <c r="L176" s="4"/>
      <c r="M176" s="4"/>
      <c r="N176" s="4"/>
      <c r="O176" s="4"/>
      <c r="P176" s="104"/>
      <c r="Q176" s="104"/>
      <c r="R176" s="4"/>
      <c r="S176" s="4"/>
      <c r="T176" s="4"/>
      <c r="U176" s="4"/>
      <c r="V176" s="4"/>
      <c r="X176" s="4"/>
    </row>
    <row r="177">
      <c r="A177" s="23">
        <v>43250.0</v>
      </c>
      <c r="B177" s="4" t="s">
        <v>400</v>
      </c>
      <c r="C177" s="24"/>
      <c r="D177" s="24"/>
      <c r="E177" s="4"/>
      <c r="H177" s="105"/>
      <c r="I177" s="4"/>
      <c r="J177" s="4"/>
      <c r="K177" s="4"/>
      <c r="L177" s="4"/>
      <c r="M177" s="4"/>
      <c r="N177" s="4"/>
      <c r="O177" s="4"/>
      <c r="P177" s="104"/>
      <c r="Q177" s="104"/>
      <c r="R177" s="4"/>
      <c r="S177" s="4"/>
      <c r="T177" s="4"/>
      <c r="U177" s="4"/>
      <c r="V177" s="4"/>
      <c r="X177" s="4"/>
    </row>
    <row r="178">
      <c r="A178" s="23">
        <v>43251.0</v>
      </c>
      <c r="B178" s="4" t="s">
        <v>337</v>
      </c>
      <c r="C178" s="24"/>
      <c r="D178" s="24"/>
      <c r="E178" s="4"/>
      <c r="H178" s="105"/>
      <c r="I178" s="4"/>
      <c r="J178" s="4"/>
      <c r="K178" s="4"/>
      <c r="L178" s="4"/>
      <c r="M178" s="4"/>
      <c r="N178" s="4"/>
      <c r="O178" s="4"/>
      <c r="P178" s="104"/>
      <c r="Q178" s="104"/>
      <c r="R178" s="4"/>
      <c r="S178" s="4"/>
      <c r="T178" s="4"/>
      <c r="U178" s="4"/>
      <c r="V178" s="4"/>
      <c r="X178" s="4"/>
    </row>
    <row r="179">
      <c r="A179" s="23">
        <v>43311.0</v>
      </c>
      <c r="B179" s="4" t="s">
        <v>246</v>
      </c>
      <c r="C179" s="24">
        <v>0.3902777777777778</v>
      </c>
      <c r="D179" s="24">
        <v>0.4479166666666667</v>
      </c>
      <c r="E179" s="4" t="s">
        <v>353</v>
      </c>
      <c r="H179" s="105">
        <v>0.3333333333333333</v>
      </c>
      <c r="I179" s="4">
        <v>-0.19</v>
      </c>
      <c r="J179" s="4" t="s">
        <v>674</v>
      </c>
      <c r="K179" s="4">
        <v>26.0</v>
      </c>
      <c r="L179" s="4" t="s">
        <v>660</v>
      </c>
      <c r="M179" s="4" t="s">
        <v>664</v>
      </c>
      <c r="N179" s="4">
        <v>0.47</v>
      </c>
      <c r="O179" s="4" t="s">
        <v>769</v>
      </c>
      <c r="P179" s="104">
        <v>43835.0</v>
      </c>
      <c r="Q179" s="104">
        <v>43927.0</v>
      </c>
      <c r="R179" s="4" t="s">
        <v>914</v>
      </c>
      <c r="S179" s="4" t="s">
        <v>701</v>
      </c>
      <c r="T179" s="4" t="s">
        <v>842</v>
      </c>
      <c r="U179" s="4">
        <v>0.0</v>
      </c>
      <c r="V179" s="4">
        <v>0.0</v>
      </c>
      <c r="X179" s="4" t="s">
        <v>915</v>
      </c>
    </row>
    <row r="180">
      <c r="A180" s="23">
        <v>43416.0</v>
      </c>
      <c r="B180" s="4" t="s">
        <v>216</v>
      </c>
      <c r="C180" s="24">
        <v>0.6423611111111112</v>
      </c>
      <c r="D180" s="24">
        <v>0.6701388888888888</v>
      </c>
      <c r="E180" s="4" t="s">
        <v>385</v>
      </c>
      <c r="H180" s="105">
        <v>0.6381944444444444</v>
      </c>
      <c r="I180" s="4">
        <v>0.35</v>
      </c>
      <c r="J180" s="4" t="s">
        <v>873</v>
      </c>
      <c r="K180" s="4">
        <v>19.0</v>
      </c>
      <c r="L180" s="4" t="s">
        <v>668</v>
      </c>
      <c r="M180" s="4" t="s">
        <v>661</v>
      </c>
      <c r="O180" s="4" t="s">
        <v>569</v>
      </c>
      <c r="P180" s="4" t="s">
        <v>698</v>
      </c>
      <c r="Q180" s="104">
        <v>43833.0</v>
      </c>
      <c r="R180" s="4" t="s">
        <v>569</v>
      </c>
      <c r="S180" s="4" t="s">
        <v>669</v>
      </c>
      <c r="T180" s="4" t="s">
        <v>569</v>
      </c>
      <c r="U180" s="104">
        <v>43992.0</v>
      </c>
      <c r="V180" s="104">
        <v>43835.0</v>
      </c>
      <c r="W180" s="4" t="s">
        <v>758</v>
      </c>
    </row>
    <row r="181">
      <c r="A181" s="23">
        <v>43485.0</v>
      </c>
      <c r="B181" s="4" t="s">
        <v>201</v>
      </c>
      <c r="C181" s="24">
        <v>0.40625</v>
      </c>
      <c r="D181" s="24">
        <v>0.4479166666666667</v>
      </c>
      <c r="E181" s="4" t="s">
        <v>418</v>
      </c>
      <c r="H181" s="105">
        <v>0.45625</v>
      </c>
      <c r="I181" s="4">
        <v>-0.03</v>
      </c>
      <c r="J181" s="4" t="s">
        <v>569</v>
      </c>
      <c r="K181" s="4">
        <v>12.0</v>
      </c>
      <c r="L181" s="4" t="s">
        <v>660</v>
      </c>
      <c r="M181" s="4" t="s">
        <v>664</v>
      </c>
      <c r="O181" s="4" t="s">
        <v>569</v>
      </c>
      <c r="P181" s="104">
        <v>43835.0</v>
      </c>
      <c r="Q181" s="104">
        <v>43833.0</v>
      </c>
      <c r="R181" s="4" t="s">
        <v>569</v>
      </c>
      <c r="S181" s="104">
        <v>43928.0</v>
      </c>
      <c r="T181" s="4" t="s">
        <v>569</v>
      </c>
      <c r="U181" s="4">
        <v>0.0</v>
      </c>
      <c r="V181" s="4">
        <v>0.0</v>
      </c>
    </row>
    <row r="182">
      <c r="A182" s="23">
        <v>43505.0</v>
      </c>
      <c r="B182" s="4" t="s">
        <v>266</v>
      </c>
      <c r="C182" s="24">
        <v>1.1574074074074073E-5</v>
      </c>
      <c r="D182" s="24">
        <v>2.3148148148148147E-5</v>
      </c>
      <c r="E182" s="4" t="s">
        <v>536</v>
      </c>
      <c r="H182" s="105">
        <v>0.043055555555555555</v>
      </c>
      <c r="I182" s="4">
        <v>0.1</v>
      </c>
      <c r="J182" s="4" t="s">
        <v>571</v>
      </c>
      <c r="K182" s="4">
        <v>6.0</v>
      </c>
      <c r="L182" s="4" t="s">
        <v>668</v>
      </c>
      <c r="M182" s="4" t="s">
        <v>664</v>
      </c>
      <c r="O182" s="4" t="s">
        <v>916</v>
      </c>
      <c r="P182" s="4">
        <v>0.0</v>
      </c>
      <c r="Q182" s="104">
        <v>43833.0</v>
      </c>
      <c r="R182" s="4" t="s">
        <v>266</v>
      </c>
      <c r="S182" s="4" t="s">
        <v>672</v>
      </c>
      <c r="T182" s="4" t="s">
        <v>266</v>
      </c>
      <c r="U182" s="104">
        <v>43835.0</v>
      </c>
      <c r="V182" s="4">
        <v>0.0</v>
      </c>
      <c r="X182" s="4" t="s">
        <v>917</v>
      </c>
      <c r="Y182" s="4" t="s">
        <v>918</v>
      </c>
    </row>
    <row r="183">
      <c r="A183" s="23">
        <v>43515.0</v>
      </c>
      <c r="B183" s="4" t="s">
        <v>244</v>
      </c>
      <c r="C183" s="24">
        <v>0.3854166666666667</v>
      </c>
      <c r="D183" s="24">
        <v>0.4270833333333333</v>
      </c>
      <c r="E183" s="4" t="s">
        <v>278</v>
      </c>
      <c r="H183" s="105">
        <v>0.4701388888888889</v>
      </c>
      <c r="I183" s="4">
        <v>-0.19</v>
      </c>
      <c r="J183" s="4" t="s">
        <v>919</v>
      </c>
      <c r="K183" s="4">
        <v>19.0</v>
      </c>
      <c r="L183" s="4" t="s">
        <v>689</v>
      </c>
      <c r="M183" s="4" t="s">
        <v>664</v>
      </c>
      <c r="O183" s="4" t="s">
        <v>919</v>
      </c>
      <c r="P183" s="104">
        <v>43835.0</v>
      </c>
      <c r="Q183" s="104">
        <v>43833.0</v>
      </c>
      <c r="R183" s="4" t="s">
        <v>919</v>
      </c>
      <c r="S183" s="104">
        <v>43833.0</v>
      </c>
      <c r="T183" s="4" t="s">
        <v>919</v>
      </c>
      <c r="U183" s="4">
        <v>0.0</v>
      </c>
      <c r="V183" s="4">
        <v>0.0</v>
      </c>
      <c r="X183" s="4" t="s">
        <v>920</v>
      </c>
    </row>
    <row r="184">
      <c r="A184" s="23">
        <v>43515.0</v>
      </c>
      <c r="B184" s="4" t="s">
        <v>266</v>
      </c>
      <c r="C184" s="24">
        <v>0.4201388888888889</v>
      </c>
      <c r="D184" s="24">
        <v>0.5104166666666666</v>
      </c>
      <c r="E184" s="4" t="s">
        <v>418</v>
      </c>
      <c r="H184" s="105">
        <v>0.39791666666666664</v>
      </c>
      <c r="I184" s="4">
        <v>-0.3</v>
      </c>
      <c r="J184" s="4" t="s">
        <v>671</v>
      </c>
      <c r="K184" s="4">
        <v>5.0</v>
      </c>
      <c r="L184" s="4" t="s">
        <v>660</v>
      </c>
      <c r="M184" s="4" t="s">
        <v>661</v>
      </c>
      <c r="O184" s="4" t="s">
        <v>671</v>
      </c>
      <c r="P184" s="104">
        <v>44150.0</v>
      </c>
      <c r="Q184" s="104">
        <v>43833.0</v>
      </c>
      <c r="R184" s="4" t="s">
        <v>671</v>
      </c>
      <c r="S184" s="4" t="s">
        <v>662</v>
      </c>
      <c r="T184" s="4" t="s">
        <v>671</v>
      </c>
      <c r="U184" s="4">
        <v>0.0</v>
      </c>
      <c r="V184" s="4">
        <v>0.0</v>
      </c>
    </row>
    <row r="185">
      <c r="A185" s="23">
        <v>43516.0</v>
      </c>
      <c r="B185" s="4" t="s">
        <v>216</v>
      </c>
      <c r="C185" s="24"/>
      <c r="D185" s="24"/>
      <c r="E185" s="4"/>
      <c r="H185" s="105"/>
      <c r="I185" s="4"/>
      <c r="J185" s="4"/>
      <c r="K185" s="4"/>
      <c r="L185" s="4"/>
      <c r="M185" s="4"/>
      <c r="N185" s="4"/>
      <c r="O185" s="4"/>
      <c r="P185" s="104"/>
      <c r="Q185" s="104"/>
      <c r="R185" s="4"/>
      <c r="S185" s="104"/>
      <c r="T185" s="4"/>
      <c r="U185" s="4"/>
      <c r="V185" s="104"/>
      <c r="X185" s="4"/>
    </row>
    <row r="186">
      <c r="A186" s="23">
        <v>43516.0</v>
      </c>
      <c r="B186" s="4" t="s">
        <v>244</v>
      </c>
      <c r="C186" s="24">
        <v>0.39444444444444443</v>
      </c>
      <c r="D186" s="24">
        <v>0.4791666666666667</v>
      </c>
      <c r="E186" s="4" t="s">
        <v>278</v>
      </c>
      <c r="H186" s="105">
        <v>0.49444444444444446</v>
      </c>
      <c r="I186" s="4">
        <v>-0.21</v>
      </c>
      <c r="J186" s="4" t="s">
        <v>919</v>
      </c>
      <c r="K186" s="4">
        <v>27.0</v>
      </c>
      <c r="L186" s="4" t="s">
        <v>660</v>
      </c>
      <c r="M186" s="4" t="s">
        <v>664</v>
      </c>
      <c r="N186" s="4">
        <v>3.0</v>
      </c>
      <c r="O186" s="4" t="s">
        <v>919</v>
      </c>
      <c r="P186" s="104">
        <v>43835.0</v>
      </c>
      <c r="Q186" s="104">
        <v>43833.0</v>
      </c>
      <c r="R186" s="4" t="s">
        <v>919</v>
      </c>
      <c r="S186" s="104">
        <v>43833.0</v>
      </c>
      <c r="T186" s="4" t="s">
        <v>919</v>
      </c>
      <c r="U186" s="4">
        <v>0.0</v>
      </c>
      <c r="V186" s="104">
        <v>43835.0</v>
      </c>
      <c r="X186" s="4" t="s">
        <v>921</v>
      </c>
    </row>
    <row r="187">
      <c r="A187" s="23">
        <v>43517.0</v>
      </c>
      <c r="B187" s="4" t="s">
        <v>440</v>
      </c>
      <c r="C187" s="24">
        <v>0.4583333333333333</v>
      </c>
      <c r="D187" s="24">
        <v>0.49027777777777776</v>
      </c>
      <c r="E187" s="4" t="s">
        <v>418</v>
      </c>
      <c r="H187" s="105">
        <v>0.5069444444444444</v>
      </c>
      <c r="I187" s="4">
        <v>-0.2</v>
      </c>
      <c r="J187" s="4" t="s">
        <v>569</v>
      </c>
      <c r="K187" s="4">
        <v>60.0</v>
      </c>
      <c r="L187" s="4" t="s">
        <v>660</v>
      </c>
      <c r="M187" s="4" t="s">
        <v>664</v>
      </c>
      <c r="N187" s="4">
        <v>0.6</v>
      </c>
      <c r="O187" s="4" t="s">
        <v>872</v>
      </c>
      <c r="P187" s="4">
        <v>0.0</v>
      </c>
      <c r="Q187" s="104">
        <v>43833.0</v>
      </c>
      <c r="R187" s="4" t="s">
        <v>922</v>
      </c>
      <c r="S187" s="104">
        <v>43833.0</v>
      </c>
      <c r="T187" s="4" t="s">
        <v>872</v>
      </c>
      <c r="U187" s="4">
        <v>0.0</v>
      </c>
      <c r="V187" s="4">
        <v>0.0</v>
      </c>
      <c r="Y187" s="4" t="s">
        <v>923</v>
      </c>
    </row>
    <row r="188">
      <c r="A188" s="23">
        <v>43519.0</v>
      </c>
      <c r="B188" s="4" t="s">
        <v>266</v>
      </c>
      <c r="C188" s="24">
        <v>0.36875</v>
      </c>
      <c r="D188" s="24">
        <v>0.40625</v>
      </c>
      <c r="E188" s="4" t="s">
        <v>297</v>
      </c>
      <c r="H188" s="105">
        <v>0.375</v>
      </c>
      <c r="I188" s="4">
        <v>0.1</v>
      </c>
      <c r="J188" s="4" t="s">
        <v>896</v>
      </c>
      <c r="K188" s="4">
        <v>24.0</v>
      </c>
      <c r="L188" s="4" t="s">
        <v>660</v>
      </c>
      <c r="M188" s="4" t="s">
        <v>661</v>
      </c>
      <c r="O188" s="4" t="s">
        <v>571</v>
      </c>
      <c r="P188" s="4">
        <v>0.0</v>
      </c>
      <c r="Q188" s="104">
        <v>43833.0</v>
      </c>
      <c r="R188" s="4" t="s">
        <v>662</v>
      </c>
      <c r="S188" s="4" t="s">
        <v>662</v>
      </c>
      <c r="T188" s="4" t="s">
        <v>671</v>
      </c>
      <c r="U188" s="4">
        <v>0.0</v>
      </c>
      <c r="V188" s="4">
        <v>0.0</v>
      </c>
      <c r="X188" s="4" t="s">
        <v>924</v>
      </c>
    </row>
    <row r="189">
      <c r="A189" s="23">
        <v>43519.0</v>
      </c>
      <c r="B189" s="4" t="s">
        <v>266</v>
      </c>
      <c r="C189" s="24">
        <v>0.5347222222222222</v>
      </c>
      <c r="D189" s="24">
        <v>0.6041666666666666</v>
      </c>
      <c r="E189" s="4" t="s">
        <v>347</v>
      </c>
      <c r="H189" s="105">
        <v>0.5354166666666667</v>
      </c>
      <c r="I189" s="4">
        <v>0.0</v>
      </c>
      <c r="J189" s="4" t="s">
        <v>571</v>
      </c>
      <c r="K189" s="4">
        <v>6.0</v>
      </c>
      <c r="L189" s="4" t="s">
        <v>660</v>
      </c>
      <c r="M189" s="4" t="s">
        <v>661</v>
      </c>
      <c r="O189" s="4" t="s">
        <v>571</v>
      </c>
      <c r="P189" s="104">
        <v>43835.0</v>
      </c>
      <c r="Q189" s="104">
        <v>43833.0</v>
      </c>
      <c r="R189" s="4" t="s">
        <v>571</v>
      </c>
      <c r="S189" s="104">
        <v>43928.0</v>
      </c>
      <c r="T189" s="4" t="s">
        <v>571</v>
      </c>
      <c r="U189" s="4">
        <v>0.0</v>
      </c>
      <c r="V189" s="4">
        <v>0.0</v>
      </c>
      <c r="X189" s="4" t="s">
        <v>925</v>
      </c>
    </row>
    <row r="190">
      <c r="A190" s="23">
        <v>43520.0</v>
      </c>
      <c r="B190" s="4" t="s">
        <v>293</v>
      </c>
      <c r="C190" s="24">
        <v>0.5520833333333334</v>
      </c>
      <c r="D190" s="24">
        <v>0.59375</v>
      </c>
      <c r="E190" s="4" t="s">
        <v>418</v>
      </c>
      <c r="F190" s="4" t="s">
        <v>664</v>
      </c>
      <c r="G190" s="4" t="s">
        <v>39</v>
      </c>
      <c r="H190" s="105">
        <v>0.5118055555555555</v>
      </c>
      <c r="I190" s="4">
        <v>0.0</v>
      </c>
      <c r="J190" s="4" t="s">
        <v>590</v>
      </c>
      <c r="K190" s="4">
        <v>12.0</v>
      </c>
      <c r="L190" s="4" t="s">
        <v>764</v>
      </c>
      <c r="M190" s="4" t="s">
        <v>664</v>
      </c>
      <c r="N190" s="4">
        <v>0.46</v>
      </c>
      <c r="O190" s="4" t="s">
        <v>590</v>
      </c>
      <c r="P190" s="104">
        <v>43992.0</v>
      </c>
      <c r="Q190" s="104">
        <v>43833.0</v>
      </c>
      <c r="R190" s="4" t="s">
        <v>590</v>
      </c>
      <c r="S190" s="104">
        <v>44055.0</v>
      </c>
      <c r="T190" s="4" t="s">
        <v>590</v>
      </c>
      <c r="U190" s="104">
        <v>43835.0</v>
      </c>
      <c r="V190" s="104">
        <v>43835.0</v>
      </c>
      <c r="W190" s="4" t="s">
        <v>926</v>
      </c>
    </row>
    <row r="191">
      <c r="A191" s="23">
        <v>43525.0</v>
      </c>
      <c r="B191" s="4" t="s">
        <v>244</v>
      </c>
      <c r="C191" s="24">
        <v>0.3854166666666667</v>
      </c>
      <c r="D191" s="24">
        <v>0.4722222222222222</v>
      </c>
      <c r="E191" s="4" t="s">
        <v>278</v>
      </c>
      <c r="H191" s="105">
        <v>0.3701388888888889</v>
      </c>
      <c r="I191" s="4">
        <v>0.2</v>
      </c>
      <c r="J191" s="4" t="s">
        <v>919</v>
      </c>
      <c r="K191" s="4">
        <v>43.0</v>
      </c>
      <c r="L191" s="4" t="s">
        <v>668</v>
      </c>
      <c r="M191" s="4" t="s">
        <v>661</v>
      </c>
      <c r="O191" s="4" t="s">
        <v>919</v>
      </c>
      <c r="P191" s="104">
        <v>43835.0</v>
      </c>
      <c r="Q191" s="104">
        <v>43833.0</v>
      </c>
      <c r="R191" s="4" t="s">
        <v>919</v>
      </c>
      <c r="S191" s="4" t="s">
        <v>662</v>
      </c>
      <c r="T191" s="4" t="s">
        <v>919</v>
      </c>
      <c r="U191" s="104">
        <v>43835.0</v>
      </c>
      <c r="V191" s="4">
        <v>0.0</v>
      </c>
    </row>
    <row r="192">
      <c r="A192" s="23">
        <v>43528.0</v>
      </c>
      <c r="B192" s="4" t="s">
        <v>400</v>
      </c>
      <c r="C192" s="24">
        <v>0.3958333333333333</v>
      </c>
      <c r="D192" s="24">
        <v>0.4409722222222222</v>
      </c>
      <c r="E192" s="4" t="s">
        <v>401</v>
      </c>
      <c r="H192" s="105">
        <v>0.3993055555555556</v>
      </c>
      <c r="I192" s="4">
        <v>0.07</v>
      </c>
      <c r="J192" s="4" t="s">
        <v>835</v>
      </c>
      <c r="K192" s="4">
        <v>26.0</v>
      </c>
      <c r="L192" s="4" t="s">
        <v>660</v>
      </c>
      <c r="M192" s="4" t="s">
        <v>661</v>
      </c>
      <c r="O192" s="4" t="s">
        <v>927</v>
      </c>
      <c r="P192" s="4">
        <v>0.0</v>
      </c>
      <c r="Q192" s="104">
        <v>43833.0</v>
      </c>
      <c r="R192" s="4" t="s">
        <v>835</v>
      </c>
      <c r="S192" s="4" t="s">
        <v>662</v>
      </c>
      <c r="T192" s="4" t="s">
        <v>835</v>
      </c>
      <c r="U192" s="4">
        <v>0.0</v>
      </c>
      <c r="V192" s="4">
        <v>0.0</v>
      </c>
      <c r="X192" s="4" t="s">
        <v>928</v>
      </c>
    </row>
    <row r="193">
      <c r="A193" s="23">
        <v>43531.0</v>
      </c>
      <c r="B193" s="4" t="s">
        <v>266</v>
      </c>
      <c r="C193" s="24">
        <v>0.4375</v>
      </c>
      <c r="D193" s="24">
        <v>0.5020833333333333</v>
      </c>
      <c r="E193" s="4" t="s">
        <v>418</v>
      </c>
      <c r="H193" s="105">
        <v>0.4479166666666667</v>
      </c>
      <c r="I193" s="4">
        <v>0.07</v>
      </c>
      <c r="J193" s="4" t="s">
        <v>763</v>
      </c>
      <c r="K193" s="4">
        <v>25.0</v>
      </c>
      <c r="L193" s="4" t="s">
        <v>668</v>
      </c>
      <c r="M193" s="4" t="s">
        <v>664</v>
      </c>
      <c r="N193" s="4">
        <v>0.14</v>
      </c>
      <c r="O193" s="4" t="s">
        <v>753</v>
      </c>
      <c r="P193" s="104">
        <v>43835.0</v>
      </c>
      <c r="Q193" s="104">
        <v>43833.0</v>
      </c>
      <c r="R193" s="4" t="s">
        <v>842</v>
      </c>
      <c r="S193" s="4" t="s">
        <v>701</v>
      </c>
      <c r="T193" s="4" t="s">
        <v>842</v>
      </c>
      <c r="U193" s="4">
        <v>0.0</v>
      </c>
      <c r="V193" s="4">
        <v>0.0</v>
      </c>
      <c r="W193" s="4" t="s">
        <v>842</v>
      </c>
      <c r="Y193" s="4" t="s">
        <v>929</v>
      </c>
    </row>
    <row r="194">
      <c r="A194" s="23">
        <v>43531.0</v>
      </c>
      <c r="B194" s="4" t="s">
        <v>233</v>
      </c>
      <c r="C194" s="24">
        <v>0.4354166666666667</v>
      </c>
      <c r="D194" s="24">
        <v>0.47430555555555554</v>
      </c>
      <c r="E194" s="4" t="s">
        <v>286</v>
      </c>
      <c r="H194" s="105">
        <v>0.4638888888888889</v>
      </c>
      <c r="I194" s="4">
        <v>0.0</v>
      </c>
      <c r="J194" s="4" t="s">
        <v>930</v>
      </c>
      <c r="K194" s="4">
        <v>14.0</v>
      </c>
      <c r="L194" s="4" t="s">
        <v>668</v>
      </c>
      <c r="M194" s="4" t="s">
        <v>664</v>
      </c>
      <c r="O194" s="4" t="s">
        <v>931</v>
      </c>
      <c r="P194" s="4">
        <v>0.0</v>
      </c>
      <c r="Q194" s="104">
        <v>43833.0</v>
      </c>
      <c r="R194" s="4" t="s">
        <v>932</v>
      </c>
      <c r="S194" s="4" t="s">
        <v>701</v>
      </c>
      <c r="T194" s="4" t="s">
        <v>933</v>
      </c>
      <c r="U194" s="4">
        <v>0.0</v>
      </c>
      <c r="V194" s="4">
        <v>0.0</v>
      </c>
    </row>
    <row r="195">
      <c r="A195" s="48">
        <v>43533.0</v>
      </c>
      <c r="B195" s="49" t="s">
        <v>244</v>
      </c>
      <c r="C195" s="50">
        <v>0.4527777777777778</v>
      </c>
      <c r="D195" s="50">
        <v>0.48194444444444445</v>
      </c>
      <c r="E195" s="49" t="s">
        <v>418</v>
      </c>
      <c r="H195" s="105">
        <v>0.5013888888888889</v>
      </c>
      <c r="I195" s="4">
        <v>0.4</v>
      </c>
      <c r="J195" s="4" t="s">
        <v>934</v>
      </c>
      <c r="K195" s="4">
        <v>21.0</v>
      </c>
      <c r="L195" s="4" t="s">
        <v>668</v>
      </c>
      <c r="M195" s="4" t="s">
        <v>661</v>
      </c>
      <c r="O195" s="4" t="s">
        <v>935</v>
      </c>
      <c r="P195" s="104">
        <v>43835.0</v>
      </c>
      <c r="Q195" s="104">
        <v>43833.0</v>
      </c>
      <c r="R195" s="4" t="s">
        <v>244</v>
      </c>
      <c r="S195" s="4" t="s">
        <v>669</v>
      </c>
      <c r="T195" s="4" t="s">
        <v>244</v>
      </c>
      <c r="U195" s="4">
        <v>0.0</v>
      </c>
      <c r="V195" s="4">
        <v>0.0</v>
      </c>
    </row>
    <row r="196">
      <c r="A196" s="51">
        <v>43536.0</v>
      </c>
      <c r="B196" s="49" t="s">
        <v>201</v>
      </c>
      <c r="C196" s="52">
        <v>0.5625</v>
      </c>
      <c r="D196" s="53">
        <v>0.6666666666666666</v>
      </c>
      <c r="E196" s="49" t="s">
        <v>418</v>
      </c>
      <c r="H196" s="105">
        <v>0.5625</v>
      </c>
      <c r="I196" s="4">
        <v>8.0E-4</v>
      </c>
      <c r="J196" s="4" t="s">
        <v>569</v>
      </c>
      <c r="K196" s="4">
        <v>25.0</v>
      </c>
      <c r="L196" s="4" t="s">
        <v>660</v>
      </c>
      <c r="M196" s="4" t="s">
        <v>661</v>
      </c>
      <c r="O196" s="4" t="s">
        <v>569</v>
      </c>
      <c r="P196" s="4">
        <v>0.0</v>
      </c>
      <c r="Q196" s="104">
        <v>43833.0</v>
      </c>
      <c r="R196" s="4" t="s">
        <v>569</v>
      </c>
      <c r="S196" s="4" t="s">
        <v>662</v>
      </c>
      <c r="T196" s="4" t="s">
        <v>569</v>
      </c>
      <c r="U196" s="4">
        <v>0.0</v>
      </c>
      <c r="V196" s="4">
        <v>0.0</v>
      </c>
      <c r="Y196" s="4" t="s">
        <v>936</v>
      </c>
    </row>
    <row r="197">
      <c r="A197" s="51">
        <v>43536.0</v>
      </c>
      <c r="B197" s="49" t="s">
        <v>473</v>
      </c>
      <c r="C197" s="52">
        <v>0.39305555555555555</v>
      </c>
      <c r="D197" s="53">
        <v>0.4375</v>
      </c>
      <c r="E197" s="49" t="s">
        <v>418</v>
      </c>
      <c r="H197" s="105">
        <v>0.5</v>
      </c>
      <c r="I197" s="4">
        <v>0.01</v>
      </c>
      <c r="J197" s="4" t="s">
        <v>937</v>
      </c>
      <c r="K197" s="4">
        <v>17.0</v>
      </c>
      <c r="L197" s="4" t="s">
        <v>668</v>
      </c>
      <c r="M197" s="4" t="s">
        <v>664</v>
      </c>
      <c r="N197" s="4">
        <v>2.0</v>
      </c>
      <c r="O197" s="4" t="s">
        <v>937</v>
      </c>
      <c r="P197" s="104">
        <v>43835.0</v>
      </c>
      <c r="Q197" s="104">
        <v>43833.0</v>
      </c>
      <c r="R197" s="4" t="s">
        <v>937</v>
      </c>
      <c r="S197" s="4" t="s">
        <v>669</v>
      </c>
      <c r="T197" s="4" t="s">
        <v>937</v>
      </c>
      <c r="U197" s="4">
        <v>0.0</v>
      </c>
      <c r="V197" s="4">
        <v>0.0</v>
      </c>
    </row>
    <row r="198">
      <c r="A198" s="23">
        <v>43556.0</v>
      </c>
      <c r="B198" s="49" t="s">
        <v>456</v>
      </c>
      <c r="C198" s="53">
        <v>0.3645833333333333</v>
      </c>
      <c r="D198" s="53">
        <v>0.4583333333333333</v>
      </c>
      <c r="E198" s="49" t="s">
        <v>418</v>
      </c>
      <c r="H198" s="105">
        <v>0.36666666666666664</v>
      </c>
      <c r="I198" s="4">
        <v>0.0</v>
      </c>
      <c r="J198" s="4" t="s">
        <v>569</v>
      </c>
      <c r="K198" s="4">
        <v>28.0</v>
      </c>
      <c r="L198" s="4" t="s">
        <v>660</v>
      </c>
      <c r="M198" s="4" t="s">
        <v>661</v>
      </c>
      <c r="O198" s="4" t="s">
        <v>569</v>
      </c>
      <c r="P198" s="104">
        <v>43835.0</v>
      </c>
      <c r="Q198" s="104">
        <v>43833.0</v>
      </c>
      <c r="R198" s="4" t="s">
        <v>938</v>
      </c>
      <c r="S198" s="4" t="s">
        <v>662</v>
      </c>
      <c r="T198" s="4" t="s">
        <v>569</v>
      </c>
      <c r="U198" s="4">
        <v>0.0</v>
      </c>
      <c r="V198" s="104">
        <v>43835.0</v>
      </c>
      <c r="W198" s="4" t="s">
        <v>758</v>
      </c>
      <c r="X198" s="4" t="s">
        <v>939</v>
      </c>
      <c r="Y198" s="4" t="s">
        <v>940</v>
      </c>
    </row>
    <row r="199">
      <c r="A199" s="23">
        <v>43557.0</v>
      </c>
      <c r="B199" s="4" t="s">
        <v>456</v>
      </c>
      <c r="C199" s="24">
        <v>0.3645833333333333</v>
      </c>
      <c r="D199" s="24">
        <v>0.46875</v>
      </c>
      <c r="E199" s="4" t="s">
        <v>418</v>
      </c>
      <c r="H199" s="105">
        <v>0.38125</v>
      </c>
      <c r="I199" s="4">
        <v>0.0</v>
      </c>
      <c r="J199" s="4" t="s">
        <v>569</v>
      </c>
      <c r="K199" s="4">
        <v>28.0</v>
      </c>
      <c r="L199" s="4" t="s">
        <v>660</v>
      </c>
      <c r="M199" s="4" t="s">
        <v>661</v>
      </c>
      <c r="O199" s="4" t="s">
        <v>569</v>
      </c>
      <c r="P199" s="104">
        <v>43992.0</v>
      </c>
      <c r="Q199" s="104">
        <v>43833.0</v>
      </c>
      <c r="R199" s="4" t="s">
        <v>938</v>
      </c>
      <c r="S199" s="4" t="s">
        <v>669</v>
      </c>
      <c r="T199" s="4" t="s">
        <v>569</v>
      </c>
      <c r="U199" s="4">
        <v>0.0</v>
      </c>
      <c r="V199" s="4">
        <v>0.0</v>
      </c>
      <c r="X199" s="4" t="s">
        <v>941</v>
      </c>
      <c r="Y199" s="4" t="s">
        <v>942</v>
      </c>
    </row>
    <row r="200">
      <c r="A200" s="23">
        <v>43557.0</v>
      </c>
      <c r="B200" s="4" t="s">
        <v>499</v>
      </c>
      <c r="C200" s="24"/>
      <c r="D200" s="24"/>
      <c r="E200" s="4"/>
      <c r="H200" s="105"/>
      <c r="I200" s="4"/>
      <c r="J200" s="4"/>
      <c r="K200" s="4"/>
      <c r="L200" s="4"/>
      <c r="M200" s="4"/>
      <c r="O200" s="4"/>
      <c r="P200" s="104"/>
      <c r="Q200" s="104"/>
      <c r="R200" s="4"/>
      <c r="S200" s="104"/>
      <c r="T200" s="4"/>
      <c r="U200" s="4"/>
      <c r="V200" s="4"/>
      <c r="X200" s="4"/>
      <c r="Y200" s="4"/>
    </row>
    <row r="201">
      <c r="A201" s="23">
        <v>43558.0</v>
      </c>
      <c r="B201" s="4" t="s">
        <v>456</v>
      </c>
      <c r="C201" s="24">
        <v>0.375</v>
      </c>
      <c r="D201" s="24">
        <v>0.4583333333333333</v>
      </c>
      <c r="E201" s="4" t="s">
        <v>418</v>
      </c>
      <c r="H201" s="105">
        <v>0.3951388888888889</v>
      </c>
      <c r="I201" s="4">
        <v>-0.1</v>
      </c>
      <c r="J201" s="4" t="s">
        <v>569</v>
      </c>
      <c r="K201" s="4">
        <v>21.0</v>
      </c>
      <c r="L201" s="4" t="s">
        <v>668</v>
      </c>
      <c r="M201" s="4" t="s">
        <v>661</v>
      </c>
      <c r="O201" s="4" t="s">
        <v>569</v>
      </c>
      <c r="P201" s="104">
        <v>43835.0</v>
      </c>
      <c r="Q201" s="104">
        <v>43833.0</v>
      </c>
      <c r="R201" s="4" t="s">
        <v>938</v>
      </c>
      <c r="S201" s="104">
        <v>44055.0</v>
      </c>
      <c r="T201" s="4" t="s">
        <v>569</v>
      </c>
      <c r="U201" s="4">
        <v>0.0</v>
      </c>
      <c r="V201" s="4">
        <v>0.0</v>
      </c>
      <c r="X201" s="4" t="s">
        <v>943</v>
      </c>
      <c r="Y201" s="4" t="s">
        <v>944</v>
      </c>
    </row>
    <row r="202">
      <c r="A202" s="23">
        <v>43558.0</v>
      </c>
      <c r="B202" s="4" t="s">
        <v>216</v>
      </c>
      <c r="C202" s="24">
        <v>0.39305555555555555</v>
      </c>
      <c r="D202" s="24">
        <v>0.4479166666666667</v>
      </c>
      <c r="E202" s="4" t="s">
        <v>413</v>
      </c>
      <c r="H202" s="105">
        <v>0.39444444444444443</v>
      </c>
      <c r="I202" s="4">
        <v>-0.09</v>
      </c>
      <c r="J202" s="4" t="s">
        <v>569</v>
      </c>
      <c r="K202" s="4">
        <v>17.0</v>
      </c>
      <c r="L202" s="4" t="s">
        <v>660</v>
      </c>
      <c r="M202" s="4" t="s">
        <v>661</v>
      </c>
      <c r="O202" s="4" t="s">
        <v>569</v>
      </c>
      <c r="P202" s="104">
        <v>43835.0</v>
      </c>
      <c r="Q202" s="104">
        <v>43833.0</v>
      </c>
      <c r="R202" s="4" t="s">
        <v>569</v>
      </c>
      <c r="S202" s="4" t="s">
        <v>662</v>
      </c>
      <c r="T202" s="4" t="s">
        <v>569</v>
      </c>
      <c r="U202" s="4">
        <v>0.0</v>
      </c>
      <c r="V202" s="4">
        <v>0.0</v>
      </c>
    </row>
    <row r="203">
      <c r="A203" s="23">
        <v>43559.0</v>
      </c>
      <c r="B203" s="4" t="s">
        <v>456</v>
      </c>
      <c r="C203" s="24">
        <v>0.375</v>
      </c>
      <c r="D203" s="24">
        <v>0.4791666666666667</v>
      </c>
      <c r="E203" s="4" t="s">
        <v>418</v>
      </c>
      <c r="H203" s="105">
        <v>0.4097222222222222</v>
      </c>
      <c r="I203" s="4">
        <v>-0.1</v>
      </c>
      <c r="J203" s="4" t="s">
        <v>569</v>
      </c>
      <c r="K203" s="4">
        <v>23.0</v>
      </c>
      <c r="L203" s="4" t="s">
        <v>668</v>
      </c>
      <c r="M203" s="4" t="s">
        <v>661</v>
      </c>
      <c r="O203" s="4" t="s">
        <v>569</v>
      </c>
      <c r="P203" s="4" t="s">
        <v>698</v>
      </c>
      <c r="Q203" s="104">
        <v>43833.0</v>
      </c>
      <c r="R203" s="4" t="s">
        <v>938</v>
      </c>
      <c r="S203" s="104">
        <v>44055.0</v>
      </c>
      <c r="T203" s="4" t="s">
        <v>569</v>
      </c>
      <c r="U203" s="4">
        <v>0.0</v>
      </c>
      <c r="V203" s="4">
        <v>0.0</v>
      </c>
      <c r="X203" s="4" t="s">
        <v>945</v>
      </c>
      <c r="Y203" s="4" t="s">
        <v>946</v>
      </c>
    </row>
    <row r="204">
      <c r="A204" s="23">
        <v>43560.0</v>
      </c>
      <c r="B204" s="4" t="s">
        <v>511</v>
      </c>
      <c r="C204" s="24">
        <v>0.4305555555555556</v>
      </c>
      <c r="D204" s="24">
        <v>0.4548611111111111</v>
      </c>
      <c r="E204" s="4" t="s">
        <v>508</v>
      </c>
      <c r="H204" s="105">
        <v>0.4152777777777778</v>
      </c>
      <c r="I204" s="4">
        <v>-0.1</v>
      </c>
      <c r="J204" s="4" t="s">
        <v>678</v>
      </c>
      <c r="K204" s="4">
        <v>12.0</v>
      </c>
      <c r="L204" s="4" t="s">
        <v>668</v>
      </c>
      <c r="M204" s="4" t="s">
        <v>664</v>
      </c>
      <c r="N204" s="4">
        <v>0.01</v>
      </c>
      <c r="O204" s="4" t="s">
        <v>678</v>
      </c>
      <c r="P204" s="4" t="s">
        <v>684</v>
      </c>
      <c r="Q204" s="104">
        <v>43833.0</v>
      </c>
      <c r="R204" s="4" t="s">
        <v>678</v>
      </c>
      <c r="S204" s="104">
        <v>43928.0</v>
      </c>
      <c r="T204" s="4" t="s">
        <v>678</v>
      </c>
      <c r="U204" s="4">
        <v>0.0</v>
      </c>
      <c r="V204" s="4">
        <v>0.0</v>
      </c>
      <c r="Y204" s="4" t="s">
        <v>947</v>
      </c>
    </row>
    <row r="205">
      <c r="A205" s="23">
        <v>43562.0</v>
      </c>
      <c r="B205" s="4" t="s">
        <v>293</v>
      </c>
      <c r="C205" s="24">
        <v>0.4583333333333333</v>
      </c>
      <c r="D205" s="24">
        <v>0.4791666666666667</v>
      </c>
      <c r="E205" s="4" t="s">
        <v>482</v>
      </c>
      <c r="H205" s="105">
        <v>0.425</v>
      </c>
      <c r="I205" s="4">
        <v>-0.25</v>
      </c>
      <c r="J205" s="4" t="s">
        <v>948</v>
      </c>
      <c r="K205" s="4">
        <v>4.0</v>
      </c>
      <c r="L205" s="4" t="s">
        <v>660</v>
      </c>
      <c r="M205" s="4" t="s">
        <v>661</v>
      </c>
      <c r="O205" s="4" t="s">
        <v>948</v>
      </c>
      <c r="P205" s="104">
        <v>43835.0</v>
      </c>
      <c r="Q205" s="104">
        <v>43833.0</v>
      </c>
      <c r="R205" s="4" t="s">
        <v>948</v>
      </c>
      <c r="S205" s="4" t="s">
        <v>662</v>
      </c>
      <c r="T205" s="4" t="s">
        <v>948</v>
      </c>
      <c r="U205" s="104">
        <v>43835.0</v>
      </c>
      <c r="V205" s="104">
        <v>43835.0</v>
      </c>
      <c r="W205" s="4" t="s">
        <v>949</v>
      </c>
      <c r="X205" s="4" t="s">
        <v>950</v>
      </c>
    </row>
    <row r="206">
      <c r="A206" s="23">
        <v>43563.0</v>
      </c>
      <c r="B206" s="4" t="s">
        <v>216</v>
      </c>
      <c r="C206" s="24"/>
      <c r="D206" s="24"/>
      <c r="E206" s="4"/>
      <c r="H206" s="105"/>
      <c r="I206" s="4"/>
      <c r="J206" s="4"/>
      <c r="K206" s="4"/>
      <c r="L206" s="4"/>
      <c r="M206" s="4"/>
      <c r="O206" s="4"/>
      <c r="P206" s="104"/>
      <c r="Q206" s="104"/>
      <c r="R206" s="4"/>
      <c r="S206" s="104"/>
      <c r="T206" s="4"/>
      <c r="U206" s="104"/>
      <c r="V206" s="4"/>
      <c r="X206" s="4"/>
    </row>
    <row r="207">
      <c r="A207" s="23">
        <v>43563.0</v>
      </c>
      <c r="B207" s="4" t="s">
        <v>400</v>
      </c>
      <c r="C207" s="24">
        <v>0.4548611111111111</v>
      </c>
      <c r="D207" s="24">
        <v>0.4895833333333333</v>
      </c>
      <c r="E207" s="4" t="s">
        <v>465</v>
      </c>
      <c r="H207" s="105">
        <v>0.45208333333333334</v>
      </c>
      <c r="I207" s="4">
        <v>-0.24</v>
      </c>
      <c r="J207" s="4" t="s">
        <v>835</v>
      </c>
      <c r="K207" s="4">
        <v>23.0</v>
      </c>
      <c r="L207" s="4" t="s">
        <v>689</v>
      </c>
      <c r="M207" s="4" t="s">
        <v>661</v>
      </c>
      <c r="O207" s="4" t="s">
        <v>835</v>
      </c>
      <c r="P207" s="104">
        <v>43835.0</v>
      </c>
      <c r="Q207" s="104">
        <v>43833.0</v>
      </c>
      <c r="R207" s="4" t="s">
        <v>951</v>
      </c>
      <c r="S207" s="104">
        <v>43928.0</v>
      </c>
      <c r="T207" s="4" t="s">
        <v>951</v>
      </c>
      <c r="U207" s="104">
        <v>43835.0</v>
      </c>
      <c r="V207" s="4">
        <v>0.0</v>
      </c>
      <c r="X207" s="4" t="s">
        <v>952</v>
      </c>
    </row>
    <row r="208">
      <c r="A208" s="23">
        <v>43564.0</v>
      </c>
      <c r="B208" s="4" t="s">
        <v>456</v>
      </c>
      <c r="C208" s="24">
        <v>0.36319444444444443</v>
      </c>
      <c r="D208" s="24">
        <v>0.3958333333333333</v>
      </c>
      <c r="E208" s="4" t="s">
        <v>469</v>
      </c>
      <c r="H208" s="105">
        <v>0.44166666666666665</v>
      </c>
      <c r="I208" s="4">
        <v>-0.04</v>
      </c>
      <c r="J208" s="4" t="s">
        <v>691</v>
      </c>
      <c r="K208" s="4">
        <v>12.0</v>
      </c>
      <c r="L208" s="4" t="s">
        <v>668</v>
      </c>
      <c r="M208" s="4" t="s">
        <v>661</v>
      </c>
      <c r="O208" s="4" t="s">
        <v>691</v>
      </c>
      <c r="P208" s="104">
        <v>43835.0</v>
      </c>
      <c r="Q208" s="104">
        <v>43833.0</v>
      </c>
      <c r="R208" s="4" t="s">
        <v>953</v>
      </c>
      <c r="S208" s="104">
        <v>43928.0</v>
      </c>
      <c r="T208" s="4" t="s">
        <v>953</v>
      </c>
      <c r="U208" s="4">
        <v>0.0</v>
      </c>
      <c r="V208" s="4">
        <v>0.0</v>
      </c>
      <c r="X208" s="4" t="s">
        <v>954</v>
      </c>
    </row>
    <row r="209">
      <c r="A209" s="23">
        <v>43564.0</v>
      </c>
      <c r="B209" s="4" t="s">
        <v>244</v>
      </c>
      <c r="C209" s="24">
        <v>0.3958333333333333</v>
      </c>
      <c r="D209" s="24">
        <v>0.4375</v>
      </c>
      <c r="E209" s="4" t="s">
        <v>326</v>
      </c>
      <c r="H209" s="105">
        <v>0.5034722222222222</v>
      </c>
      <c r="I209" s="4">
        <v>0.06</v>
      </c>
      <c r="J209" s="4" t="s">
        <v>955</v>
      </c>
      <c r="K209" s="4">
        <v>22.0</v>
      </c>
      <c r="L209" s="4" t="s">
        <v>660</v>
      </c>
      <c r="M209" s="4" t="s">
        <v>664</v>
      </c>
      <c r="N209" s="4">
        <v>0.14</v>
      </c>
      <c r="O209" s="4" t="s">
        <v>956</v>
      </c>
      <c r="P209" s="104">
        <v>43835.0</v>
      </c>
      <c r="Q209" s="104">
        <v>43833.0</v>
      </c>
      <c r="R209" s="4" t="s">
        <v>244</v>
      </c>
      <c r="S209" s="104">
        <v>44055.0</v>
      </c>
      <c r="T209" s="4" t="s">
        <v>244</v>
      </c>
      <c r="U209" s="104">
        <v>43835.0</v>
      </c>
      <c r="V209" s="4">
        <v>0.0</v>
      </c>
      <c r="W209" s="4" t="s">
        <v>842</v>
      </c>
      <c r="Y209" s="4" t="s">
        <v>957</v>
      </c>
    </row>
    <row r="210">
      <c r="A210" s="23">
        <v>43564.0</v>
      </c>
      <c r="B210" s="4" t="s">
        <v>246</v>
      </c>
      <c r="C210" s="24">
        <v>0.3888888888888889</v>
      </c>
      <c r="D210" s="24">
        <v>0.4583333333333333</v>
      </c>
      <c r="E210" s="4" t="s">
        <v>548</v>
      </c>
      <c r="H210" s="105">
        <v>0.4708333333333333</v>
      </c>
      <c r="I210" s="4">
        <v>-0.08</v>
      </c>
      <c r="J210" s="4" t="s">
        <v>674</v>
      </c>
      <c r="K210" s="4">
        <v>24.0</v>
      </c>
      <c r="L210" s="4" t="s">
        <v>660</v>
      </c>
      <c r="M210" s="4" t="s">
        <v>664</v>
      </c>
      <c r="N210" s="4">
        <v>0.01</v>
      </c>
      <c r="O210" s="4" t="s">
        <v>769</v>
      </c>
      <c r="P210" s="4" t="s">
        <v>684</v>
      </c>
      <c r="Q210" s="104">
        <v>43833.0</v>
      </c>
      <c r="R210" s="4" t="s">
        <v>569</v>
      </c>
      <c r="S210" s="104">
        <v>43928.0</v>
      </c>
      <c r="T210" s="4" t="s">
        <v>958</v>
      </c>
      <c r="U210" s="4">
        <v>0.0</v>
      </c>
      <c r="V210" s="4">
        <v>0.0</v>
      </c>
      <c r="X210" s="4" t="s">
        <v>959</v>
      </c>
    </row>
    <row r="211">
      <c r="A211" s="23">
        <v>43566.0</v>
      </c>
      <c r="B211" s="4" t="s">
        <v>246</v>
      </c>
      <c r="C211" s="24">
        <v>0.3888888888888889</v>
      </c>
      <c r="D211" s="24">
        <v>0.4618055555555556</v>
      </c>
      <c r="E211" s="4" t="s">
        <v>548</v>
      </c>
      <c r="H211" s="105">
        <v>0.5423611111111111</v>
      </c>
      <c r="I211" s="4">
        <v>0.07</v>
      </c>
      <c r="J211" s="4" t="s">
        <v>569</v>
      </c>
      <c r="K211" s="4">
        <v>25.0</v>
      </c>
      <c r="L211" s="4" t="s">
        <v>668</v>
      </c>
      <c r="M211" s="4" t="s">
        <v>664</v>
      </c>
      <c r="N211" s="4">
        <v>0.01</v>
      </c>
      <c r="O211" s="4" t="s">
        <v>769</v>
      </c>
      <c r="P211" s="104">
        <v>44150.0</v>
      </c>
      <c r="Q211" s="104">
        <v>43927.0</v>
      </c>
      <c r="R211" s="4" t="s">
        <v>569</v>
      </c>
      <c r="S211" s="4" t="s">
        <v>669</v>
      </c>
      <c r="T211" s="4" t="s">
        <v>569</v>
      </c>
      <c r="U211" s="4">
        <v>0.0</v>
      </c>
      <c r="V211" s="4">
        <v>0.0</v>
      </c>
    </row>
    <row r="212">
      <c r="A212" s="23">
        <v>43566.0</v>
      </c>
      <c r="B212" s="4" t="s">
        <v>473</v>
      </c>
      <c r="C212" s="24">
        <v>0.4166666666666667</v>
      </c>
      <c r="D212" s="24">
        <v>0.4791666666666667</v>
      </c>
      <c r="E212" s="4" t="s">
        <v>418</v>
      </c>
      <c r="H212" s="105">
        <v>0.07083333333333333</v>
      </c>
      <c r="I212" s="4">
        <v>0.2</v>
      </c>
      <c r="J212" s="4" t="s">
        <v>769</v>
      </c>
      <c r="K212" s="4">
        <v>20.0</v>
      </c>
      <c r="L212" s="4" t="s">
        <v>668</v>
      </c>
      <c r="M212" s="4" t="s">
        <v>664</v>
      </c>
      <c r="N212" s="4">
        <v>0.5</v>
      </c>
      <c r="O212" s="4" t="s">
        <v>960</v>
      </c>
      <c r="P212" s="104">
        <v>43992.0</v>
      </c>
      <c r="Q212" s="104">
        <v>43833.0</v>
      </c>
      <c r="R212" s="4" t="s">
        <v>769</v>
      </c>
      <c r="S212" s="4" t="s">
        <v>672</v>
      </c>
      <c r="T212" s="4" t="s">
        <v>961</v>
      </c>
      <c r="U212" s="4">
        <v>0.0</v>
      </c>
      <c r="V212" s="4">
        <v>0.0</v>
      </c>
    </row>
    <row r="213">
      <c r="A213" s="23">
        <v>43567.0</v>
      </c>
      <c r="B213" s="4" t="s">
        <v>473</v>
      </c>
      <c r="C213" s="24">
        <v>0.4166666666666667</v>
      </c>
      <c r="D213" s="24">
        <v>0.5</v>
      </c>
      <c r="E213" s="4" t="s">
        <v>418</v>
      </c>
      <c r="H213" s="105">
        <v>0.5486111111111112</v>
      </c>
      <c r="I213" s="4">
        <v>0.23</v>
      </c>
      <c r="J213" s="4" t="s">
        <v>962</v>
      </c>
      <c r="K213" s="4">
        <v>25.0</v>
      </c>
      <c r="L213" s="4" t="s">
        <v>660</v>
      </c>
      <c r="M213" s="4" t="s">
        <v>661</v>
      </c>
      <c r="O213" s="4" t="s">
        <v>963</v>
      </c>
      <c r="P213" s="104">
        <v>43992.0</v>
      </c>
      <c r="Q213" s="104">
        <v>43927.0</v>
      </c>
      <c r="R213" s="4" t="s">
        <v>961</v>
      </c>
      <c r="S213" s="4" t="s">
        <v>669</v>
      </c>
      <c r="T213" s="4" t="s">
        <v>963</v>
      </c>
      <c r="U213" s="4">
        <v>0.0</v>
      </c>
      <c r="V213" s="4">
        <v>0.0</v>
      </c>
      <c r="Y213" s="4" t="s">
        <v>964</v>
      </c>
    </row>
    <row r="214">
      <c r="A214" s="23">
        <v>43571.0</v>
      </c>
      <c r="B214" s="4" t="s">
        <v>244</v>
      </c>
      <c r="C214" s="24">
        <v>0.3888888888888889</v>
      </c>
      <c r="D214" s="24">
        <v>0.4131944444444444</v>
      </c>
      <c r="E214" s="4" t="s">
        <v>326</v>
      </c>
      <c r="H214" s="105">
        <v>0.3527777777777778</v>
      </c>
      <c r="I214" s="4">
        <v>-0.215</v>
      </c>
      <c r="J214" s="4" t="s">
        <v>955</v>
      </c>
      <c r="K214" s="4">
        <v>25.0</v>
      </c>
      <c r="L214" s="4" t="s">
        <v>660</v>
      </c>
      <c r="M214" s="4" t="s">
        <v>661</v>
      </c>
      <c r="O214" s="4" t="s">
        <v>955</v>
      </c>
      <c r="P214" s="4">
        <v>0.0</v>
      </c>
      <c r="Q214" s="104">
        <v>43833.0</v>
      </c>
      <c r="R214" s="4" t="s">
        <v>955</v>
      </c>
      <c r="S214" s="4" t="s">
        <v>662</v>
      </c>
      <c r="T214" s="4" t="s">
        <v>955</v>
      </c>
      <c r="U214" s="4">
        <v>0.0</v>
      </c>
      <c r="V214" s="4">
        <v>0.0</v>
      </c>
    </row>
    <row r="215">
      <c r="A215" s="23">
        <v>43571.0</v>
      </c>
      <c r="B215" s="4" t="s">
        <v>201</v>
      </c>
      <c r="C215" s="24">
        <v>0.3576388888888889</v>
      </c>
      <c r="D215" s="24">
        <v>0.4166666666666667</v>
      </c>
      <c r="E215" s="4" t="s">
        <v>477</v>
      </c>
      <c r="H215" s="105">
        <v>0.35138888888888886</v>
      </c>
      <c r="I215" s="4">
        <v>0.26</v>
      </c>
      <c r="J215" s="4" t="s">
        <v>569</v>
      </c>
      <c r="K215" s="4">
        <v>18.0</v>
      </c>
      <c r="L215" s="4" t="s">
        <v>660</v>
      </c>
      <c r="M215" s="4" t="s">
        <v>664</v>
      </c>
      <c r="N215" s="4">
        <v>0.08</v>
      </c>
      <c r="O215" s="4" t="s">
        <v>569</v>
      </c>
      <c r="P215" s="104">
        <v>43992.0</v>
      </c>
      <c r="Q215" s="104">
        <v>43833.0</v>
      </c>
      <c r="R215" s="4" t="s">
        <v>569</v>
      </c>
      <c r="S215" s="4" t="s">
        <v>662</v>
      </c>
      <c r="T215" s="104">
        <v>43928.0</v>
      </c>
      <c r="U215" s="4">
        <v>0.0</v>
      </c>
      <c r="V215" s="4">
        <v>0.0</v>
      </c>
    </row>
    <row r="216">
      <c r="A216" s="23">
        <v>43572.0</v>
      </c>
      <c r="B216" s="4" t="s">
        <v>201</v>
      </c>
      <c r="C216" s="24">
        <v>0.3611111111111111</v>
      </c>
      <c r="D216" s="24">
        <v>0.4166666666666667</v>
      </c>
      <c r="E216" s="4" t="s">
        <v>477</v>
      </c>
      <c r="H216" s="105">
        <v>0.37222222222222223</v>
      </c>
      <c r="I216" s="4">
        <v>-0.31</v>
      </c>
      <c r="J216" s="4" t="s">
        <v>965</v>
      </c>
      <c r="K216" s="4">
        <v>15.0</v>
      </c>
      <c r="L216" s="4" t="s">
        <v>660</v>
      </c>
      <c r="M216" s="4" t="s">
        <v>664</v>
      </c>
      <c r="N216" s="4">
        <v>0.01</v>
      </c>
      <c r="O216" s="4" t="s">
        <v>569</v>
      </c>
      <c r="P216" s="104">
        <v>43992.0</v>
      </c>
      <c r="Q216" s="104">
        <v>43833.0</v>
      </c>
      <c r="R216" s="4" t="s">
        <v>774</v>
      </c>
      <c r="S216" s="104">
        <v>43928.0</v>
      </c>
      <c r="T216" s="4" t="s">
        <v>569</v>
      </c>
      <c r="U216" s="104">
        <v>43835.0</v>
      </c>
      <c r="V216" s="104">
        <v>43835.0</v>
      </c>
    </row>
    <row r="217">
      <c r="A217" s="23">
        <v>43572.0</v>
      </c>
      <c r="B217" s="4" t="s">
        <v>259</v>
      </c>
      <c r="C217" s="24">
        <v>0.3680555555555556</v>
      </c>
      <c r="D217" s="24">
        <v>0.4479166666666667</v>
      </c>
      <c r="E217" s="4" t="s">
        <v>482</v>
      </c>
      <c r="H217" s="105">
        <v>0.33611111111111114</v>
      </c>
      <c r="I217" s="4">
        <v>-0.3</v>
      </c>
      <c r="J217" s="4" t="s">
        <v>948</v>
      </c>
      <c r="K217" s="4">
        <v>33.0</v>
      </c>
      <c r="L217" s="4" t="s">
        <v>660</v>
      </c>
      <c r="M217" s="4" t="s">
        <v>664</v>
      </c>
      <c r="N217" s="4">
        <v>2.84</v>
      </c>
      <c r="O217" s="4" t="s">
        <v>948</v>
      </c>
      <c r="P217" s="4">
        <v>0.0</v>
      </c>
      <c r="Q217" s="104">
        <v>43833.0</v>
      </c>
      <c r="R217" s="4" t="s">
        <v>948</v>
      </c>
      <c r="S217" s="104">
        <v>43833.0</v>
      </c>
      <c r="T217" s="4" t="s">
        <v>948</v>
      </c>
      <c r="U217" s="4">
        <v>0.0</v>
      </c>
      <c r="V217" s="4">
        <v>0.0</v>
      </c>
    </row>
    <row r="218">
      <c r="A218" s="23">
        <v>43573.0</v>
      </c>
      <c r="B218" s="4" t="s">
        <v>340</v>
      </c>
      <c r="C218" s="24">
        <v>0.4131944444444444</v>
      </c>
      <c r="D218" s="24">
        <v>0.4791666666666667</v>
      </c>
      <c r="E218" s="4" t="s">
        <v>418</v>
      </c>
      <c r="H218" s="105">
        <v>0.38333333333333336</v>
      </c>
      <c r="I218" s="4">
        <v>-0.29</v>
      </c>
      <c r="J218" s="4" t="s">
        <v>590</v>
      </c>
      <c r="K218" s="4">
        <v>7.0</v>
      </c>
      <c r="L218" s="4" t="s">
        <v>660</v>
      </c>
      <c r="M218" s="4" t="s">
        <v>661</v>
      </c>
      <c r="O218" s="4" t="s">
        <v>590</v>
      </c>
      <c r="P218" s="4">
        <v>0.0</v>
      </c>
      <c r="Q218" s="104">
        <v>43833.0</v>
      </c>
      <c r="R218" s="4" t="s">
        <v>590</v>
      </c>
      <c r="S218" s="104">
        <v>43833.0</v>
      </c>
      <c r="T218" s="4" t="s">
        <v>590</v>
      </c>
      <c r="U218" s="4">
        <v>0.0</v>
      </c>
      <c r="V218" s="104">
        <v>44150.0</v>
      </c>
      <c r="Y218" s="4" t="s">
        <v>966</v>
      </c>
    </row>
    <row r="219">
      <c r="A219" s="23">
        <v>43573.0</v>
      </c>
      <c r="B219" s="4" t="s">
        <v>259</v>
      </c>
      <c r="C219" s="24">
        <v>0.375</v>
      </c>
      <c r="D219" s="24">
        <v>0.4479166666666667</v>
      </c>
      <c r="E219" s="4" t="s">
        <v>482</v>
      </c>
      <c r="F219" s="4" t="s">
        <v>661</v>
      </c>
      <c r="H219" s="105">
        <v>0.3576388888888889</v>
      </c>
      <c r="I219" s="4">
        <v>-0.44</v>
      </c>
      <c r="J219" s="4" t="s">
        <v>948</v>
      </c>
      <c r="K219" s="4">
        <v>35.0</v>
      </c>
      <c r="L219" s="4" t="s">
        <v>660</v>
      </c>
      <c r="M219" s="4" t="s">
        <v>664</v>
      </c>
      <c r="N219" s="4">
        <v>1.27</v>
      </c>
      <c r="O219" s="4" t="s">
        <v>948</v>
      </c>
      <c r="P219" s="4">
        <v>0.0</v>
      </c>
      <c r="Q219" s="104">
        <v>43833.0</v>
      </c>
      <c r="R219" s="4" t="s">
        <v>948</v>
      </c>
      <c r="S219" s="4" t="s">
        <v>662</v>
      </c>
      <c r="T219" s="4" t="s">
        <v>948</v>
      </c>
      <c r="U219" s="4">
        <v>0.0</v>
      </c>
      <c r="V219" s="104">
        <v>43835.0</v>
      </c>
      <c r="W219" s="4" t="s">
        <v>683</v>
      </c>
    </row>
    <row r="220">
      <c r="A220" s="31">
        <v>43573.0</v>
      </c>
      <c r="B220" s="32" t="s">
        <v>489</v>
      </c>
      <c r="C220" s="33">
        <v>0.375</v>
      </c>
      <c r="D220" s="33">
        <v>0.4791666666666667</v>
      </c>
      <c r="E220" s="32" t="s">
        <v>367</v>
      </c>
      <c r="H220" s="105">
        <v>0.38333333333333336</v>
      </c>
      <c r="I220" s="4">
        <v>-0.29</v>
      </c>
      <c r="J220" s="4" t="s">
        <v>590</v>
      </c>
      <c r="K220" s="4">
        <v>7.0</v>
      </c>
      <c r="L220" s="4" t="s">
        <v>660</v>
      </c>
      <c r="M220" s="4" t="s">
        <v>661</v>
      </c>
      <c r="O220" s="4" t="s">
        <v>875</v>
      </c>
      <c r="P220" s="4">
        <v>0.0</v>
      </c>
      <c r="Q220" s="104">
        <v>43833.0</v>
      </c>
      <c r="R220" s="4" t="s">
        <v>875</v>
      </c>
      <c r="S220" s="104">
        <v>43833.0</v>
      </c>
      <c r="T220" s="4" t="s">
        <v>875</v>
      </c>
      <c r="U220" s="4">
        <v>0.0</v>
      </c>
      <c r="V220" s="4">
        <v>0.0</v>
      </c>
    </row>
    <row r="221">
      <c r="A221" s="23">
        <v>43573.0</v>
      </c>
      <c r="B221" s="4" t="s">
        <v>201</v>
      </c>
      <c r="C221" s="24">
        <v>0.375</v>
      </c>
      <c r="D221" s="24">
        <v>0.4305555555555556</v>
      </c>
      <c r="E221" s="4" t="s">
        <v>477</v>
      </c>
      <c r="H221" s="105">
        <v>0.3923611111111111</v>
      </c>
      <c r="I221" s="4">
        <v>-0.3</v>
      </c>
      <c r="J221" s="4" t="s">
        <v>965</v>
      </c>
      <c r="K221" s="4">
        <v>15.0</v>
      </c>
      <c r="L221" s="4" t="s">
        <v>660</v>
      </c>
      <c r="M221" s="4" t="s">
        <v>664</v>
      </c>
      <c r="N221" s="4">
        <v>0.05</v>
      </c>
      <c r="O221" s="4" t="s">
        <v>774</v>
      </c>
      <c r="P221" s="104">
        <v>44150.0</v>
      </c>
      <c r="Q221" s="104">
        <v>43833.0</v>
      </c>
      <c r="R221" s="4" t="s">
        <v>569</v>
      </c>
      <c r="S221" s="104">
        <v>44055.0</v>
      </c>
      <c r="T221" s="4" t="s">
        <v>569</v>
      </c>
      <c r="U221" s="4">
        <v>0.0</v>
      </c>
      <c r="V221" s="104">
        <v>43835.0</v>
      </c>
      <c r="W221" s="4" t="s">
        <v>967</v>
      </c>
    </row>
    <row r="222">
      <c r="A222" s="23">
        <v>43573.0</v>
      </c>
      <c r="B222" s="4" t="s">
        <v>492</v>
      </c>
      <c r="C222" s="24">
        <v>0.3541666666666667</v>
      </c>
      <c r="D222" s="24">
        <v>0.3993055555555556</v>
      </c>
      <c r="E222" s="4" t="s">
        <v>493</v>
      </c>
      <c r="H222" s="105">
        <v>0.4048611111111111</v>
      </c>
      <c r="I222" s="4">
        <v>-0.36</v>
      </c>
      <c r="J222" s="4" t="s">
        <v>749</v>
      </c>
      <c r="K222" s="4">
        <v>23.0</v>
      </c>
      <c r="L222" s="4" t="s">
        <v>660</v>
      </c>
      <c r="M222" s="4" t="s">
        <v>661</v>
      </c>
      <c r="O222" s="4" t="s">
        <v>749</v>
      </c>
      <c r="P222" s="104">
        <v>43835.0</v>
      </c>
      <c r="Q222" s="104">
        <v>43833.0</v>
      </c>
      <c r="R222" s="4" t="s">
        <v>749</v>
      </c>
      <c r="S222" s="4" t="s">
        <v>662</v>
      </c>
      <c r="T222" s="4" t="s">
        <v>749</v>
      </c>
      <c r="U222" s="4">
        <v>0.0</v>
      </c>
      <c r="V222" s="4">
        <v>0.0</v>
      </c>
      <c r="Y222" s="4" t="s">
        <v>968</v>
      </c>
    </row>
    <row r="223">
      <c r="A223" s="23">
        <v>43573.0</v>
      </c>
      <c r="B223" s="4" t="s">
        <v>246</v>
      </c>
      <c r="C223" s="24"/>
      <c r="D223" s="24"/>
      <c r="E223" s="4"/>
      <c r="H223" s="105"/>
      <c r="I223" s="4"/>
      <c r="J223" s="4"/>
      <c r="K223" s="4"/>
      <c r="L223" s="4"/>
      <c r="M223" s="4"/>
      <c r="O223" s="4"/>
      <c r="P223" s="4"/>
      <c r="Q223" s="104"/>
      <c r="R223" s="4"/>
      <c r="S223" s="4"/>
      <c r="T223" s="4"/>
      <c r="U223" s="4"/>
      <c r="V223" s="4"/>
      <c r="X223" s="4"/>
    </row>
    <row r="224">
      <c r="A224" s="23">
        <v>43577.0</v>
      </c>
      <c r="B224" s="4" t="s">
        <v>301</v>
      </c>
      <c r="C224" s="24">
        <v>0.4583333333333333</v>
      </c>
      <c r="D224" s="24">
        <v>0.5</v>
      </c>
      <c r="E224" s="4" t="s">
        <v>347</v>
      </c>
      <c r="H224" s="105">
        <v>0.4583333333333333</v>
      </c>
      <c r="I224" s="4">
        <v>-1.5</v>
      </c>
      <c r="J224" s="4" t="s">
        <v>671</v>
      </c>
      <c r="K224" s="4">
        <v>18.0</v>
      </c>
      <c r="L224" s="4" t="s">
        <v>660</v>
      </c>
      <c r="M224" s="4" t="s">
        <v>661</v>
      </c>
      <c r="O224" s="4" t="s">
        <v>671</v>
      </c>
      <c r="P224" s="4">
        <v>0.0</v>
      </c>
      <c r="Q224" s="104">
        <v>43833.0</v>
      </c>
      <c r="R224" s="4" t="s">
        <v>969</v>
      </c>
      <c r="S224" s="4" t="s">
        <v>662</v>
      </c>
      <c r="T224" s="4" t="s">
        <v>347</v>
      </c>
      <c r="U224" s="4">
        <v>0.0</v>
      </c>
      <c r="V224" s="4">
        <v>0.0</v>
      </c>
      <c r="X224" s="4" t="s">
        <v>970</v>
      </c>
    </row>
    <row r="225">
      <c r="A225" s="23">
        <v>43577.0</v>
      </c>
      <c r="B225" s="4" t="s">
        <v>266</v>
      </c>
      <c r="C225" s="24">
        <v>0.4618055555555556</v>
      </c>
      <c r="D225" s="24">
        <v>0.5</v>
      </c>
      <c r="E225" s="4" t="s">
        <v>418</v>
      </c>
      <c r="H225" s="105">
        <v>0.4583333333333333</v>
      </c>
      <c r="I225" s="4">
        <v>-1.5</v>
      </c>
      <c r="J225" s="4" t="s">
        <v>671</v>
      </c>
      <c r="K225" s="4">
        <v>20.0</v>
      </c>
      <c r="L225" s="4" t="s">
        <v>660</v>
      </c>
      <c r="M225" s="4" t="s">
        <v>661</v>
      </c>
      <c r="O225" s="4" t="s">
        <v>347</v>
      </c>
      <c r="P225" s="4">
        <v>0.0</v>
      </c>
      <c r="Q225" s="104">
        <v>43833.0</v>
      </c>
      <c r="R225" s="4" t="s">
        <v>969</v>
      </c>
      <c r="S225" s="4" t="s">
        <v>662</v>
      </c>
      <c r="T225" s="4" t="s">
        <v>569</v>
      </c>
      <c r="U225" s="4">
        <v>0.0</v>
      </c>
      <c r="V225" s="4">
        <v>0.0</v>
      </c>
      <c r="Y225" s="4" t="s">
        <v>971</v>
      </c>
    </row>
    <row r="226">
      <c r="A226" s="23">
        <v>43577.0</v>
      </c>
      <c r="B226" s="4" t="s">
        <v>293</v>
      </c>
      <c r="C226" s="24">
        <v>0.4173611111111111</v>
      </c>
      <c r="D226" s="24">
        <v>0.45694444444444443</v>
      </c>
      <c r="E226" s="4" t="s">
        <v>496</v>
      </c>
      <c r="H226" s="105">
        <v>0.4423611111111111</v>
      </c>
      <c r="I226" s="4">
        <v>-0.31</v>
      </c>
      <c r="J226" s="4" t="s">
        <v>590</v>
      </c>
      <c r="K226" s="4">
        <v>18.0</v>
      </c>
      <c r="L226" s="4" t="s">
        <v>660</v>
      </c>
      <c r="M226" s="4" t="s">
        <v>661</v>
      </c>
      <c r="O226" s="4" t="s">
        <v>590</v>
      </c>
      <c r="P226" s="104">
        <v>43835.0</v>
      </c>
      <c r="Q226" s="104">
        <v>43833.0</v>
      </c>
      <c r="R226" s="4" t="s">
        <v>293</v>
      </c>
      <c r="S226" s="104">
        <v>43928.0</v>
      </c>
      <c r="T226" s="4" t="s">
        <v>293</v>
      </c>
      <c r="U226" s="4">
        <v>0.0</v>
      </c>
      <c r="V226" s="4">
        <v>0.0</v>
      </c>
      <c r="W226" s="4" t="s">
        <v>972</v>
      </c>
    </row>
    <row r="227">
      <c r="A227" s="23">
        <v>43578.0</v>
      </c>
      <c r="B227" s="4" t="s">
        <v>201</v>
      </c>
      <c r="C227" s="24">
        <v>0.4791666666666667</v>
      </c>
      <c r="D227" s="24">
        <v>0.5104166666666666</v>
      </c>
      <c r="E227" s="4" t="s">
        <v>418</v>
      </c>
      <c r="H227" s="105">
        <v>0.5</v>
      </c>
      <c r="I227" s="4">
        <v>0.01</v>
      </c>
      <c r="J227" s="4" t="s">
        <v>569</v>
      </c>
      <c r="K227" s="4">
        <v>15.0</v>
      </c>
      <c r="L227" s="4" t="s">
        <v>668</v>
      </c>
      <c r="M227" s="4" t="s">
        <v>661</v>
      </c>
      <c r="O227" s="4" t="s">
        <v>569</v>
      </c>
      <c r="P227" s="104">
        <v>43835.0</v>
      </c>
      <c r="Q227" s="104">
        <v>43833.0</v>
      </c>
      <c r="R227" s="4" t="s">
        <v>569</v>
      </c>
      <c r="S227" s="104">
        <v>44055.0</v>
      </c>
      <c r="T227" s="4" t="s">
        <v>569</v>
      </c>
      <c r="U227" s="4">
        <v>0.0</v>
      </c>
      <c r="V227" s="4">
        <v>0.0</v>
      </c>
      <c r="X227" s="4" t="s">
        <v>973</v>
      </c>
    </row>
    <row r="228">
      <c r="A228" s="23">
        <v>43587.0</v>
      </c>
      <c r="B228" s="4" t="s">
        <v>499</v>
      </c>
      <c r="C228" s="24">
        <v>0.39444444444444443</v>
      </c>
      <c r="D228" s="24">
        <v>0.4270833333333333</v>
      </c>
      <c r="E228" s="4" t="s">
        <v>418</v>
      </c>
      <c r="H228" s="105">
        <v>0.34791666666666665</v>
      </c>
      <c r="I228" s="4">
        <v>-0.02</v>
      </c>
      <c r="J228" s="4" t="s">
        <v>974</v>
      </c>
      <c r="K228" s="4">
        <v>30.0</v>
      </c>
      <c r="L228" s="4" t="s">
        <v>668</v>
      </c>
      <c r="M228" s="4" t="s">
        <v>661</v>
      </c>
      <c r="O228" s="4" t="s">
        <v>676</v>
      </c>
      <c r="P228" s="104">
        <v>43992.0</v>
      </c>
      <c r="Q228" s="104">
        <v>43833.0</v>
      </c>
      <c r="R228" s="4" t="s">
        <v>974</v>
      </c>
      <c r="S228" s="4" t="s">
        <v>662</v>
      </c>
      <c r="T228" s="4" t="s">
        <v>974</v>
      </c>
      <c r="U228" s="4">
        <v>0.0</v>
      </c>
      <c r="V228" s="4">
        <v>0.0</v>
      </c>
      <c r="W228" s="4" t="s">
        <v>891</v>
      </c>
      <c r="X228" s="4" t="s">
        <v>975</v>
      </c>
      <c r="Y228" s="4" t="s">
        <v>976</v>
      </c>
    </row>
    <row r="229">
      <c r="A229" s="23">
        <v>43588.0</v>
      </c>
      <c r="B229" s="4" t="s">
        <v>250</v>
      </c>
      <c r="C229" s="24">
        <v>0.375</v>
      </c>
      <c r="D229" s="24">
        <v>0.5</v>
      </c>
      <c r="E229" s="4" t="s">
        <v>418</v>
      </c>
      <c r="H229" s="105">
        <v>0.375</v>
      </c>
      <c r="I229" s="4">
        <v>-3.0</v>
      </c>
      <c r="J229" s="4" t="s">
        <v>977</v>
      </c>
      <c r="K229" s="4">
        <v>65.0</v>
      </c>
      <c r="L229" s="4" t="s">
        <v>660</v>
      </c>
      <c r="M229" s="4" t="s">
        <v>661</v>
      </c>
      <c r="O229" s="4" t="s">
        <v>749</v>
      </c>
      <c r="P229" s="4" t="s">
        <v>684</v>
      </c>
      <c r="Q229" s="104">
        <v>43833.0</v>
      </c>
      <c r="R229" s="4" t="s">
        <v>749</v>
      </c>
      <c r="S229" s="4" t="s">
        <v>662</v>
      </c>
      <c r="T229" s="4" t="s">
        <v>749</v>
      </c>
      <c r="U229" s="104">
        <v>43835.0</v>
      </c>
      <c r="V229" s="104">
        <v>43835.0</v>
      </c>
      <c r="W229" s="4" t="s">
        <v>789</v>
      </c>
      <c r="X229" s="4" t="s">
        <v>978</v>
      </c>
    </row>
    <row r="230">
      <c r="A230" s="23">
        <v>43588.0</v>
      </c>
      <c r="B230" s="4" t="s">
        <v>233</v>
      </c>
      <c r="C230" s="24">
        <v>0.3125</v>
      </c>
      <c r="D230" s="24">
        <v>0.4583333333333333</v>
      </c>
      <c r="E230" s="4" t="s">
        <v>321</v>
      </c>
      <c r="F230" s="4" t="s">
        <v>664</v>
      </c>
      <c r="G230" s="4" t="s">
        <v>979</v>
      </c>
      <c r="H230" s="105">
        <v>0.35555555555555557</v>
      </c>
      <c r="I230" s="4">
        <v>-0.183</v>
      </c>
      <c r="J230" s="4" t="s">
        <v>980</v>
      </c>
      <c r="K230" s="4">
        <v>14.0</v>
      </c>
      <c r="L230" s="4" t="s">
        <v>668</v>
      </c>
      <c r="M230" s="4" t="s">
        <v>664</v>
      </c>
      <c r="N230" s="4">
        <v>0.17</v>
      </c>
      <c r="O230" s="4" t="s">
        <v>981</v>
      </c>
      <c r="P230" s="104">
        <v>44150.0</v>
      </c>
      <c r="Q230" s="104">
        <v>43833.0</v>
      </c>
      <c r="R230" s="4" t="s">
        <v>980</v>
      </c>
      <c r="S230" s="104">
        <v>43928.0</v>
      </c>
      <c r="T230" s="4" t="s">
        <v>980</v>
      </c>
      <c r="U230" s="4">
        <v>0.0</v>
      </c>
      <c r="V230" s="4">
        <v>0.0</v>
      </c>
      <c r="W230" s="4" t="s">
        <v>891</v>
      </c>
    </row>
    <row r="231">
      <c r="A231" s="23">
        <v>43591.0</v>
      </c>
      <c r="B231" s="4" t="s">
        <v>250</v>
      </c>
      <c r="C231" s="24">
        <v>0.40625</v>
      </c>
      <c r="D231" s="24">
        <v>0.4791666666666667</v>
      </c>
      <c r="E231" s="4" t="s">
        <v>418</v>
      </c>
      <c r="H231" s="105">
        <v>0.44166666666666665</v>
      </c>
      <c r="I231" s="4">
        <v>-2.5</v>
      </c>
      <c r="J231" s="4" t="s">
        <v>749</v>
      </c>
      <c r="K231" s="4">
        <v>21.0</v>
      </c>
      <c r="L231" s="4" t="s">
        <v>660</v>
      </c>
      <c r="M231" s="4" t="s">
        <v>664</v>
      </c>
      <c r="N231" s="4">
        <v>5.0</v>
      </c>
      <c r="O231" s="4" t="s">
        <v>749</v>
      </c>
      <c r="P231" s="4" t="s">
        <v>680</v>
      </c>
      <c r="Q231" s="104">
        <v>43833.0</v>
      </c>
      <c r="R231" s="4" t="s">
        <v>749</v>
      </c>
      <c r="S231" s="4" t="s">
        <v>662</v>
      </c>
      <c r="T231" s="4" t="s">
        <v>749</v>
      </c>
      <c r="U231" s="104">
        <v>43835.0</v>
      </c>
      <c r="V231" s="104">
        <v>44150.0</v>
      </c>
      <c r="W231" s="4" t="s">
        <v>982</v>
      </c>
      <c r="X231" s="4" t="s">
        <v>983</v>
      </c>
      <c r="Y231" s="4" t="s">
        <v>984</v>
      </c>
    </row>
    <row r="232">
      <c r="A232" s="23">
        <v>43592.0</v>
      </c>
      <c r="B232" s="4" t="s">
        <v>250</v>
      </c>
      <c r="C232" s="24">
        <v>0.4375</v>
      </c>
      <c r="D232" s="24">
        <v>0.4791666666666667</v>
      </c>
      <c r="E232" s="4" t="s">
        <v>418</v>
      </c>
      <c r="H232" s="105">
        <v>0.4625</v>
      </c>
      <c r="I232" s="4">
        <v>1.0</v>
      </c>
      <c r="J232" s="4" t="s">
        <v>749</v>
      </c>
      <c r="K232" s="4">
        <v>19.0</v>
      </c>
      <c r="L232" s="4" t="s">
        <v>660</v>
      </c>
      <c r="M232" s="4" t="s">
        <v>661</v>
      </c>
      <c r="O232" s="4" t="s">
        <v>749</v>
      </c>
      <c r="P232" s="4">
        <v>0.0</v>
      </c>
      <c r="Q232" s="104">
        <v>43833.0</v>
      </c>
      <c r="R232" s="4" t="s">
        <v>749</v>
      </c>
      <c r="S232" s="4" t="s">
        <v>662</v>
      </c>
      <c r="T232" s="4" t="s">
        <v>749</v>
      </c>
      <c r="U232" s="4">
        <v>0.0</v>
      </c>
      <c r="V232" s="4">
        <v>0.0</v>
      </c>
      <c r="Y232" s="4" t="s">
        <v>985</v>
      </c>
    </row>
    <row r="233">
      <c r="A233" s="23">
        <v>43593.0</v>
      </c>
      <c r="B233" s="4" t="s">
        <v>355</v>
      </c>
      <c r="C233" s="24">
        <v>0.38472222222222224</v>
      </c>
      <c r="D233" s="24">
        <v>0.42986111111111114</v>
      </c>
      <c r="E233" s="4" t="s">
        <v>356</v>
      </c>
      <c r="F233" s="4" t="s">
        <v>664</v>
      </c>
      <c r="G233" s="4" t="s">
        <v>39</v>
      </c>
      <c r="H233" s="105">
        <v>0.4708333333333333</v>
      </c>
      <c r="I233" s="4">
        <v>-0.13</v>
      </c>
      <c r="J233" s="4" t="s">
        <v>674</v>
      </c>
      <c r="K233" s="4">
        <v>29.0</v>
      </c>
      <c r="L233" s="4" t="s">
        <v>660</v>
      </c>
      <c r="M233" s="4" t="s">
        <v>661</v>
      </c>
      <c r="O233" s="4" t="s">
        <v>769</v>
      </c>
      <c r="P233" s="4" t="s">
        <v>684</v>
      </c>
      <c r="Q233" s="104">
        <v>43833.0</v>
      </c>
      <c r="R233" s="4" t="s">
        <v>569</v>
      </c>
      <c r="S233" s="104">
        <v>43928.0</v>
      </c>
      <c r="T233" s="4" t="s">
        <v>569</v>
      </c>
      <c r="U233" s="4">
        <v>0.0</v>
      </c>
      <c r="V233" s="104">
        <v>43835.0</v>
      </c>
      <c r="W233" s="4" t="s">
        <v>758</v>
      </c>
      <c r="X233" s="4" t="s">
        <v>986</v>
      </c>
    </row>
    <row r="234">
      <c r="A234" s="23">
        <v>43602.0</v>
      </c>
      <c r="B234" s="4" t="s">
        <v>489</v>
      </c>
      <c r="C234" s="24">
        <v>0.3645833333333333</v>
      </c>
      <c r="D234" s="24">
        <v>0.4479166666666667</v>
      </c>
      <c r="E234" s="4" t="s">
        <v>418</v>
      </c>
      <c r="H234" s="105">
        <v>0.35694444444444445</v>
      </c>
      <c r="I234" s="4">
        <v>-0.37</v>
      </c>
      <c r="J234" s="4" t="s">
        <v>678</v>
      </c>
      <c r="K234" s="4">
        <v>10.0</v>
      </c>
      <c r="L234" s="4" t="s">
        <v>660</v>
      </c>
      <c r="M234" s="4" t="s">
        <v>661</v>
      </c>
      <c r="O234" s="4" t="s">
        <v>678</v>
      </c>
      <c r="P234" s="104">
        <v>43835.0</v>
      </c>
      <c r="Q234" s="104">
        <v>43833.0</v>
      </c>
      <c r="R234" s="4" t="s">
        <v>678</v>
      </c>
      <c r="S234" s="104">
        <v>43833.0</v>
      </c>
      <c r="T234" s="4" t="s">
        <v>875</v>
      </c>
      <c r="U234" s="4">
        <v>0.0</v>
      </c>
      <c r="V234" s="4">
        <v>0.0</v>
      </c>
      <c r="X234" s="4" t="s">
        <v>987</v>
      </c>
    </row>
    <row r="235">
      <c r="A235" s="23">
        <v>43602.0</v>
      </c>
      <c r="B235" s="4" t="s">
        <v>244</v>
      </c>
      <c r="C235" s="24">
        <v>0.3541666666666667</v>
      </c>
      <c r="D235" s="24">
        <v>0.4375</v>
      </c>
      <c r="E235" s="4" t="s">
        <v>503</v>
      </c>
      <c r="F235" s="4" t="s">
        <v>664</v>
      </c>
      <c r="G235" s="4" t="s">
        <v>703</v>
      </c>
      <c r="H235" s="105">
        <v>0.36319444444444443</v>
      </c>
      <c r="I235" s="4">
        <v>-0.4</v>
      </c>
      <c r="J235" s="4" t="s">
        <v>988</v>
      </c>
      <c r="K235" s="4">
        <v>15.0</v>
      </c>
      <c r="L235" s="4" t="s">
        <v>660</v>
      </c>
      <c r="M235" s="4" t="s">
        <v>661</v>
      </c>
      <c r="O235" s="4" t="s">
        <v>569</v>
      </c>
      <c r="P235" s="4" t="s">
        <v>698</v>
      </c>
      <c r="Q235" s="104">
        <v>43833.0</v>
      </c>
      <c r="R235" s="4" t="s">
        <v>989</v>
      </c>
      <c r="S235" s="104">
        <v>43928.0</v>
      </c>
      <c r="T235" s="4" t="s">
        <v>569</v>
      </c>
      <c r="U235" s="4">
        <v>0.0</v>
      </c>
      <c r="V235" s="4">
        <v>0.0</v>
      </c>
      <c r="W235" s="4" t="s">
        <v>990</v>
      </c>
    </row>
    <row r="236">
      <c r="A236" s="23">
        <v>43602.0</v>
      </c>
      <c r="B236" s="4" t="s">
        <v>377</v>
      </c>
      <c r="C236" s="24">
        <v>0.3888888888888889</v>
      </c>
      <c r="D236" s="24">
        <v>0.4583333333333333</v>
      </c>
      <c r="E236" s="4" t="s">
        <v>704</v>
      </c>
      <c r="H236" s="105">
        <v>0.3611111111111111</v>
      </c>
      <c r="I236" s="4">
        <v>-0.2</v>
      </c>
      <c r="J236" s="4" t="s">
        <v>991</v>
      </c>
      <c r="K236" s="4">
        <v>24.0</v>
      </c>
      <c r="L236" s="4" t="s">
        <v>668</v>
      </c>
      <c r="M236" s="4" t="s">
        <v>664</v>
      </c>
      <c r="N236" s="4">
        <v>0.24</v>
      </c>
      <c r="O236" s="4" t="s">
        <v>992</v>
      </c>
      <c r="P236" s="4" t="s">
        <v>684</v>
      </c>
      <c r="Q236" s="104">
        <v>43833.0</v>
      </c>
      <c r="R236" s="4" t="s">
        <v>880</v>
      </c>
      <c r="S236" s="104">
        <v>43928.0</v>
      </c>
      <c r="T236" s="4" t="s">
        <v>676</v>
      </c>
      <c r="U236" s="4">
        <v>0.0</v>
      </c>
      <c r="V236" s="4">
        <v>0.0</v>
      </c>
      <c r="X236" s="4" t="s">
        <v>993</v>
      </c>
    </row>
    <row r="237">
      <c r="A237" s="23">
        <v>43605.0</v>
      </c>
      <c r="B237" s="4" t="s">
        <v>307</v>
      </c>
      <c r="C237" s="24">
        <v>0.40625</v>
      </c>
      <c r="D237" s="24">
        <v>0.46875</v>
      </c>
      <c r="E237" s="4" t="s">
        <v>308</v>
      </c>
      <c r="H237" s="105">
        <v>0.39652777777777776</v>
      </c>
      <c r="I237" s="4">
        <v>-0.5</v>
      </c>
      <c r="J237" s="4" t="s">
        <v>590</v>
      </c>
      <c r="K237" s="4">
        <v>27.0</v>
      </c>
      <c r="L237" s="4" t="s">
        <v>660</v>
      </c>
      <c r="M237" s="4" t="s">
        <v>664</v>
      </c>
      <c r="N237" s="4">
        <v>0.11</v>
      </c>
      <c r="O237" s="4" t="s">
        <v>810</v>
      </c>
      <c r="P237" s="4">
        <v>0.0</v>
      </c>
      <c r="Q237" s="104">
        <v>43833.0</v>
      </c>
      <c r="R237" s="4" t="s">
        <v>590</v>
      </c>
      <c r="S237" s="4" t="s">
        <v>662</v>
      </c>
      <c r="T237" s="4" t="s">
        <v>590</v>
      </c>
      <c r="U237" s="4">
        <v>0.0</v>
      </c>
      <c r="V237" s="4">
        <v>0.0</v>
      </c>
    </row>
    <row r="238">
      <c r="A238" s="23">
        <v>43734.0</v>
      </c>
      <c r="B238" s="4" t="s">
        <v>329</v>
      </c>
      <c r="C238" s="24">
        <v>0.375</v>
      </c>
      <c r="D238" s="24">
        <v>0.39166666666666666</v>
      </c>
      <c r="E238" s="4" t="s">
        <v>286</v>
      </c>
      <c r="H238" s="105">
        <v>0.3277777777777778</v>
      </c>
      <c r="I238" s="4">
        <v>0.12</v>
      </c>
      <c r="J238" s="4" t="s">
        <v>994</v>
      </c>
      <c r="K238" s="4">
        <v>8.0</v>
      </c>
      <c r="L238" s="4" t="s">
        <v>668</v>
      </c>
      <c r="M238" s="4" t="s">
        <v>664</v>
      </c>
      <c r="O238" s="4" t="s">
        <v>724</v>
      </c>
      <c r="P238" s="4">
        <v>0.0</v>
      </c>
      <c r="Q238" s="104">
        <v>43927.0</v>
      </c>
      <c r="R238" s="4" t="s">
        <v>883</v>
      </c>
      <c r="S238" s="104">
        <v>43928.0</v>
      </c>
      <c r="T238" s="4" t="s">
        <v>995</v>
      </c>
      <c r="U238" s="4">
        <v>0.0</v>
      </c>
      <c r="V238" s="4">
        <v>0.0</v>
      </c>
    </row>
    <row r="239">
      <c r="A239" s="23">
        <v>43735.0</v>
      </c>
      <c r="B239" s="4" t="s">
        <v>329</v>
      </c>
      <c r="C239" s="24">
        <v>0.3729166666666667</v>
      </c>
      <c r="D239" s="24">
        <v>0.38958333333333334</v>
      </c>
      <c r="E239" s="4" t="s">
        <v>286</v>
      </c>
      <c r="F239" s="4" t="s">
        <v>661</v>
      </c>
      <c r="H239" s="105">
        <v>0.3625</v>
      </c>
      <c r="I239" s="4">
        <v>0.03</v>
      </c>
      <c r="J239" s="4" t="s">
        <v>855</v>
      </c>
      <c r="K239" s="4">
        <v>26.0</v>
      </c>
      <c r="L239" s="4" t="s">
        <v>687</v>
      </c>
      <c r="M239" s="4" t="s">
        <v>664</v>
      </c>
      <c r="O239" s="4" t="s">
        <v>724</v>
      </c>
      <c r="P239" s="4">
        <v>0.0</v>
      </c>
      <c r="Q239" s="104">
        <v>43927.0</v>
      </c>
      <c r="R239" s="4" t="s">
        <v>883</v>
      </c>
      <c r="S239" s="104">
        <v>43928.0</v>
      </c>
      <c r="T239" s="4" t="s">
        <v>995</v>
      </c>
      <c r="U239" s="4">
        <v>0.0</v>
      </c>
      <c r="V239" s="4">
        <v>0.0</v>
      </c>
    </row>
    <row r="240">
      <c r="A240" s="48">
        <v>43839.0</v>
      </c>
      <c r="B240" s="7" t="s">
        <v>366</v>
      </c>
      <c r="C240" s="54">
        <v>0.451388888888889</v>
      </c>
      <c r="D240" s="54">
        <v>0.486111111111111</v>
      </c>
      <c r="E240" s="7" t="s">
        <v>508</v>
      </c>
      <c r="F240" s="4" t="s">
        <v>661</v>
      </c>
      <c r="H240" s="105">
        <v>0.41875</v>
      </c>
      <c r="I240" s="4">
        <v>0.4</v>
      </c>
      <c r="J240" s="4" t="s">
        <v>678</v>
      </c>
      <c r="K240" s="4">
        <v>19.0</v>
      </c>
      <c r="L240" s="4" t="s">
        <v>660</v>
      </c>
      <c r="M240" s="4" t="s">
        <v>661</v>
      </c>
      <c r="O240" s="4" t="s">
        <v>678</v>
      </c>
      <c r="P240" s="104">
        <v>43992.0</v>
      </c>
      <c r="Q240" s="104">
        <v>43833.0</v>
      </c>
      <c r="R240" s="4" t="s">
        <v>678</v>
      </c>
      <c r="S240" s="104">
        <v>43928.0</v>
      </c>
      <c r="T240" s="4" t="s">
        <v>678</v>
      </c>
      <c r="U240" s="4">
        <v>0.0</v>
      </c>
      <c r="V240" s="4">
        <v>0.0</v>
      </c>
    </row>
    <row r="241">
      <c r="A241" s="48">
        <v>43840.0</v>
      </c>
      <c r="B241" s="7" t="s">
        <v>511</v>
      </c>
      <c r="C241" s="54">
        <v>0.425</v>
      </c>
      <c r="D241" s="54">
        <v>0.461805555555556</v>
      </c>
      <c r="E241" s="7" t="s">
        <v>508</v>
      </c>
      <c r="F241" s="4" t="s">
        <v>664</v>
      </c>
      <c r="G241" s="4" t="s">
        <v>39</v>
      </c>
      <c r="H241" s="105">
        <v>0.44583333333333336</v>
      </c>
      <c r="I241" s="4">
        <v>0.4</v>
      </c>
      <c r="J241" s="4" t="s">
        <v>678</v>
      </c>
      <c r="K241" s="4">
        <v>21.0</v>
      </c>
      <c r="L241" s="4" t="s">
        <v>660</v>
      </c>
      <c r="M241" s="4" t="s">
        <v>664</v>
      </c>
      <c r="O241" s="4" t="s">
        <v>678</v>
      </c>
      <c r="P241" s="104">
        <v>43992.0</v>
      </c>
      <c r="Q241" s="104">
        <v>43833.0</v>
      </c>
      <c r="R241" s="4" t="s">
        <v>678</v>
      </c>
      <c r="S241" s="104">
        <v>43833.0</v>
      </c>
      <c r="T241" s="4" t="s">
        <v>678</v>
      </c>
      <c r="U241" s="4">
        <v>0.0</v>
      </c>
      <c r="V241" s="4">
        <v>0.0</v>
      </c>
    </row>
    <row r="242">
      <c r="A242" s="55">
        <v>43868.0</v>
      </c>
      <c r="B242" s="7" t="s">
        <v>511</v>
      </c>
      <c r="C242" s="54">
        <v>0.420833333333333</v>
      </c>
      <c r="D242" s="54">
        <v>0.451388888888889</v>
      </c>
      <c r="E242" s="4" t="s">
        <v>508</v>
      </c>
      <c r="F242" s="4" t="s">
        <v>664</v>
      </c>
      <c r="G242" s="4" t="s">
        <v>996</v>
      </c>
      <c r="H242" s="105">
        <v>0.40555555555555556</v>
      </c>
      <c r="I242" s="4">
        <v>0.3</v>
      </c>
      <c r="J242" s="4" t="s">
        <v>678</v>
      </c>
      <c r="K242" s="4">
        <v>19.0</v>
      </c>
      <c r="L242" s="4" t="s">
        <v>660</v>
      </c>
      <c r="M242" s="4" t="s">
        <v>664</v>
      </c>
      <c r="O242" s="4" t="s">
        <v>678</v>
      </c>
      <c r="P242" s="104">
        <v>43992.0</v>
      </c>
      <c r="Q242" s="104">
        <v>43833.0</v>
      </c>
      <c r="R242" s="4" t="s">
        <v>774</v>
      </c>
      <c r="S242" s="104">
        <v>43833.0</v>
      </c>
      <c r="T242" s="4" t="s">
        <v>678</v>
      </c>
      <c r="U242" s="4">
        <v>0.0</v>
      </c>
      <c r="V242" s="4">
        <v>0.0</v>
      </c>
    </row>
    <row r="243">
      <c r="A243" s="23">
        <v>43882.0</v>
      </c>
      <c r="B243" s="4" t="s">
        <v>340</v>
      </c>
      <c r="C243" s="54">
        <v>0.41875</v>
      </c>
      <c r="D243" s="54">
        <v>0.444444444444444</v>
      </c>
      <c r="E243" s="7" t="s">
        <v>508</v>
      </c>
      <c r="H243" s="105">
        <v>0.40625</v>
      </c>
      <c r="I243" s="4">
        <v>0.3</v>
      </c>
      <c r="J243" s="4" t="s">
        <v>678</v>
      </c>
      <c r="K243" s="4">
        <v>18.0</v>
      </c>
      <c r="L243" s="4" t="s">
        <v>660</v>
      </c>
      <c r="M243" s="4" t="s">
        <v>661</v>
      </c>
      <c r="O243" s="4" t="s">
        <v>678</v>
      </c>
      <c r="P243" s="4">
        <v>0.0</v>
      </c>
      <c r="Q243" s="104">
        <v>43833.0</v>
      </c>
      <c r="R243" s="4" t="s">
        <v>678</v>
      </c>
      <c r="S243" s="104">
        <v>43833.0</v>
      </c>
      <c r="T243" s="4" t="s">
        <v>678</v>
      </c>
      <c r="U243" s="4">
        <v>0.0</v>
      </c>
      <c r="V243" s="4">
        <v>0.0</v>
      </c>
    </row>
    <row r="244">
      <c r="A244" s="56">
        <v>43885.0</v>
      </c>
      <c r="B244" s="4" t="s">
        <v>233</v>
      </c>
      <c r="C244" s="54">
        <v>0.475694444444444</v>
      </c>
      <c r="D244" s="57">
        <v>0.5104166666666666</v>
      </c>
      <c r="E244" s="4" t="s">
        <v>286</v>
      </c>
      <c r="F244" s="4" t="s">
        <v>661</v>
      </c>
      <c r="H244" s="105">
        <v>0.4708333333333333</v>
      </c>
      <c r="I244" s="4">
        <v>0.0</v>
      </c>
      <c r="J244" s="4" t="s">
        <v>930</v>
      </c>
      <c r="K244" s="4">
        <v>20.0</v>
      </c>
      <c r="L244" s="4" t="s">
        <v>660</v>
      </c>
      <c r="M244" s="4" t="s">
        <v>661</v>
      </c>
      <c r="O244" s="4" t="s">
        <v>724</v>
      </c>
      <c r="P244" s="4">
        <v>0.0</v>
      </c>
      <c r="Q244" s="104">
        <v>43833.0</v>
      </c>
      <c r="R244" s="4" t="s">
        <v>930</v>
      </c>
      <c r="S244" s="104">
        <v>43833.0</v>
      </c>
      <c r="T244" s="4" t="s">
        <v>930</v>
      </c>
      <c r="U244" s="4">
        <v>0.0</v>
      </c>
      <c r="V244" s="4">
        <v>0.0</v>
      </c>
      <c r="W244" s="4" t="s">
        <v>972</v>
      </c>
      <c r="X244" s="4" t="s">
        <v>997</v>
      </c>
      <c r="Y244" s="4" t="s">
        <v>998</v>
      </c>
    </row>
    <row r="245">
      <c r="A245" s="58">
        <v>43893.0</v>
      </c>
      <c r="B245" s="12" t="s">
        <v>244</v>
      </c>
      <c r="C245" s="59">
        <v>0.395833333333333</v>
      </c>
      <c r="D245" s="59">
        <v>0.458333333333333</v>
      </c>
      <c r="E245" s="14" t="s">
        <v>326</v>
      </c>
      <c r="F245" s="4" t="s">
        <v>664</v>
      </c>
      <c r="G245" s="4" t="s">
        <v>999</v>
      </c>
      <c r="H245" s="105">
        <v>0.3125</v>
      </c>
      <c r="I245" s="4">
        <v>0.5</v>
      </c>
      <c r="J245" s="4" t="s">
        <v>219</v>
      </c>
      <c r="K245" s="4">
        <v>19.0</v>
      </c>
      <c r="L245" s="4" t="s">
        <v>660</v>
      </c>
      <c r="M245" s="4" t="s">
        <v>664</v>
      </c>
      <c r="N245" s="4">
        <v>2.0</v>
      </c>
      <c r="O245" s="4" t="s">
        <v>219</v>
      </c>
      <c r="P245" s="104">
        <v>43992.0</v>
      </c>
      <c r="Q245" s="104">
        <v>43833.0</v>
      </c>
      <c r="R245" s="4" t="s">
        <v>219</v>
      </c>
      <c r="S245" s="4" t="s">
        <v>662</v>
      </c>
      <c r="T245" s="4" t="s">
        <v>219</v>
      </c>
      <c r="U245" s="104">
        <v>43835.0</v>
      </c>
      <c r="V245" s="4">
        <v>0.0</v>
      </c>
      <c r="Y245" s="4" t="s">
        <v>1000</v>
      </c>
    </row>
    <row r="246">
      <c r="A246" s="58">
        <v>43901.0</v>
      </c>
      <c r="B246" s="14" t="s">
        <v>456</v>
      </c>
      <c r="C246" s="59">
        <v>0.375694444444444</v>
      </c>
      <c r="D246" s="59">
        <v>0.416666666666667</v>
      </c>
      <c r="E246" s="14" t="s">
        <v>469</v>
      </c>
      <c r="H246" s="105">
        <v>0.4263888888888889</v>
      </c>
      <c r="I246" s="4">
        <v>0.06</v>
      </c>
      <c r="J246" s="4" t="s">
        <v>769</v>
      </c>
      <c r="K246" s="4">
        <v>14.0</v>
      </c>
      <c r="L246" s="4" t="s">
        <v>660</v>
      </c>
      <c r="M246" s="4" t="s">
        <v>664</v>
      </c>
      <c r="N246" s="4">
        <v>0.09</v>
      </c>
      <c r="O246" s="4" t="s">
        <v>1001</v>
      </c>
      <c r="P246" s="104">
        <v>43992.0</v>
      </c>
      <c r="Q246" s="104">
        <v>43927.0</v>
      </c>
      <c r="R246" s="4" t="s">
        <v>1002</v>
      </c>
      <c r="S246" s="104">
        <v>43833.0</v>
      </c>
      <c r="T246" s="4" t="s">
        <v>1001</v>
      </c>
      <c r="U246" s="4">
        <v>0.0</v>
      </c>
      <c r="V246" s="4">
        <v>0.0</v>
      </c>
    </row>
    <row r="247">
      <c r="A247" s="23">
        <v>43902.0</v>
      </c>
      <c r="B247" s="4" t="s">
        <v>456</v>
      </c>
      <c r="C247" s="127">
        <v>0.4166666666666667</v>
      </c>
      <c r="D247" s="127">
        <v>0.4895833333333333</v>
      </c>
      <c r="E247" s="4" t="s">
        <v>607</v>
      </c>
      <c r="H247" s="105">
        <v>0.4041666666666667</v>
      </c>
      <c r="I247" s="4">
        <v>-3.0</v>
      </c>
      <c r="J247" s="4" t="s">
        <v>769</v>
      </c>
      <c r="K247" s="4">
        <v>5.0</v>
      </c>
      <c r="L247" s="4" t="s">
        <v>764</v>
      </c>
      <c r="M247" s="4" t="s">
        <v>664</v>
      </c>
      <c r="N247" s="4">
        <v>2.0</v>
      </c>
      <c r="O247" s="4" t="s">
        <v>569</v>
      </c>
      <c r="P247" s="104">
        <v>43992.0</v>
      </c>
      <c r="Q247" s="104">
        <v>43833.0</v>
      </c>
      <c r="R247" s="4" t="s">
        <v>569</v>
      </c>
      <c r="S247" s="104">
        <v>43833.0</v>
      </c>
      <c r="T247" s="4" t="s">
        <v>569</v>
      </c>
      <c r="U247" s="104">
        <v>43835.0</v>
      </c>
      <c r="V247" s="104">
        <v>43835.0</v>
      </c>
      <c r="W247" s="4" t="s">
        <v>758</v>
      </c>
      <c r="X247" s="4" t="s">
        <v>1003</v>
      </c>
    </row>
    <row r="248">
      <c r="C248" s="24">
        <v>0.0</v>
      </c>
      <c r="D248" s="24">
        <v>0.041666666666666664</v>
      </c>
      <c r="E248" s="4" t="s">
        <v>197</v>
      </c>
    </row>
    <row r="249">
      <c r="J249" s="4" t="s">
        <v>1004</v>
      </c>
      <c r="K249" s="25">
        <f>sum(K47:K247)</f>
        <v>3414</v>
      </c>
    </row>
    <row r="250">
      <c r="J250" s="4" t="s">
        <v>1005</v>
      </c>
      <c r="K250" s="25">
        <f>count(K47:K247)</f>
        <v>188</v>
      </c>
    </row>
    <row r="251">
      <c r="J251" s="4" t="s">
        <v>1006</v>
      </c>
      <c r="K251" s="25">
        <f>K249/K250</f>
        <v>18.15957447</v>
      </c>
    </row>
    <row r="252">
      <c r="J252" s="4" t="s">
        <v>1007</v>
      </c>
      <c r="K252" s="25">
        <f>count(K3:K46)</f>
        <v>44</v>
      </c>
    </row>
    <row r="253">
      <c r="J253" s="4" t="s">
        <v>1008</v>
      </c>
      <c r="K253" s="25">
        <f>K249+(K252*K251)</f>
        <v>4213.021277</v>
      </c>
    </row>
  </sheetData>
  <hyperlinks>
    <hyperlink r:id="rId1" ref="J88"/>
    <hyperlink r:id="rId2" ref="O88"/>
    <hyperlink r:id="rId3" ref="R88"/>
    <hyperlink r:id="rId4" ref="T88"/>
    <hyperlink r:id="rId5" ref="J94"/>
    <hyperlink r:id="rId6" ref="O94"/>
    <hyperlink r:id="rId7" ref="R94"/>
    <hyperlink r:id="rId8" ref="T94"/>
    <hyperlink r:id="rId9" ref="J96"/>
    <hyperlink r:id="rId10" ref="O96"/>
    <hyperlink r:id="rId11" ref="R96"/>
    <hyperlink r:id="rId12" ref="T96"/>
    <hyperlink r:id="rId13" ref="J111"/>
    <hyperlink r:id="rId14" ref="O111"/>
    <hyperlink r:id="rId15" ref="R111"/>
    <hyperlink r:id="rId16" ref="T111"/>
    <hyperlink r:id="rId17" ref="J114"/>
    <hyperlink r:id="rId18" ref="O114"/>
    <hyperlink r:id="rId19" ref="R114"/>
    <hyperlink r:id="rId20" ref="T114"/>
    <hyperlink r:id="rId21" ref="J126"/>
    <hyperlink r:id="rId22" ref="O126"/>
    <hyperlink r:id="rId23" ref="R126"/>
    <hyperlink r:id="rId24" ref="T126"/>
    <hyperlink r:id="rId25" ref="J131"/>
    <hyperlink r:id="rId26" ref="O131"/>
    <hyperlink r:id="rId27" ref="R131"/>
    <hyperlink r:id="rId28" ref="T131"/>
    <hyperlink r:id="rId29" ref="J174"/>
    <hyperlink r:id="rId30" ref="O174"/>
    <hyperlink r:id="rId31" ref="R174"/>
    <hyperlink r:id="rId32" ref="T174"/>
  </hyperlinks>
  <drawing r:id="rId3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17.88"/>
    <col customWidth="1" min="3" max="4" width="23.13"/>
    <col customWidth="1" min="5" max="5" width="15.0"/>
  </cols>
  <sheetData>
    <row r="1">
      <c r="A1" s="4" t="s">
        <v>6</v>
      </c>
      <c r="B1" s="4" t="s">
        <v>7</v>
      </c>
      <c r="C1" s="4" t="s">
        <v>10</v>
      </c>
      <c r="D1" s="4" t="s">
        <v>912</v>
      </c>
      <c r="E1" s="111" t="s">
        <v>913</v>
      </c>
      <c r="F1" s="75" t="s">
        <v>568</v>
      </c>
    </row>
    <row r="2">
      <c r="A2" s="23">
        <v>43564.0</v>
      </c>
      <c r="B2" s="4" t="s">
        <v>456</v>
      </c>
      <c r="C2" s="4" t="s">
        <v>469</v>
      </c>
      <c r="D2" s="25">
        <v>5.0</v>
      </c>
      <c r="E2" s="25">
        <v>0.6840336134453782</v>
      </c>
      <c r="F2" s="81">
        <v>0.07372322</v>
      </c>
    </row>
    <row r="3">
      <c r="A3" s="58">
        <v>43901.0</v>
      </c>
      <c r="B3" s="14" t="s">
        <v>456</v>
      </c>
      <c r="C3" s="14" t="s">
        <v>469</v>
      </c>
      <c r="D3" s="25">
        <v>5.0</v>
      </c>
      <c r="E3" s="25">
        <v>0.24251688588695341</v>
      </c>
      <c r="F3" s="81">
        <v>0.33947092</v>
      </c>
    </row>
    <row r="4">
      <c r="A4" s="23">
        <v>42804.0</v>
      </c>
      <c r="B4" s="4" t="s">
        <v>219</v>
      </c>
      <c r="C4" s="4" t="s">
        <v>333</v>
      </c>
      <c r="D4" s="25">
        <v>29.0</v>
      </c>
      <c r="E4" s="25">
        <v>0.847337350771471</v>
      </c>
      <c r="F4" s="82">
        <v>0.35400563</v>
      </c>
    </row>
    <row r="5">
      <c r="A5" s="23">
        <v>43160.0</v>
      </c>
      <c r="B5" s="4" t="s">
        <v>219</v>
      </c>
      <c r="C5" s="4" t="s">
        <v>333</v>
      </c>
      <c r="D5" s="25">
        <v>33.0</v>
      </c>
      <c r="E5" s="25">
        <v>0.8358338430740143</v>
      </c>
      <c r="F5" s="82">
        <v>0.16377199</v>
      </c>
    </row>
    <row r="6">
      <c r="A6" s="112">
        <v>43230.0</v>
      </c>
      <c r="B6" s="113" t="s">
        <v>201</v>
      </c>
      <c r="C6" s="113" t="s">
        <v>299</v>
      </c>
      <c r="D6" s="114">
        <v>15.0</v>
      </c>
      <c r="E6" s="114">
        <v>0.699137640314111</v>
      </c>
      <c r="F6" s="115">
        <v>0.22559835</v>
      </c>
    </row>
    <row r="7">
      <c r="A7" s="112">
        <v>43231.0</v>
      </c>
      <c r="B7" s="113" t="s">
        <v>201</v>
      </c>
      <c r="C7" s="113" t="s">
        <v>299</v>
      </c>
      <c r="D7" s="114">
        <v>24.0</v>
      </c>
      <c r="E7" s="114">
        <v>0.8065856654766018</v>
      </c>
      <c r="F7" s="115">
        <v>0.17503922</v>
      </c>
    </row>
    <row r="8">
      <c r="A8" s="112">
        <v>42852.0</v>
      </c>
      <c r="B8" s="113" t="s">
        <v>201</v>
      </c>
      <c r="C8" s="113" t="s">
        <v>389</v>
      </c>
      <c r="D8" s="114">
        <v>11.0</v>
      </c>
      <c r="E8" s="114">
        <v>0.6983904020042444</v>
      </c>
      <c r="F8" s="115">
        <v>0.3351364</v>
      </c>
    </row>
    <row r="9">
      <c r="A9" s="112">
        <v>43214.0</v>
      </c>
      <c r="B9" s="113" t="s">
        <v>201</v>
      </c>
      <c r="C9" s="113" t="s">
        <v>422</v>
      </c>
      <c r="D9" s="114">
        <v>21.0</v>
      </c>
      <c r="E9" s="114">
        <v>0.548897836021859</v>
      </c>
      <c r="F9" s="115">
        <v>0.3674722</v>
      </c>
    </row>
    <row r="10">
      <c r="A10" s="112">
        <v>42804.0</v>
      </c>
      <c r="B10" s="113" t="s">
        <v>201</v>
      </c>
      <c r="C10" s="113" t="s">
        <v>325</v>
      </c>
      <c r="D10" s="114">
        <v>13.0</v>
      </c>
      <c r="E10" s="114">
        <v>0.63478651898135</v>
      </c>
      <c r="F10" s="115">
        <v>0.4088852</v>
      </c>
    </row>
    <row r="11">
      <c r="A11" s="112">
        <v>43238.0</v>
      </c>
      <c r="B11" s="113" t="s">
        <v>201</v>
      </c>
      <c r="C11" s="113" t="s">
        <v>325</v>
      </c>
      <c r="D11" s="114">
        <v>25.0</v>
      </c>
      <c r="E11" s="114">
        <v>0.6015439653549237</v>
      </c>
      <c r="F11" s="115">
        <v>-0.041383047</v>
      </c>
    </row>
    <row r="12">
      <c r="A12" s="112">
        <v>43571.0</v>
      </c>
      <c r="B12" s="113" t="s">
        <v>201</v>
      </c>
      <c r="C12" s="113" t="s">
        <v>477</v>
      </c>
      <c r="D12" s="114">
        <v>16.0</v>
      </c>
      <c r="E12" s="114">
        <v>0.8551326283507709</v>
      </c>
      <c r="F12" s="116">
        <v>0.010084723</v>
      </c>
    </row>
    <row r="13">
      <c r="A13" s="112">
        <v>43572.0</v>
      </c>
      <c r="B13" s="113" t="s">
        <v>201</v>
      </c>
      <c r="C13" s="113" t="s">
        <v>477</v>
      </c>
      <c r="D13" s="114">
        <v>23.0</v>
      </c>
      <c r="E13" s="114">
        <v>0.7250168932411922</v>
      </c>
      <c r="F13" s="116">
        <v>-0.073255464</v>
      </c>
      <c r="G13" s="117">
        <f t="shared" ref="G13:H13" si="1">average(D6:D14)</f>
        <v>19.11111111</v>
      </c>
      <c r="H13" s="117">
        <f t="shared" si="1"/>
        <v>0.7080626509</v>
      </c>
    </row>
    <row r="14">
      <c r="A14" s="112">
        <v>43573.0</v>
      </c>
      <c r="B14" s="113" t="s">
        <v>201</v>
      </c>
      <c r="C14" s="113" t="s">
        <v>477</v>
      </c>
      <c r="D14" s="114">
        <v>24.0</v>
      </c>
      <c r="E14" s="114">
        <v>0.8030723080599146</v>
      </c>
      <c r="F14" s="116">
        <v>-0.18767901</v>
      </c>
      <c r="G14" s="117">
        <f>correl(D6:D14,F6:F14)</f>
        <v>-0.6542057017</v>
      </c>
      <c r="H14" s="117">
        <f>correl(E6:E14,F6:F14)</f>
        <v>-0.5097726243</v>
      </c>
    </row>
    <row r="15">
      <c r="A15" s="41">
        <v>43602.0</v>
      </c>
      <c r="B15" s="42" t="s">
        <v>244</v>
      </c>
      <c r="C15" s="42" t="s">
        <v>503</v>
      </c>
      <c r="D15" s="44">
        <v>16.0</v>
      </c>
      <c r="E15" s="44">
        <v>0.6723808110292055</v>
      </c>
      <c r="F15" s="118">
        <v>0.11412068</v>
      </c>
    </row>
    <row r="16">
      <c r="A16" s="41">
        <v>42464.0</v>
      </c>
      <c r="B16" s="42" t="s">
        <v>244</v>
      </c>
      <c r="C16" s="42" t="s">
        <v>278</v>
      </c>
      <c r="D16" s="44">
        <v>13.0</v>
      </c>
      <c r="E16" s="44">
        <v>0.5459971206239863</v>
      </c>
      <c r="F16" s="119">
        <v>0.22878595</v>
      </c>
    </row>
    <row r="17">
      <c r="A17" s="41">
        <v>42465.0</v>
      </c>
      <c r="B17" s="42" t="s">
        <v>244</v>
      </c>
      <c r="C17" s="42" t="s">
        <v>278</v>
      </c>
      <c r="D17" s="44">
        <v>20.0</v>
      </c>
      <c r="E17" s="44">
        <v>0.7025966183574879</v>
      </c>
      <c r="F17" s="119">
        <v>0.049345464</v>
      </c>
    </row>
    <row r="18">
      <c r="A18" s="41">
        <v>42802.0</v>
      </c>
      <c r="B18" s="42" t="s">
        <v>244</v>
      </c>
      <c r="C18" s="42" t="s">
        <v>278</v>
      </c>
      <c r="D18" s="44">
        <v>20.0</v>
      </c>
      <c r="E18" s="44">
        <v>0.8112909408805737</v>
      </c>
      <c r="F18" s="119">
        <v>0.7501999</v>
      </c>
    </row>
    <row r="19">
      <c r="A19" s="41">
        <v>42823.0</v>
      </c>
      <c r="B19" s="42" t="s">
        <v>244</v>
      </c>
      <c r="C19" s="42" t="s">
        <v>278</v>
      </c>
      <c r="D19" s="44">
        <v>11.0</v>
      </c>
      <c r="E19" s="44">
        <v>0.7136096008113362</v>
      </c>
      <c r="F19" s="119">
        <v>0.42689177</v>
      </c>
    </row>
    <row r="20">
      <c r="A20" s="41">
        <v>42844.0</v>
      </c>
      <c r="B20" s="42" t="s">
        <v>244</v>
      </c>
      <c r="C20" s="42" t="s">
        <v>278</v>
      </c>
      <c r="D20" s="44">
        <v>18.0</v>
      </c>
      <c r="E20" s="44">
        <v>0.6290116444191991</v>
      </c>
      <c r="F20" s="119">
        <v>1.2988759</v>
      </c>
    </row>
    <row r="21">
      <c r="A21" s="41">
        <v>42860.0</v>
      </c>
      <c r="B21" s="42" t="s">
        <v>244</v>
      </c>
      <c r="C21" s="42" t="s">
        <v>278</v>
      </c>
      <c r="D21" s="44">
        <v>21.0</v>
      </c>
      <c r="E21" s="44">
        <v>0.6261458568525626</v>
      </c>
      <c r="F21" s="119">
        <v>1.1795961</v>
      </c>
    </row>
    <row r="22">
      <c r="A22" s="41">
        <v>42866.0</v>
      </c>
      <c r="B22" s="42" t="s">
        <v>244</v>
      </c>
      <c r="C22" s="42" t="s">
        <v>278</v>
      </c>
      <c r="D22" s="44">
        <v>27.0</v>
      </c>
      <c r="E22" s="44">
        <v>0.8608804332731566</v>
      </c>
      <c r="F22" s="119">
        <v>0.46418646</v>
      </c>
    </row>
    <row r="23">
      <c r="A23" s="41">
        <v>43525.0</v>
      </c>
      <c r="B23" s="42" t="s">
        <v>244</v>
      </c>
      <c r="C23" s="42" t="s">
        <v>278</v>
      </c>
      <c r="D23" s="44">
        <v>27.0</v>
      </c>
      <c r="E23" s="44">
        <v>0.8417048534121705</v>
      </c>
      <c r="F23" s="119">
        <v>0.246127</v>
      </c>
    </row>
    <row r="24">
      <c r="A24" s="41">
        <v>42803.0</v>
      </c>
      <c r="B24" s="42" t="s">
        <v>244</v>
      </c>
      <c r="C24" s="42" t="s">
        <v>326</v>
      </c>
      <c r="D24" s="44">
        <v>24.0</v>
      </c>
      <c r="E24" s="44">
        <v>0.8783489096573209</v>
      </c>
      <c r="F24" s="119">
        <v>0.63862187</v>
      </c>
    </row>
    <row r="25">
      <c r="A25" s="41">
        <v>42850.0</v>
      </c>
      <c r="B25" s="42" t="s">
        <v>244</v>
      </c>
      <c r="C25" s="42" t="s">
        <v>326</v>
      </c>
      <c r="D25" s="44">
        <v>24.0</v>
      </c>
      <c r="E25" s="44">
        <v>0.7607079245709762</v>
      </c>
      <c r="F25" s="119">
        <v>0.6798154</v>
      </c>
    </row>
    <row r="26">
      <c r="A26" s="41">
        <v>43207.0</v>
      </c>
      <c r="B26" s="42" t="s">
        <v>244</v>
      </c>
      <c r="C26" s="42" t="s">
        <v>326</v>
      </c>
      <c r="D26" s="44">
        <v>21.0</v>
      </c>
      <c r="E26" s="44">
        <v>0.6852657004830918</v>
      </c>
      <c r="F26" s="119">
        <v>0.113340534</v>
      </c>
    </row>
    <row r="27">
      <c r="A27" s="41">
        <v>43214.0</v>
      </c>
      <c r="B27" s="42" t="s">
        <v>244</v>
      </c>
      <c r="C27" s="42" t="s">
        <v>326</v>
      </c>
      <c r="D27" s="44">
        <v>24.0</v>
      </c>
      <c r="E27" s="44">
        <v>0.7092394014962593</v>
      </c>
      <c r="F27" s="119">
        <v>0.4375824</v>
      </c>
    </row>
    <row r="28">
      <c r="A28" s="41">
        <v>43564.0</v>
      </c>
      <c r="B28" s="42" t="s">
        <v>244</v>
      </c>
      <c r="C28" s="42" t="s">
        <v>326</v>
      </c>
      <c r="D28" s="44">
        <v>17.0</v>
      </c>
      <c r="E28" s="44">
        <v>0.8501567398119122</v>
      </c>
      <c r="F28" s="118">
        <v>0.43692464</v>
      </c>
    </row>
    <row r="29">
      <c r="A29" s="41">
        <v>43571.0</v>
      </c>
      <c r="B29" s="42" t="s">
        <v>244</v>
      </c>
      <c r="C29" s="42" t="s">
        <v>326</v>
      </c>
      <c r="D29" s="44">
        <v>18.0</v>
      </c>
      <c r="E29" s="44">
        <v>0.7953811041059363</v>
      </c>
      <c r="F29" s="118">
        <v>0.07875</v>
      </c>
      <c r="G29" s="117">
        <f t="shared" ref="G29:H29" si="2">average(D15:D30)</f>
        <v>19.125</v>
      </c>
      <c r="H29" s="117">
        <f t="shared" si="2"/>
        <v>0.7350893057</v>
      </c>
    </row>
    <row r="30">
      <c r="A30" s="120">
        <v>43893.0</v>
      </c>
      <c r="B30" s="121" t="s">
        <v>244</v>
      </c>
      <c r="C30" s="122" t="s">
        <v>326</v>
      </c>
      <c r="D30" s="44">
        <v>5.0</v>
      </c>
      <c r="E30" s="44">
        <v>0.67871123155676</v>
      </c>
      <c r="F30" s="118">
        <v>0.7584461</v>
      </c>
      <c r="G30" s="117">
        <f>correl(D15:D30,F15:F30)</f>
        <v>-0.03426589693</v>
      </c>
      <c r="H30" s="117">
        <f>correl(E15:E30,F15:F30)</f>
        <v>-0.1489322018</v>
      </c>
    </row>
    <row r="31">
      <c r="A31" s="23">
        <v>42836.0</v>
      </c>
      <c r="B31" s="4" t="s">
        <v>301</v>
      </c>
      <c r="C31" s="4" t="s">
        <v>347</v>
      </c>
      <c r="D31" s="25">
        <v>27.0</v>
      </c>
      <c r="E31" s="25">
        <v>0.8146355742023612</v>
      </c>
      <c r="F31" s="82">
        <v>0.5985527</v>
      </c>
    </row>
    <row r="32">
      <c r="A32" s="23">
        <v>43577.0</v>
      </c>
      <c r="B32" s="4" t="s">
        <v>301</v>
      </c>
      <c r="C32" s="4" t="s">
        <v>347</v>
      </c>
      <c r="D32" s="25">
        <v>17.0</v>
      </c>
      <c r="E32" s="25">
        <v>0.6173607078194924</v>
      </c>
      <c r="F32" s="81">
        <v>0.17889309</v>
      </c>
    </row>
    <row r="33">
      <c r="A33" s="23">
        <v>42471.0</v>
      </c>
      <c r="B33" s="4" t="s">
        <v>301</v>
      </c>
      <c r="C33" s="4" t="s">
        <v>302</v>
      </c>
      <c r="D33" s="25">
        <v>20.0</v>
      </c>
      <c r="E33" s="25">
        <v>0.8409493577439835</v>
      </c>
      <c r="F33" s="82">
        <v>0.1514914</v>
      </c>
    </row>
    <row r="34">
      <c r="A34" s="23">
        <v>43572.0</v>
      </c>
      <c r="B34" s="4" t="s">
        <v>259</v>
      </c>
      <c r="C34" s="4" t="s">
        <v>482</v>
      </c>
      <c r="D34" s="25">
        <v>12.0</v>
      </c>
      <c r="E34" s="25">
        <v>0.8141174273665209</v>
      </c>
      <c r="F34" s="81">
        <v>0.59318507</v>
      </c>
    </row>
    <row r="35">
      <c r="A35" s="23">
        <v>43573.0</v>
      </c>
      <c r="B35" s="4" t="s">
        <v>259</v>
      </c>
      <c r="C35" s="4" t="s">
        <v>482</v>
      </c>
      <c r="D35" s="25">
        <v>11.0</v>
      </c>
      <c r="E35" s="25">
        <v>0.5799814855264663</v>
      </c>
      <c r="F35" s="81">
        <v>0.24139936</v>
      </c>
    </row>
    <row r="36">
      <c r="A36" s="23">
        <v>42838.0</v>
      </c>
      <c r="B36" s="4" t="s">
        <v>259</v>
      </c>
      <c r="C36" s="4" t="s">
        <v>358</v>
      </c>
      <c r="D36" s="25">
        <v>15.0</v>
      </c>
      <c r="E36" s="25">
        <v>0.6412105946110984</v>
      </c>
      <c r="F36" s="82">
        <v>0.46086976</v>
      </c>
    </row>
    <row r="37">
      <c r="A37" s="23">
        <v>43238.0</v>
      </c>
      <c r="B37" s="4" t="s">
        <v>259</v>
      </c>
      <c r="C37" s="4" t="s">
        <v>358</v>
      </c>
      <c r="D37" s="25">
        <v>25.0</v>
      </c>
      <c r="E37" s="25">
        <v>0.7176866456361725</v>
      </c>
      <c r="F37" s="82">
        <v>0.06839431</v>
      </c>
    </row>
    <row r="38">
      <c r="A38" s="23">
        <v>42810.0</v>
      </c>
      <c r="B38" s="4" t="s">
        <v>337</v>
      </c>
      <c r="C38" s="4" t="s">
        <v>313</v>
      </c>
      <c r="D38" s="25">
        <v>19.0</v>
      </c>
      <c r="E38" s="25">
        <v>0.7209245303095493</v>
      </c>
      <c r="F38" s="82">
        <v>0.4821346</v>
      </c>
    </row>
    <row r="39">
      <c r="A39" s="23">
        <v>42853.0</v>
      </c>
      <c r="B39" s="4" t="s">
        <v>374</v>
      </c>
      <c r="C39" s="4" t="s">
        <v>391</v>
      </c>
      <c r="D39" s="25">
        <v>7.0</v>
      </c>
      <c r="E39" s="25">
        <v>0.6704422480340524</v>
      </c>
      <c r="F39" s="82">
        <v>0.50052613</v>
      </c>
    </row>
    <row r="40">
      <c r="A40" s="23">
        <v>42850.0</v>
      </c>
      <c r="B40" s="4" t="s">
        <v>374</v>
      </c>
      <c r="C40" s="4" t="s">
        <v>375</v>
      </c>
      <c r="D40" s="25">
        <v>28.0</v>
      </c>
      <c r="E40" s="25">
        <v>0.9190936178392926</v>
      </c>
      <c r="F40" s="82">
        <v>0.62436557</v>
      </c>
    </row>
    <row r="41">
      <c r="A41" s="48">
        <v>43840.0</v>
      </c>
      <c r="B41" s="7" t="s">
        <v>511</v>
      </c>
      <c r="C41" s="7" t="s">
        <v>508</v>
      </c>
      <c r="D41" s="25">
        <v>2.0</v>
      </c>
      <c r="E41" s="25">
        <v>0.48975697665173723</v>
      </c>
      <c r="F41" s="81">
        <v>1.2838669</v>
      </c>
    </row>
    <row r="42">
      <c r="A42" s="55">
        <v>43868.0</v>
      </c>
      <c r="B42" s="7" t="s">
        <v>511</v>
      </c>
      <c r="C42" s="4" t="s">
        <v>508</v>
      </c>
      <c r="D42" s="25">
        <v>3.0</v>
      </c>
      <c r="E42" s="25">
        <v>0.48460174063284045</v>
      </c>
      <c r="F42" s="81">
        <v>0.7058609</v>
      </c>
    </row>
    <row r="43">
      <c r="A43" s="23">
        <v>42804.0</v>
      </c>
      <c r="B43" s="4" t="s">
        <v>329</v>
      </c>
      <c r="C43" s="4" t="s">
        <v>330</v>
      </c>
      <c r="D43" s="25">
        <v>8.0</v>
      </c>
      <c r="E43" s="25">
        <v>0.7477591036414566</v>
      </c>
      <c r="F43" s="82">
        <v>0.4758523</v>
      </c>
    </row>
    <row r="44">
      <c r="A44" s="23">
        <v>43216.0</v>
      </c>
      <c r="B44" s="4" t="s">
        <v>329</v>
      </c>
      <c r="C44" s="4" t="s">
        <v>330</v>
      </c>
      <c r="D44" s="25">
        <v>10.0</v>
      </c>
      <c r="E44" s="25">
        <v>0.6729600228849317</v>
      </c>
      <c r="F44" s="82">
        <v>0.13326481</v>
      </c>
    </row>
    <row r="45">
      <c r="A45" s="23">
        <v>43734.0</v>
      </c>
      <c r="B45" s="4" t="s">
        <v>329</v>
      </c>
      <c r="C45" s="4" t="s">
        <v>286</v>
      </c>
      <c r="D45" s="25">
        <v>4.0</v>
      </c>
      <c r="E45" s="25">
        <v>0.1037644787644788</v>
      </c>
      <c r="F45" s="81">
        <v>0.60444</v>
      </c>
    </row>
    <row r="46">
      <c r="A46" s="23">
        <v>43735.0</v>
      </c>
      <c r="B46" s="4" t="s">
        <v>329</v>
      </c>
      <c r="C46" s="4" t="s">
        <v>286</v>
      </c>
      <c r="D46" s="25">
        <v>9.0</v>
      </c>
      <c r="E46" s="25">
        <v>0.7680513829897442</v>
      </c>
      <c r="F46" s="81">
        <v>0.43251002</v>
      </c>
    </row>
    <row r="47">
      <c r="A47" s="23">
        <v>42495.0</v>
      </c>
      <c r="B47" s="4" t="s">
        <v>307</v>
      </c>
      <c r="C47" s="4" t="s">
        <v>308</v>
      </c>
      <c r="D47" s="25">
        <v>17.0</v>
      </c>
      <c r="E47" s="25">
        <v>0.727689512818917</v>
      </c>
      <c r="F47" s="82">
        <v>0.17996731</v>
      </c>
    </row>
    <row r="48">
      <c r="A48" s="23">
        <v>42838.0</v>
      </c>
      <c r="B48" s="4" t="s">
        <v>352</v>
      </c>
      <c r="C48" s="4" t="s">
        <v>353</v>
      </c>
      <c r="D48" s="25">
        <v>18.0</v>
      </c>
      <c r="E48" s="25">
        <v>0.5548403522630091</v>
      </c>
      <c r="F48" s="82">
        <v>0.6566581</v>
      </c>
    </row>
    <row r="49">
      <c r="A49" s="23">
        <v>43573.0</v>
      </c>
      <c r="B49" s="4" t="s">
        <v>489</v>
      </c>
      <c r="C49" s="4" t="s">
        <v>367</v>
      </c>
      <c r="D49" s="25">
        <v>16.0</v>
      </c>
      <c r="E49" s="25">
        <v>0.8113135519694603</v>
      </c>
      <c r="F49" s="81">
        <v>0.47288725</v>
      </c>
    </row>
    <row r="50">
      <c r="A50" s="23">
        <v>42844.0</v>
      </c>
      <c r="B50" s="4" t="s">
        <v>369</v>
      </c>
      <c r="C50" s="4" t="s">
        <v>321</v>
      </c>
      <c r="D50" s="25">
        <v>13.0</v>
      </c>
      <c r="E50" s="25">
        <v>0.7819435378590078</v>
      </c>
      <c r="F50" s="82">
        <v>1.028236</v>
      </c>
    </row>
    <row r="51">
      <c r="A51" s="23">
        <v>42851.0</v>
      </c>
      <c r="B51" s="4" t="s">
        <v>369</v>
      </c>
      <c r="C51" s="4" t="s">
        <v>321</v>
      </c>
      <c r="D51" s="25">
        <v>19.0</v>
      </c>
      <c r="E51" s="25">
        <v>0.8614930825268197</v>
      </c>
      <c r="F51" s="82">
        <v>0.503378</v>
      </c>
    </row>
    <row r="52">
      <c r="A52" s="23">
        <v>42850.0</v>
      </c>
      <c r="B52" s="4" t="s">
        <v>250</v>
      </c>
      <c r="C52" s="4" t="s">
        <v>372</v>
      </c>
      <c r="D52" s="25">
        <v>20.0</v>
      </c>
      <c r="E52" s="25">
        <v>0.8272876970124676</v>
      </c>
      <c r="F52" s="82">
        <v>0.71422464</v>
      </c>
    </row>
    <row r="53">
      <c r="A53" s="23">
        <v>42467.0</v>
      </c>
      <c r="B53" s="4" t="s">
        <v>233</v>
      </c>
      <c r="C53" s="4" t="s">
        <v>286</v>
      </c>
      <c r="D53" s="25">
        <v>13.0</v>
      </c>
      <c r="E53" s="25">
        <v>0.8226090993500464</v>
      </c>
      <c r="F53" s="82">
        <v>-0.10545163</v>
      </c>
    </row>
    <row r="54">
      <c r="A54" s="23">
        <v>42761.0</v>
      </c>
      <c r="B54" s="4" t="s">
        <v>233</v>
      </c>
      <c r="C54" s="4" t="s">
        <v>286</v>
      </c>
      <c r="D54" s="25">
        <v>7.0</v>
      </c>
      <c r="E54" s="25">
        <v>0.6325596734963104</v>
      </c>
      <c r="F54" s="82">
        <v>0.3785979</v>
      </c>
    </row>
    <row r="55">
      <c r="A55" s="23">
        <v>43160.0</v>
      </c>
      <c r="B55" s="4" t="s">
        <v>233</v>
      </c>
      <c r="C55" s="4" t="s">
        <v>286</v>
      </c>
      <c r="D55" s="25">
        <v>11.0</v>
      </c>
      <c r="E55" s="25">
        <v>0.7352911896465903</v>
      </c>
      <c r="F55" s="82">
        <v>0.006380962</v>
      </c>
    </row>
    <row r="56">
      <c r="A56" s="23">
        <v>43531.0</v>
      </c>
      <c r="B56" s="4" t="s">
        <v>233</v>
      </c>
      <c r="C56" s="4" t="s">
        <v>286</v>
      </c>
      <c r="D56" s="25">
        <v>11.0</v>
      </c>
      <c r="E56" s="25">
        <v>0.6615006905017646</v>
      </c>
      <c r="F56" s="82">
        <v>-0.08783626</v>
      </c>
    </row>
    <row r="57">
      <c r="A57" s="56">
        <v>43885.0</v>
      </c>
      <c r="B57" s="4" t="s">
        <v>233</v>
      </c>
      <c r="C57" s="4" t="s">
        <v>286</v>
      </c>
      <c r="D57" s="25">
        <v>11.0</v>
      </c>
      <c r="E57" s="25">
        <v>0.597948717948718</v>
      </c>
      <c r="F57" s="81">
        <v>0.03625736</v>
      </c>
    </row>
    <row r="58">
      <c r="A58" s="23">
        <v>42481.0</v>
      </c>
      <c r="B58" s="4" t="s">
        <v>240</v>
      </c>
      <c r="C58" s="4" t="s">
        <v>286</v>
      </c>
      <c r="D58" s="25">
        <v>18.0</v>
      </c>
      <c r="E58" s="25">
        <v>0.384639000728051</v>
      </c>
      <c r="F58" s="82">
        <v>0.29019496</v>
      </c>
    </row>
    <row r="59">
      <c r="A59" s="23">
        <v>42788.0</v>
      </c>
      <c r="B59" s="4" t="s">
        <v>320</v>
      </c>
      <c r="C59" s="4" t="s">
        <v>321</v>
      </c>
      <c r="D59" s="25">
        <v>12.0</v>
      </c>
      <c r="E59" s="25">
        <v>0.8538750426766815</v>
      </c>
      <c r="F59" s="82">
        <v>0.64626735</v>
      </c>
    </row>
    <row r="60">
      <c r="A60" s="23">
        <v>42851.0</v>
      </c>
      <c r="B60" s="4" t="s">
        <v>340</v>
      </c>
      <c r="C60" s="4" t="s">
        <v>381</v>
      </c>
      <c r="D60" s="25">
        <v>13.0</v>
      </c>
      <c r="E60" s="25">
        <v>0.5345179694960458</v>
      </c>
      <c r="F60" s="82">
        <v>0.26245686</v>
      </c>
    </row>
    <row r="61">
      <c r="A61" s="23">
        <v>43215.0</v>
      </c>
      <c r="B61" s="4" t="s">
        <v>340</v>
      </c>
      <c r="C61" s="4" t="s">
        <v>381</v>
      </c>
      <c r="D61" s="25">
        <v>11.0</v>
      </c>
      <c r="E61" s="25">
        <v>0.5808193194043372</v>
      </c>
      <c r="F61" s="82">
        <v>0.5909751</v>
      </c>
    </row>
    <row r="62">
      <c r="A62" s="23">
        <v>43882.0</v>
      </c>
      <c r="B62" s="4" t="s">
        <v>340</v>
      </c>
      <c r="C62" s="7" t="s">
        <v>508</v>
      </c>
      <c r="D62" s="25">
        <v>7.0</v>
      </c>
      <c r="E62" s="25">
        <v>0.4954103734925652</v>
      </c>
      <c r="F62" s="81">
        <v>0.7922257</v>
      </c>
    </row>
    <row r="63">
      <c r="A63" s="23">
        <v>43577.0</v>
      </c>
      <c r="B63" s="4" t="s">
        <v>293</v>
      </c>
      <c r="C63" s="4" t="s">
        <v>496</v>
      </c>
      <c r="D63" s="25">
        <v>14.0</v>
      </c>
      <c r="E63" s="25">
        <v>0.46811844858723595</v>
      </c>
      <c r="F63" s="81">
        <v>0.25832182</v>
      </c>
    </row>
    <row r="64">
      <c r="A64" s="23">
        <v>42851.0</v>
      </c>
      <c r="B64" s="4" t="s">
        <v>293</v>
      </c>
      <c r="C64" s="4" t="s">
        <v>383</v>
      </c>
      <c r="D64" s="25">
        <v>8.0</v>
      </c>
      <c r="E64" s="25">
        <v>0.5149280264935645</v>
      </c>
      <c r="F64" s="82">
        <v>0.23371165</v>
      </c>
    </row>
    <row r="65">
      <c r="A65" s="23">
        <v>42852.0</v>
      </c>
      <c r="B65" s="4" t="s">
        <v>293</v>
      </c>
      <c r="D65" s="25">
        <v>10.0</v>
      </c>
      <c r="E65" s="25">
        <v>0.6941468716037882</v>
      </c>
      <c r="F65" s="82">
        <v>0.099827945</v>
      </c>
    </row>
    <row r="66">
      <c r="A66" s="23">
        <v>42860.0</v>
      </c>
      <c r="B66" s="4" t="s">
        <v>394</v>
      </c>
      <c r="C66" s="4" t="s">
        <v>367</v>
      </c>
      <c r="D66" s="25">
        <v>17.0</v>
      </c>
      <c r="E66" s="25">
        <v>0.5904175134823729</v>
      </c>
      <c r="F66" s="82">
        <v>1.540204</v>
      </c>
    </row>
    <row r="67">
      <c r="A67" s="23">
        <v>42866.0</v>
      </c>
      <c r="B67" s="4" t="s">
        <v>400</v>
      </c>
      <c r="C67" s="4" t="s">
        <v>401</v>
      </c>
      <c r="D67" s="25">
        <v>15.0</v>
      </c>
      <c r="E67" s="25">
        <v>0.7119485294117647</v>
      </c>
      <c r="F67" s="82">
        <v>-0.040530305</v>
      </c>
    </row>
    <row r="68">
      <c r="A68" s="23">
        <v>43528.0</v>
      </c>
      <c r="B68" s="4" t="s">
        <v>400</v>
      </c>
      <c r="C68" s="4" t="s">
        <v>401</v>
      </c>
      <c r="D68" s="25">
        <v>11.0</v>
      </c>
      <c r="E68" s="25">
        <v>0.844438553081183</v>
      </c>
      <c r="F68" s="82">
        <v>0.068196975</v>
      </c>
    </row>
    <row r="69">
      <c r="A69" s="23">
        <v>43563.0</v>
      </c>
      <c r="B69" s="4" t="s">
        <v>400</v>
      </c>
      <c r="C69" s="4" t="s">
        <v>465</v>
      </c>
      <c r="D69" s="25">
        <v>20.0</v>
      </c>
      <c r="E69" s="25">
        <v>0.7169612794612794</v>
      </c>
      <c r="F69" s="81">
        <v>-0.0858652</v>
      </c>
    </row>
    <row r="70">
      <c r="A70" s="112">
        <v>42851.0</v>
      </c>
      <c r="B70" s="113" t="s">
        <v>216</v>
      </c>
      <c r="C70" s="113" t="s">
        <v>385</v>
      </c>
      <c r="D70" s="114">
        <v>13.0</v>
      </c>
      <c r="E70" s="114">
        <v>0.49816625916870416</v>
      </c>
      <c r="F70" s="115">
        <v>0.31013632</v>
      </c>
    </row>
    <row r="71">
      <c r="A71" s="112">
        <v>42471.0</v>
      </c>
      <c r="B71" s="113" t="s">
        <v>216</v>
      </c>
      <c r="C71" s="113" t="s">
        <v>299</v>
      </c>
      <c r="D71" s="114">
        <v>10.0</v>
      </c>
      <c r="E71" s="114">
        <v>0.4307889911357856</v>
      </c>
      <c r="F71" s="115">
        <v>0.2741515</v>
      </c>
    </row>
    <row r="72">
      <c r="A72" s="112">
        <v>42867.0</v>
      </c>
      <c r="B72" s="113" t="s">
        <v>216</v>
      </c>
      <c r="C72" s="113" t="s">
        <v>299</v>
      </c>
      <c r="D72" s="114">
        <v>13.0</v>
      </c>
      <c r="E72" s="114">
        <v>0.341225451293098</v>
      </c>
      <c r="F72" s="115">
        <v>0.5482014</v>
      </c>
    </row>
    <row r="73">
      <c r="A73" s="112">
        <v>42439.0</v>
      </c>
      <c r="B73" s="113" t="s">
        <v>216</v>
      </c>
      <c r="C73" s="113" t="s">
        <v>272</v>
      </c>
      <c r="D73" s="114">
        <v>21.0</v>
      </c>
      <c r="E73" s="114">
        <v>0.31873876548096114</v>
      </c>
      <c r="F73" s="115">
        <v>-0.4019405</v>
      </c>
    </row>
    <row r="74">
      <c r="A74" s="112">
        <v>42835.0</v>
      </c>
      <c r="B74" s="113" t="s">
        <v>216</v>
      </c>
      <c r="C74" s="113" t="s">
        <v>272</v>
      </c>
      <c r="D74" s="114">
        <v>16.0</v>
      </c>
      <c r="E74" s="114">
        <v>0.4555987626340944</v>
      </c>
      <c r="F74" s="115">
        <v>0.44253674</v>
      </c>
      <c r="G74" s="117">
        <f t="shared" ref="G74:H74" si="3">average(D70:D75)</f>
        <v>14.16666667</v>
      </c>
      <c r="H74" s="117">
        <f t="shared" si="3"/>
        <v>0.3593001665</v>
      </c>
    </row>
    <row r="75">
      <c r="A75" s="112">
        <v>43234.0</v>
      </c>
      <c r="B75" s="113" t="s">
        <v>216</v>
      </c>
      <c r="C75" s="113" t="s">
        <v>272</v>
      </c>
      <c r="D75" s="114">
        <v>12.0</v>
      </c>
      <c r="E75" s="114">
        <v>0.11128276927533431</v>
      </c>
      <c r="F75" s="115">
        <v>-0.15372223</v>
      </c>
      <c r="G75" s="117">
        <f>correl(D70:D75,F70:F75)</f>
        <v>-0.5252270573</v>
      </c>
      <c r="H75" s="117">
        <f>correl(E70:E75,F70:F75)</f>
        <v>0.582948046</v>
      </c>
    </row>
    <row r="76">
      <c r="A76" s="23">
        <v>43311.0</v>
      </c>
      <c r="B76" s="4" t="s">
        <v>246</v>
      </c>
      <c r="C76" s="4" t="s">
        <v>353</v>
      </c>
      <c r="D76" s="25">
        <v>23.0</v>
      </c>
      <c r="E76" s="25">
        <v>0.6373277541302936</v>
      </c>
      <c r="F76" s="82">
        <v>0.48258337</v>
      </c>
    </row>
    <row r="77">
      <c r="A77" s="23">
        <v>42837.0</v>
      </c>
      <c r="B77" s="4" t="s">
        <v>355</v>
      </c>
      <c r="C77" s="4" t="s">
        <v>356</v>
      </c>
      <c r="D77" s="25">
        <v>15.0</v>
      </c>
      <c r="E77" s="25">
        <v>0.6517584605175846</v>
      </c>
      <c r="F77" s="82">
        <v>0.54868895</v>
      </c>
    </row>
    <row r="78">
      <c r="A78" s="23">
        <v>43573.0</v>
      </c>
      <c r="B78" s="4" t="s">
        <v>492</v>
      </c>
      <c r="C78" s="4" t="s">
        <v>493</v>
      </c>
      <c r="D78" s="25">
        <v>13.0</v>
      </c>
      <c r="E78" s="25">
        <v>0.8199318606440268</v>
      </c>
      <c r="F78" s="81">
        <v>-0.22333334</v>
      </c>
    </row>
    <row r="79">
      <c r="A79" s="23">
        <v>42468.0</v>
      </c>
      <c r="B79" s="4" t="s">
        <v>247</v>
      </c>
      <c r="C79" s="4" t="s">
        <v>289</v>
      </c>
      <c r="D79" s="25">
        <v>9.0</v>
      </c>
      <c r="E79" s="25">
        <v>0.6153549553421869</v>
      </c>
      <c r="F79" s="82">
        <v>0.027141906</v>
      </c>
    </row>
    <row r="80">
      <c r="A80" s="23">
        <v>42879.0</v>
      </c>
      <c r="B80" s="4" t="s">
        <v>247</v>
      </c>
      <c r="C80" s="4" t="s">
        <v>289</v>
      </c>
      <c r="D80" s="25">
        <v>13.0</v>
      </c>
      <c r="E80" s="25">
        <v>0.24556196162435617</v>
      </c>
      <c r="F80" s="82">
        <v>1.0796264</v>
      </c>
    </row>
    <row r="81">
      <c r="A81" s="112">
        <v>42837.0</v>
      </c>
      <c r="B81" s="113" t="s">
        <v>266</v>
      </c>
      <c r="C81" s="113" t="s">
        <v>350</v>
      </c>
      <c r="D81" s="114">
        <v>10.0</v>
      </c>
      <c r="E81" s="114">
        <v>0.7119842829076621</v>
      </c>
      <c r="F81" s="115">
        <v>0.5189489</v>
      </c>
    </row>
    <row r="82">
      <c r="A82" s="112">
        <v>43236.0</v>
      </c>
      <c r="B82" s="113" t="s">
        <v>266</v>
      </c>
      <c r="C82" s="113" t="s">
        <v>347</v>
      </c>
      <c r="D82" s="114">
        <v>35.0</v>
      </c>
      <c r="E82" s="114">
        <v>0.686154461784714</v>
      </c>
      <c r="F82" s="115">
        <v>-0.05178348</v>
      </c>
    </row>
    <row r="83">
      <c r="A83" s="112">
        <v>43519.0</v>
      </c>
      <c r="B83" s="113" t="s">
        <v>266</v>
      </c>
      <c r="C83" s="113" t="s">
        <v>347</v>
      </c>
      <c r="D83" s="114">
        <v>10.0</v>
      </c>
      <c r="E83" s="114">
        <v>0.6866543227460475</v>
      </c>
      <c r="F83" s="115">
        <v>0.005439158</v>
      </c>
    </row>
    <row r="84">
      <c r="A84" s="112">
        <v>42471.0</v>
      </c>
      <c r="B84" s="113" t="s">
        <v>266</v>
      </c>
      <c r="C84" s="113" t="s">
        <v>297</v>
      </c>
      <c r="D84" s="114">
        <v>10.0</v>
      </c>
      <c r="E84" s="114">
        <v>0.3963065953654189</v>
      </c>
      <c r="F84" s="115">
        <v>0.1514914</v>
      </c>
    </row>
    <row r="85">
      <c r="A85" s="112">
        <v>42836.0</v>
      </c>
      <c r="B85" s="113" t="s">
        <v>266</v>
      </c>
      <c r="C85" s="113" t="s">
        <v>297</v>
      </c>
      <c r="D85" s="114">
        <v>18.0</v>
      </c>
      <c r="E85" s="114">
        <v>0.7961537119818998</v>
      </c>
      <c r="F85" s="115">
        <v>0.5978405</v>
      </c>
      <c r="G85" s="117">
        <f t="shared" ref="G85:H85" si="4">average(D81:D86)</f>
        <v>16.66666667</v>
      </c>
      <c r="H85" s="117">
        <f t="shared" si="4"/>
        <v>0.6909233382</v>
      </c>
    </row>
    <row r="86">
      <c r="A86" s="112">
        <v>43519.0</v>
      </c>
      <c r="B86" s="113" t="s">
        <v>266</v>
      </c>
      <c r="C86" s="113" t="s">
        <v>297</v>
      </c>
      <c r="D86" s="114">
        <v>17.0</v>
      </c>
      <c r="E86" s="114">
        <v>0.8682866544571999</v>
      </c>
      <c r="F86" s="115">
        <v>0.57026523</v>
      </c>
      <c r="G86" s="117">
        <f>correl(D81:D86,F81:F86)</f>
        <v>-0.3094676781</v>
      </c>
      <c r="H86" s="117">
        <f>correl(E81:E86,F81:F86)</f>
        <v>0.5449635893</v>
      </c>
    </row>
    <row r="87">
      <c r="A87" s="23">
        <v>42865.0</v>
      </c>
      <c r="B87" s="4" t="s">
        <v>230</v>
      </c>
      <c r="C87" s="4" t="s">
        <v>397</v>
      </c>
      <c r="D87" s="25">
        <v>9.0</v>
      </c>
      <c r="E87" s="25">
        <v>0.5818265652274149</v>
      </c>
      <c r="F87" s="82">
        <v>0.8272739</v>
      </c>
    </row>
    <row r="88">
      <c r="A88" s="48">
        <v>43839.0</v>
      </c>
      <c r="B88" s="7" t="s">
        <v>366</v>
      </c>
      <c r="C88" s="7" t="s">
        <v>508</v>
      </c>
      <c r="D88" s="25">
        <v>7.0</v>
      </c>
      <c r="E88" s="25">
        <v>0.7260497579646517</v>
      </c>
      <c r="F88" s="81">
        <v>1.5400918</v>
      </c>
    </row>
    <row r="137">
      <c r="A137" s="123"/>
      <c r="B137" s="124"/>
    </row>
    <row r="138">
      <c r="A138" s="23">
        <v>43556.0</v>
      </c>
      <c r="B138" s="49" t="s">
        <v>456</v>
      </c>
      <c r="C138" s="49" t="s">
        <v>418</v>
      </c>
      <c r="D138" s="25">
        <v>17.0</v>
      </c>
      <c r="E138" s="25">
        <v>0.6657491364421416</v>
      </c>
      <c r="F138" s="81">
        <v>0.9070718</v>
      </c>
    </row>
    <row r="139">
      <c r="A139" s="23">
        <v>43557.0</v>
      </c>
      <c r="B139" s="4" t="s">
        <v>456</v>
      </c>
      <c r="C139" s="4" t="s">
        <v>418</v>
      </c>
      <c r="D139" s="25">
        <v>20.0</v>
      </c>
      <c r="E139" s="25">
        <v>0.5637690190580049</v>
      </c>
      <c r="F139" s="81">
        <v>0.8041421</v>
      </c>
    </row>
    <row r="140">
      <c r="A140" s="23">
        <v>43558.0</v>
      </c>
      <c r="B140" s="4" t="s">
        <v>456</v>
      </c>
      <c r="C140" s="4" t="s">
        <v>418</v>
      </c>
      <c r="D140" s="25">
        <v>16.0</v>
      </c>
      <c r="E140" s="25">
        <v>0.7998764516926118</v>
      </c>
      <c r="F140" s="81">
        <v>0.5727219</v>
      </c>
    </row>
    <row r="141">
      <c r="A141" s="23">
        <v>43559.0</v>
      </c>
      <c r="B141" s="4" t="s">
        <v>456</v>
      </c>
      <c r="C141" s="4" t="s">
        <v>418</v>
      </c>
      <c r="D141" s="25">
        <v>17.0</v>
      </c>
      <c r="E141" s="25">
        <v>0.7350925533418116</v>
      </c>
      <c r="F141" s="81">
        <v>0.5880871</v>
      </c>
    </row>
    <row r="142">
      <c r="A142" s="23">
        <v>42437.0</v>
      </c>
      <c r="B142" s="4" t="s">
        <v>219</v>
      </c>
      <c r="C142" s="4" t="s">
        <v>269</v>
      </c>
      <c r="D142" s="25">
        <v>18.0</v>
      </c>
      <c r="E142" s="25">
        <v>0.6787817478955165</v>
      </c>
      <c r="F142" s="82">
        <v>0.14599872</v>
      </c>
    </row>
    <row r="143">
      <c r="A143" s="23">
        <v>42910.0</v>
      </c>
      <c r="B143" s="4" t="s">
        <v>219</v>
      </c>
      <c r="C143" s="4" t="s">
        <v>197</v>
      </c>
      <c r="D143" s="25">
        <v>49.0</v>
      </c>
      <c r="E143" s="25">
        <v>0.9369938919375715</v>
      </c>
      <c r="F143" s="82">
        <v>0.0036068326</v>
      </c>
    </row>
    <row r="144">
      <c r="A144" s="112">
        <v>42467.0</v>
      </c>
      <c r="B144" s="113" t="s">
        <v>201</v>
      </c>
      <c r="C144" s="113" t="s">
        <v>274</v>
      </c>
      <c r="D144" s="114">
        <v>30.0</v>
      </c>
      <c r="E144" s="114">
        <v>0.8243360377227654</v>
      </c>
      <c r="F144" s="115">
        <v>-0.279881</v>
      </c>
    </row>
    <row r="145">
      <c r="A145" s="112">
        <v>42479.0</v>
      </c>
      <c r="B145" s="113" t="s">
        <v>201</v>
      </c>
      <c r="C145" s="113" t="s">
        <v>274</v>
      </c>
      <c r="D145" s="114">
        <v>28.0</v>
      </c>
      <c r="E145" s="114">
        <v>0.8320771253286591</v>
      </c>
      <c r="F145" s="115">
        <v>0.4179734</v>
      </c>
    </row>
    <row r="146">
      <c r="A146" s="112">
        <v>42778.0</v>
      </c>
      <c r="B146" s="113" t="s">
        <v>201</v>
      </c>
      <c r="C146" s="113" t="s">
        <v>197</v>
      </c>
      <c r="D146" s="114">
        <v>36.0</v>
      </c>
      <c r="E146" s="114">
        <v>0.82891793241493</v>
      </c>
      <c r="F146" s="115">
        <v>0.37676725</v>
      </c>
    </row>
    <row r="147">
      <c r="A147" s="112">
        <v>43134.0</v>
      </c>
      <c r="B147" s="113" t="s">
        <v>201</v>
      </c>
      <c r="C147" s="113" t="s">
        <v>197</v>
      </c>
      <c r="D147" s="114">
        <v>25.0</v>
      </c>
      <c r="E147" s="114">
        <v>0.8532181216183478</v>
      </c>
      <c r="F147" s="115">
        <v>0.35789236</v>
      </c>
    </row>
    <row r="148">
      <c r="A148" s="112">
        <v>43485.0</v>
      </c>
      <c r="B148" s="113" t="s">
        <v>201</v>
      </c>
      <c r="C148" s="113" t="s">
        <v>418</v>
      </c>
      <c r="D148" s="114">
        <v>27.0</v>
      </c>
      <c r="E148" s="114">
        <v>0.8151647733946339</v>
      </c>
      <c r="F148" s="115">
        <v>0.22840819</v>
      </c>
    </row>
    <row r="149">
      <c r="A149" s="125">
        <v>43536.0</v>
      </c>
      <c r="B149" s="126" t="s">
        <v>201</v>
      </c>
      <c r="C149" s="126" t="s">
        <v>418</v>
      </c>
      <c r="D149" s="114">
        <v>40.0</v>
      </c>
      <c r="E149" s="114">
        <v>0.8085342983423331</v>
      </c>
      <c r="F149" s="116">
        <v>0.21427152</v>
      </c>
      <c r="G149" s="117">
        <f t="shared" ref="G149:H149" si="5">average(D144:D150)</f>
        <v>28.42857143</v>
      </c>
      <c r="H149" s="117">
        <f t="shared" si="5"/>
        <v>0.8190054716</v>
      </c>
    </row>
    <row r="150">
      <c r="A150" s="112">
        <v>43578.0</v>
      </c>
      <c r="B150" s="113" t="s">
        <v>201</v>
      </c>
      <c r="C150" s="113" t="s">
        <v>418</v>
      </c>
      <c r="D150" s="114">
        <v>13.0</v>
      </c>
      <c r="E150" s="114">
        <v>0.7707900122799836</v>
      </c>
      <c r="F150" s="116">
        <v>0.14759782</v>
      </c>
      <c r="G150" s="117">
        <f>correl(D144:D150,F144:F150)</f>
        <v>0.07199457997</v>
      </c>
      <c r="H150" s="117">
        <f>correl(E144:E150,F144:F150)</f>
        <v>0.2672786454</v>
      </c>
    </row>
    <row r="151">
      <c r="A151" s="41">
        <v>42465.0</v>
      </c>
      <c r="B151" s="42" t="s">
        <v>244</v>
      </c>
      <c r="C151" s="42" t="s">
        <v>274</v>
      </c>
      <c r="D151" s="44">
        <v>22.0</v>
      </c>
      <c r="E151" s="44">
        <v>0.8063107556693938</v>
      </c>
      <c r="F151" s="119">
        <v>-0.074690156</v>
      </c>
    </row>
    <row r="152">
      <c r="A152" s="41">
        <v>42791.0</v>
      </c>
      <c r="B152" s="42" t="s">
        <v>244</v>
      </c>
      <c r="C152" s="42" t="s">
        <v>197</v>
      </c>
      <c r="D152" s="44">
        <v>36.0</v>
      </c>
      <c r="E152" s="44">
        <v>0.8446101933001496</v>
      </c>
      <c r="F152" s="119">
        <v>0.51192087</v>
      </c>
    </row>
    <row r="153">
      <c r="A153" s="41">
        <v>43148.0</v>
      </c>
      <c r="B153" s="42" t="s">
        <v>244</v>
      </c>
      <c r="C153" s="42" t="s">
        <v>197</v>
      </c>
      <c r="D153" s="44">
        <v>33.0</v>
      </c>
      <c r="E153" s="44">
        <v>0.8265324842099746</v>
      </c>
      <c r="F153" s="119">
        <v>0.4211373</v>
      </c>
      <c r="G153" s="117">
        <f t="shared" ref="G153:H153" si="6">average(D151:D154)</f>
        <v>28</v>
      </c>
      <c r="H153" s="117">
        <f t="shared" si="6"/>
        <v>0.8254139076</v>
      </c>
    </row>
    <row r="154">
      <c r="A154" s="128">
        <v>43533.0</v>
      </c>
      <c r="B154" s="60" t="s">
        <v>244</v>
      </c>
      <c r="C154" s="60" t="s">
        <v>418</v>
      </c>
      <c r="D154" s="44">
        <v>21.0</v>
      </c>
      <c r="E154" s="44">
        <v>0.8242021971755127</v>
      </c>
      <c r="F154" s="118">
        <v>0.11821595</v>
      </c>
      <c r="G154" s="117">
        <f>correl(D151:D154,F151:F154)</f>
        <v>0.9397798232</v>
      </c>
      <c r="H154" s="117">
        <f>correl(E151:E154,F151:F154)</f>
        <v>0.9089488637</v>
      </c>
    </row>
    <row r="155">
      <c r="A155" s="23">
        <v>42834.0</v>
      </c>
      <c r="B155" s="4" t="s">
        <v>301</v>
      </c>
      <c r="C155" s="4" t="s">
        <v>344</v>
      </c>
      <c r="D155" s="25">
        <v>15.0</v>
      </c>
      <c r="E155" s="25">
        <v>0.8215836425357228</v>
      </c>
      <c r="F155" s="82">
        <v>0.699799</v>
      </c>
    </row>
    <row r="156">
      <c r="A156" s="23">
        <v>43587.0</v>
      </c>
      <c r="B156" s="4" t="s">
        <v>499</v>
      </c>
      <c r="C156" s="4" t="s">
        <v>418</v>
      </c>
      <c r="D156" s="25">
        <v>16.0</v>
      </c>
      <c r="E156" s="25">
        <v>0.5814731254147312</v>
      </c>
      <c r="F156" s="81">
        <v>0.627445</v>
      </c>
    </row>
    <row r="157">
      <c r="A157" s="23">
        <v>42510.0</v>
      </c>
      <c r="B157" s="4" t="s">
        <v>310</v>
      </c>
      <c r="C157" s="4" t="s">
        <v>197</v>
      </c>
      <c r="D157" s="25">
        <v>16.0</v>
      </c>
      <c r="E157" s="25">
        <v>0.82321915530429</v>
      </c>
      <c r="F157" s="82">
        <v>0.3608226</v>
      </c>
    </row>
    <row r="158">
      <c r="A158" s="23">
        <v>42465.0</v>
      </c>
      <c r="B158" s="4" t="s">
        <v>280</v>
      </c>
      <c r="C158" s="4" t="s">
        <v>274</v>
      </c>
      <c r="D158" s="25">
        <v>17.0</v>
      </c>
      <c r="E158" s="25">
        <v>0.3827046195334812</v>
      </c>
      <c r="F158" s="82">
        <v>0.97665673</v>
      </c>
    </row>
    <row r="159">
      <c r="A159" s="23">
        <v>43602.0</v>
      </c>
      <c r="B159" s="4" t="s">
        <v>489</v>
      </c>
      <c r="C159" s="4" t="s">
        <v>418</v>
      </c>
      <c r="D159" s="25">
        <v>15.0</v>
      </c>
      <c r="E159" s="25">
        <v>0.7723534761324278</v>
      </c>
      <c r="F159" s="81">
        <v>0.41966686</v>
      </c>
    </row>
    <row r="160">
      <c r="A160" s="23">
        <v>43566.0</v>
      </c>
      <c r="B160" s="4" t="s">
        <v>473</v>
      </c>
      <c r="C160" s="4" t="s">
        <v>418</v>
      </c>
      <c r="D160" s="25">
        <v>8.0</v>
      </c>
      <c r="E160" s="25">
        <v>0.6778142643161655</v>
      </c>
      <c r="F160" s="81">
        <v>0.2985615</v>
      </c>
    </row>
    <row r="161">
      <c r="A161" s="23">
        <v>42911.0</v>
      </c>
      <c r="B161" s="4" t="s">
        <v>250</v>
      </c>
      <c r="C161" s="4" t="s">
        <v>197</v>
      </c>
      <c r="D161" s="25">
        <v>32.0</v>
      </c>
      <c r="E161" s="25">
        <v>0.858143911256376</v>
      </c>
      <c r="F161" s="82">
        <v>0.057390086</v>
      </c>
    </row>
    <row r="162">
      <c r="A162" s="23">
        <v>43517.0</v>
      </c>
      <c r="B162" s="4" t="s">
        <v>440</v>
      </c>
      <c r="C162" s="4" t="s">
        <v>418</v>
      </c>
      <c r="D162" s="25">
        <v>14.0</v>
      </c>
      <c r="E162" s="25">
        <v>0.472046468208692</v>
      </c>
      <c r="F162" s="82">
        <v>-0.106029265</v>
      </c>
    </row>
    <row r="163">
      <c r="A163" s="23">
        <v>42475.0</v>
      </c>
      <c r="B163" s="4" t="s">
        <v>303</v>
      </c>
      <c r="C163" s="4" t="s">
        <v>274</v>
      </c>
      <c r="D163" s="25">
        <v>31.0</v>
      </c>
      <c r="E163" s="25">
        <v>0.8538924964126386</v>
      </c>
      <c r="F163" s="82">
        <v>1.0019482</v>
      </c>
    </row>
    <row r="164">
      <c r="A164" s="23">
        <v>42826.0</v>
      </c>
      <c r="B164" s="4" t="s">
        <v>303</v>
      </c>
      <c r="C164" s="4" t="s">
        <v>197</v>
      </c>
      <c r="D164" s="25">
        <v>15.0</v>
      </c>
      <c r="E164" s="25">
        <v>0.8622667780562517</v>
      </c>
      <c r="F164" s="82">
        <v>0.5190363</v>
      </c>
    </row>
    <row r="165">
      <c r="A165" s="23">
        <v>42827.0</v>
      </c>
      <c r="B165" s="4" t="s">
        <v>340</v>
      </c>
      <c r="C165" s="4" t="s">
        <v>197</v>
      </c>
      <c r="D165" s="25">
        <v>12.0</v>
      </c>
      <c r="E165" s="25">
        <v>0.6673544093178037</v>
      </c>
      <c r="F165" s="82">
        <v>0.55136806</v>
      </c>
    </row>
    <row r="166">
      <c r="A166" s="23">
        <v>43573.0</v>
      </c>
      <c r="B166" s="4" t="s">
        <v>340</v>
      </c>
      <c r="C166" s="4" t="s">
        <v>418</v>
      </c>
      <c r="D166" s="25">
        <v>18.0</v>
      </c>
      <c r="E166" s="25">
        <v>0.8252478753541077</v>
      </c>
      <c r="F166" s="81">
        <v>0.628042</v>
      </c>
    </row>
    <row r="167">
      <c r="A167" s="112">
        <v>42469.0</v>
      </c>
      <c r="B167" s="113" t="s">
        <v>293</v>
      </c>
      <c r="C167" s="113" t="s">
        <v>197</v>
      </c>
      <c r="D167" s="114">
        <v>16.0</v>
      </c>
      <c r="E167" s="114">
        <v>0.6829886606296605</v>
      </c>
      <c r="F167" s="115">
        <v>-0.024130946</v>
      </c>
    </row>
    <row r="168">
      <c r="A168" s="112">
        <v>42470.0</v>
      </c>
      <c r="B168" s="113" t="s">
        <v>293</v>
      </c>
      <c r="C168" s="113" t="s">
        <v>197</v>
      </c>
      <c r="D168" s="114">
        <v>30.0</v>
      </c>
      <c r="E168" s="114">
        <v>0.8680865224625625</v>
      </c>
      <c r="F168" s="115">
        <v>0.18991312</v>
      </c>
    </row>
    <row r="169">
      <c r="A169" s="112">
        <v>42806.0</v>
      </c>
      <c r="B169" s="113" t="s">
        <v>293</v>
      </c>
      <c r="C169" s="113" t="s">
        <v>197</v>
      </c>
      <c r="D169" s="114">
        <v>19.0</v>
      </c>
      <c r="E169" s="114">
        <v>0.5737571962293753</v>
      </c>
      <c r="F169" s="115">
        <v>0.70941496</v>
      </c>
    </row>
    <row r="170">
      <c r="A170" s="112">
        <v>43163.0</v>
      </c>
      <c r="B170" s="113" t="s">
        <v>293</v>
      </c>
      <c r="C170" s="113" t="s">
        <v>197</v>
      </c>
      <c r="D170" s="114">
        <v>17.0</v>
      </c>
      <c r="E170" s="114">
        <v>0.6304325905011596</v>
      </c>
      <c r="F170" s="115">
        <v>0.14971124</v>
      </c>
    </row>
    <row r="171">
      <c r="A171" s="112">
        <v>43212.0</v>
      </c>
      <c r="B171" s="113" t="s">
        <v>293</v>
      </c>
      <c r="C171" s="113" t="s">
        <v>418</v>
      </c>
      <c r="D171" s="114">
        <v>8.0</v>
      </c>
      <c r="E171" s="114">
        <v>0.2657269700332964</v>
      </c>
      <c r="F171" s="115">
        <v>0.5906504</v>
      </c>
      <c r="G171" s="117">
        <f t="shared" ref="G171:H171" si="7">average(D167:D172)</f>
        <v>17.33333333</v>
      </c>
      <c r="H171" s="117">
        <f t="shared" si="7"/>
        <v>0.5561498855</v>
      </c>
    </row>
    <row r="172">
      <c r="A172" s="112">
        <v>43520.0</v>
      </c>
      <c r="B172" s="113" t="s">
        <v>293</v>
      </c>
      <c r="C172" s="113" t="s">
        <v>418</v>
      </c>
      <c r="D172" s="114">
        <v>14.0</v>
      </c>
      <c r="E172" s="114">
        <v>0.31590737342113784</v>
      </c>
      <c r="F172" s="115">
        <v>0.23574919</v>
      </c>
      <c r="G172" s="117">
        <f>correl(D167:D172,F167:F172)</f>
        <v>-0.2673299571</v>
      </c>
      <c r="H172" s="117">
        <f>correl(E167:E172,F167:F172)</f>
        <v>-0.4615589712</v>
      </c>
    </row>
    <row r="173">
      <c r="A173" s="23">
        <v>42468.0</v>
      </c>
      <c r="B173" s="4" t="s">
        <v>291</v>
      </c>
      <c r="C173" s="4" t="s">
        <v>274</v>
      </c>
      <c r="D173" s="25">
        <v>19.0</v>
      </c>
      <c r="E173" s="25">
        <v>0.8118880548302871</v>
      </c>
      <c r="F173" s="82">
        <v>0.03691591</v>
      </c>
      <c r="G173" s="117"/>
      <c r="H173" s="117"/>
    </row>
    <row r="174">
      <c r="A174" s="23">
        <v>42420.0</v>
      </c>
      <c r="B174" s="4" t="s">
        <v>216</v>
      </c>
      <c r="C174" s="4" t="s">
        <v>197</v>
      </c>
      <c r="D174" s="25">
        <v>32.0</v>
      </c>
      <c r="E174" s="25">
        <v>0.7819312452416319</v>
      </c>
      <c r="F174" s="82">
        <v>0.5094098</v>
      </c>
      <c r="G174" s="117"/>
      <c r="H174" s="117"/>
    </row>
    <row r="175">
      <c r="A175" s="23">
        <v>42440.0</v>
      </c>
      <c r="B175" s="4" t="s">
        <v>246</v>
      </c>
      <c r="C175" s="4" t="s">
        <v>274</v>
      </c>
      <c r="D175" s="25">
        <v>9.0</v>
      </c>
      <c r="E175" s="25">
        <v>0.6908700980392157</v>
      </c>
      <c r="F175" s="82">
        <v>-0.05019737</v>
      </c>
      <c r="G175" s="117"/>
      <c r="H175" s="117"/>
    </row>
    <row r="176">
      <c r="A176" s="23">
        <v>42908.0</v>
      </c>
      <c r="B176" s="4" t="s">
        <v>246</v>
      </c>
      <c r="C176" s="4" t="s">
        <v>197</v>
      </c>
      <c r="D176" s="25">
        <v>37.0</v>
      </c>
      <c r="E176" s="25">
        <v>0.8193147610968201</v>
      </c>
      <c r="F176" s="82">
        <v>0.0119459545</v>
      </c>
      <c r="G176" s="117"/>
      <c r="H176" s="117"/>
    </row>
    <row r="177">
      <c r="A177" s="41">
        <v>42439.0</v>
      </c>
      <c r="B177" s="42" t="s">
        <v>266</v>
      </c>
      <c r="C177" s="42" t="s">
        <v>274</v>
      </c>
      <c r="D177" s="44">
        <v>21.0</v>
      </c>
      <c r="E177" s="44">
        <v>0.8105379469015832</v>
      </c>
      <c r="F177" s="119">
        <v>0.013783275</v>
      </c>
      <c r="G177" s="117"/>
      <c r="H177" s="117"/>
    </row>
    <row r="178">
      <c r="A178" s="41">
        <v>42427.0</v>
      </c>
      <c r="B178" s="42" t="s">
        <v>266</v>
      </c>
      <c r="C178" s="42" t="s">
        <v>197</v>
      </c>
      <c r="D178" s="44">
        <v>24.0</v>
      </c>
      <c r="E178" s="44">
        <v>0.6086442561828327</v>
      </c>
      <c r="F178" s="119">
        <v>0.2194147</v>
      </c>
      <c r="G178" s="117"/>
      <c r="H178" s="117"/>
    </row>
    <row r="179">
      <c r="A179" s="41">
        <v>42428.0</v>
      </c>
      <c r="B179" s="42" t="s">
        <v>266</v>
      </c>
      <c r="C179" s="42" t="s">
        <v>197</v>
      </c>
      <c r="D179" s="44">
        <v>24.0</v>
      </c>
      <c r="E179" s="44">
        <v>0.5821575855834991</v>
      </c>
      <c r="F179" s="119">
        <v>0.34953868</v>
      </c>
      <c r="G179" s="117"/>
      <c r="H179" s="117"/>
    </row>
    <row r="180">
      <c r="A180" s="41">
        <v>43531.0</v>
      </c>
      <c r="B180" s="42" t="s">
        <v>266</v>
      </c>
      <c r="C180" s="42" t="s">
        <v>418</v>
      </c>
      <c r="D180" s="44">
        <v>17.0</v>
      </c>
      <c r="E180" s="44">
        <v>0.7114087294197684</v>
      </c>
      <c r="F180" s="119">
        <v>0.03757016</v>
      </c>
      <c r="G180" s="117">
        <f t="shared" ref="G180:H180" si="8">average(D177:D181)</f>
        <v>21</v>
      </c>
      <c r="H180" s="117">
        <f t="shared" si="8"/>
        <v>0.7159041173</v>
      </c>
    </row>
    <row r="181">
      <c r="A181" s="41">
        <v>43577.0</v>
      </c>
      <c r="B181" s="42" t="s">
        <v>266</v>
      </c>
      <c r="C181" s="42" t="s">
        <v>418</v>
      </c>
      <c r="D181" s="44">
        <v>19.0</v>
      </c>
      <c r="E181" s="44">
        <v>0.8667720685111989</v>
      </c>
      <c r="F181" s="118">
        <v>0.18369055</v>
      </c>
      <c r="G181" s="117">
        <f>correl(D177:D181,F177:F181)</f>
        <v>0.6980210803</v>
      </c>
      <c r="H181" s="117">
        <f>correl(E177:E181,F177:F181)</f>
        <v>-0.6063903318</v>
      </c>
    </row>
    <row r="182">
      <c r="A182" s="23">
        <v>42488.0</v>
      </c>
      <c r="B182" s="4" t="s">
        <v>230</v>
      </c>
      <c r="C182" s="4" t="s">
        <v>274</v>
      </c>
      <c r="D182" s="25">
        <v>5.0</v>
      </c>
      <c r="E182" s="25">
        <v>0.2794356485051944</v>
      </c>
      <c r="F182" s="82">
        <v>0.4289095</v>
      </c>
    </row>
    <row r="183">
      <c r="A183" s="23">
        <v>42443.0</v>
      </c>
      <c r="B183" s="4" t="s">
        <v>230</v>
      </c>
      <c r="C183" s="4" t="s">
        <v>197</v>
      </c>
      <c r="D183" s="25">
        <v>11.0</v>
      </c>
      <c r="E183" s="25">
        <v>0.7251914805677899</v>
      </c>
      <c r="F183" s="82">
        <v>0.48203212</v>
      </c>
    </row>
    <row r="184">
      <c r="A184" s="23">
        <v>42798.0</v>
      </c>
      <c r="B184" s="4" t="s">
        <v>230</v>
      </c>
      <c r="C184" s="4" t="s">
        <v>197</v>
      </c>
      <c r="D184" s="25">
        <v>15.0</v>
      </c>
      <c r="E184" s="25">
        <v>0.6963860143174165</v>
      </c>
      <c r="F184" s="82">
        <v>0.8242247</v>
      </c>
    </row>
    <row r="186">
      <c r="F186" s="81"/>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17.88"/>
    <col customWidth="1" min="3" max="3" width="28.5"/>
    <col customWidth="1" min="4" max="4" width="33.63"/>
  </cols>
  <sheetData>
    <row r="1">
      <c r="A1" s="1" t="s">
        <v>2</v>
      </c>
      <c r="B1" s="2"/>
      <c r="C1" s="2"/>
      <c r="D1" s="8"/>
    </row>
    <row r="2">
      <c r="A2" s="1" t="s">
        <v>6</v>
      </c>
      <c r="B2" s="2" t="s">
        <v>7</v>
      </c>
      <c r="C2" s="2" t="s">
        <v>10</v>
      </c>
      <c r="D2" s="8" t="s">
        <v>209</v>
      </c>
      <c r="E2" s="4" t="s">
        <v>1009</v>
      </c>
      <c r="F2" s="4" t="s">
        <v>1010</v>
      </c>
      <c r="G2" s="4" t="s">
        <v>1011</v>
      </c>
    </row>
    <row r="3">
      <c r="A3" s="23">
        <v>43556.0</v>
      </c>
      <c r="B3" s="49" t="s">
        <v>456</v>
      </c>
      <c r="C3" s="49" t="s">
        <v>418</v>
      </c>
      <c r="D3" s="129">
        <v>0.6657491364421416</v>
      </c>
      <c r="E3" s="25">
        <v>17.0</v>
      </c>
      <c r="F3" s="49">
        <v>24.0</v>
      </c>
      <c r="G3" s="129">
        <f t="shared" ref="G3:G137" si="1">E3/F3</f>
        <v>0.7083333333</v>
      </c>
    </row>
    <row r="4">
      <c r="A4" s="23">
        <v>43557.0</v>
      </c>
      <c r="B4" s="4" t="s">
        <v>456</v>
      </c>
      <c r="C4" s="4" t="s">
        <v>418</v>
      </c>
      <c r="D4" s="129">
        <v>0.5637690190580049</v>
      </c>
      <c r="E4" s="25">
        <v>20.0</v>
      </c>
      <c r="F4" s="4">
        <v>27.0</v>
      </c>
      <c r="G4" s="129">
        <f t="shared" si="1"/>
        <v>0.7407407407</v>
      </c>
    </row>
    <row r="5">
      <c r="A5" s="23">
        <v>43558.0</v>
      </c>
      <c r="B5" s="4" t="s">
        <v>456</v>
      </c>
      <c r="C5" s="4" t="s">
        <v>418</v>
      </c>
      <c r="D5" s="129">
        <v>0.7998764516926118</v>
      </c>
      <c r="E5" s="25">
        <v>16.0</v>
      </c>
      <c r="F5" s="4">
        <v>22.0</v>
      </c>
      <c r="G5" s="129">
        <f t="shared" si="1"/>
        <v>0.7272727273</v>
      </c>
    </row>
    <row r="6">
      <c r="A6" s="23">
        <v>43559.0</v>
      </c>
      <c r="B6" s="4" t="s">
        <v>456</v>
      </c>
      <c r="C6" s="4" t="s">
        <v>418</v>
      </c>
      <c r="D6" s="129">
        <v>0.7350925533418116</v>
      </c>
      <c r="E6" s="25">
        <v>17.0</v>
      </c>
      <c r="F6" s="4">
        <v>25.0</v>
      </c>
      <c r="G6" s="129">
        <f t="shared" si="1"/>
        <v>0.68</v>
      </c>
    </row>
    <row r="7">
      <c r="A7" s="23">
        <v>43564.0</v>
      </c>
      <c r="B7" s="4" t="s">
        <v>456</v>
      </c>
      <c r="C7" s="4" t="s">
        <v>469</v>
      </c>
      <c r="D7" s="129">
        <v>0.6840336134453782</v>
      </c>
      <c r="E7" s="25">
        <v>5.0</v>
      </c>
      <c r="F7" s="4">
        <v>10.0</v>
      </c>
      <c r="G7" s="129">
        <f t="shared" si="1"/>
        <v>0.5</v>
      </c>
    </row>
    <row r="8">
      <c r="A8" s="58">
        <v>43901.0</v>
      </c>
      <c r="B8" s="14" t="s">
        <v>456</v>
      </c>
      <c r="C8" s="14" t="s">
        <v>469</v>
      </c>
      <c r="D8" s="129">
        <v>0.24251688588695341</v>
      </c>
      <c r="E8" s="25">
        <v>5.0</v>
      </c>
      <c r="F8" s="4">
        <v>25.0</v>
      </c>
      <c r="G8" s="129">
        <f t="shared" si="1"/>
        <v>0.2</v>
      </c>
    </row>
    <row r="9">
      <c r="A9" s="23">
        <v>42804.0</v>
      </c>
      <c r="B9" s="4" t="s">
        <v>219</v>
      </c>
      <c r="C9" s="4" t="s">
        <v>333</v>
      </c>
      <c r="D9" s="129">
        <v>0.847337350771471</v>
      </c>
      <c r="E9" s="25">
        <v>29.0</v>
      </c>
      <c r="F9" s="4">
        <v>26.0</v>
      </c>
      <c r="G9" s="129">
        <f t="shared" si="1"/>
        <v>1.115384615</v>
      </c>
    </row>
    <row r="10">
      <c r="A10" s="23">
        <v>43160.0</v>
      </c>
      <c r="B10" s="4" t="s">
        <v>219</v>
      </c>
      <c r="C10" s="4" t="s">
        <v>333</v>
      </c>
      <c r="D10" s="129">
        <v>0.8358338430740143</v>
      </c>
      <c r="E10" s="25">
        <v>33.0</v>
      </c>
      <c r="F10" s="4">
        <v>39.0</v>
      </c>
      <c r="G10" s="129">
        <f t="shared" si="1"/>
        <v>0.8461538462</v>
      </c>
    </row>
    <row r="11">
      <c r="A11" s="23">
        <v>42437.0</v>
      </c>
      <c r="B11" s="4" t="s">
        <v>219</v>
      </c>
      <c r="C11" s="4" t="s">
        <v>269</v>
      </c>
      <c r="D11" s="129">
        <v>0.6787817478955165</v>
      </c>
      <c r="E11" s="25">
        <v>18.0</v>
      </c>
      <c r="F11" s="4">
        <v>37.0</v>
      </c>
      <c r="G11" s="129">
        <f t="shared" si="1"/>
        <v>0.4864864865</v>
      </c>
    </row>
    <row r="12">
      <c r="A12" s="23">
        <v>42910.0</v>
      </c>
      <c r="B12" s="4" t="s">
        <v>219</v>
      </c>
      <c r="C12" s="4" t="s">
        <v>197</v>
      </c>
      <c r="D12" s="129">
        <v>0.9369938919375715</v>
      </c>
      <c r="E12" s="25">
        <v>49.0</v>
      </c>
      <c r="F12" s="4">
        <v>27.0</v>
      </c>
      <c r="G12" s="129">
        <f t="shared" si="1"/>
        <v>1.814814815</v>
      </c>
    </row>
    <row r="13">
      <c r="A13" s="23">
        <v>43230.0</v>
      </c>
      <c r="B13" s="4" t="s">
        <v>201</v>
      </c>
      <c r="C13" s="4" t="s">
        <v>299</v>
      </c>
      <c r="D13" s="129">
        <v>0.699137640314111</v>
      </c>
      <c r="E13" s="25">
        <v>15.0</v>
      </c>
      <c r="F13" s="4">
        <v>25.0</v>
      </c>
      <c r="G13" s="129">
        <f t="shared" si="1"/>
        <v>0.6</v>
      </c>
    </row>
    <row r="14">
      <c r="A14" s="23">
        <v>43231.0</v>
      </c>
      <c r="B14" s="4" t="s">
        <v>201</v>
      </c>
      <c r="C14" s="4" t="s">
        <v>299</v>
      </c>
      <c r="D14" s="129">
        <v>0.8065856654766018</v>
      </c>
      <c r="E14" s="25">
        <v>24.0</v>
      </c>
      <c r="F14" s="4">
        <v>26.0</v>
      </c>
      <c r="G14" s="129">
        <f t="shared" si="1"/>
        <v>0.9230769231</v>
      </c>
    </row>
    <row r="15">
      <c r="A15" s="23">
        <v>42852.0</v>
      </c>
      <c r="B15" s="4" t="s">
        <v>201</v>
      </c>
      <c r="C15" s="4" t="s">
        <v>389</v>
      </c>
      <c r="D15" s="129">
        <v>0.6983904020042444</v>
      </c>
      <c r="E15" s="25">
        <v>11.0</v>
      </c>
      <c r="F15" s="4">
        <v>31.0</v>
      </c>
      <c r="G15" s="129">
        <f t="shared" si="1"/>
        <v>0.3548387097</v>
      </c>
    </row>
    <row r="16">
      <c r="A16" s="23">
        <v>43214.0</v>
      </c>
      <c r="B16" s="4" t="s">
        <v>201</v>
      </c>
      <c r="C16" s="4" t="s">
        <v>422</v>
      </c>
      <c r="D16" s="129">
        <v>0.548897836021859</v>
      </c>
      <c r="E16" s="25">
        <v>21.0</v>
      </c>
      <c r="F16" s="4">
        <v>25.0</v>
      </c>
      <c r="G16" s="129">
        <f t="shared" si="1"/>
        <v>0.84</v>
      </c>
    </row>
    <row r="17">
      <c r="A17" s="23">
        <v>42467.0</v>
      </c>
      <c r="B17" s="4" t="s">
        <v>201</v>
      </c>
      <c r="C17" s="4" t="s">
        <v>274</v>
      </c>
      <c r="D17" s="129">
        <v>0.8243360377227654</v>
      </c>
      <c r="E17" s="25">
        <v>30.0</v>
      </c>
      <c r="F17" s="4">
        <v>41.0</v>
      </c>
      <c r="G17" s="129">
        <f t="shared" si="1"/>
        <v>0.7317073171</v>
      </c>
    </row>
    <row r="18">
      <c r="A18" s="23">
        <v>42479.0</v>
      </c>
      <c r="B18" s="4" t="s">
        <v>201</v>
      </c>
      <c r="C18" s="4" t="s">
        <v>274</v>
      </c>
      <c r="D18" s="129">
        <v>0.8320771253286591</v>
      </c>
      <c r="E18" s="25">
        <v>28.0</v>
      </c>
      <c r="F18" s="4">
        <v>29.0</v>
      </c>
      <c r="G18" s="129">
        <f t="shared" si="1"/>
        <v>0.9655172414</v>
      </c>
    </row>
    <row r="19">
      <c r="A19" s="23">
        <v>42778.0</v>
      </c>
      <c r="B19" s="4" t="s">
        <v>201</v>
      </c>
      <c r="C19" s="4" t="s">
        <v>197</v>
      </c>
      <c r="D19" s="129">
        <v>0.82891793241493</v>
      </c>
      <c r="E19" s="25">
        <v>36.0</v>
      </c>
      <c r="F19" s="4">
        <v>47.0</v>
      </c>
      <c r="G19" s="129">
        <f t="shared" si="1"/>
        <v>0.7659574468</v>
      </c>
    </row>
    <row r="20">
      <c r="A20" s="23">
        <v>42831.0</v>
      </c>
      <c r="B20" s="4" t="s">
        <v>201</v>
      </c>
      <c r="C20" s="4" t="s">
        <v>197</v>
      </c>
      <c r="D20" s="129">
        <v>0.792024310377518</v>
      </c>
      <c r="E20" s="25">
        <v>20.0</v>
      </c>
      <c r="F20" s="4">
        <v>55.0</v>
      </c>
      <c r="G20" s="129">
        <f t="shared" si="1"/>
        <v>0.3636363636</v>
      </c>
    </row>
    <row r="21">
      <c r="A21" s="23">
        <v>43134.0</v>
      </c>
      <c r="B21" s="4" t="s">
        <v>201</v>
      </c>
      <c r="C21" s="4" t="s">
        <v>197</v>
      </c>
      <c r="D21" s="129">
        <v>0.8532181216183478</v>
      </c>
      <c r="E21" s="25">
        <v>25.0</v>
      </c>
      <c r="F21" s="4">
        <v>35.0</v>
      </c>
      <c r="G21" s="129">
        <f t="shared" si="1"/>
        <v>0.7142857143</v>
      </c>
    </row>
    <row r="22">
      <c r="A22" s="23">
        <v>42804.0</v>
      </c>
      <c r="B22" s="4" t="s">
        <v>201</v>
      </c>
      <c r="C22" s="4" t="s">
        <v>325</v>
      </c>
      <c r="D22" s="129">
        <v>0.63478651898135</v>
      </c>
      <c r="E22" s="25">
        <v>13.0</v>
      </c>
      <c r="F22" s="4">
        <v>24.0</v>
      </c>
      <c r="G22" s="129">
        <f t="shared" si="1"/>
        <v>0.5416666667</v>
      </c>
    </row>
    <row r="23">
      <c r="A23" s="23">
        <v>43238.0</v>
      </c>
      <c r="B23" s="4" t="s">
        <v>201</v>
      </c>
      <c r="C23" s="4" t="s">
        <v>325</v>
      </c>
      <c r="D23" s="129">
        <v>0.6015439653549237</v>
      </c>
      <c r="E23" s="25">
        <v>25.0</v>
      </c>
      <c r="F23" s="4">
        <v>25.0</v>
      </c>
      <c r="G23" s="129">
        <f t="shared" si="1"/>
        <v>1</v>
      </c>
    </row>
    <row r="24">
      <c r="A24" s="23">
        <v>43571.0</v>
      </c>
      <c r="B24" s="4" t="s">
        <v>201</v>
      </c>
      <c r="C24" s="4" t="s">
        <v>477</v>
      </c>
      <c r="D24" s="129">
        <v>0.8551326283507709</v>
      </c>
      <c r="E24" s="25">
        <v>16.0</v>
      </c>
      <c r="F24" s="4">
        <v>28.0</v>
      </c>
      <c r="G24" s="129">
        <f t="shared" si="1"/>
        <v>0.5714285714</v>
      </c>
    </row>
    <row r="25">
      <c r="A25" s="23">
        <v>43572.0</v>
      </c>
      <c r="B25" s="4" t="s">
        <v>201</v>
      </c>
      <c r="C25" s="4" t="s">
        <v>477</v>
      </c>
      <c r="D25" s="129">
        <v>0.7250168932411922</v>
      </c>
      <c r="E25" s="25">
        <v>23.0</v>
      </c>
      <c r="F25" s="4">
        <v>46.0</v>
      </c>
      <c r="G25" s="129">
        <f t="shared" si="1"/>
        <v>0.5</v>
      </c>
    </row>
    <row r="26">
      <c r="A26" s="23">
        <v>43573.0</v>
      </c>
      <c r="B26" s="4" t="s">
        <v>201</v>
      </c>
      <c r="C26" s="4" t="s">
        <v>477</v>
      </c>
      <c r="D26" s="129">
        <v>0.8030723080599146</v>
      </c>
      <c r="E26" s="25">
        <v>24.0</v>
      </c>
      <c r="F26" s="4">
        <v>46.0</v>
      </c>
      <c r="G26" s="129">
        <f t="shared" si="1"/>
        <v>0.5217391304</v>
      </c>
    </row>
    <row r="27">
      <c r="A27" s="23">
        <v>43485.0</v>
      </c>
      <c r="B27" s="4" t="s">
        <v>201</v>
      </c>
      <c r="C27" s="4" t="s">
        <v>418</v>
      </c>
      <c r="D27" s="129">
        <v>0.8151647733946339</v>
      </c>
      <c r="E27" s="25">
        <v>27.0</v>
      </c>
      <c r="F27" s="4">
        <v>52.0</v>
      </c>
      <c r="G27" s="129">
        <f t="shared" si="1"/>
        <v>0.5192307692</v>
      </c>
    </row>
    <row r="28">
      <c r="A28" s="51">
        <v>43536.0</v>
      </c>
      <c r="B28" s="49" t="s">
        <v>201</v>
      </c>
      <c r="C28" s="49" t="s">
        <v>418</v>
      </c>
      <c r="D28" s="129">
        <v>0.8085342983423331</v>
      </c>
      <c r="E28" s="25">
        <v>40.0</v>
      </c>
      <c r="F28" s="49">
        <v>35.0</v>
      </c>
      <c r="G28" s="129">
        <f t="shared" si="1"/>
        <v>1.142857143</v>
      </c>
    </row>
    <row r="29">
      <c r="A29" s="23">
        <v>43578.0</v>
      </c>
      <c r="B29" s="4" t="s">
        <v>201</v>
      </c>
      <c r="C29" s="4" t="s">
        <v>418</v>
      </c>
      <c r="D29" s="129">
        <v>0.7707900122799836</v>
      </c>
      <c r="E29" s="25">
        <v>13.0</v>
      </c>
      <c r="F29" s="4">
        <v>18.0</v>
      </c>
      <c r="G29" s="129">
        <f t="shared" si="1"/>
        <v>0.7222222222</v>
      </c>
    </row>
    <row r="30">
      <c r="A30" s="23">
        <v>43602.0</v>
      </c>
      <c r="B30" s="4" t="s">
        <v>244</v>
      </c>
      <c r="C30" s="4" t="s">
        <v>503</v>
      </c>
      <c r="D30" s="129">
        <v>0.6723808110292055</v>
      </c>
      <c r="E30" s="25">
        <v>16.0</v>
      </c>
      <c r="F30" s="4">
        <v>25.0</v>
      </c>
      <c r="G30" s="129">
        <f t="shared" si="1"/>
        <v>0.64</v>
      </c>
    </row>
    <row r="31">
      <c r="A31" s="23">
        <v>42464.0</v>
      </c>
      <c r="B31" s="4" t="s">
        <v>244</v>
      </c>
      <c r="C31" s="4" t="s">
        <v>278</v>
      </c>
      <c r="D31" s="129">
        <v>0.5459971206239863</v>
      </c>
      <c r="E31" s="25">
        <v>13.0</v>
      </c>
      <c r="F31" s="4">
        <v>26.0</v>
      </c>
      <c r="G31" s="129">
        <f t="shared" si="1"/>
        <v>0.5</v>
      </c>
    </row>
    <row r="32">
      <c r="A32" s="23">
        <v>42465.0</v>
      </c>
      <c r="B32" s="4" t="s">
        <v>244</v>
      </c>
      <c r="C32" s="4" t="s">
        <v>278</v>
      </c>
      <c r="D32" s="129">
        <v>0.7025966183574879</v>
      </c>
      <c r="E32" s="25">
        <v>20.0</v>
      </c>
      <c r="F32" s="4">
        <v>29.0</v>
      </c>
      <c r="G32" s="129">
        <f t="shared" si="1"/>
        <v>0.6896551724</v>
      </c>
    </row>
    <row r="33">
      <c r="A33" s="23">
        <v>42802.0</v>
      </c>
      <c r="B33" s="4" t="s">
        <v>244</v>
      </c>
      <c r="C33" s="4" t="s">
        <v>278</v>
      </c>
      <c r="D33" s="129">
        <v>0.8112909408805737</v>
      </c>
      <c r="E33" s="25">
        <v>20.0</v>
      </c>
      <c r="F33" s="4">
        <v>25.0</v>
      </c>
      <c r="G33" s="129">
        <f t="shared" si="1"/>
        <v>0.8</v>
      </c>
    </row>
    <row r="34">
      <c r="A34" s="23">
        <v>42823.0</v>
      </c>
      <c r="B34" s="4" t="s">
        <v>244</v>
      </c>
      <c r="C34" s="4" t="s">
        <v>278</v>
      </c>
      <c r="D34" s="129">
        <v>0.7136096008113362</v>
      </c>
      <c r="E34" s="25">
        <v>11.0</v>
      </c>
      <c r="F34" s="4">
        <v>26.0</v>
      </c>
      <c r="G34" s="129">
        <f t="shared" si="1"/>
        <v>0.4230769231</v>
      </c>
    </row>
    <row r="35">
      <c r="A35" s="23">
        <v>42844.0</v>
      </c>
      <c r="B35" s="4" t="s">
        <v>244</v>
      </c>
      <c r="C35" s="4" t="s">
        <v>278</v>
      </c>
      <c r="D35" s="129">
        <v>0.6290116444191991</v>
      </c>
      <c r="E35" s="25">
        <v>18.0</v>
      </c>
      <c r="F35" s="4">
        <v>24.0</v>
      </c>
      <c r="G35" s="129">
        <f t="shared" si="1"/>
        <v>0.75</v>
      </c>
    </row>
    <row r="36">
      <c r="A36" s="23">
        <v>42860.0</v>
      </c>
      <c r="B36" s="4" t="s">
        <v>244</v>
      </c>
      <c r="C36" s="4" t="s">
        <v>278</v>
      </c>
      <c r="D36" s="129">
        <v>0.6261458568525626</v>
      </c>
      <c r="E36" s="25">
        <v>21.0</v>
      </c>
      <c r="F36" s="4">
        <v>25.0</v>
      </c>
      <c r="G36" s="129">
        <f t="shared" si="1"/>
        <v>0.84</v>
      </c>
    </row>
    <row r="37">
      <c r="A37" s="23">
        <v>42866.0</v>
      </c>
      <c r="B37" s="4" t="s">
        <v>244</v>
      </c>
      <c r="C37" s="4" t="s">
        <v>278</v>
      </c>
      <c r="D37" s="129">
        <v>0.8608804332731566</v>
      </c>
      <c r="E37" s="25">
        <v>27.0</v>
      </c>
      <c r="F37" s="4">
        <v>24.0</v>
      </c>
      <c r="G37" s="129">
        <f t="shared" si="1"/>
        <v>1.125</v>
      </c>
    </row>
    <row r="38">
      <c r="A38" s="23">
        <v>43525.0</v>
      </c>
      <c r="B38" s="4" t="s">
        <v>244</v>
      </c>
      <c r="C38" s="4" t="s">
        <v>278</v>
      </c>
      <c r="D38" s="129">
        <v>0.8417048534121705</v>
      </c>
      <c r="E38" s="25">
        <v>27.0</v>
      </c>
      <c r="F38" s="4">
        <v>28.0</v>
      </c>
      <c r="G38" s="129">
        <f t="shared" si="1"/>
        <v>0.9642857143</v>
      </c>
    </row>
    <row r="39">
      <c r="A39" s="23">
        <v>42465.0</v>
      </c>
      <c r="B39" s="4" t="s">
        <v>244</v>
      </c>
      <c r="C39" s="4" t="s">
        <v>274</v>
      </c>
      <c r="D39" s="129">
        <v>0.8063107556693938</v>
      </c>
      <c r="E39" s="25">
        <v>22.0</v>
      </c>
      <c r="F39" s="4">
        <v>51.0</v>
      </c>
      <c r="G39" s="129">
        <f t="shared" si="1"/>
        <v>0.431372549</v>
      </c>
    </row>
    <row r="40">
      <c r="A40" s="23">
        <v>42791.0</v>
      </c>
      <c r="B40" s="4" t="s">
        <v>244</v>
      </c>
      <c r="C40" s="4" t="s">
        <v>197</v>
      </c>
      <c r="D40" s="129">
        <v>0.8446101933001496</v>
      </c>
      <c r="E40" s="25">
        <v>36.0</v>
      </c>
      <c r="F40" s="4">
        <v>54.0</v>
      </c>
      <c r="G40" s="129">
        <f t="shared" si="1"/>
        <v>0.6666666667</v>
      </c>
    </row>
    <row r="41">
      <c r="A41" s="23">
        <v>43148.0</v>
      </c>
      <c r="B41" s="4" t="s">
        <v>244</v>
      </c>
      <c r="C41" s="4" t="s">
        <v>197</v>
      </c>
      <c r="D41" s="129">
        <v>0.8265324842099746</v>
      </c>
      <c r="E41" s="25">
        <v>33.0</v>
      </c>
      <c r="F41" s="4">
        <v>29.0</v>
      </c>
      <c r="G41" s="129">
        <f t="shared" si="1"/>
        <v>1.137931034</v>
      </c>
    </row>
    <row r="42">
      <c r="A42" s="48">
        <v>43533.0</v>
      </c>
      <c r="B42" s="49" t="s">
        <v>244</v>
      </c>
      <c r="C42" s="49" t="s">
        <v>418</v>
      </c>
      <c r="D42" s="129">
        <v>0.8242021971755127</v>
      </c>
      <c r="E42" s="25">
        <v>21.0</v>
      </c>
      <c r="F42" s="49">
        <v>24.0</v>
      </c>
      <c r="G42" s="129">
        <f t="shared" si="1"/>
        <v>0.875</v>
      </c>
    </row>
    <row r="43">
      <c r="A43" s="23">
        <v>42803.0</v>
      </c>
      <c r="B43" s="4" t="s">
        <v>244</v>
      </c>
      <c r="C43" s="4" t="s">
        <v>326</v>
      </c>
      <c r="D43" s="129">
        <v>0.8783489096573209</v>
      </c>
      <c r="E43" s="25">
        <v>24.0</v>
      </c>
      <c r="F43" s="4">
        <v>17.0</v>
      </c>
      <c r="G43" s="129">
        <f t="shared" si="1"/>
        <v>1.411764706</v>
      </c>
    </row>
    <row r="44">
      <c r="A44" s="23">
        <v>42850.0</v>
      </c>
      <c r="B44" s="4" t="s">
        <v>244</v>
      </c>
      <c r="C44" s="4" t="s">
        <v>326</v>
      </c>
      <c r="D44" s="129">
        <v>0.7607079245709762</v>
      </c>
      <c r="E44" s="25">
        <v>24.0</v>
      </c>
      <c r="F44" s="4">
        <v>34.0</v>
      </c>
      <c r="G44" s="129">
        <f t="shared" si="1"/>
        <v>0.7058823529</v>
      </c>
    </row>
    <row r="45">
      <c r="A45" s="23">
        <v>43207.0</v>
      </c>
      <c r="B45" s="4" t="s">
        <v>244</v>
      </c>
      <c r="C45" s="4" t="s">
        <v>326</v>
      </c>
      <c r="D45" s="129">
        <v>0.6852657004830918</v>
      </c>
      <c r="E45" s="25">
        <v>21.0</v>
      </c>
      <c r="F45" s="4">
        <v>30.0</v>
      </c>
      <c r="G45" s="129">
        <f t="shared" si="1"/>
        <v>0.7</v>
      </c>
    </row>
    <row r="46">
      <c r="A46" s="23">
        <v>43214.0</v>
      </c>
      <c r="B46" s="4" t="s">
        <v>244</v>
      </c>
      <c r="C46" s="4" t="s">
        <v>326</v>
      </c>
      <c r="D46" s="129">
        <v>0.7092394014962593</v>
      </c>
      <c r="E46" s="25">
        <v>24.0</v>
      </c>
      <c r="F46" s="4">
        <v>20.0</v>
      </c>
      <c r="G46" s="129">
        <f t="shared" si="1"/>
        <v>1.2</v>
      </c>
    </row>
    <row r="47">
      <c r="A47" s="23">
        <v>43564.0</v>
      </c>
      <c r="B47" s="4" t="s">
        <v>244</v>
      </c>
      <c r="C47" s="4" t="s">
        <v>326</v>
      </c>
      <c r="D47" s="129">
        <v>0.8501567398119122</v>
      </c>
      <c r="E47" s="25">
        <v>17.0</v>
      </c>
      <c r="F47" s="4">
        <v>28.0</v>
      </c>
      <c r="G47" s="129">
        <f t="shared" si="1"/>
        <v>0.6071428571</v>
      </c>
    </row>
    <row r="48">
      <c r="A48" s="23">
        <v>43571.0</v>
      </c>
      <c r="B48" s="4" t="s">
        <v>244</v>
      </c>
      <c r="C48" s="4" t="s">
        <v>326</v>
      </c>
      <c r="D48" s="129">
        <v>0.7953811041059363</v>
      </c>
      <c r="E48" s="25">
        <v>18.0</v>
      </c>
      <c r="F48" s="4">
        <v>20.0</v>
      </c>
      <c r="G48" s="129">
        <f t="shared" si="1"/>
        <v>0.9</v>
      </c>
    </row>
    <row r="49">
      <c r="A49" s="58">
        <v>43893.0</v>
      </c>
      <c r="B49" s="12" t="s">
        <v>244</v>
      </c>
      <c r="C49" s="14" t="s">
        <v>326</v>
      </c>
      <c r="D49" s="129">
        <v>0.67871123155676</v>
      </c>
      <c r="E49" s="25">
        <v>5.0</v>
      </c>
      <c r="F49" s="4">
        <v>9.0</v>
      </c>
      <c r="G49" s="129">
        <f t="shared" si="1"/>
        <v>0.5555555556</v>
      </c>
    </row>
    <row r="50">
      <c r="A50" s="23">
        <v>42836.0</v>
      </c>
      <c r="B50" s="4" t="s">
        <v>301</v>
      </c>
      <c r="C50" s="4" t="s">
        <v>347</v>
      </c>
      <c r="D50" s="129">
        <v>0.8146355742023612</v>
      </c>
      <c r="E50" s="25">
        <v>27.0</v>
      </c>
      <c r="F50" s="4">
        <v>33.0</v>
      </c>
      <c r="G50" s="129">
        <f t="shared" si="1"/>
        <v>0.8181818182</v>
      </c>
    </row>
    <row r="51">
      <c r="A51" s="23">
        <v>43577.0</v>
      </c>
      <c r="B51" s="4" t="s">
        <v>301</v>
      </c>
      <c r="C51" s="4" t="s">
        <v>347</v>
      </c>
      <c r="D51" s="129">
        <v>0.6173607078194924</v>
      </c>
      <c r="E51" s="25">
        <v>17.0</v>
      </c>
      <c r="F51" s="4">
        <v>40.0</v>
      </c>
      <c r="G51" s="129">
        <f t="shared" si="1"/>
        <v>0.425</v>
      </c>
    </row>
    <row r="52">
      <c r="A52" s="23">
        <v>42471.0</v>
      </c>
      <c r="B52" s="4" t="s">
        <v>301</v>
      </c>
      <c r="C52" s="4" t="s">
        <v>302</v>
      </c>
      <c r="D52" s="129">
        <v>0.8409493577439835</v>
      </c>
      <c r="E52" s="25">
        <v>20.0</v>
      </c>
      <c r="F52" s="4">
        <v>25.0</v>
      </c>
      <c r="G52" s="129">
        <f t="shared" si="1"/>
        <v>0.8</v>
      </c>
    </row>
    <row r="53">
      <c r="A53" s="23">
        <v>42834.0</v>
      </c>
      <c r="B53" s="4" t="s">
        <v>301</v>
      </c>
      <c r="C53" s="4" t="s">
        <v>344</v>
      </c>
      <c r="D53" s="129">
        <v>0.8215836425357228</v>
      </c>
      <c r="E53" s="25">
        <v>15.0</v>
      </c>
      <c r="F53" s="4">
        <v>25.0</v>
      </c>
      <c r="G53" s="129">
        <f t="shared" si="1"/>
        <v>0.6</v>
      </c>
    </row>
    <row r="54">
      <c r="A54" s="23">
        <v>43572.0</v>
      </c>
      <c r="B54" s="4" t="s">
        <v>259</v>
      </c>
      <c r="C54" s="4" t="s">
        <v>482</v>
      </c>
      <c r="D54" s="129">
        <v>0.8141174273665209</v>
      </c>
      <c r="E54" s="25">
        <v>12.0</v>
      </c>
      <c r="F54" s="4">
        <v>22.0</v>
      </c>
      <c r="G54" s="129">
        <f t="shared" si="1"/>
        <v>0.5454545455</v>
      </c>
    </row>
    <row r="55">
      <c r="A55" s="23">
        <v>43573.0</v>
      </c>
      <c r="B55" s="4" t="s">
        <v>259</v>
      </c>
      <c r="C55" s="4" t="s">
        <v>482</v>
      </c>
      <c r="D55" s="129">
        <v>0.5799814855264663</v>
      </c>
      <c r="E55" s="25">
        <v>11.0</v>
      </c>
      <c r="F55" s="4">
        <v>28.0</v>
      </c>
      <c r="G55" s="129">
        <f t="shared" si="1"/>
        <v>0.3928571429</v>
      </c>
    </row>
    <row r="56">
      <c r="A56" s="23">
        <v>42838.0</v>
      </c>
      <c r="B56" s="4" t="s">
        <v>259</v>
      </c>
      <c r="C56" s="4" t="s">
        <v>358</v>
      </c>
      <c r="D56" s="129">
        <v>0.6412105946110984</v>
      </c>
      <c r="E56" s="25">
        <v>15.0</v>
      </c>
      <c r="F56" s="4">
        <v>27.0</v>
      </c>
      <c r="G56" s="129">
        <f t="shared" si="1"/>
        <v>0.5555555556</v>
      </c>
    </row>
    <row r="57">
      <c r="A57" s="23">
        <v>43238.0</v>
      </c>
      <c r="B57" s="4" t="s">
        <v>259</v>
      </c>
      <c r="C57" s="4" t="s">
        <v>358</v>
      </c>
      <c r="D57" s="129">
        <v>0.7176866456361725</v>
      </c>
      <c r="E57" s="25">
        <v>25.0</v>
      </c>
      <c r="F57" s="4">
        <v>46.0</v>
      </c>
      <c r="G57" s="129">
        <f t="shared" si="1"/>
        <v>0.5434782609</v>
      </c>
    </row>
    <row r="58">
      <c r="A58" s="23">
        <v>42810.0</v>
      </c>
      <c r="B58" s="4" t="s">
        <v>337</v>
      </c>
      <c r="C58" s="4" t="s">
        <v>313</v>
      </c>
      <c r="D58" s="129">
        <v>0.7209245303095493</v>
      </c>
      <c r="E58" s="25">
        <v>19.0</v>
      </c>
      <c r="F58" s="4">
        <v>30.0</v>
      </c>
      <c r="G58" s="129">
        <f t="shared" si="1"/>
        <v>0.6333333333</v>
      </c>
    </row>
    <row r="59">
      <c r="A59" s="23">
        <v>42853.0</v>
      </c>
      <c r="B59" s="4" t="s">
        <v>374</v>
      </c>
      <c r="C59" s="4" t="s">
        <v>391</v>
      </c>
      <c r="D59" s="129">
        <v>0.6704422480340524</v>
      </c>
      <c r="E59" s="25">
        <v>7.0</v>
      </c>
      <c r="F59" s="4">
        <v>11.0</v>
      </c>
      <c r="G59" s="129">
        <f t="shared" si="1"/>
        <v>0.6363636364</v>
      </c>
    </row>
    <row r="60">
      <c r="A60" s="23">
        <v>42850.0</v>
      </c>
      <c r="B60" s="4" t="s">
        <v>374</v>
      </c>
      <c r="C60" s="4" t="s">
        <v>375</v>
      </c>
      <c r="D60" s="129">
        <v>0.9190936178392926</v>
      </c>
      <c r="E60" s="25">
        <v>28.0</v>
      </c>
      <c r="F60" s="4">
        <v>20.0</v>
      </c>
      <c r="G60" s="129">
        <f t="shared" si="1"/>
        <v>1.4</v>
      </c>
    </row>
    <row r="61">
      <c r="A61" s="48">
        <v>43840.0</v>
      </c>
      <c r="B61" s="7" t="s">
        <v>511</v>
      </c>
      <c r="C61" s="7" t="s">
        <v>508</v>
      </c>
      <c r="D61" s="129">
        <v>0.48975697665173723</v>
      </c>
      <c r="E61" s="25">
        <v>2.0</v>
      </c>
      <c r="F61" s="4">
        <v>24.0</v>
      </c>
      <c r="G61" s="129">
        <f t="shared" si="1"/>
        <v>0.08333333333</v>
      </c>
    </row>
    <row r="62">
      <c r="A62" s="55">
        <v>43868.0</v>
      </c>
      <c r="B62" s="7" t="s">
        <v>511</v>
      </c>
      <c r="C62" s="4" t="s">
        <v>508</v>
      </c>
      <c r="D62" s="129">
        <v>0.48460174063284045</v>
      </c>
      <c r="E62" s="25">
        <v>3.0</v>
      </c>
      <c r="F62" s="4">
        <v>25.0</v>
      </c>
      <c r="G62" s="129">
        <f t="shared" si="1"/>
        <v>0.12</v>
      </c>
    </row>
    <row r="63">
      <c r="A63" s="23">
        <v>43587.0</v>
      </c>
      <c r="B63" s="4" t="s">
        <v>499</v>
      </c>
      <c r="C63" s="4" t="s">
        <v>418</v>
      </c>
      <c r="D63" s="129">
        <v>0.5814731254147312</v>
      </c>
      <c r="E63" s="25">
        <v>16.0</v>
      </c>
      <c r="F63" s="4">
        <v>18.0</v>
      </c>
      <c r="G63" s="129">
        <f t="shared" si="1"/>
        <v>0.8888888889</v>
      </c>
    </row>
    <row r="64">
      <c r="A64" s="23">
        <v>42804.0</v>
      </c>
      <c r="B64" s="4" t="s">
        <v>329</v>
      </c>
      <c r="C64" s="4" t="s">
        <v>330</v>
      </c>
      <c r="D64" s="129">
        <v>0.7477591036414566</v>
      </c>
      <c r="E64" s="25">
        <v>8.0</v>
      </c>
      <c r="F64" s="4">
        <v>22.0</v>
      </c>
      <c r="G64" s="129">
        <f t="shared" si="1"/>
        <v>0.3636363636</v>
      </c>
    </row>
    <row r="65">
      <c r="A65" s="23">
        <v>43216.0</v>
      </c>
      <c r="B65" s="4" t="s">
        <v>329</v>
      </c>
      <c r="C65" s="4" t="s">
        <v>330</v>
      </c>
      <c r="D65" s="129">
        <v>0.6729600228849317</v>
      </c>
      <c r="E65" s="25">
        <v>10.0</v>
      </c>
      <c r="F65" s="4">
        <v>23.0</v>
      </c>
      <c r="G65" s="129">
        <f t="shared" si="1"/>
        <v>0.4347826087</v>
      </c>
    </row>
    <row r="66">
      <c r="A66" s="23">
        <v>43734.0</v>
      </c>
      <c r="B66" s="4" t="s">
        <v>329</v>
      </c>
      <c r="C66" s="4" t="s">
        <v>286</v>
      </c>
      <c r="D66" s="129">
        <v>0.1037644787644788</v>
      </c>
      <c r="E66" s="25">
        <v>4.0</v>
      </c>
      <c r="F66" s="4">
        <v>6.0</v>
      </c>
      <c r="G66" s="129">
        <f t="shared" si="1"/>
        <v>0.6666666667</v>
      </c>
    </row>
    <row r="67">
      <c r="A67" s="23">
        <v>43735.0</v>
      </c>
      <c r="B67" s="4" t="s">
        <v>329</v>
      </c>
      <c r="C67" s="4" t="s">
        <v>286</v>
      </c>
      <c r="D67" s="129">
        <v>0.7680513829897442</v>
      </c>
      <c r="E67" s="25">
        <v>9.0</v>
      </c>
      <c r="F67" s="4">
        <v>19.0</v>
      </c>
      <c r="G67" s="129">
        <f t="shared" si="1"/>
        <v>0.4736842105</v>
      </c>
    </row>
    <row r="68">
      <c r="A68" s="23">
        <v>42495.0</v>
      </c>
      <c r="B68" s="4" t="s">
        <v>307</v>
      </c>
      <c r="C68" s="4" t="s">
        <v>308</v>
      </c>
      <c r="D68" s="129">
        <v>0.727689512818917</v>
      </c>
      <c r="E68" s="25">
        <v>17.0</v>
      </c>
      <c r="F68" s="4">
        <v>64.0</v>
      </c>
      <c r="G68" s="129">
        <f t="shared" si="1"/>
        <v>0.265625</v>
      </c>
    </row>
    <row r="69">
      <c r="A69" s="23">
        <v>42510.0</v>
      </c>
      <c r="B69" s="4" t="s">
        <v>310</v>
      </c>
      <c r="C69" s="4" t="s">
        <v>197</v>
      </c>
      <c r="D69" s="129">
        <v>0.82321915530429</v>
      </c>
      <c r="E69" s="25">
        <v>16.0</v>
      </c>
      <c r="F69" s="4">
        <v>41.0</v>
      </c>
      <c r="G69" s="129">
        <f t="shared" si="1"/>
        <v>0.3902439024</v>
      </c>
    </row>
    <row r="70">
      <c r="A70" s="23">
        <v>42838.0</v>
      </c>
      <c r="B70" s="4" t="s">
        <v>352</v>
      </c>
      <c r="C70" s="4" t="s">
        <v>353</v>
      </c>
      <c r="D70" s="129">
        <v>0.5548403522630091</v>
      </c>
      <c r="E70" s="25">
        <v>18.0</v>
      </c>
      <c r="F70" s="4">
        <v>40.0</v>
      </c>
      <c r="G70" s="129">
        <f t="shared" si="1"/>
        <v>0.45</v>
      </c>
    </row>
    <row r="71">
      <c r="A71" s="23">
        <v>42465.0</v>
      </c>
      <c r="B71" s="4" t="s">
        <v>280</v>
      </c>
      <c r="C71" s="4" t="s">
        <v>274</v>
      </c>
      <c r="D71" s="129">
        <v>0.3827046195334812</v>
      </c>
      <c r="E71" s="25">
        <v>17.0</v>
      </c>
      <c r="F71" s="4">
        <v>73.0</v>
      </c>
      <c r="G71" s="129">
        <f t="shared" si="1"/>
        <v>0.2328767123</v>
      </c>
    </row>
    <row r="72">
      <c r="A72" s="23">
        <v>43573.0</v>
      </c>
      <c r="B72" s="4" t="s">
        <v>489</v>
      </c>
      <c r="C72" s="4" t="s">
        <v>367</v>
      </c>
      <c r="D72" s="129">
        <v>0.8113135519694603</v>
      </c>
      <c r="E72" s="25">
        <v>16.0</v>
      </c>
      <c r="F72" s="4">
        <v>26.0</v>
      </c>
      <c r="G72" s="129">
        <f t="shared" si="1"/>
        <v>0.6153846154</v>
      </c>
    </row>
    <row r="73">
      <c r="A73" s="23">
        <v>43602.0</v>
      </c>
      <c r="B73" s="4" t="s">
        <v>489</v>
      </c>
      <c r="C73" s="4" t="s">
        <v>418</v>
      </c>
      <c r="D73" s="129">
        <v>0.7723534761324278</v>
      </c>
      <c r="E73" s="25">
        <v>15.0</v>
      </c>
      <c r="F73" s="4">
        <v>19.0</v>
      </c>
      <c r="G73" s="129">
        <f t="shared" si="1"/>
        <v>0.7894736842</v>
      </c>
    </row>
    <row r="74">
      <c r="A74" s="23">
        <v>43566.0</v>
      </c>
      <c r="B74" s="4" t="s">
        <v>473</v>
      </c>
      <c r="C74" s="4" t="s">
        <v>418</v>
      </c>
      <c r="D74" s="129">
        <v>0.6778142643161655</v>
      </c>
      <c r="E74" s="25">
        <v>8.0</v>
      </c>
      <c r="F74" s="4">
        <v>29.0</v>
      </c>
      <c r="G74" s="129">
        <f t="shared" si="1"/>
        <v>0.275862069</v>
      </c>
    </row>
    <row r="75">
      <c r="A75" s="23">
        <v>42844.0</v>
      </c>
      <c r="B75" s="4" t="s">
        <v>369</v>
      </c>
      <c r="C75" s="4" t="s">
        <v>321</v>
      </c>
      <c r="D75" s="129">
        <v>0.7819435378590078</v>
      </c>
      <c r="E75" s="25">
        <v>13.0</v>
      </c>
      <c r="F75" s="4">
        <v>19.0</v>
      </c>
      <c r="G75" s="129">
        <f t="shared" si="1"/>
        <v>0.6842105263</v>
      </c>
    </row>
    <row r="76">
      <c r="A76" s="23">
        <v>42851.0</v>
      </c>
      <c r="B76" s="4" t="s">
        <v>369</v>
      </c>
      <c r="C76" s="4" t="s">
        <v>321</v>
      </c>
      <c r="D76" s="129">
        <v>0.8614930825268197</v>
      </c>
      <c r="E76" s="25">
        <v>19.0</v>
      </c>
      <c r="F76" s="4">
        <v>23.0</v>
      </c>
      <c r="G76" s="129">
        <f t="shared" si="1"/>
        <v>0.8260869565</v>
      </c>
    </row>
    <row r="77">
      <c r="A77" s="23">
        <v>42850.0</v>
      </c>
      <c r="B77" s="4" t="s">
        <v>250</v>
      </c>
      <c r="C77" s="4" t="s">
        <v>372</v>
      </c>
      <c r="D77" s="129">
        <v>0.8272876970124676</v>
      </c>
      <c r="E77" s="25">
        <v>20.0</v>
      </c>
      <c r="F77" s="4">
        <v>23.0</v>
      </c>
      <c r="G77" s="129">
        <f t="shared" si="1"/>
        <v>0.8695652174</v>
      </c>
    </row>
    <row r="78">
      <c r="A78" s="23">
        <v>42911.0</v>
      </c>
      <c r="B78" s="4" t="s">
        <v>250</v>
      </c>
      <c r="C78" s="4" t="s">
        <v>197</v>
      </c>
      <c r="D78" s="129">
        <v>0.858143911256376</v>
      </c>
      <c r="E78" s="25">
        <v>32.0</v>
      </c>
      <c r="F78" s="4">
        <v>26.0</v>
      </c>
      <c r="G78" s="129">
        <f t="shared" si="1"/>
        <v>1.230769231</v>
      </c>
    </row>
    <row r="79">
      <c r="A79" s="23">
        <v>42467.0</v>
      </c>
      <c r="B79" s="4" t="s">
        <v>233</v>
      </c>
      <c r="C79" s="4" t="s">
        <v>286</v>
      </c>
      <c r="D79" s="129">
        <v>0.8226090993500464</v>
      </c>
      <c r="E79" s="25">
        <v>13.0</v>
      </c>
      <c r="F79" s="4">
        <v>25.0</v>
      </c>
      <c r="G79" s="129">
        <f t="shared" si="1"/>
        <v>0.52</v>
      </c>
    </row>
    <row r="80">
      <c r="A80" s="23">
        <v>42761.0</v>
      </c>
      <c r="B80" s="4" t="s">
        <v>233</v>
      </c>
      <c r="C80" s="4" t="s">
        <v>286</v>
      </c>
      <c r="D80" s="129">
        <v>0.6325596734963104</v>
      </c>
      <c r="E80" s="25">
        <v>7.0</v>
      </c>
      <c r="F80" s="4">
        <v>20.0</v>
      </c>
      <c r="G80" s="129">
        <f t="shared" si="1"/>
        <v>0.35</v>
      </c>
    </row>
    <row r="81">
      <c r="A81" s="23">
        <v>43160.0</v>
      </c>
      <c r="B81" s="4" t="s">
        <v>233</v>
      </c>
      <c r="C81" s="4" t="s">
        <v>286</v>
      </c>
      <c r="D81" s="129">
        <v>0.7352911896465903</v>
      </c>
      <c r="E81" s="25">
        <v>11.0</v>
      </c>
      <c r="F81" s="4">
        <v>28.0</v>
      </c>
      <c r="G81" s="129">
        <f t="shared" si="1"/>
        <v>0.3928571429</v>
      </c>
    </row>
    <row r="82">
      <c r="A82" s="23">
        <v>43531.0</v>
      </c>
      <c r="B82" s="4" t="s">
        <v>233</v>
      </c>
      <c r="C82" s="4" t="s">
        <v>286</v>
      </c>
      <c r="D82" s="129">
        <v>0.6615006905017646</v>
      </c>
      <c r="E82" s="25">
        <v>11.0</v>
      </c>
      <c r="F82" s="4">
        <v>23.0</v>
      </c>
      <c r="G82" s="129">
        <f t="shared" si="1"/>
        <v>0.4782608696</v>
      </c>
    </row>
    <row r="83">
      <c r="A83" s="56">
        <v>43885.0</v>
      </c>
      <c r="B83" s="4" t="s">
        <v>233</v>
      </c>
      <c r="C83" s="4" t="s">
        <v>286</v>
      </c>
      <c r="D83" s="129">
        <v>0.597948717948718</v>
      </c>
      <c r="E83" s="25">
        <v>11.0</v>
      </c>
      <c r="F83" s="4">
        <v>28.0</v>
      </c>
      <c r="G83" s="129">
        <f t="shared" si="1"/>
        <v>0.3928571429</v>
      </c>
    </row>
    <row r="84">
      <c r="A84" s="23">
        <v>43517.0</v>
      </c>
      <c r="B84" s="4" t="s">
        <v>440</v>
      </c>
      <c r="C84" s="4" t="s">
        <v>418</v>
      </c>
      <c r="D84" s="129">
        <v>0.472046468208692</v>
      </c>
      <c r="E84" s="25">
        <v>14.0</v>
      </c>
      <c r="F84" s="4">
        <v>25.0</v>
      </c>
      <c r="G84" s="129">
        <f t="shared" si="1"/>
        <v>0.56</v>
      </c>
    </row>
    <row r="85">
      <c r="A85" s="23">
        <v>42481.0</v>
      </c>
      <c r="B85" s="4" t="s">
        <v>240</v>
      </c>
      <c r="C85" s="4" t="s">
        <v>286</v>
      </c>
      <c r="D85" s="129">
        <v>0.384639000728051</v>
      </c>
      <c r="E85" s="25">
        <v>18.0</v>
      </c>
      <c r="F85" s="4">
        <v>29.0</v>
      </c>
      <c r="G85" s="129">
        <f t="shared" si="1"/>
        <v>0.6206896552</v>
      </c>
    </row>
    <row r="86">
      <c r="A86" s="23">
        <v>42475.0</v>
      </c>
      <c r="B86" s="4" t="s">
        <v>303</v>
      </c>
      <c r="C86" s="4" t="s">
        <v>274</v>
      </c>
      <c r="D86" s="129">
        <v>0.8538924964126386</v>
      </c>
      <c r="E86" s="25">
        <v>31.0</v>
      </c>
      <c r="F86" s="4">
        <v>35.0</v>
      </c>
      <c r="G86" s="129">
        <f t="shared" si="1"/>
        <v>0.8857142857</v>
      </c>
    </row>
    <row r="87">
      <c r="A87" s="23">
        <v>42826.0</v>
      </c>
      <c r="B87" s="4" t="s">
        <v>303</v>
      </c>
      <c r="C87" s="4" t="s">
        <v>197</v>
      </c>
      <c r="D87" s="129">
        <v>0.8622667780562517</v>
      </c>
      <c r="E87" s="25">
        <v>15.0</v>
      </c>
      <c r="F87" s="4">
        <v>20.0</v>
      </c>
      <c r="G87" s="129">
        <f t="shared" si="1"/>
        <v>0.75</v>
      </c>
    </row>
    <row r="88">
      <c r="A88" s="23">
        <v>42788.0</v>
      </c>
      <c r="B88" s="4" t="s">
        <v>320</v>
      </c>
      <c r="C88" s="4" t="s">
        <v>321</v>
      </c>
      <c r="D88" s="129">
        <v>0.8538750426766815</v>
      </c>
      <c r="E88" s="25">
        <v>12.0</v>
      </c>
      <c r="F88" s="4">
        <v>12.0</v>
      </c>
      <c r="G88" s="129">
        <f t="shared" si="1"/>
        <v>1</v>
      </c>
    </row>
    <row r="89">
      <c r="A89" s="23">
        <v>42851.0</v>
      </c>
      <c r="B89" s="4" t="s">
        <v>340</v>
      </c>
      <c r="C89" s="4" t="s">
        <v>381</v>
      </c>
      <c r="D89" s="129">
        <v>0.5345179694960458</v>
      </c>
      <c r="E89" s="25">
        <v>13.0</v>
      </c>
      <c r="F89" s="4">
        <v>75.0</v>
      </c>
      <c r="G89" s="129">
        <f t="shared" si="1"/>
        <v>0.1733333333</v>
      </c>
    </row>
    <row r="90">
      <c r="A90" s="23">
        <v>43215.0</v>
      </c>
      <c r="B90" s="4" t="s">
        <v>340</v>
      </c>
      <c r="C90" s="4" t="s">
        <v>381</v>
      </c>
      <c r="D90" s="129">
        <v>0.5808193194043372</v>
      </c>
      <c r="E90" s="25">
        <v>11.0</v>
      </c>
      <c r="F90" s="4">
        <v>50.0</v>
      </c>
      <c r="G90" s="129">
        <f t="shared" si="1"/>
        <v>0.22</v>
      </c>
    </row>
    <row r="91">
      <c r="A91" s="23">
        <v>42827.0</v>
      </c>
      <c r="B91" s="4" t="s">
        <v>340</v>
      </c>
      <c r="C91" s="4" t="s">
        <v>197</v>
      </c>
      <c r="D91" s="129">
        <v>0.6673544093178037</v>
      </c>
      <c r="E91" s="25">
        <v>12.0</v>
      </c>
      <c r="F91" s="4">
        <v>28.0</v>
      </c>
      <c r="G91" s="129">
        <f t="shared" si="1"/>
        <v>0.4285714286</v>
      </c>
    </row>
    <row r="92">
      <c r="A92" s="23">
        <v>43573.0</v>
      </c>
      <c r="B92" s="4" t="s">
        <v>340</v>
      </c>
      <c r="C92" s="4" t="s">
        <v>418</v>
      </c>
      <c r="D92" s="129">
        <v>0.8252478753541077</v>
      </c>
      <c r="E92" s="25">
        <v>18.0</v>
      </c>
      <c r="F92" s="4">
        <v>26.0</v>
      </c>
      <c r="G92" s="129">
        <f t="shared" si="1"/>
        <v>0.6923076923</v>
      </c>
    </row>
    <row r="93">
      <c r="A93" s="23">
        <v>43882.0</v>
      </c>
      <c r="B93" s="4" t="s">
        <v>340</v>
      </c>
      <c r="C93" s="7" t="s">
        <v>508</v>
      </c>
      <c r="D93" s="129">
        <v>0.4954103734925652</v>
      </c>
      <c r="E93" s="25">
        <v>7.0</v>
      </c>
      <c r="F93" s="4">
        <v>25.0</v>
      </c>
      <c r="G93" s="129">
        <f t="shared" si="1"/>
        <v>0.28</v>
      </c>
    </row>
    <row r="94">
      <c r="A94" s="23">
        <v>43577.0</v>
      </c>
      <c r="B94" s="4" t="s">
        <v>293</v>
      </c>
      <c r="C94" s="4" t="s">
        <v>496</v>
      </c>
      <c r="D94" s="129">
        <v>0.46811844858723595</v>
      </c>
      <c r="E94" s="25">
        <v>14.0</v>
      </c>
      <c r="F94" s="4">
        <v>27.0</v>
      </c>
      <c r="G94" s="129">
        <f t="shared" si="1"/>
        <v>0.5185185185</v>
      </c>
    </row>
    <row r="95">
      <c r="A95" s="23">
        <v>42469.0</v>
      </c>
      <c r="B95" s="4" t="s">
        <v>293</v>
      </c>
      <c r="C95" s="4" t="s">
        <v>197</v>
      </c>
      <c r="D95" s="129">
        <v>0.6829886606296605</v>
      </c>
      <c r="E95" s="25">
        <v>16.0</v>
      </c>
      <c r="F95" s="4">
        <v>20.0</v>
      </c>
      <c r="G95" s="129">
        <f t="shared" si="1"/>
        <v>0.8</v>
      </c>
    </row>
    <row r="96">
      <c r="A96" s="23">
        <v>42470.0</v>
      </c>
      <c r="B96" s="4" t="s">
        <v>293</v>
      </c>
      <c r="C96" s="4" t="s">
        <v>197</v>
      </c>
      <c r="D96" s="129">
        <v>0.8680865224625625</v>
      </c>
      <c r="E96" s="25">
        <v>30.0</v>
      </c>
      <c r="F96" s="4">
        <v>35.0</v>
      </c>
      <c r="G96" s="129">
        <f t="shared" si="1"/>
        <v>0.8571428571</v>
      </c>
    </row>
    <row r="97">
      <c r="A97" s="23">
        <v>42806.0</v>
      </c>
      <c r="B97" s="4" t="s">
        <v>293</v>
      </c>
      <c r="C97" s="4" t="s">
        <v>197</v>
      </c>
      <c r="D97" s="129">
        <v>0.5737571962293753</v>
      </c>
      <c r="E97" s="25">
        <v>19.0</v>
      </c>
      <c r="F97" s="4">
        <v>32.0</v>
      </c>
      <c r="G97" s="129">
        <f t="shared" si="1"/>
        <v>0.59375</v>
      </c>
    </row>
    <row r="98">
      <c r="A98" s="23">
        <v>43163.0</v>
      </c>
      <c r="B98" s="4" t="s">
        <v>293</v>
      </c>
      <c r="C98" s="4" t="s">
        <v>197</v>
      </c>
      <c r="D98" s="129">
        <v>0.6304325905011596</v>
      </c>
      <c r="E98" s="25">
        <v>17.0</v>
      </c>
      <c r="F98" s="4">
        <v>25.0</v>
      </c>
      <c r="G98" s="129">
        <f t="shared" si="1"/>
        <v>0.68</v>
      </c>
    </row>
    <row r="99">
      <c r="A99" s="23">
        <v>43212.0</v>
      </c>
      <c r="B99" s="4" t="s">
        <v>293</v>
      </c>
      <c r="C99" s="4" t="s">
        <v>418</v>
      </c>
      <c r="D99" s="129">
        <v>0.2657269700332964</v>
      </c>
      <c r="E99" s="25">
        <v>8.0</v>
      </c>
      <c r="F99" s="4">
        <v>23.0</v>
      </c>
      <c r="G99" s="129">
        <f t="shared" si="1"/>
        <v>0.347826087</v>
      </c>
    </row>
    <row r="100">
      <c r="A100" s="23">
        <v>43520.0</v>
      </c>
      <c r="B100" s="4" t="s">
        <v>293</v>
      </c>
      <c r="C100" s="4" t="s">
        <v>418</v>
      </c>
      <c r="D100" s="129">
        <v>0.31590737342113784</v>
      </c>
      <c r="E100" s="25">
        <v>14.0</v>
      </c>
      <c r="F100" s="4">
        <v>25.0</v>
      </c>
      <c r="G100" s="129">
        <f t="shared" si="1"/>
        <v>0.56</v>
      </c>
    </row>
    <row r="101">
      <c r="A101" s="23">
        <v>42851.0</v>
      </c>
      <c r="B101" s="4" t="s">
        <v>293</v>
      </c>
      <c r="C101" s="4" t="s">
        <v>383</v>
      </c>
      <c r="D101" s="129">
        <v>0.5149280264935645</v>
      </c>
      <c r="E101" s="25">
        <v>8.0</v>
      </c>
      <c r="F101" s="4">
        <v>28.0</v>
      </c>
      <c r="G101" s="129">
        <f t="shared" si="1"/>
        <v>0.2857142857</v>
      </c>
    </row>
    <row r="102">
      <c r="A102" s="23">
        <v>42852.0</v>
      </c>
      <c r="B102" s="4" t="s">
        <v>293</v>
      </c>
      <c r="D102" s="129">
        <v>0.6941468716037882</v>
      </c>
      <c r="E102" s="25">
        <v>10.0</v>
      </c>
      <c r="F102" s="4">
        <v>8.0</v>
      </c>
      <c r="G102" s="129">
        <f t="shared" si="1"/>
        <v>1.25</v>
      </c>
    </row>
    <row r="103">
      <c r="A103" s="23">
        <v>42860.0</v>
      </c>
      <c r="B103" s="4" t="s">
        <v>394</v>
      </c>
      <c r="C103" s="4" t="s">
        <v>367</v>
      </c>
      <c r="D103" s="129">
        <v>0.5904175134823729</v>
      </c>
      <c r="E103" s="25">
        <v>17.0</v>
      </c>
      <c r="F103" s="4">
        <v>44.0</v>
      </c>
      <c r="G103" s="129">
        <f t="shared" si="1"/>
        <v>0.3863636364</v>
      </c>
    </row>
    <row r="104">
      <c r="A104" s="23">
        <v>42468.0</v>
      </c>
      <c r="B104" s="4" t="s">
        <v>291</v>
      </c>
      <c r="C104" s="4" t="s">
        <v>274</v>
      </c>
      <c r="D104" s="129">
        <v>0.8118880548302871</v>
      </c>
      <c r="E104" s="25">
        <v>19.0</v>
      </c>
      <c r="F104" s="4">
        <v>19.0</v>
      </c>
      <c r="G104" s="129">
        <f t="shared" si="1"/>
        <v>1</v>
      </c>
    </row>
    <row r="105">
      <c r="A105" s="23">
        <v>42866.0</v>
      </c>
      <c r="B105" s="4" t="s">
        <v>400</v>
      </c>
      <c r="C105" s="4" t="s">
        <v>401</v>
      </c>
      <c r="D105" s="129">
        <v>0.7119485294117647</v>
      </c>
      <c r="E105" s="25">
        <v>15.0</v>
      </c>
      <c r="F105" s="4">
        <v>25.0</v>
      </c>
      <c r="G105" s="129">
        <f t="shared" si="1"/>
        <v>0.6</v>
      </c>
    </row>
    <row r="106">
      <c r="A106" s="23">
        <v>43528.0</v>
      </c>
      <c r="B106" s="4" t="s">
        <v>400</v>
      </c>
      <c r="C106" s="4" t="s">
        <v>401</v>
      </c>
      <c r="D106" s="129">
        <v>0.844438553081183</v>
      </c>
      <c r="E106" s="25">
        <v>11.0</v>
      </c>
      <c r="F106" s="4">
        <v>30.0</v>
      </c>
      <c r="G106" s="129">
        <f t="shared" si="1"/>
        <v>0.3666666667</v>
      </c>
    </row>
    <row r="107">
      <c r="A107" s="23">
        <v>43563.0</v>
      </c>
      <c r="B107" s="4" t="s">
        <v>400</v>
      </c>
      <c r="C107" s="4" t="s">
        <v>465</v>
      </c>
      <c r="D107" s="129">
        <v>0.7169612794612794</v>
      </c>
      <c r="E107" s="25">
        <v>20.0</v>
      </c>
      <c r="F107" s="4">
        <v>29.0</v>
      </c>
      <c r="G107" s="129">
        <f t="shared" si="1"/>
        <v>0.6896551724</v>
      </c>
    </row>
    <row r="108">
      <c r="A108" s="23">
        <v>42851.0</v>
      </c>
      <c r="B108" s="4" t="s">
        <v>216</v>
      </c>
      <c r="C108" s="4" t="s">
        <v>385</v>
      </c>
      <c r="D108" s="129">
        <v>0.49816625916870416</v>
      </c>
      <c r="E108" s="25">
        <v>13.0</v>
      </c>
      <c r="F108" s="4">
        <v>28.0</v>
      </c>
      <c r="G108" s="129">
        <f t="shared" si="1"/>
        <v>0.4642857143</v>
      </c>
    </row>
    <row r="109">
      <c r="A109" s="23">
        <v>42471.0</v>
      </c>
      <c r="B109" s="4" t="s">
        <v>216</v>
      </c>
      <c r="C109" s="4" t="s">
        <v>299</v>
      </c>
      <c r="D109" s="129">
        <v>0.4307889911357856</v>
      </c>
      <c r="E109" s="25">
        <v>10.0</v>
      </c>
      <c r="F109" s="4">
        <v>29.0</v>
      </c>
      <c r="G109" s="129">
        <f t="shared" si="1"/>
        <v>0.3448275862</v>
      </c>
    </row>
    <row r="110">
      <c r="A110" s="23">
        <v>42867.0</v>
      </c>
      <c r="B110" s="4" t="s">
        <v>216</v>
      </c>
      <c r="C110" s="4" t="s">
        <v>299</v>
      </c>
      <c r="D110" s="129">
        <v>0.341225451293098</v>
      </c>
      <c r="E110" s="25">
        <v>13.0</v>
      </c>
      <c r="F110" s="4">
        <v>32.0</v>
      </c>
      <c r="G110" s="129">
        <f t="shared" si="1"/>
        <v>0.40625</v>
      </c>
    </row>
    <row r="111">
      <c r="A111" s="23">
        <v>42439.0</v>
      </c>
      <c r="B111" s="4" t="s">
        <v>216</v>
      </c>
      <c r="C111" s="4" t="s">
        <v>272</v>
      </c>
      <c r="D111" s="129">
        <v>0.31873876548096114</v>
      </c>
      <c r="E111" s="25">
        <v>21.0</v>
      </c>
      <c r="F111" s="4">
        <v>36.0</v>
      </c>
      <c r="G111" s="129">
        <f t="shared" si="1"/>
        <v>0.5833333333</v>
      </c>
    </row>
    <row r="112">
      <c r="A112" s="23">
        <v>42835.0</v>
      </c>
      <c r="B112" s="4" t="s">
        <v>216</v>
      </c>
      <c r="C112" s="4" t="s">
        <v>272</v>
      </c>
      <c r="D112" s="129">
        <v>0.4555987626340944</v>
      </c>
      <c r="E112" s="25">
        <v>16.0</v>
      </c>
      <c r="F112" s="4">
        <v>33.0</v>
      </c>
      <c r="G112" s="129">
        <f t="shared" si="1"/>
        <v>0.4848484848</v>
      </c>
    </row>
    <row r="113">
      <c r="A113" s="23">
        <v>43234.0</v>
      </c>
      <c r="B113" s="4" t="s">
        <v>216</v>
      </c>
      <c r="C113" s="4" t="s">
        <v>272</v>
      </c>
      <c r="D113" s="129">
        <v>0.11128276927533431</v>
      </c>
      <c r="E113" s="25">
        <v>12.0</v>
      </c>
      <c r="F113" s="4">
        <v>25.0</v>
      </c>
      <c r="G113" s="129">
        <f t="shared" si="1"/>
        <v>0.48</v>
      </c>
    </row>
    <row r="114">
      <c r="A114" s="23">
        <v>42420.0</v>
      </c>
      <c r="B114" s="4" t="s">
        <v>216</v>
      </c>
      <c r="C114" s="4" t="s">
        <v>197</v>
      </c>
      <c r="D114" s="129">
        <v>0.7819312452416319</v>
      </c>
      <c r="E114" s="25">
        <v>32.0</v>
      </c>
      <c r="F114" s="4">
        <v>75.0</v>
      </c>
      <c r="G114" s="129">
        <f t="shared" si="1"/>
        <v>0.4266666667</v>
      </c>
    </row>
    <row r="115">
      <c r="A115" s="23">
        <v>43311.0</v>
      </c>
      <c r="B115" s="4" t="s">
        <v>246</v>
      </c>
      <c r="C115" s="4" t="s">
        <v>353</v>
      </c>
      <c r="D115" s="129">
        <v>0.6373277541302936</v>
      </c>
      <c r="E115" s="25">
        <v>23.0</v>
      </c>
      <c r="F115" s="4">
        <v>21.0</v>
      </c>
      <c r="G115" s="129">
        <f t="shared" si="1"/>
        <v>1.095238095</v>
      </c>
    </row>
    <row r="116">
      <c r="A116" s="23">
        <v>42440.0</v>
      </c>
      <c r="B116" s="4" t="s">
        <v>246</v>
      </c>
      <c r="C116" s="4" t="s">
        <v>274</v>
      </c>
      <c r="D116" s="129">
        <v>0.6908700980392157</v>
      </c>
      <c r="E116" s="25">
        <v>9.0</v>
      </c>
      <c r="F116" s="4">
        <v>18.0</v>
      </c>
      <c r="G116" s="129">
        <f t="shared" si="1"/>
        <v>0.5</v>
      </c>
    </row>
    <row r="117">
      <c r="A117" s="23">
        <v>42908.0</v>
      </c>
      <c r="B117" s="4" t="s">
        <v>246</v>
      </c>
      <c r="C117" s="4" t="s">
        <v>197</v>
      </c>
      <c r="D117" s="129">
        <v>0.8193147610968201</v>
      </c>
      <c r="E117" s="25">
        <v>37.0</v>
      </c>
      <c r="F117" s="4">
        <v>26.0</v>
      </c>
      <c r="G117" s="129">
        <f t="shared" si="1"/>
        <v>1.423076923</v>
      </c>
    </row>
    <row r="118">
      <c r="A118" s="23">
        <v>42837.0</v>
      </c>
      <c r="B118" s="4" t="s">
        <v>355</v>
      </c>
      <c r="C118" s="4" t="s">
        <v>356</v>
      </c>
      <c r="D118" s="129">
        <v>0.6517584605175846</v>
      </c>
      <c r="E118" s="25">
        <v>15.0</v>
      </c>
      <c r="F118" s="4">
        <v>23.0</v>
      </c>
      <c r="G118" s="129">
        <f t="shared" si="1"/>
        <v>0.652173913</v>
      </c>
    </row>
    <row r="119">
      <c r="A119" s="23">
        <v>43573.0</v>
      </c>
      <c r="B119" s="4" t="s">
        <v>492</v>
      </c>
      <c r="C119" s="4" t="s">
        <v>493</v>
      </c>
      <c r="D119" s="129">
        <v>0.8199318606440268</v>
      </c>
      <c r="E119" s="25">
        <v>13.0</v>
      </c>
      <c r="F119" s="4">
        <v>30.0</v>
      </c>
      <c r="G119" s="129">
        <f t="shared" si="1"/>
        <v>0.4333333333</v>
      </c>
    </row>
    <row r="120">
      <c r="A120" s="23">
        <v>42468.0</v>
      </c>
      <c r="B120" s="4" t="s">
        <v>247</v>
      </c>
      <c r="C120" s="4" t="s">
        <v>289</v>
      </c>
      <c r="D120" s="129">
        <v>0.6153549553421869</v>
      </c>
      <c r="E120" s="25">
        <v>9.0</v>
      </c>
      <c r="F120" s="4">
        <v>23.0</v>
      </c>
      <c r="G120" s="129">
        <f t="shared" si="1"/>
        <v>0.3913043478</v>
      </c>
    </row>
    <row r="121">
      <c r="A121" s="23">
        <v>42879.0</v>
      </c>
      <c r="B121" s="4" t="s">
        <v>247</v>
      </c>
      <c r="C121" s="4" t="s">
        <v>289</v>
      </c>
      <c r="D121" s="129">
        <v>0.24556196162435617</v>
      </c>
      <c r="E121" s="25">
        <v>13.0</v>
      </c>
      <c r="F121" s="4">
        <v>25.0</v>
      </c>
      <c r="G121" s="129">
        <f t="shared" si="1"/>
        <v>0.52</v>
      </c>
    </row>
    <row r="122">
      <c r="A122" s="23">
        <v>42837.0</v>
      </c>
      <c r="B122" s="4" t="s">
        <v>266</v>
      </c>
      <c r="C122" s="4" t="s">
        <v>350</v>
      </c>
      <c r="D122" s="129">
        <v>0.7119842829076621</v>
      </c>
      <c r="E122" s="25">
        <v>10.0</v>
      </c>
      <c r="F122" s="4">
        <v>28.0</v>
      </c>
      <c r="G122" s="129">
        <f t="shared" si="1"/>
        <v>0.3571428571</v>
      </c>
    </row>
    <row r="123">
      <c r="A123" s="23">
        <v>43236.0</v>
      </c>
      <c r="B123" s="4" t="s">
        <v>266</v>
      </c>
      <c r="C123" s="4" t="s">
        <v>347</v>
      </c>
      <c r="D123" s="129">
        <v>0.686154461784714</v>
      </c>
      <c r="E123" s="25">
        <v>35.0</v>
      </c>
      <c r="F123" s="4">
        <v>69.0</v>
      </c>
      <c r="G123" s="129">
        <f t="shared" si="1"/>
        <v>0.5072463768</v>
      </c>
    </row>
    <row r="124">
      <c r="A124" s="23">
        <v>43519.0</v>
      </c>
      <c r="B124" s="4" t="s">
        <v>266</v>
      </c>
      <c r="C124" s="4" t="s">
        <v>347</v>
      </c>
      <c r="D124" s="129">
        <v>0.6866543227460475</v>
      </c>
      <c r="E124" s="25">
        <v>10.0</v>
      </c>
      <c r="F124" s="4">
        <v>10.0</v>
      </c>
      <c r="G124" s="129">
        <f t="shared" si="1"/>
        <v>1</v>
      </c>
    </row>
    <row r="125">
      <c r="A125" s="23">
        <v>42471.0</v>
      </c>
      <c r="B125" s="4" t="s">
        <v>266</v>
      </c>
      <c r="C125" s="4" t="s">
        <v>297</v>
      </c>
      <c r="D125" s="129">
        <v>0.3963065953654189</v>
      </c>
      <c r="E125" s="25">
        <v>10.0</v>
      </c>
      <c r="F125" s="4">
        <v>24.0</v>
      </c>
      <c r="G125" s="129">
        <f t="shared" si="1"/>
        <v>0.4166666667</v>
      </c>
    </row>
    <row r="126">
      <c r="A126" s="23">
        <v>42836.0</v>
      </c>
      <c r="B126" s="4" t="s">
        <v>266</v>
      </c>
      <c r="C126" s="4" t="s">
        <v>297</v>
      </c>
      <c r="D126" s="129">
        <v>0.7961537119818998</v>
      </c>
      <c r="E126" s="25">
        <v>18.0</v>
      </c>
      <c r="F126" s="4">
        <v>37.0</v>
      </c>
      <c r="G126" s="129">
        <f t="shared" si="1"/>
        <v>0.4864864865</v>
      </c>
    </row>
    <row r="127">
      <c r="A127" s="23">
        <v>43519.0</v>
      </c>
      <c r="B127" s="4" t="s">
        <v>266</v>
      </c>
      <c r="C127" s="4" t="s">
        <v>297</v>
      </c>
      <c r="D127" s="129">
        <v>0.8682866544571999</v>
      </c>
      <c r="E127" s="25">
        <v>17.0</v>
      </c>
      <c r="F127" s="4">
        <v>19.0</v>
      </c>
      <c r="G127" s="129">
        <f t="shared" si="1"/>
        <v>0.8947368421</v>
      </c>
    </row>
    <row r="128">
      <c r="A128" s="23">
        <v>42439.0</v>
      </c>
      <c r="B128" s="4" t="s">
        <v>266</v>
      </c>
      <c r="C128" s="4" t="s">
        <v>274</v>
      </c>
      <c r="D128" s="129">
        <v>0.8105379469015832</v>
      </c>
      <c r="E128" s="25">
        <v>21.0</v>
      </c>
      <c r="F128" s="4">
        <v>23.0</v>
      </c>
      <c r="G128" s="129">
        <f t="shared" si="1"/>
        <v>0.9130434783</v>
      </c>
    </row>
    <row r="129">
      <c r="A129" s="23">
        <v>42427.0</v>
      </c>
      <c r="B129" s="4" t="s">
        <v>266</v>
      </c>
      <c r="C129" s="4" t="s">
        <v>197</v>
      </c>
      <c r="D129" s="129">
        <v>0.6086442561828327</v>
      </c>
      <c r="E129" s="25">
        <v>24.0</v>
      </c>
      <c r="F129" s="4">
        <v>40.0</v>
      </c>
      <c r="G129" s="129">
        <f t="shared" si="1"/>
        <v>0.6</v>
      </c>
    </row>
    <row r="130">
      <c r="A130" s="23">
        <v>42428.0</v>
      </c>
      <c r="B130" s="4" t="s">
        <v>266</v>
      </c>
      <c r="C130" s="4" t="s">
        <v>197</v>
      </c>
      <c r="D130" s="129">
        <v>0.5821575855834991</v>
      </c>
      <c r="E130" s="25">
        <v>24.0</v>
      </c>
      <c r="F130" s="4">
        <v>43.0</v>
      </c>
      <c r="G130" s="129">
        <f t="shared" si="1"/>
        <v>0.5581395349</v>
      </c>
    </row>
    <row r="131">
      <c r="A131" s="23">
        <v>43531.0</v>
      </c>
      <c r="B131" s="4" t="s">
        <v>266</v>
      </c>
      <c r="C131" s="4" t="s">
        <v>418</v>
      </c>
      <c r="D131" s="129">
        <v>0.7114087294197684</v>
      </c>
      <c r="E131" s="25">
        <v>17.0</v>
      </c>
      <c r="F131" s="4">
        <v>56.0</v>
      </c>
      <c r="G131" s="129">
        <f t="shared" si="1"/>
        <v>0.3035714286</v>
      </c>
    </row>
    <row r="132">
      <c r="A132" s="23">
        <v>43577.0</v>
      </c>
      <c r="B132" s="4" t="s">
        <v>266</v>
      </c>
      <c r="C132" s="4" t="s">
        <v>418</v>
      </c>
      <c r="D132" s="129">
        <v>0.8667720685111989</v>
      </c>
      <c r="E132" s="25">
        <v>19.0</v>
      </c>
      <c r="F132" s="4">
        <v>23.0</v>
      </c>
      <c r="G132" s="129">
        <f t="shared" si="1"/>
        <v>0.8260869565</v>
      </c>
    </row>
    <row r="133">
      <c r="A133" s="23">
        <v>42865.0</v>
      </c>
      <c r="B133" s="4" t="s">
        <v>230</v>
      </c>
      <c r="C133" s="4" t="s">
        <v>397</v>
      </c>
      <c r="D133" s="129">
        <v>0.5818265652274149</v>
      </c>
      <c r="E133" s="25">
        <v>9.0</v>
      </c>
      <c r="F133" s="4">
        <v>24.0</v>
      </c>
      <c r="G133" s="129">
        <f t="shared" si="1"/>
        <v>0.375</v>
      </c>
    </row>
    <row r="134">
      <c r="A134" s="23">
        <v>42488.0</v>
      </c>
      <c r="B134" s="4" t="s">
        <v>230</v>
      </c>
      <c r="C134" s="4" t="s">
        <v>274</v>
      </c>
      <c r="D134" s="129">
        <v>0.2794356485051944</v>
      </c>
      <c r="E134" s="25">
        <v>5.0</v>
      </c>
      <c r="F134" s="4">
        <v>39.0</v>
      </c>
      <c r="G134" s="129">
        <f t="shared" si="1"/>
        <v>0.1282051282</v>
      </c>
    </row>
    <row r="135">
      <c r="A135" s="23">
        <v>42443.0</v>
      </c>
      <c r="B135" s="4" t="s">
        <v>230</v>
      </c>
      <c r="C135" s="4" t="s">
        <v>197</v>
      </c>
      <c r="D135" s="129">
        <v>0.7251914805677899</v>
      </c>
      <c r="E135" s="25">
        <v>11.0</v>
      </c>
      <c r="F135" s="4">
        <v>30.0</v>
      </c>
      <c r="G135" s="129">
        <f t="shared" si="1"/>
        <v>0.3666666667</v>
      </c>
    </row>
    <row r="136">
      <c r="A136" s="23">
        <v>42798.0</v>
      </c>
      <c r="B136" s="4" t="s">
        <v>230</v>
      </c>
      <c r="C136" s="4" t="s">
        <v>197</v>
      </c>
      <c r="D136" s="129">
        <v>0.6963860143174165</v>
      </c>
      <c r="E136" s="25">
        <v>15.0</v>
      </c>
      <c r="F136" s="4">
        <v>43.0</v>
      </c>
      <c r="G136" s="129">
        <f t="shared" si="1"/>
        <v>0.3488372093</v>
      </c>
    </row>
    <row r="137">
      <c r="A137" s="48">
        <v>43839.0</v>
      </c>
      <c r="B137" s="7" t="s">
        <v>366</v>
      </c>
      <c r="C137" s="7" t="s">
        <v>508</v>
      </c>
      <c r="D137" s="129">
        <v>0.7260497579646517</v>
      </c>
      <c r="E137" s="25">
        <v>7.0</v>
      </c>
      <c r="F137" s="49">
        <v>20.0</v>
      </c>
      <c r="G137" s="129">
        <f t="shared" si="1"/>
        <v>0.35</v>
      </c>
    </row>
  </sheetData>
  <conditionalFormatting sqref="C1:C1000">
    <cfRule type="containsText" dxfId="0" priority="1" operator="containsText" text="OPIHI">
      <formula>NOT(ISERROR(SEARCH(("OPIHI"),(C1))))</formula>
    </cfRule>
  </conditionalFormatting>
  <conditionalFormatting sqref="C1:C1000">
    <cfRule type="containsText" dxfId="0" priority="2" operator="containsText" text="UH">
      <formula>NOT(ISERROR(SEARCH(("UH"),(C1))))</formula>
    </cfRule>
  </conditionalFormatting>
  <drawing r:id="rId1"/>
</worksheet>
</file>