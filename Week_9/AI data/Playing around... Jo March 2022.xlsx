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<sst xmlns="http://schemas.openxmlformats.org/spreadsheetml/2006/main" count="927" uniqueCount="326">
  <si>
    <t>Sand Island</t>
  </si>
  <si>
    <t>Farrington High School</t>
  </si>
  <si>
    <t>2 meters</t>
  </si>
  <si>
    <t>3,5,5,5,0,5,5</t>
  </si>
  <si>
    <t>T5; no data</t>
  </si>
  <si>
    <t>Baby Makapuu</t>
  </si>
  <si>
    <t>3 meters</t>
  </si>
  <si>
    <t>5,5,3,5</t>
  </si>
  <si>
    <t>1 meter</t>
  </si>
  <si>
    <t>5,5,2,5,5,5</t>
  </si>
  <si>
    <t>Farrington High school</t>
  </si>
  <si>
    <t>5,0,0,0.0</t>
  </si>
  <si>
    <t>Haneo'o Fishpond</t>
  </si>
  <si>
    <t>Hana School</t>
  </si>
  <si>
    <t>Onekahakaha</t>
  </si>
  <si>
    <t>Hawaii Academy of Arts and Sciences</t>
  </si>
  <si>
    <t>0.5 meter</t>
  </si>
  <si>
    <t>5,2,5,5,5,5</t>
  </si>
  <si>
    <t>Hawaii Baptist Academy</t>
  </si>
  <si>
    <t>8,7,8,6</t>
  </si>
  <si>
    <t>10,5,8,9</t>
  </si>
  <si>
    <t>Diamond Head</t>
  </si>
  <si>
    <t>4,5,4,6,6</t>
  </si>
  <si>
    <t>6,6,4,6,4</t>
  </si>
  <si>
    <t>Hawaii School for the Deaf and the Blind</t>
  </si>
  <si>
    <t>Wawaloli</t>
  </si>
  <si>
    <t>Hawaii Technology Academy</t>
  </si>
  <si>
    <t>8,10,10.10</t>
  </si>
  <si>
    <t>Waipouli</t>
  </si>
  <si>
    <t>8,9,9.5</t>
  </si>
  <si>
    <t>Oneo Bay</t>
  </si>
  <si>
    <t>10,10,9,7,8,0</t>
  </si>
  <si>
    <t>Kona Bay Estates</t>
  </si>
  <si>
    <t>6,8,5,7</t>
  </si>
  <si>
    <t>Waipuilani</t>
  </si>
  <si>
    <t>Hawaii Technology Academy PCS</t>
  </si>
  <si>
    <t>2,3,0,0,0</t>
  </si>
  <si>
    <t>Ewa Beach</t>
  </si>
  <si>
    <t xml:space="preserve">Highlands Intermediate  </t>
  </si>
  <si>
    <t>Highlands Intermediate School</t>
  </si>
  <si>
    <t>5,5,5,5,6</t>
  </si>
  <si>
    <t>6,6,6,5,6</t>
  </si>
  <si>
    <t>5,3,5,4,5,4</t>
  </si>
  <si>
    <t>Sandy Beach</t>
  </si>
  <si>
    <t>0.25 meter</t>
  </si>
  <si>
    <t>5,0,3,1</t>
  </si>
  <si>
    <t>5,0,5,5,5,4</t>
  </si>
  <si>
    <t>T2; no data</t>
  </si>
  <si>
    <t>4,3,4,4,5,5</t>
  </si>
  <si>
    <t>4,5,5,5,5</t>
  </si>
  <si>
    <t>4,5,5,0,5,5</t>
  </si>
  <si>
    <t>1/2 meter</t>
  </si>
  <si>
    <t>0,0,6</t>
  </si>
  <si>
    <t>5,3,4,5,5,5,0,5</t>
  </si>
  <si>
    <t>Hilo Union Elementary</t>
  </si>
  <si>
    <t>5,5</t>
  </si>
  <si>
    <t>Hilo Yacht Club</t>
  </si>
  <si>
    <t>5,5,5,3,2,5,4</t>
  </si>
  <si>
    <t>5,4,4,5,5,5,5</t>
  </si>
  <si>
    <t>Hilo Union School</t>
  </si>
  <si>
    <t>3 meter</t>
  </si>
  <si>
    <t>9,5,5,8</t>
  </si>
  <si>
    <t>3,2,2,2,4,2,1</t>
  </si>
  <si>
    <t>4,6,9,6,11,10,6</t>
  </si>
  <si>
    <t>Hongwanji Mission School</t>
  </si>
  <si>
    <t>5,5,0,3,5,1</t>
  </si>
  <si>
    <t>4,4,5,3,4,5,1</t>
  </si>
  <si>
    <t>Hongwanji MIssion School</t>
  </si>
  <si>
    <t>5,0,3,1,3</t>
  </si>
  <si>
    <t>Maili Beach</t>
  </si>
  <si>
    <t>Ilima Intermediate School</t>
  </si>
  <si>
    <t>2,5,4,4,4,4</t>
  </si>
  <si>
    <t>Iolani School</t>
  </si>
  <si>
    <t>6,5,5,5,5,5</t>
  </si>
  <si>
    <t>Kaupo</t>
  </si>
  <si>
    <t>Ka Umeke Kaeo PCS</t>
  </si>
  <si>
    <t>9,10,9,7,10,10,9</t>
  </si>
  <si>
    <t>7,0,7,7,8,7,0,7</t>
  </si>
  <si>
    <t>Ka Waihona I Ka Naauao PCS</t>
  </si>
  <si>
    <t>5,5,5,0</t>
  </si>
  <si>
    <t>Keiki Bay</t>
  </si>
  <si>
    <t>Kailua Intermediate</t>
  </si>
  <si>
    <t>4,6,6,6,5</t>
  </si>
  <si>
    <t>7,0,7,6,5,5,4,0,6</t>
  </si>
  <si>
    <t>T2,T8; no data</t>
  </si>
  <si>
    <t>Turtle Bay</t>
  </si>
  <si>
    <t>1,3,0,3,0</t>
  </si>
  <si>
    <t>5,0,6,4,5,6</t>
  </si>
  <si>
    <t>Kamehameha Schools</t>
  </si>
  <si>
    <t>5,5,5,5,5,0,0</t>
  </si>
  <si>
    <t>Kauai High School</t>
  </si>
  <si>
    <t>5,5,5,5,4,4</t>
  </si>
  <si>
    <t>Nukolii</t>
  </si>
  <si>
    <t>Kawaikini New Century Public Charter School</t>
  </si>
  <si>
    <t>7,5</t>
  </si>
  <si>
    <t>Mahaulepu</t>
  </si>
  <si>
    <t>5,0,4,5,5</t>
  </si>
  <si>
    <t>5,5,5,4,4</t>
  </si>
  <si>
    <t>4,5,0</t>
  </si>
  <si>
    <t>Old Airport</t>
  </si>
  <si>
    <t>Kealakehe High School</t>
  </si>
  <si>
    <t>11,11,11,10,11,11,10</t>
  </si>
  <si>
    <t>8,10,11,10,11</t>
  </si>
  <si>
    <t>Fuji</t>
  </si>
  <si>
    <t>Kilauea</t>
  </si>
  <si>
    <t>5,6,6,5,6,5</t>
  </si>
  <si>
    <t>7,8,7,8,6,6,8,5,7,7</t>
  </si>
  <si>
    <t>0,0,10</t>
  </si>
  <si>
    <t>T1,T2; no data</t>
  </si>
  <si>
    <t xml:space="preserve">Kilauea  </t>
  </si>
  <si>
    <t>Kilauea School</t>
  </si>
  <si>
    <t>5,4,5,5,5</t>
  </si>
  <si>
    <t>6,7,5,8,6,5,</t>
  </si>
  <si>
    <t>5,4,5,5</t>
  </si>
  <si>
    <t>Kiholo Bay</t>
  </si>
  <si>
    <t>Kohala High School</t>
  </si>
  <si>
    <t>7,9,9</t>
  </si>
  <si>
    <t>Holoholokai</t>
  </si>
  <si>
    <t>Kapukahehu Kaluakoʻi</t>
  </si>
  <si>
    <t>Kualapuu School</t>
  </si>
  <si>
    <t>4,4,5,4,5,5</t>
  </si>
  <si>
    <t>5,5,4,5,4</t>
  </si>
  <si>
    <t>Hulopo'e Bay</t>
  </si>
  <si>
    <t>Kula Kaiapuni o Lahainaluna</t>
  </si>
  <si>
    <t>5,6</t>
  </si>
  <si>
    <t>5,8,5</t>
  </si>
  <si>
    <t>Lanai High and Elementary</t>
  </si>
  <si>
    <t>5,2,5,3,5</t>
  </si>
  <si>
    <t>1/4 meter</t>
  </si>
  <si>
    <t>4,3,4,4,4</t>
  </si>
  <si>
    <t>Lokelani</t>
  </si>
  <si>
    <t>6,6,6,6</t>
  </si>
  <si>
    <t>2,5,3,2,7</t>
  </si>
  <si>
    <t>Mare Ike</t>
  </si>
  <si>
    <t>0,1,1</t>
  </si>
  <si>
    <t>Mary Star of the Sea</t>
  </si>
  <si>
    <t>6,3,6,5,6,5,5</t>
  </si>
  <si>
    <t>3,5,5,5,5,5,5</t>
  </si>
  <si>
    <t>5,5,5,2,5,5</t>
  </si>
  <si>
    <t>5,5,3,5,5,3</t>
  </si>
  <si>
    <t>Barbers Point</t>
  </si>
  <si>
    <t>Mililani High School</t>
  </si>
  <si>
    <t>5,5,5,5,1,5,5</t>
  </si>
  <si>
    <t>5,5,5,5,5,4,3,5,4,5</t>
  </si>
  <si>
    <t>Mililani Middle</t>
  </si>
  <si>
    <t>5,0,5,0,0,0</t>
  </si>
  <si>
    <t>Mapulehu</t>
  </si>
  <si>
    <t>Molokai High School</t>
  </si>
  <si>
    <t>14,6,0.5</t>
  </si>
  <si>
    <t>T3; no data</t>
  </si>
  <si>
    <t>Morris Point</t>
  </si>
  <si>
    <t>9,5,9,11</t>
  </si>
  <si>
    <t>Moomomi</t>
  </si>
  <si>
    <t>10,5,12,9</t>
  </si>
  <si>
    <t>10,0,10,0</t>
  </si>
  <si>
    <t>T2,T4; no data</t>
  </si>
  <si>
    <t>4,9,9,6</t>
  </si>
  <si>
    <t>9,9,2,5</t>
  </si>
  <si>
    <t>6,6,3</t>
  </si>
  <si>
    <t>8,9,7,1,6,11</t>
  </si>
  <si>
    <t>7,6,4,5,6</t>
  </si>
  <si>
    <t>OPIHI</t>
  </si>
  <si>
    <t>8,2,8,5</t>
  </si>
  <si>
    <t>2,4,4,4,4</t>
  </si>
  <si>
    <t>10,7,8,6,5,7,8</t>
  </si>
  <si>
    <t>Keiki Ponds</t>
  </si>
  <si>
    <t>12,11,11,11,10,8,8,10</t>
  </si>
  <si>
    <t>6,6,6,6,6,6,5</t>
  </si>
  <si>
    <t>Richardsons</t>
  </si>
  <si>
    <t>5,5,5,4</t>
  </si>
  <si>
    <t>Napili Bay</t>
  </si>
  <si>
    <t>7,10,9,9</t>
  </si>
  <si>
    <t>7,6,5,6,5</t>
  </si>
  <si>
    <t>5,10,0,11</t>
  </si>
  <si>
    <t>1.5 meters</t>
  </si>
  <si>
    <t>10,10,10,9</t>
  </si>
  <si>
    <t>1,0,0,0</t>
  </si>
  <si>
    <t xml:space="preserve">OPIHI  </t>
  </si>
  <si>
    <t>7,7,5,6,6,6,7</t>
  </si>
  <si>
    <t>Kahana Bay</t>
  </si>
  <si>
    <t>OPIHI Coordinator</t>
  </si>
  <si>
    <t>5,1,2,4,7,3</t>
  </si>
  <si>
    <t>9,9,12,12,9,7</t>
  </si>
  <si>
    <t>4,1,6,6,10,6</t>
  </si>
  <si>
    <t>5,2,3,3,6,6,6</t>
  </si>
  <si>
    <t>9,10,7,6,5,9,10</t>
  </si>
  <si>
    <t>5,0,2,7,5,5,5</t>
  </si>
  <si>
    <t>9,6,5,6</t>
  </si>
  <si>
    <t>7,6,7,6,4</t>
  </si>
  <si>
    <t>8,9,9,10,9</t>
  </si>
  <si>
    <t>9,8,5,7</t>
  </si>
  <si>
    <t>5,9,7,10.5</t>
  </si>
  <si>
    <t>7,5,4,6,7,5</t>
  </si>
  <si>
    <t>9,9,10,10</t>
  </si>
  <si>
    <t>8,7,7</t>
  </si>
  <si>
    <t>6,5</t>
  </si>
  <si>
    <t>8,6,8,8,6</t>
  </si>
  <si>
    <t>5,8,7</t>
  </si>
  <si>
    <t>9,10,8,10,8,8</t>
  </si>
  <si>
    <t>10.10,9</t>
  </si>
  <si>
    <t>5,10,11,7,9</t>
  </si>
  <si>
    <t>5 meters</t>
  </si>
  <si>
    <t>5,4,3,4</t>
  </si>
  <si>
    <t>2,4,4</t>
  </si>
  <si>
    <t>9,9,9</t>
  </si>
  <si>
    <t>3,3,4,4</t>
  </si>
  <si>
    <t>4,4,2,3,4,2,4</t>
  </si>
  <si>
    <t>4 meters</t>
  </si>
  <si>
    <t>Waiopae</t>
  </si>
  <si>
    <t>4,5,4</t>
  </si>
  <si>
    <t>12,9,11,10,11,10.11</t>
  </si>
  <si>
    <t>11,11,11,8,8,9.8,</t>
  </si>
  <si>
    <t>3,6,6</t>
  </si>
  <si>
    <t>4,2,4,5</t>
  </si>
  <si>
    <t>10,9,9,8</t>
  </si>
  <si>
    <t>8,7,6,8,7</t>
  </si>
  <si>
    <t>7,9,9,9,9</t>
  </si>
  <si>
    <t>3,3,5,5,6</t>
  </si>
  <si>
    <t>5,5,4,6</t>
  </si>
  <si>
    <t>2,4,6,6,4</t>
  </si>
  <si>
    <t>4,3,3,5</t>
  </si>
  <si>
    <t>10,10,10,9,10</t>
  </si>
  <si>
    <t>6,5,6,6,5</t>
  </si>
  <si>
    <t>11,11,8,11</t>
  </si>
  <si>
    <t>13,12,11,10,9,11,9</t>
  </si>
  <si>
    <t>12,13,15</t>
  </si>
  <si>
    <t>15,14,14</t>
  </si>
  <si>
    <t>10,0,5,5</t>
  </si>
  <si>
    <t>Keei</t>
  </si>
  <si>
    <t>11,11,13,6</t>
  </si>
  <si>
    <t>5,5,6,5,5,5,4,5,7</t>
  </si>
  <si>
    <t>5,5,6,7,5,6,6,7,7</t>
  </si>
  <si>
    <t>15,16,12</t>
  </si>
  <si>
    <t>5,5,5,6,5,6</t>
  </si>
  <si>
    <t>10,7,3</t>
  </si>
  <si>
    <t>10,8,10</t>
  </si>
  <si>
    <t>10,8,10,9,8,10</t>
  </si>
  <si>
    <t>8,10,8</t>
  </si>
  <si>
    <t>8,7,6,6</t>
  </si>
  <si>
    <t>11,11,4</t>
  </si>
  <si>
    <t>11,12,12</t>
  </si>
  <si>
    <t>9,10,10</t>
  </si>
  <si>
    <t>1.5 meter</t>
  </si>
  <si>
    <t>7,7,11</t>
  </si>
  <si>
    <t>Our Savior Lutheran School</t>
  </si>
  <si>
    <t>1,1,1,0,1,1,1</t>
  </si>
  <si>
    <t>Paauilo Elementary and Intermediate School</t>
  </si>
  <si>
    <t>7,8,6,8</t>
  </si>
  <si>
    <t>Pahoa High and Intermediate School</t>
  </si>
  <si>
    <t>4,4,5,5,5</t>
  </si>
  <si>
    <t>Radford High School</t>
  </si>
  <si>
    <t>5,5,0,5,4,5</t>
  </si>
  <si>
    <t>Saint Louis School</t>
  </si>
  <si>
    <t>4,4,5,5,5,5</t>
  </si>
  <si>
    <t>10,10,10,8,8</t>
  </si>
  <si>
    <t>10,9,9,10,8</t>
  </si>
  <si>
    <t>Keawakapu</t>
  </si>
  <si>
    <t>St. Anthony High School</t>
  </si>
  <si>
    <t>1,0,1,0,1,0,0,3,2</t>
  </si>
  <si>
    <t>1,0,1,0,1,1,1,1,0,0,1</t>
  </si>
  <si>
    <t>0,4,1,3,3,3,3</t>
  </si>
  <si>
    <t>5,4,6,7,3,5,2,3</t>
  </si>
  <si>
    <t>Sandy Beach West</t>
  </si>
  <si>
    <t>Stevenson Middle School</t>
  </si>
  <si>
    <t>3,4,4,2,4,3,3</t>
  </si>
  <si>
    <t>0,0,2,0,2,1,0</t>
  </si>
  <si>
    <t>UH Manoa</t>
  </si>
  <si>
    <t>4,9,10</t>
  </si>
  <si>
    <t>10,9,8,5,10,10</t>
  </si>
  <si>
    <t>3,1,3,3</t>
  </si>
  <si>
    <t>Mokauea Island</t>
  </si>
  <si>
    <t>5,10,10</t>
  </si>
  <si>
    <t>7,9,8,7,7,8,10</t>
  </si>
  <si>
    <t>Lanikai Point</t>
  </si>
  <si>
    <t>6,5,0,3,6</t>
  </si>
  <si>
    <t>4,5,4,4,3,3,5</t>
  </si>
  <si>
    <t>5,5,5,3,5,4,4</t>
  </si>
  <si>
    <t xml:space="preserve">T6;  T6--&gt;group did not specify species of algae, only as "algae" </t>
  </si>
  <si>
    <t>4,5,4,5,4</t>
  </si>
  <si>
    <t>6,4,9,9,5,7</t>
  </si>
  <si>
    <t>5,0,0,4,0</t>
  </si>
  <si>
    <t>7,9,7,9,8</t>
  </si>
  <si>
    <t>3,3,4,3,3,2</t>
  </si>
  <si>
    <t>Kamaole 2&amp;3 Beach Parks</t>
  </si>
  <si>
    <t>0,1,3,3,0,3,3,3,5,4</t>
  </si>
  <si>
    <t>1,0,0,0,0,0</t>
  </si>
  <si>
    <t>3,2,5,6,3</t>
  </si>
  <si>
    <t>University of Hawaii</t>
  </si>
  <si>
    <t>5,8,5,7</t>
  </si>
  <si>
    <t>University of Hawaii at Manoa</t>
  </si>
  <si>
    <t>Volcano School of Arts and Sciences</t>
  </si>
  <si>
    <t>6,6,5,6,5</t>
  </si>
  <si>
    <t>Punalu'u Beach Park</t>
  </si>
  <si>
    <t>Voyager Public Charter School</t>
  </si>
  <si>
    <t>4,4,3,4,3,2</t>
  </si>
  <si>
    <t>3,3,3,2</t>
  </si>
  <si>
    <t>Waiʻanae High School Reef</t>
  </si>
  <si>
    <t>Waianae High School</t>
  </si>
  <si>
    <t>Waimanalo School</t>
  </si>
  <si>
    <t>2.5 meters</t>
  </si>
  <si>
    <t>1,4,2,3</t>
  </si>
  <si>
    <t>Actually 5 (vs. 3) transects and 5 quads/T (vs. 10) in datasheet</t>
  </si>
  <si>
    <t>Salt Pond</t>
  </si>
  <si>
    <t>Waimea Canyon Middle School</t>
  </si>
  <si>
    <t>3,5,5,4,4,4</t>
  </si>
  <si>
    <t>4,2,2,5,4,5</t>
  </si>
  <si>
    <t>8,13,5,10,7,0</t>
  </si>
  <si>
    <t>Waimea High School</t>
  </si>
  <si>
    <t>4,5,5,5,5,5</t>
  </si>
  <si>
    <t>Waipahu High School</t>
  </si>
  <si>
    <t>5,5,2,5,5,2,2</t>
  </si>
  <si>
    <t>5,5,5,4,5,5,5</t>
  </si>
  <si>
    <t>3,4,4,4,5,0,4,1,5</t>
  </si>
  <si>
    <t>T6; no data</t>
  </si>
  <si>
    <t>4,2,4,3,3,4</t>
  </si>
  <si>
    <t>4,5,3,5,4,5,2</t>
  </si>
  <si>
    <t>3,4,4,4,5</t>
  </si>
  <si>
    <t>4,1,4</t>
  </si>
  <si>
    <t>In database only 3 transects (note the 2nd transect consisted of only 1 quadrat). Transects 1 and 3 had only 4 quadrats (not stated 5).</t>
  </si>
  <si>
    <t>Kahalu'u Bay</t>
  </si>
  <si>
    <t>West Hawaii Explorations Academy PCS</t>
  </si>
  <si>
    <t>5,6,6,6,6</t>
  </si>
  <si>
    <t>5,5,0,5,5</t>
  </si>
  <si>
    <t xml:space="preserve">Kahalu'u Bay </t>
  </si>
  <si>
    <t>5,5,4,5,5</t>
  </si>
  <si>
    <t>5,0,3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</si>
</sst>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3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1" fillId="2" fontId="1" numFmtId="164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1" fillId="2" fontId="1" numFmtId="21" xfId="0" applyAlignment="1" applyBorder="1" applyFill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21" xfId="0" applyAlignment="1" applyFill="1" applyFont="1" applyNumberFormat="1">
      <alignment horizontal="right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21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3" fontId="1" numFmtId="164" xfId="0" applyAlignment="1" applyBorder="1" applyFill="1" applyFont="1" applyNumberFormat="1">
      <alignment horizontal="right" vertical="bottom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right" vertical="bottom"/>
    </xf>
    <xf borderId="1" fillId="3" fontId="1" numFmtId="21" xfId="0" applyAlignment="1" applyBorder="1" applyFill="1" applyFont="1" applyNumberFormat="1">
      <alignment horizontal="right" vertical="bottom"/>
    </xf>
    <xf borderId="0" fillId="4" fontId="1" numFmtId="164" xfId="0" applyAlignment="1" applyFill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horizontal="right" vertical="bottom"/>
    </xf>
    <xf borderId="0" fillId="4" fontId="1" numFmtId="21" xfId="0" applyAlignment="1" applyFill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4" fontId="1" numFmtId="0" xfId="0" applyAlignment="1" applyFill="1" applyFont="1">
      <alignment shrinkToFit="0" vertical="bottom" wrapText="0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3" fontId="1" numFmtId="0" xfId="0" applyAlignment="1" applyFill="1" applyFont="1">
      <alignment shrinkToFit="0" vertical="bottom" wrapText="0"/>
    </xf>
    <xf borderId="0" fillId="3" fontId="1" numFmtId="21" xfId="0" applyAlignment="1" applyFill="1" applyFont="1" applyNumberFormat="1">
      <alignment vertical="bottom"/>
    </xf>
    <xf borderId="0" fillId="2" fontId="1" numFmtId="0" xfId="0" applyAlignment="1" applyFill="1" applyFont="1">
      <alignment shrinkToFit="0" vertical="bottom" wrapText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21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21" xfId="0" applyAlignment="1" applyFill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21" xfId="0" applyAlignment="1" applyFill="1" applyFont="1" applyNumberFormat="1">
      <alignment horizontal="right" vertical="bottom"/>
    </xf>
    <xf borderId="0" fillId="4" fontId="2" numFmtId="0" xfId="0" applyAlignment="1" applyFill="1" applyFont="1">
      <alignment horizontal="right" vertical="bottom"/>
    </xf>
    <xf borderId="1" fillId="4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42851.0</v>
      </c>
      <c r="B1" s="2" t="s">
        <v>0</v>
      </c>
      <c r="C1" s="3" t="str">
        <f t="shared" ref="C1:C2" si="1">#REF!+1</f>
        <v>#REF!</v>
      </c>
      <c r="D1" s="4">
        <v>21.3002</v>
      </c>
      <c r="E1" s="4">
        <v>-157.882599</v>
      </c>
      <c r="F1" s="5" t="s">
        <v>1</v>
      </c>
      <c r="G1" s="6">
        <v>0.4027777777777778</v>
      </c>
      <c r="H1" s="6">
        <v>0.4479166666666667</v>
      </c>
      <c r="I1" s="7">
        <v>7.0</v>
      </c>
      <c r="J1" s="7">
        <v>16.0</v>
      </c>
      <c r="K1" s="5" t="s">
        <v>2</v>
      </c>
      <c r="L1" s="7">
        <v>5.0</v>
      </c>
      <c r="M1" s="7">
        <v>28.0</v>
      </c>
      <c r="N1" s="5" t="s">
        <v>3</v>
      </c>
      <c r="O1" s="5" t="s">
        <v>4</v>
      </c>
      <c r="P1" s="7">
        <v>28.0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7">
        <v>2.0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7">
        <v>39.0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7">
        <v>28.0</v>
      </c>
      <c r="BN1" s="5"/>
      <c r="BO1" s="5"/>
      <c r="BP1" s="5"/>
      <c r="BQ1" s="5"/>
      <c r="BR1" s="5"/>
      <c r="BS1" s="5"/>
      <c r="BT1" s="5"/>
      <c r="BU1" s="5"/>
      <c r="BV1" s="5"/>
      <c r="BW1" s="7">
        <v>2.0</v>
      </c>
      <c r="BX1" s="5"/>
      <c r="BY1" s="5"/>
      <c r="BZ1" s="5"/>
      <c r="CA1" s="5"/>
      <c r="CB1" s="5"/>
      <c r="CC1" s="7">
        <v>15.0</v>
      </c>
      <c r="CD1" s="7">
        <v>7.0</v>
      </c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7">
        <v>1.0</v>
      </c>
      <c r="DJ1" s="5"/>
      <c r="DK1" s="5"/>
      <c r="DL1" s="5"/>
      <c r="DM1" s="5"/>
      <c r="DN1" s="5"/>
      <c r="DO1" s="7">
        <v>4.0</v>
      </c>
      <c r="DP1" s="5"/>
      <c r="DQ1" s="5"/>
      <c r="DR1" s="5"/>
      <c r="DS1" s="7">
        <v>2.0</v>
      </c>
      <c r="DT1" s="5"/>
      <c r="DU1" s="5"/>
      <c r="DV1" s="5"/>
      <c r="DW1" s="5"/>
      <c r="DX1" s="5"/>
      <c r="DY1" s="5"/>
      <c r="DZ1" s="5"/>
      <c r="EA1" s="5"/>
      <c r="EB1" s="5"/>
      <c r="EC1" s="7">
        <v>2.0</v>
      </c>
      <c r="ED1" s="5"/>
      <c r="EE1" s="5"/>
      <c r="EF1" s="5"/>
      <c r="EG1" s="5"/>
      <c r="EH1" s="5"/>
      <c r="EI1" s="5"/>
      <c r="EJ1" s="7">
        <v>17.0</v>
      </c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7">
        <v>5.0</v>
      </c>
      <c r="FJ1" s="5"/>
      <c r="FK1" s="5"/>
      <c r="FL1" s="5"/>
      <c r="FM1" s="5"/>
      <c r="FN1" s="5"/>
      <c r="FO1" s="5"/>
      <c r="FP1" s="5"/>
      <c r="FQ1" s="5"/>
      <c r="FR1" s="5"/>
      <c r="FS1" s="7">
        <v>285.0</v>
      </c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7">
        <f>count(R1:GG1)</f>
        <v>13</v>
      </c>
      <c r="GI1" s="7">
        <f>countif(R1:GG1,"&gt;=2")</f>
        <v>12</v>
      </c>
      <c r="GJ1" s="7">
        <f>countif(R1:GG1,"&gt;=5")</f>
        <v>7</v>
      </c>
      <c r="GK1" s="7">
        <f>sum(R1:GG1)</f>
        <v>409</v>
      </c>
      <c r="GL1" s="7">
        <f>25*P1</f>
        <v>700</v>
      </c>
      <c r="GM1" s="7">
        <f>GL1-GK1</f>
        <v>291</v>
      </c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</row>
    <row r="2">
      <c r="A2" s="8">
        <v>43221.0</v>
      </c>
      <c r="B2" s="9" t="s">
        <v>5</v>
      </c>
      <c r="C2" s="3" t="str">
        <f t="shared" si="1"/>
        <v>#REF!</v>
      </c>
      <c r="D2" s="10">
        <v>21.316488</v>
      </c>
      <c r="E2" s="10">
        <v>-157.664261</v>
      </c>
      <c r="F2" s="9" t="s">
        <v>1</v>
      </c>
      <c r="G2" s="11">
        <v>0.3854166666666667</v>
      </c>
      <c r="H2" s="11">
        <v>0.4409722222222222</v>
      </c>
      <c r="I2" s="10">
        <v>6.0</v>
      </c>
      <c r="J2" s="10">
        <v>57.0</v>
      </c>
      <c r="K2" s="9" t="s">
        <v>6</v>
      </c>
      <c r="L2" s="10">
        <v>5.0</v>
      </c>
      <c r="M2" s="10">
        <v>18.0</v>
      </c>
      <c r="N2" s="9" t="s">
        <v>7</v>
      </c>
      <c r="O2" s="9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">
        <v>31.0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3">
        <v>50.0</v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3">
        <v>6.0</v>
      </c>
      <c r="CD2" s="12"/>
      <c r="CE2" s="12"/>
      <c r="CF2" s="12"/>
      <c r="CG2" s="12"/>
      <c r="CH2" s="13">
        <v>3.0</v>
      </c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3">
        <v>1.0</v>
      </c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3">
        <v>309.0</v>
      </c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</row>
    <row r="3">
      <c r="A3" s="8">
        <v>43222.0</v>
      </c>
      <c r="B3" s="9" t="s">
        <v>0</v>
      </c>
      <c r="C3" s="3">
        <v>155.0</v>
      </c>
      <c r="D3" s="13">
        <v>21.3002</v>
      </c>
      <c r="E3" s="13">
        <v>-157.882599</v>
      </c>
      <c r="F3" s="12" t="s">
        <v>1</v>
      </c>
      <c r="G3" s="14">
        <v>0.3854166666666667</v>
      </c>
      <c r="H3" s="14">
        <v>0.4375</v>
      </c>
      <c r="I3" s="13">
        <v>6.0</v>
      </c>
      <c r="J3" s="13">
        <v>19.0</v>
      </c>
      <c r="K3" s="12" t="s">
        <v>8</v>
      </c>
      <c r="L3" s="13">
        <v>5.0</v>
      </c>
      <c r="M3" s="13">
        <v>27.0</v>
      </c>
      <c r="N3" s="12" t="s">
        <v>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>
        <v>5.0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3">
        <v>5.0</v>
      </c>
      <c r="BN3" s="12"/>
      <c r="BO3" s="12"/>
      <c r="BP3" s="12"/>
      <c r="BQ3" s="12"/>
      <c r="BR3" s="12"/>
      <c r="BS3" s="12"/>
      <c r="BT3" s="12"/>
      <c r="BU3" s="12"/>
      <c r="BV3" s="9"/>
      <c r="BW3" s="13">
        <v>1.0</v>
      </c>
      <c r="BX3" s="12"/>
      <c r="BY3" s="12"/>
      <c r="BZ3" s="12"/>
      <c r="CA3" s="12"/>
      <c r="CB3" s="12"/>
      <c r="CC3" s="13">
        <v>9.0</v>
      </c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3">
        <v>8.0</v>
      </c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0">
        <v>47.0</v>
      </c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3">
        <v>363.0</v>
      </c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9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</row>
    <row r="4">
      <c r="A4" s="15">
        <v>43416.0</v>
      </c>
      <c r="B4" s="12" t="s">
        <v>0</v>
      </c>
      <c r="C4" s="16">
        <f t="shared" ref="C4:C26" si="2">C3+1</f>
        <v>156</v>
      </c>
      <c r="D4" s="13">
        <v>21.3002</v>
      </c>
      <c r="E4" s="13">
        <v>-157.882599</v>
      </c>
      <c r="F4" s="12" t="s">
        <v>10</v>
      </c>
      <c r="G4" s="14">
        <v>0.6423611111111112</v>
      </c>
      <c r="H4" s="14">
        <v>0.6701388888888888</v>
      </c>
      <c r="I4" s="13">
        <v>5.0</v>
      </c>
      <c r="J4" s="13">
        <v>20.0</v>
      </c>
      <c r="K4" s="12" t="s">
        <v>8</v>
      </c>
      <c r="L4" s="13">
        <v>5.0</v>
      </c>
      <c r="M4" s="13">
        <v>5.0</v>
      </c>
      <c r="N4" s="12" t="s">
        <v>11</v>
      </c>
      <c r="O4" s="12"/>
      <c r="P4" s="12"/>
      <c r="Q4" s="12"/>
      <c r="R4" s="12"/>
      <c r="S4" s="12"/>
      <c r="T4" s="12"/>
      <c r="U4" s="9"/>
      <c r="V4" s="9"/>
      <c r="W4" s="9"/>
      <c r="X4" s="12"/>
      <c r="Y4" s="12"/>
      <c r="Z4" s="9"/>
      <c r="AA4" s="12"/>
      <c r="AB4" s="12"/>
      <c r="AC4" s="12"/>
      <c r="AD4" s="12"/>
      <c r="AE4" s="12"/>
      <c r="AF4" s="12"/>
      <c r="AG4" s="9"/>
      <c r="AH4" s="12"/>
      <c r="AI4" s="12"/>
      <c r="AJ4" s="9"/>
      <c r="AK4" s="12"/>
      <c r="AL4" s="12"/>
      <c r="AM4" s="12"/>
      <c r="AN4" s="9"/>
      <c r="AO4" s="12"/>
      <c r="AP4" s="12"/>
      <c r="AQ4" s="12"/>
      <c r="AR4" s="12"/>
      <c r="AS4" s="12"/>
      <c r="AT4" s="9"/>
      <c r="AU4" s="9"/>
      <c r="AV4" s="9"/>
      <c r="AW4" s="9"/>
      <c r="AX4" s="9"/>
      <c r="AY4" s="9"/>
      <c r="AZ4" s="9"/>
      <c r="BA4" s="9"/>
      <c r="BB4" s="12"/>
      <c r="BC4" s="12"/>
      <c r="BD4" s="12"/>
      <c r="BE4" s="12"/>
      <c r="BF4" s="9"/>
      <c r="BG4" s="12"/>
      <c r="BH4" s="9"/>
      <c r="BI4" s="9"/>
      <c r="BJ4" s="12"/>
      <c r="BK4" s="12"/>
      <c r="BL4" s="12"/>
      <c r="BM4" s="13">
        <v>10.0</v>
      </c>
      <c r="BN4" s="9"/>
      <c r="BO4" s="12"/>
      <c r="BP4" s="12"/>
      <c r="BQ4" s="12"/>
      <c r="BR4" s="12"/>
      <c r="BS4" s="9"/>
      <c r="BT4" s="12"/>
      <c r="BU4" s="9"/>
      <c r="BV4" s="9"/>
      <c r="BW4" s="12"/>
      <c r="BX4" s="12"/>
      <c r="BY4" s="12"/>
      <c r="BZ4" s="12"/>
      <c r="CA4" s="12"/>
      <c r="CB4" s="12"/>
      <c r="CC4" s="9"/>
      <c r="CD4" s="9"/>
      <c r="CE4" s="12"/>
      <c r="CF4" s="9"/>
      <c r="CG4" s="12"/>
      <c r="CH4" s="12"/>
      <c r="CI4" s="9"/>
      <c r="CJ4" s="12"/>
      <c r="CK4" s="12"/>
      <c r="CL4" s="9"/>
      <c r="CM4" s="12"/>
      <c r="CN4" s="12"/>
      <c r="CO4" s="9"/>
      <c r="CP4" s="9"/>
      <c r="CQ4" s="12"/>
      <c r="CR4" s="12"/>
      <c r="CS4" s="12"/>
      <c r="CT4" s="12"/>
      <c r="CU4" s="9"/>
      <c r="CV4" s="9"/>
      <c r="CW4" s="9"/>
      <c r="CX4" s="9"/>
      <c r="CY4" s="9"/>
      <c r="CZ4" s="12"/>
      <c r="DA4" s="9"/>
      <c r="DB4" s="12"/>
      <c r="DC4" s="9"/>
      <c r="DD4" s="9"/>
      <c r="DE4" s="12"/>
      <c r="DF4" s="12"/>
      <c r="DG4" s="12"/>
      <c r="DH4" s="12"/>
      <c r="DI4" s="12"/>
      <c r="DJ4" s="9"/>
      <c r="DK4" s="12"/>
      <c r="DL4" s="12"/>
      <c r="DM4" s="12"/>
      <c r="DN4" s="12"/>
      <c r="DO4" s="12"/>
      <c r="DP4" s="12"/>
      <c r="DQ4" s="12"/>
      <c r="DR4" s="12"/>
      <c r="DS4" s="9"/>
      <c r="DT4" s="9"/>
      <c r="DU4" s="12"/>
      <c r="DV4" s="9"/>
      <c r="DW4" s="12"/>
      <c r="DX4" s="12"/>
      <c r="DY4" s="12"/>
      <c r="DZ4" s="12"/>
      <c r="EA4" s="9"/>
      <c r="EB4" s="9"/>
      <c r="EC4" s="13">
        <v>12.0</v>
      </c>
      <c r="ED4" s="9"/>
      <c r="EE4" s="9"/>
      <c r="EF4" s="9"/>
      <c r="EG4" s="9"/>
      <c r="EH4" s="12"/>
      <c r="EI4" s="12"/>
      <c r="EJ4" s="9"/>
      <c r="EK4" s="9"/>
      <c r="EL4" s="12"/>
      <c r="EM4" s="12"/>
      <c r="EN4" s="9"/>
      <c r="EO4" s="12"/>
      <c r="EP4" s="12"/>
      <c r="EQ4" s="12"/>
      <c r="ER4" s="9"/>
      <c r="ES4" s="9"/>
      <c r="ET4" s="9"/>
      <c r="EU4" s="12"/>
      <c r="EV4" s="12"/>
      <c r="EW4" s="12"/>
      <c r="EX4" s="9"/>
      <c r="EY4" s="12"/>
      <c r="EZ4" s="12"/>
      <c r="FA4" s="12"/>
      <c r="FB4" s="12"/>
      <c r="FC4" s="9"/>
      <c r="FD4" s="12"/>
      <c r="FE4" s="9"/>
      <c r="FF4" s="9"/>
      <c r="FG4" s="12"/>
      <c r="FH4" s="12"/>
      <c r="FI4" s="9"/>
      <c r="FJ4" s="12"/>
      <c r="FK4" s="12"/>
      <c r="FL4" s="12"/>
      <c r="FM4" s="12"/>
      <c r="FN4" s="12"/>
      <c r="FO4" s="12"/>
      <c r="FP4" s="9"/>
      <c r="FQ4" s="12"/>
      <c r="FR4" s="12"/>
      <c r="FS4" s="13">
        <v>103.0</v>
      </c>
      <c r="FT4" s="12"/>
      <c r="FU4" s="9"/>
      <c r="FV4" s="12"/>
      <c r="FW4" s="12"/>
      <c r="FX4" s="12"/>
      <c r="FY4" s="12"/>
      <c r="FZ4" s="12"/>
      <c r="GA4" s="9"/>
      <c r="GB4" s="12"/>
      <c r="GC4" s="12"/>
      <c r="GD4" s="9"/>
      <c r="GE4" s="12"/>
      <c r="GF4" s="9"/>
      <c r="GG4" s="9"/>
      <c r="GH4" s="12"/>
      <c r="GI4" s="12"/>
      <c r="GJ4" s="12"/>
      <c r="GK4" s="12"/>
      <c r="GL4" s="12"/>
      <c r="GM4" s="9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</row>
    <row r="5">
      <c r="A5" s="17">
        <v>42865.0</v>
      </c>
      <c r="B5" s="18" t="s">
        <v>12</v>
      </c>
      <c r="C5" s="16">
        <f t="shared" si="2"/>
        <v>157</v>
      </c>
      <c r="D5" s="19">
        <v>20.726389</v>
      </c>
      <c r="E5" s="19">
        <v>-155.984161</v>
      </c>
      <c r="F5" s="18" t="s">
        <v>13</v>
      </c>
      <c r="G5" s="20">
        <v>0.36319444444444443</v>
      </c>
      <c r="H5" s="20">
        <v>0.37083333333333335</v>
      </c>
      <c r="I5" s="19">
        <v>3.0</v>
      </c>
      <c r="J5" s="19">
        <v>29.0</v>
      </c>
      <c r="K5" s="18" t="s">
        <v>8</v>
      </c>
      <c r="L5" s="19">
        <v>10.0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</row>
    <row r="6">
      <c r="A6" s="21">
        <v>43577.0</v>
      </c>
      <c r="B6" s="5" t="s">
        <v>14</v>
      </c>
      <c r="C6" s="16">
        <f t="shared" si="2"/>
        <v>158</v>
      </c>
      <c r="D6" s="7">
        <v>19.738602</v>
      </c>
      <c r="E6" s="7">
        <v>-155.038879</v>
      </c>
      <c r="F6" s="5" t="s">
        <v>15</v>
      </c>
      <c r="G6" s="6">
        <v>0.4173611111111111</v>
      </c>
      <c r="H6" s="6">
        <v>0.45694444444444443</v>
      </c>
      <c r="I6" s="7">
        <v>6.0</v>
      </c>
      <c r="J6" s="7">
        <v>11.0</v>
      </c>
      <c r="K6" s="5" t="s">
        <v>16</v>
      </c>
      <c r="L6" s="7">
        <v>5.0</v>
      </c>
      <c r="M6" s="7">
        <v>27.0</v>
      </c>
      <c r="N6" s="5" t="s">
        <v>17</v>
      </c>
      <c r="O6" s="5"/>
      <c r="P6" s="7">
        <v>27.0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7">
        <v>1.0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7">
        <v>15.0</v>
      </c>
      <c r="BL6" s="5"/>
      <c r="BM6" s="7">
        <v>1.0</v>
      </c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7">
        <v>10.0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7">
        <v>22.0</v>
      </c>
      <c r="DZ6" s="5"/>
      <c r="EA6" s="5"/>
      <c r="EB6" s="5"/>
      <c r="EC6" s="5"/>
      <c r="ED6" s="5"/>
      <c r="EE6" s="5"/>
      <c r="EF6" s="5"/>
      <c r="EG6" s="5"/>
      <c r="EH6" s="5"/>
      <c r="EI6" s="5"/>
      <c r="EJ6" s="7">
        <v>5.0</v>
      </c>
      <c r="EK6" s="7">
        <v>3.0</v>
      </c>
      <c r="EL6" s="5"/>
      <c r="EM6" s="5"/>
      <c r="EN6" s="5"/>
      <c r="EO6" s="5"/>
      <c r="EP6" s="7">
        <v>6.0</v>
      </c>
      <c r="EQ6" s="7">
        <v>21.0</v>
      </c>
      <c r="ER6" s="7">
        <v>28.0</v>
      </c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7">
        <v>4.0</v>
      </c>
      <c r="FF6" s="5"/>
      <c r="FG6" s="5"/>
      <c r="FH6" s="5"/>
      <c r="FI6" s="5"/>
      <c r="FJ6" s="5"/>
      <c r="FK6" s="5"/>
      <c r="FL6" s="5"/>
      <c r="FM6" s="7">
        <v>10.0</v>
      </c>
      <c r="FN6" s="5"/>
      <c r="FO6" s="5"/>
      <c r="FP6" s="7">
        <v>1.0</v>
      </c>
      <c r="FQ6" s="5"/>
      <c r="FR6" s="5"/>
      <c r="FS6" s="7">
        <v>331.0</v>
      </c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7">
        <f t="shared" ref="GH6:GH10" si="3">count(R6:GG6)</f>
        <v>14</v>
      </c>
      <c r="GI6" s="7">
        <f t="shared" ref="GI6:GI10" si="4">countif(R6:GG6,"&gt;=2")</f>
        <v>11</v>
      </c>
      <c r="GJ6" s="7">
        <f t="shared" ref="GJ6:GJ10" si="5">countif(R6:GG6,"&gt;=5")</f>
        <v>9</v>
      </c>
      <c r="GK6" s="7">
        <f t="shared" ref="GK6:GK10" si="6">sum(R6:GG6)</f>
        <v>458</v>
      </c>
      <c r="GL6" s="7">
        <f t="shared" ref="GL6:GL10" si="7">25*P6</f>
        <v>675</v>
      </c>
      <c r="GM6" s="7">
        <f t="shared" ref="GM6:GM10" si="8">GL6-GK6</f>
        <v>217</v>
      </c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</row>
    <row r="7">
      <c r="A7" s="21">
        <v>42471.0</v>
      </c>
      <c r="B7" s="5" t="s">
        <v>0</v>
      </c>
      <c r="C7" s="16">
        <f t="shared" si="2"/>
        <v>159</v>
      </c>
      <c r="D7" s="7">
        <v>21.3002</v>
      </c>
      <c r="E7" s="7">
        <v>-157.882599</v>
      </c>
      <c r="F7" s="5" t="s">
        <v>18</v>
      </c>
      <c r="G7" s="6">
        <v>0.5277777777777778</v>
      </c>
      <c r="H7" s="6">
        <v>0.5729166666666666</v>
      </c>
      <c r="I7" s="7">
        <v>4.0</v>
      </c>
      <c r="J7" s="7">
        <v>26.0</v>
      </c>
      <c r="K7" s="5" t="s">
        <v>8</v>
      </c>
      <c r="L7" s="7">
        <v>9.0</v>
      </c>
      <c r="M7" s="7">
        <v>29.0</v>
      </c>
      <c r="N7" s="5" t="s">
        <v>19</v>
      </c>
      <c r="O7" s="5"/>
      <c r="P7" s="7">
        <v>29.0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7">
        <v>10.0</v>
      </c>
      <c r="AD7" s="5"/>
      <c r="AE7" s="5"/>
      <c r="AF7" s="5"/>
      <c r="AG7" s="5"/>
      <c r="AH7" s="5"/>
      <c r="AI7" s="5"/>
      <c r="AJ7" s="5"/>
      <c r="AK7" s="5"/>
      <c r="AL7" s="5"/>
      <c r="AM7" s="7">
        <v>23.0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7">
        <v>15.0</v>
      </c>
      <c r="BN7" s="7">
        <v>38.0</v>
      </c>
      <c r="BO7" s="5"/>
      <c r="BP7" s="5"/>
      <c r="BQ7" s="7">
        <v>12.0</v>
      </c>
      <c r="BR7" s="5"/>
      <c r="BS7" s="5"/>
      <c r="BT7" s="5"/>
      <c r="BU7" s="5"/>
      <c r="BV7" s="7">
        <v>6.0</v>
      </c>
      <c r="BW7" s="5"/>
      <c r="BX7" s="5"/>
      <c r="BY7" s="5"/>
      <c r="BZ7" s="7">
        <v>1.0</v>
      </c>
      <c r="CA7" s="5"/>
      <c r="CB7" s="5"/>
      <c r="CC7" s="7">
        <v>3.0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7">
        <v>15.0</v>
      </c>
      <c r="FR7" s="5"/>
      <c r="FS7" s="7">
        <v>364.0</v>
      </c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7">
        <f t="shared" si="3"/>
        <v>10</v>
      </c>
      <c r="GI7" s="7">
        <f t="shared" si="4"/>
        <v>9</v>
      </c>
      <c r="GJ7" s="7">
        <f t="shared" si="5"/>
        <v>8</v>
      </c>
      <c r="GK7" s="7">
        <f t="shared" si="6"/>
        <v>487</v>
      </c>
      <c r="GL7" s="7">
        <f t="shared" si="7"/>
        <v>725</v>
      </c>
      <c r="GM7" s="7">
        <f t="shared" si="8"/>
        <v>238</v>
      </c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</row>
    <row r="8">
      <c r="A8" s="21">
        <v>42867.0</v>
      </c>
      <c r="B8" s="5" t="s">
        <v>0</v>
      </c>
      <c r="C8" s="16">
        <f t="shared" si="2"/>
        <v>160</v>
      </c>
      <c r="D8" s="7">
        <v>21.3002</v>
      </c>
      <c r="E8" s="7">
        <v>-157.882599</v>
      </c>
      <c r="F8" s="5" t="s">
        <v>18</v>
      </c>
      <c r="G8" s="6">
        <v>0.4583333333333333</v>
      </c>
      <c r="H8" s="6">
        <v>0.5104166666666666</v>
      </c>
      <c r="I8" s="7">
        <v>4.0</v>
      </c>
      <c r="J8" s="7">
        <v>20.0</v>
      </c>
      <c r="K8" s="5" t="s">
        <v>2</v>
      </c>
      <c r="L8" s="7">
        <v>10.0</v>
      </c>
      <c r="M8" s="7">
        <v>32.0</v>
      </c>
      <c r="N8" s="5" t="s">
        <v>20</v>
      </c>
      <c r="O8" s="5"/>
      <c r="P8" s="7">
        <v>32.0</v>
      </c>
      <c r="Q8" s="5"/>
      <c r="R8" s="5"/>
      <c r="S8" s="7">
        <v>2.0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7">
        <v>1.0</v>
      </c>
      <c r="AJ8" s="5"/>
      <c r="AK8" s="5"/>
      <c r="AL8" s="5"/>
      <c r="AM8" s="7">
        <v>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7">
        <v>45.0</v>
      </c>
      <c r="BN8" s="7">
        <v>16.0</v>
      </c>
      <c r="BO8" s="5"/>
      <c r="BP8" s="5"/>
      <c r="BQ8" s="7">
        <v>7.0</v>
      </c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7">
        <v>2.0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7">
        <v>6.0</v>
      </c>
      <c r="DT8" s="5"/>
      <c r="DU8" s="5"/>
      <c r="DV8" s="5"/>
      <c r="DW8" s="5"/>
      <c r="DX8" s="5"/>
      <c r="DY8" s="5"/>
      <c r="DZ8" s="5"/>
      <c r="EA8" s="5"/>
      <c r="EB8" s="5"/>
      <c r="EC8" s="7">
        <v>17.0</v>
      </c>
      <c r="ED8" s="5"/>
      <c r="EE8" s="5"/>
      <c r="EF8" s="5"/>
      <c r="EG8" s="5"/>
      <c r="EH8" s="5"/>
      <c r="EI8" s="5"/>
      <c r="EJ8" s="7">
        <v>2.0</v>
      </c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7">
        <v>1.0</v>
      </c>
      <c r="FM8" s="5"/>
      <c r="FN8" s="5"/>
      <c r="FO8" s="5"/>
      <c r="FP8" s="5"/>
      <c r="FQ8" s="5"/>
      <c r="FR8" s="7">
        <v>4.0</v>
      </c>
      <c r="FS8" s="7">
        <v>455.0</v>
      </c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7">
        <f t="shared" si="3"/>
        <v>13</v>
      </c>
      <c r="GI8" s="7">
        <f t="shared" si="4"/>
        <v>11</v>
      </c>
      <c r="GJ8" s="7">
        <f t="shared" si="5"/>
        <v>7</v>
      </c>
      <c r="GK8" s="7">
        <f t="shared" si="6"/>
        <v>564</v>
      </c>
      <c r="GL8" s="7">
        <f t="shared" si="7"/>
        <v>800</v>
      </c>
      <c r="GM8" s="7">
        <f t="shared" si="8"/>
        <v>236</v>
      </c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</row>
    <row r="9">
      <c r="A9" s="21">
        <v>43230.0</v>
      </c>
      <c r="B9" s="5" t="s">
        <v>21</v>
      </c>
      <c r="C9" s="16">
        <f t="shared" si="2"/>
        <v>161</v>
      </c>
      <c r="D9" s="7">
        <v>21.25544</v>
      </c>
      <c r="E9" s="7">
        <v>-157.810303</v>
      </c>
      <c r="F9" s="5" t="s">
        <v>18</v>
      </c>
      <c r="G9" s="6">
        <v>0.3611111111111111</v>
      </c>
      <c r="H9" s="6">
        <v>0.4027777777777778</v>
      </c>
      <c r="I9" s="7">
        <v>5.0</v>
      </c>
      <c r="J9" s="7">
        <v>16.0</v>
      </c>
      <c r="K9" s="5" t="s">
        <v>2</v>
      </c>
      <c r="L9" s="7">
        <v>8.0</v>
      </c>
      <c r="M9" s="7">
        <v>25.0</v>
      </c>
      <c r="N9" s="5" t="s">
        <v>22</v>
      </c>
      <c r="O9" s="5"/>
      <c r="P9" s="7">
        <v>25.0</v>
      </c>
      <c r="Q9" s="5"/>
      <c r="R9" s="5"/>
      <c r="S9" s="7">
        <v>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7">
        <v>6.0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7">
        <v>5.0</v>
      </c>
      <c r="BO9" s="5"/>
      <c r="BP9" s="5"/>
      <c r="BQ9" s="7">
        <v>8.0</v>
      </c>
      <c r="BR9" s="5"/>
      <c r="BS9" s="5"/>
      <c r="BT9" s="5"/>
      <c r="BU9" s="5"/>
      <c r="BV9" s="5"/>
      <c r="BW9" s="5"/>
      <c r="BX9" s="5"/>
      <c r="BY9" s="5"/>
      <c r="BZ9" s="7">
        <v>13.0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7">
        <v>6.0</v>
      </c>
      <c r="DH9" s="5"/>
      <c r="DI9" s="5"/>
      <c r="DJ9" s="5"/>
      <c r="DK9" s="5"/>
      <c r="DL9" s="5"/>
      <c r="DM9" s="7">
        <v>8.0</v>
      </c>
      <c r="DN9" s="5"/>
      <c r="DO9" s="5"/>
      <c r="DP9" s="7">
        <v>3.0</v>
      </c>
      <c r="DQ9" s="5"/>
      <c r="DR9" s="5"/>
      <c r="DS9" s="5"/>
      <c r="DT9" s="5"/>
      <c r="DU9" s="5"/>
      <c r="DV9" s="7">
        <v>2.0</v>
      </c>
      <c r="DW9" s="5"/>
      <c r="DX9" s="5"/>
      <c r="DY9" s="5"/>
      <c r="DZ9" s="5"/>
      <c r="EA9" s="5"/>
      <c r="EB9" s="5"/>
      <c r="EC9" s="5"/>
      <c r="ED9" s="5"/>
      <c r="EE9" s="5"/>
      <c r="EF9" s="7">
        <v>7.0</v>
      </c>
      <c r="EG9" s="5"/>
      <c r="EH9" s="5"/>
      <c r="EI9" s="5"/>
      <c r="EJ9" s="7">
        <v>208.0</v>
      </c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7">
        <v>1.0</v>
      </c>
      <c r="FA9" s="5"/>
      <c r="FB9" s="7">
        <v>51.0</v>
      </c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7">
        <v>38.0</v>
      </c>
      <c r="FS9" s="7">
        <v>51.0</v>
      </c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7">
        <f t="shared" si="3"/>
        <v>15</v>
      </c>
      <c r="GI9" s="7">
        <f t="shared" si="4"/>
        <v>13</v>
      </c>
      <c r="GJ9" s="7">
        <f t="shared" si="5"/>
        <v>11</v>
      </c>
      <c r="GK9" s="7">
        <f t="shared" si="6"/>
        <v>408</v>
      </c>
      <c r="GL9" s="7">
        <f t="shared" si="7"/>
        <v>625</v>
      </c>
      <c r="GM9" s="7">
        <f t="shared" si="8"/>
        <v>217</v>
      </c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</row>
    <row r="10">
      <c r="A10" s="21">
        <v>43231.0</v>
      </c>
      <c r="B10" s="5" t="s">
        <v>21</v>
      </c>
      <c r="C10" s="16">
        <f t="shared" si="2"/>
        <v>162</v>
      </c>
      <c r="D10" s="7">
        <v>21.25544</v>
      </c>
      <c r="E10" s="7">
        <v>-157.810303</v>
      </c>
      <c r="F10" s="5" t="s">
        <v>18</v>
      </c>
      <c r="G10" s="6">
        <v>0.375</v>
      </c>
      <c r="H10" s="6">
        <v>0.4097222222222222</v>
      </c>
      <c r="I10" s="7">
        <v>5.0</v>
      </c>
      <c r="J10" s="7">
        <v>16.0</v>
      </c>
      <c r="K10" s="5" t="s">
        <v>8</v>
      </c>
      <c r="L10" s="7">
        <v>7.0</v>
      </c>
      <c r="M10" s="7">
        <v>26.0</v>
      </c>
      <c r="N10" s="5" t="s">
        <v>23</v>
      </c>
      <c r="O10" s="5"/>
      <c r="P10" s="7">
        <v>26.0</v>
      </c>
      <c r="Q10" s="5"/>
      <c r="R10" s="7">
        <v>3.0</v>
      </c>
      <c r="S10" s="5"/>
      <c r="T10" s="5"/>
      <c r="U10" s="5"/>
      <c r="V10" s="5"/>
      <c r="W10" s="5"/>
      <c r="X10" s="5"/>
      <c r="Y10" s="5"/>
      <c r="Z10" s="5"/>
      <c r="AA10" s="5"/>
      <c r="AB10" s="7">
        <v>6.0</v>
      </c>
      <c r="AC10" s="5"/>
      <c r="AD10" s="5"/>
      <c r="AE10" s="5"/>
      <c r="AF10" s="5"/>
      <c r="AG10" s="5"/>
      <c r="AH10" s="5"/>
      <c r="AI10" s="7">
        <v>6.0</v>
      </c>
      <c r="AJ10" s="5"/>
      <c r="AK10" s="7">
        <v>1.0</v>
      </c>
      <c r="AL10" s="5"/>
      <c r="AM10" s="5"/>
      <c r="AN10" s="5"/>
      <c r="AO10" s="5"/>
      <c r="AP10" s="5"/>
      <c r="AQ10" s="5"/>
      <c r="AR10" s="5"/>
      <c r="AS10" s="5"/>
      <c r="AT10" s="5"/>
      <c r="AU10" s="7">
        <v>1.0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7">
        <v>1.0</v>
      </c>
      <c r="BL10" s="5"/>
      <c r="BM10" s="7">
        <v>29.0</v>
      </c>
      <c r="BN10" s="5"/>
      <c r="BO10" s="5"/>
      <c r="BP10" s="5"/>
      <c r="BQ10" s="7">
        <v>12.0</v>
      </c>
      <c r="BR10" s="5"/>
      <c r="BS10" s="5"/>
      <c r="BT10" s="5"/>
      <c r="BU10" s="5"/>
      <c r="BV10" s="7">
        <v>1.0</v>
      </c>
      <c r="BW10" s="5"/>
      <c r="BX10" s="5"/>
      <c r="BY10" s="5"/>
      <c r="BZ10" s="7">
        <v>3.0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7">
        <v>2.0</v>
      </c>
      <c r="DF10" s="5"/>
      <c r="DG10" s="5"/>
      <c r="DH10" s="5"/>
      <c r="DI10" s="5"/>
      <c r="DJ10" s="5"/>
      <c r="DK10" s="7">
        <v>2.0</v>
      </c>
      <c r="DL10" s="5"/>
      <c r="DM10" s="7">
        <v>11.0</v>
      </c>
      <c r="DN10" s="5"/>
      <c r="DO10" s="7">
        <v>3.0</v>
      </c>
      <c r="DP10" s="5"/>
      <c r="DQ10" s="5"/>
      <c r="DR10" s="5"/>
      <c r="DS10" s="7">
        <v>1.0</v>
      </c>
      <c r="DT10" s="5"/>
      <c r="DU10" s="5"/>
      <c r="DV10" s="5"/>
      <c r="DW10" s="5"/>
      <c r="DX10" s="5"/>
      <c r="DY10" s="5"/>
      <c r="DZ10" s="5"/>
      <c r="EA10" s="5"/>
      <c r="EB10" s="5"/>
      <c r="EC10" s="7">
        <v>2.0</v>
      </c>
      <c r="ED10" s="5"/>
      <c r="EE10" s="5"/>
      <c r="EF10" s="7">
        <v>3.0</v>
      </c>
      <c r="EG10" s="5"/>
      <c r="EH10" s="5"/>
      <c r="EI10" s="5"/>
      <c r="EJ10" s="7">
        <v>143.0</v>
      </c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7">
        <v>2.0</v>
      </c>
      <c r="FA10" s="5"/>
      <c r="FB10" s="7">
        <v>51.0</v>
      </c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7">
        <v>42.0</v>
      </c>
      <c r="FS10" s="7">
        <v>121.0</v>
      </c>
      <c r="FT10" s="5"/>
      <c r="FU10" s="5"/>
      <c r="FV10" s="5"/>
      <c r="FW10" s="7">
        <v>3.0</v>
      </c>
      <c r="FX10" s="5"/>
      <c r="FY10" s="5"/>
      <c r="FZ10" s="5"/>
      <c r="GA10" s="5"/>
      <c r="GB10" s="7">
        <v>8.0</v>
      </c>
      <c r="GC10" s="5"/>
      <c r="GD10" s="5"/>
      <c r="GE10" s="5"/>
      <c r="GF10" s="5"/>
      <c r="GG10" s="5"/>
      <c r="GH10" s="7">
        <f t="shared" si="3"/>
        <v>24</v>
      </c>
      <c r="GI10" s="7">
        <f t="shared" si="4"/>
        <v>19</v>
      </c>
      <c r="GJ10" s="7">
        <f t="shared" si="5"/>
        <v>10</v>
      </c>
      <c r="GK10" s="7">
        <f t="shared" si="6"/>
        <v>457</v>
      </c>
      <c r="GL10" s="7">
        <f t="shared" si="7"/>
        <v>650</v>
      </c>
      <c r="GM10" s="7">
        <f t="shared" si="8"/>
        <v>193</v>
      </c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</row>
    <row r="11">
      <c r="A11" s="22">
        <v>43902.0</v>
      </c>
      <c r="B11" s="23" t="s">
        <v>5</v>
      </c>
      <c r="C11" s="16">
        <f t="shared" si="2"/>
        <v>163</v>
      </c>
      <c r="D11" s="24">
        <v>21.316488</v>
      </c>
      <c r="E11" s="24">
        <v>-157.664261</v>
      </c>
      <c r="F11" s="23" t="s">
        <v>24</v>
      </c>
      <c r="G11" s="25">
        <v>0.4166666666666667</v>
      </c>
      <c r="H11" s="25">
        <v>0.4895833333333333</v>
      </c>
      <c r="I11" s="24">
        <v>3.0</v>
      </c>
      <c r="J11" s="24">
        <v>10.0</v>
      </c>
      <c r="K11" s="23" t="s">
        <v>6</v>
      </c>
      <c r="L11" s="24">
        <v>10.0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</row>
    <row r="12">
      <c r="A12" s="15">
        <v>42487.0</v>
      </c>
      <c r="B12" s="12" t="s">
        <v>25</v>
      </c>
      <c r="C12" s="16">
        <f t="shared" si="2"/>
        <v>164</v>
      </c>
      <c r="D12" s="13">
        <v>19.715052</v>
      </c>
      <c r="E12" s="13">
        <v>-156.049133</v>
      </c>
      <c r="F12" s="12" t="s">
        <v>26</v>
      </c>
      <c r="G12" s="14">
        <v>0.4444444444444444</v>
      </c>
      <c r="H12" s="14">
        <v>0.46805555555555556</v>
      </c>
      <c r="I12" s="13">
        <v>4.0</v>
      </c>
      <c r="J12" s="13">
        <v>40.0</v>
      </c>
      <c r="K12" s="12" t="s">
        <v>8</v>
      </c>
      <c r="L12" s="13">
        <v>11.0</v>
      </c>
      <c r="M12" s="13">
        <v>38.0</v>
      </c>
      <c r="N12" s="12" t="s">
        <v>27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3">
        <v>8.0</v>
      </c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3">
        <v>1.0</v>
      </c>
      <c r="FP12" s="12"/>
      <c r="FQ12" s="12"/>
      <c r="FR12" s="12"/>
      <c r="FS12" s="13">
        <v>789.0</v>
      </c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</row>
    <row r="13">
      <c r="A13" s="15">
        <v>42853.0</v>
      </c>
      <c r="B13" s="12" t="s">
        <v>28</v>
      </c>
      <c r="C13" s="16">
        <f t="shared" si="2"/>
        <v>165</v>
      </c>
      <c r="D13" s="13">
        <v>22.060684</v>
      </c>
      <c r="E13" s="13">
        <v>-159.318512</v>
      </c>
      <c r="F13" s="12" t="s">
        <v>26</v>
      </c>
      <c r="G13" s="14">
        <v>0.4479166666666667</v>
      </c>
      <c r="H13" s="14">
        <v>0.5048611111111111</v>
      </c>
      <c r="I13" s="13">
        <v>4.0</v>
      </c>
      <c r="J13" s="13">
        <v>20.0</v>
      </c>
      <c r="K13" s="12" t="s">
        <v>8</v>
      </c>
      <c r="L13" s="13">
        <v>10.0</v>
      </c>
      <c r="M13" s="13">
        <v>31.0</v>
      </c>
      <c r="N13" s="12" t="s">
        <v>29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3">
        <v>5.0</v>
      </c>
      <c r="BO13" s="12"/>
      <c r="BP13" s="12"/>
      <c r="BQ13" s="12"/>
      <c r="BR13" s="12"/>
      <c r="BS13" s="12"/>
      <c r="BT13" s="12"/>
      <c r="BU13" s="12"/>
      <c r="BV13" s="13">
        <v>6.0</v>
      </c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3">
        <v>1.0</v>
      </c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3">
        <v>4.0</v>
      </c>
      <c r="DN13" s="12"/>
      <c r="DO13" s="12"/>
      <c r="DP13" s="12"/>
      <c r="DQ13" s="12"/>
      <c r="DR13" s="12"/>
      <c r="DS13" s="12"/>
      <c r="DT13" s="12"/>
      <c r="DU13" s="12"/>
      <c r="DV13" s="13">
        <v>10.0</v>
      </c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3">
        <v>91.0</v>
      </c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3">
        <v>1.0</v>
      </c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3">
        <v>431.0</v>
      </c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</row>
    <row r="14">
      <c r="A14" s="21">
        <v>42860.0</v>
      </c>
      <c r="B14" s="5" t="s">
        <v>30</v>
      </c>
      <c r="C14" s="16">
        <f t="shared" si="2"/>
        <v>166</v>
      </c>
      <c r="D14" s="7">
        <v>19.637501</v>
      </c>
      <c r="E14" s="7">
        <v>-155.993896</v>
      </c>
      <c r="F14" s="5" t="s">
        <v>26</v>
      </c>
      <c r="G14" s="6">
        <v>0.5104166666666666</v>
      </c>
      <c r="H14" s="6">
        <v>0.5104166666666666</v>
      </c>
      <c r="I14" s="7">
        <v>5.0</v>
      </c>
      <c r="J14" s="7">
        <v>25.0</v>
      </c>
      <c r="K14" s="5" t="s">
        <v>8</v>
      </c>
      <c r="L14" s="7">
        <v>10.0</v>
      </c>
      <c r="M14" s="7">
        <v>44.0</v>
      </c>
      <c r="N14" s="5" t="s">
        <v>31</v>
      </c>
      <c r="O14" s="5"/>
      <c r="P14" s="7">
        <v>44.0</v>
      </c>
      <c r="Q14" s="5"/>
      <c r="R14" s="5"/>
      <c r="S14" s="7">
        <v>6.0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61.0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7">
        <v>51.0</v>
      </c>
      <c r="AY14" s="5"/>
      <c r="AZ14" s="5"/>
      <c r="BA14" s="5"/>
      <c r="BB14" s="7">
        <v>3.0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7">
        <v>11.0</v>
      </c>
      <c r="BN14" s="5"/>
      <c r="BO14" s="5"/>
      <c r="BP14" s="5"/>
      <c r="BQ14" s="5"/>
      <c r="BR14" s="7">
        <v>12.0</v>
      </c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7">
        <v>24.0</v>
      </c>
      <c r="CD14" s="7">
        <v>7.0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7">
        <v>6.0</v>
      </c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7">
        <v>10.0</v>
      </c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7">
        <v>5.0</v>
      </c>
      <c r="EY14" s="5"/>
      <c r="EZ14" s="7">
        <v>5.0</v>
      </c>
      <c r="FA14" s="5"/>
      <c r="FB14" s="7">
        <v>35.0</v>
      </c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7">
        <v>495.0</v>
      </c>
      <c r="FT14" s="5"/>
      <c r="FU14" s="5"/>
      <c r="FV14" s="5"/>
      <c r="FW14" s="7">
        <v>55.0</v>
      </c>
      <c r="FX14" s="5"/>
      <c r="FY14" s="5"/>
      <c r="FZ14" s="5"/>
      <c r="GA14" s="7">
        <v>1.0</v>
      </c>
      <c r="GB14" s="5"/>
      <c r="GC14" s="5"/>
      <c r="GD14" s="7">
        <v>4.0</v>
      </c>
      <c r="GE14" s="5"/>
      <c r="GF14" s="5"/>
      <c r="GG14" s="5"/>
      <c r="GH14" s="7">
        <f t="shared" ref="GH14:GH15" si="9">count(R14:GG14)</f>
        <v>17</v>
      </c>
      <c r="GI14" s="7">
        <f t="shared" ref="GI14:GI15" si="10">countif(R14:GG14,"&gt;=2")</f>
        <v>16</v>
      </c>
      <c r="GJ14" s="7">
        <f t="shared" ref="GJ14:GJ15" si="11">countif(R14:GG14,"&gt;=5")</f>
        <v>14</v>
      </c>
      <c r="GK14" s="7">
        <f t="shared" ref="GK14:GK15" si="12">sum(R14:GG14)</f>
        <v>791</v>
      </c>
      <c r="GL14" s="7">
        <f t="shared" ref="GL14:GL15" si="13">25*P14</f>
        <v>1100</v>
      </c>
      <c r="GM14" s="7">
        <f t="shared" ref="GM14:GM15" si="14">GL14-GK14</f>
        <v>309</v>
      </c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</row>
    <row r="15">
      <c r="A15" s="21">
        <v>43573.0</v>
      </c>
      <c r="B15" s="5" t="s">
        <v>32</v>
      </c>
      <c r="C15" s="16">
        <f t="shared" si="2"/>
        <v>167</v>
      </c>
      <c r="D15" s="7">
        <v>19.640812</v>
      </c>
      <c r="E15" s="7">
        <v>-156.006927</v>
      </c>
      <c r="F15" s="5" t="s">
        <v>26</v>
      </c>
      <c r="G15" s="6">
        <v>0.375</v>
      </c>
      <c r="H15" s="6">
        <v>0.4791666666666667</v>
      </c>
      <c r="I15" s="7">
        <v>4.0</v>
      </c>
      <c r="J15" s="7">
        <v>20.0</v>
      </c>
      <c r="K15" s="5" t="s">
        <v>8</v>
      </c>
      <c r="L15" s="7">
        <v>10.0</v>
      </c>
      <c r="M15" s="7">
        <v>26.0</v>
      </c>
      <c r="N15" s="5" t="s">
        <v>33</v>
      </c>
      <c r="O15" s="5"/>
      <c r="P15" s="7">
        <v>26.0</v>
      </c>
      <c r="Q15" s="5"/>
      <c r="R15" s="5"/>
      <c r="S15" s="5"/>
      <c r="T15" s="7">
        <v>24.0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>
        <v>1.0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7">
        <v>1.0</v>
      </c>
      <c r="AW15" s="5"/>
      <c r="AX15" s="5"/>
      <c r="AY15" s="5"/>
      <c r="AZ15" s="5"/>
      <c r="BA15" s="5"/>
      <c r="BB15" s="7">
        <v>2.0</v>
      </c>
      <c r="BC15" s="5"/>
      <c r="BD15" s="5"/>
      <c r="BE15" s="5"/>
      <c r="BF15" s="5"/>
      <c r="BG15" s="7">
        <v>18.0</v>
      </c>
      <c r="BH15" s="7">
        <v>11.0</v>
      </c>
      <c r="BI15" s="5"/>
      <c r="BJ15" s="5"/>
      <c r="BK15" s="5"/>
      <c r="BL15" s="5"/>
      <c r="BM15" s="7">
        <v>68.0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7">
        <v>5.0</v>
      </c>
      <c r="BZ15" s="5"/>
      <c r="CA15" s="5"/>
      <c r="CB15" s="5"/>
      <c r="CC15" s="7">
        <v>6.0</v>
      </c>
      <c r="CD15" s="7">
        <v>3.0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7">
        <v>11.0</v>
      </c>
      <c r="DN15" s="5"/>
      <c r="DO15" s="5"/>
      <c r="DP15" s="7">
        <v>3.0</v>
      </c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7">
        <v>10.0</v>
      </c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7">
        <v>48.0</v>
      </c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7">
        <v>117.0</v>
      </c>
      <c r="FT15" s="5"/>
      <c r="FU15" s="5"/>
      <c r="FV15" s="5"/>
      <c r="FW15" s="5"/>
      <c r="FX15" s="5"/>
      <c r="FY15" s="5"/>
      <c r="FZ15" s="7">
        <v>12.0</v>
      </c>
      <c r="GA15" s="5"/>
      <c r="GB15" s="5"/>
      <c r="GC15" s="5"/>
      <c r="GD15" s="5"/>
      <c r="GE15" s="5"/>
      <c r="GF15" s="5"/>
      <c r="GG15" s="5"/>
      <c r="GH15" s="7">
        <f t="shared" si="9"/>
        <v>16</v>
      </c>
      <c r="GI15" s="7">
        <f t="shared" si="10"/>
        <v>14</v>
      </c>
      <c r="GJ15" s="7">
        <f t="shared" si="11"/>
        <v>11</v>
      </c>
      <c r="GK15" s="7">
        <f t="shared" si="12"/>
        <v>340</v>
      </c>
      <c r="GL15" s="7">
        <f t="shared" si="13"/>
        <v>650</v>
      </c>
      <c r="GM15" s="7">
        <f t="shared" si="14"/>
        <v>310</v>
      </c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</row>
    <row r="16">
      <c r="A16" s="15">
        <v>43175.0</v>
      </c>
      <c r="B16" s="12" t="s">
        <v>34</v>
      </c>
      <c r="C16" s="16">
        <f t="shared" si="2"/>
        <v>168</v>
      </c>
      <c r="D16" s="13">
        <v>20.7537</v>
      </c>
      <c r="E16" s="13">
        <v>-156.460907</v>
      </c>
      <c r="F16" s="12" t="s">
        <v>35</v>
      </c>
      <c r="G16" s="14">
        <v>0.4166666666666667</v>
      </c>
      <c r="H16" s="14">
        <v>0.5</v>
      </c>
      <c r="I16" s="13">
        <v>5.0</v>
      </c>
      <c r="J16" s="13">
        <v>20.0</v>
      </c>
      <c r="K16" s="12" t="s">
        <v>8</v>
      </c>
      <c r="L16" s="13">
        <v>8.0</v>
      </c>
      <c r="M16" s="13">
        <v>5.0</v>
      </c>
      <c r="N16" s="12" t="s">
        <v>36</v>
      </c>
      <c r="O16" s="12"/>
      <c r="P16" s="12"/>
      <c r="Q16" s="12"/>
      <c r="R16" s="13">
        <v>1.0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3">
        <v>3.0</v>
      </c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3">
        <v>1.0</v>
      </c>
      <c r="CD16" s="13">
        <v>1.0</v>
      </c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3">
        <v>1.0</v>
      </c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3">
        <v>1.0</v>
      </c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</row>
    <row r="17">
      <c r="A17" s="21">
        <v>43602.0</v>
      </c>
      <c r="B17" s="5" t="s">
        <v>37</v>
      </c>
      <c r="C17" s="16">
        <f t="shared" si="2"/>
        <v>169</v>
      </c>
      <c r="D17" s="7">
        <v>21.310612</v>
      </c>
      <c r="E17" s="7">
        <v>-158.00441</v>
      </c>
      <c r="F17" s="5" t="s">
        <v>38</v>
      </c>
      <c r="G17" s="6">
        <v>0.3541666666666667</v>
      </c>
      <c r="H17" s="6">
        <v>0.4375</v>
      </c>
      <c r="I17" s="7">
        <v>5.0</v>
      </c>
      <c r="J17" s="7">
        <v>10.0</v>
      </c>
      <c r="K17" s="5" t="s">
        <v>2</v>
      </c>
      <c r="L17" s="7">
        <v>5.0</v>
      </c>
      <c r="M17" s="7">
        <v>25.0</v>
      </c>
      <c r="N17" s="5"/>
      <c r="O17" s="5"/>
      <c r="P17" s="7">
        <v>25.0</v>
      </c>
      <c r="Q17" s="5"/>
      <c r="R17" s="7">
        <v>19.0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7">
        <v>17.0</v>
      </c>
      <c r="AF17" s="5"/>
      <c r="AG17" s="5"/>
      <c r="AH17" s="5"/>
      <c r="AI17" s="7">
        <v>1.0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7">
        <v>22.0</v>
      </c>
      <c r="BD17" s="7">
        <v>4.0</v>
      </c>
      <c r="BE17" s="7">
        <v>2.0</v>
      </c>
      <c r="BF17" s="5"/>
      <c r="BG17" s="5"/>
      <c r="BH17" s="5"/>
      <c r="BI17" s="5"/>
      <c r="BJ17" s="5"/>
      <c r="BK17" s="5"/>
      <c r="BL17" s="5"/>
      <c r="BM17" s="7">
        <v>22.0</v>
      </c>
      <c r="BN17" s="5"/>
      <c r="BO17" s="5"/>
      <c r="BP17" s="5"/>
      <c r="BQ17" s="5"/>
      <c r="BR17" s="5"/>
      <c r="BS17" s="5"/>
      <c r="BT17" s="5"/>
      <c r="BU17" s="5"/>
      <c r="BV17" s="7">
        <v>26.0</v>
      </c>
      <c r="BW17" s="5"/>
      <c r="BX17" s="5"/>
      <c r="BY17" s="5"/>
      <c r="BZ17" s="7">
        <v>4.0</v>
      </c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7">
        <v>8.0</v>
      </c>
      <c r="ED17" s="5"/>
      <c r="EE17" s="5"/>
      <c r="EF17" s="5"/>
      <c r="EG17" s="5"/>
      <c r="EH17" s="5"/>
      <c r="EI17" s="5"/>
      <c r="EJ17" s="7">
        <v>261.0</v>
      </c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7">
        <v>5.0</v>
      </c>
      <c r="EY17" s="5"/>
      <c r="EZ17" s="5"/>
      <c r="FA17" s="5"/>
      <c r="FB17" s="5"/>
      <c r="FC17" s="5"/>
      <c r="FD17" s="5"/>
      <c r="FE17" s="5"/>
      <c r="FF17" s="7">
        <v>2.0</v>
      </c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7">
        <v>2.0</v>
      </c>
      <c r="FS17" s="7">
        <v>97.0</v>
      </c>
      <c r="FT17" s="5"/>
      <c r="FU17" s="5"/>
      <c r="FV17" s="5"/>
      <c r="FW17" s="7">
        <v>1.0</v>
      </c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7">
        <f t="shared" ref="GH17:GH21" si="15">count(R17:GG17)</f>
        <v>16</v>
      </c>
      <c r="GI17" s="7">
        <f t="shared" ref="GI17:GI21" si="16">countif(R17:GG17,"&gt;=2")</f>
        <v>14</v>
      </c>
      <c r="GJ17" s="7">
        <f t="shared" ref="GJ17:GJ21" si="17">countif(R17:GG17,"&gt;=5")</f>
        <v>9</v>
      </c>
      <c r="GK17" s="7">
        <f t="shared" ref="GK17:GK21" si="18">sum(R17:GG17)</f>
        <v>493</v>
      </c>
      <c r="GL17" s="7">
        <f t="shared" ref="GL17:GL21" si="19">25*P17</f>
        <v>625</v>
      </c>
      <c r="GM17" s="7">
        <f t="shared" ref="GM17:GM21" si="20">GL17-GK17</f>
        <v>132</v>
      </c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</row>
    <row r="18">
      <c r="A18" s="21">
        <v>42464.0</v>
      </c>
      <c r="B18" s="5" t="s">
        <v>37</v>
      </c>
      <c r="C18" s="16">
        <f t="shared" si="2"/>
        <v>170</v>
      </c>
      <c r="D18" s="7">
        <v>21.310612</v>
      </c>
      <c r="E18" s="7">
        <v>-158.00441</v>
      </c>
      <c r="F18" s="5" t="s">
        <v>39</v>
      </c>
      <c r="G18" s="6">
        <v>0.375</v>
      </c>
      <c r="H18" s="6">
        <v>0.4583333333333333</v>
      </c>
      <c r="I18" s="7">
        <v>5.0</v>
      </c>
      <c r="J18" s="7">
        <v>12.0</v>
      </c>
      <c r="K18" s="5" t="s">
        <v>8</v>
      </c>
      <c r="L18" s="7">
        <v>6.0</v>
      </c>
      <c r="M18" s="7">
        <v>26.0</v>
      </c>
      <c r="N18" s="5" t="s">
        <v>40</v>
      </c>
      <c r="O18" s="5"/>
      <c r="P18" s="7">
        <v>26.0</v>
      </c>
      <c r="Q18" s="5"/>
      <c r="R18" s="7">
        <v>61.0</v>
      </c>
      <c r="S18" s="5"/>
      <c r="T18" s="7">
        <v>1.0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7">
        <v>1.0</v>
      </c>
      <c r="BN18" s="5"/>
      <c r="BO18" s="5"/>
      <c r="BP18" s="5"/>
      <c r="BQ18" s="5"/>
      <c r="BR18" s="5"/>
      <c r="BS18" s="5"/>
      <c r="BT18" s="5"/>
      <c r="BU18" s="5"/>
      <c r="BV18" s="7">
        <v>14.0</v>
      </c>
      <c r="BW18" s="5"/>
      <c r="BX18" s="5"/>
      <c r="BY18" s="5"/>
      <c r="BZ18" s="7">
        <v>8.0</v>
      </c>
      <c r="CA18" s="5"/>
      <c r="CB18" s="5"/>
      <c r="CC18" s="5"/>
      <c r="CD18" s="5"/>
      <c r="CE18" s="5"/>
      <c r="CF18" s="5"/>
      <c r="CG18" s="5"/>
      <c r="CH18" s="7">
        <v>1.0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7">
        <v>1.0</v>
      </c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7">
        <v>23.0</v>
      </c>
      <c r="DH18" s="5"/>
      <c r="DI18" s="5"/>
      <c r="DJ18" s="5"/>
      <c r="DK18" s="5"/>
      <c r="DL18" s="5"/>
      <c r="DM18" s="7">
        <v>35.0</v>
      </c>
      <c r="DN18" s="5"/>
      <c r="DO18" s="5"/>
      <c r="DP18" s="5"/>
      <c r="DQ18" s="5"/>
      <c r="DR18" s="5"/>
      <c r="DS18" s="5"/>
      <c r="DT18" s="5"/>
      <c r="DU18" s="5"/>
      <c r="DV18" s="7">
        <v>7.0</v>
      </c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7">
        <v>307.0</v>
      </c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7">
        <v>9.0</v>
      </c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7">
        <v>1.0</v>
      </c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7">
        <f t="shared" si="15"/>
        <v>13</v>
      </c>
      <c r="GI18" s="7">
        <f t="shared" si="16"/>
        <v>8</v>
      </c>
      <c r="GJ18" s="7">
        <f t="shared" si="17"/>
        <v>8</v>
      </c>
      <c r="GK18" s="7">
        <f t="shared" si="18"/>
        <v>469</v>
      </c>
      <c r="GL18" s="7">
        <f t="shared" si="19"/>
        <v>650</v>
      </c>
      <c r="GM18" s="7">
        <f t="shared" si="20"/>
        <v>181</v>
      </c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</row>
    <row r="19">
      <c r="A19" s="21">
        <v>42465.0</v>
      </c>
      <c r="B19" s="5" t="s">
        <v>37</v>
      </c>
      <c r="C19" s="16">
        <f t="shared" si="2"/>
        <v>171</v>
      </c>
      <c r="D19" s="7">
        <v>21.310612</v>
      </c>
      <c r="E19" s="7">
        <v>-158.00441</v>
      </c>
      <c r="F19" s="5" t="s">
        <v>39</v>
      </c>
      <c r="G19" s="6">
        <v>0.375</v>
      </c>
      <c r="H19" s="6">
        <v>0.4583333333333333</v>
      </c>
      <c r="I19" s="7">
        <v>5.0</v>
      </c>
      <c r="J19" s="7">
        <v>12.0</v>
      </c>
      <c r="K19" s="5" t="s">
        <v>8</v>
      </c>
      <c r="L19" s="7">
        <v>6.0</v>
      </c>
      <c r="M19" s="7">
        <v>29.0</v>
      </c>
      <c r="N19" s="5" t="s">
        <v>41</v>
      </c>
      <c r="O19" s="5"/>
      <c r="P19" s="7">
        <v>29.0</v>
      </c>
      <c r="Q19" s="5"/>
      <c r="R19" s="7">
        <v>49.0</v>
      </c>
      <c r="S19" s="5"/>
      <c r="T19" s="5"/>
      <c r="U19" s="5"/>
      <c r="V19" s="5"/>
      <c r="W19" s="7">
        <v>5.0</v>
      </c>
      <c r="X19" s="5"/>
      <c r="Y19" s="5"/>
      <c r="Z19" s="5"/>
      <c r="AA19" s="5"/>
      <c r="AB19" s="7">
        <v>3.0</v>
      </c>
      <c r="AC19" s="7">
        <v>5.0</v>
      </c>
      <c r="AD19" s="5"/>
      <c r="AE19" s="7">
        <v>1.0</v>
      </c>
      <c r="AF19" s="5"/>
      <c r="AG19" s="5"/>
      <c r="AH19" s="5"/>
      <c r="AI19" s="7">
        <v>7.0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7">
        <v>13.0</v>
      </c>
      <c r="BF19" s="5"/>
      <c r="BG19" s="5"/>
      <c r="BH19" s="5"/>
      <c r="BI19" s="5"/>
      <c r="BJ19" s="5"/>
      <c r="BK19" s="5"/>
      <c r="BL19" s="5"/>
      <c r="BM19" s="7">
        <v>12.0</v>
      </c>
      <c r="BN19" s="5"/>
      <c r="BO19" s="5"/>
      <c r="BP19" s="5"/>
      <c r="BQ19" s="5"/>
      <c r="BR19" s="5"/>
      <c r="BS19" s="5"/>
      <c r="BT19" s="5"/>
      <c r="BU19" s="5"/>
      <c r="BV19" s="7">
        <v>60.0</v>
      </c>
      <c r="BW19" s="5"/>
      <c r="BX19" s="5"/>
      <c r="BY19" s="5"/>
      <c r="BZ19" s="7">
        <v>7.0</v>
      </c>
      <c r="CA19" s="5"/>
      <c r="CB19" s="5"/>
      <c r="CC19" s="5"/>
      <c r="CD19" s="5"/>
      <c r="CE19" s="5"/>
      <c r="CF19" s="5"/>
      <c r="CG19" s="5"/>
      <c r="CH19" s="7">
        <v>4.0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7">
        <v>1.0</v>
      </c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7">
        <v>10.0</v>
      </c>
      <c r="DH19" s="5"/>
      <c r="DI19" s="5"/>
      <c r="DJ19" s="5"/>
      <c r="DK19" s="5"/>
      <c r="DL19" s="5"/>
      <c r="DM19" s="7">
        <v>22.0</v>
      </c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7">
        <v>2.0</v>
      </c>
      <c r="ED19" s="5"/>
      <c r="EE19" s="5"/>
      <c r="EF19" s="5"/>
      <c r="EG19" s="5"/>
      <c r="EH19" s="5"/>
      <c r="EI19" s="5"/>
      <c r="EJ19" s="7">
        <v>299.0</v>
      </c>
      <c r="EK19" s="7">
        <v>13.0</v>
      </c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7">
        <v>5.0</v>
      </c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7">
        <v>48.0</v>
      </c>
      <c r="FT19" s="5"/>
      <c r="FU19" s="5"/>
      <c r="FV19" s="5"/>
      <c r="FW19" s="5"/>
      <c r="FX19" s="5"/>
      <c r="FY19" s="5"/>
      <c r="FZ19" s="7">
        <v>10.0</v>
      </c>
      <c r="GA19" s="5"/>
      <c r="GB19" s="5"/>
      <c r="GC19" s="5"/>
      <c r="GD19" s="5"/>
      <c r="GE19" s="5"/>
      <c r="GF19" s="5"/>
      <c r="GG19" s="5"/>
      <c r="GH19" s="7">
        <f t="shared" si="15"/>
        <v>20</v>
      </c>
      <c r="GI19" s="7">
        <f t="shared" si="16"/>
        <v>18</v>
      </c>
      <c r="GJ19" s="7">
        <f t="shared" si="17"/>
        <v>15</v>
      </c>
      <c r="GK19" s="7">
        <f t="shared" si="18"/>
        <v>576</v>
      </c>
      <c r="GL19" s="7">
        <f t="shared" si="19"/>
        <v>725</v>
      </c>
      <c r="GM19" s="7">
        <f t="shared" si="20"/>
        <v>149</v>
      </c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</row>
    <row r="20">
      <c r="A20" s="26">
        <v>42802.0</v>
      </c>
      <c r="B20" s="27" t="s">
        <v>37</v>
      </c>
      <c r="C20" s="16">
        <f t="shared" si="2"/>
        <v>172</v>
      </c>
      <c r="D20" s="28">
        <v>21.310612</v>
      </c>
      <c r="E20" s="28">
        <v>-158.00441</v>
      </c>
      <c r="F20" s="27" t="s">
        <v>39</v>
      </c>
      <c r="G20" s="29">
        <v>0.3854166666666667</v>
      </c>
      <c r="H20" s="29">
        <v>0.46875</v>
      </c>
      <c r="I20" s="28">
        <v>6.0</v>
      </c>
      <c r="J20" s="28">
        <v>10.0</v>
      </c>
      <c r="K20" s="27" t="s">
        <v>8</v>
      </c>
      <c r="L20" s="28">
        <v>5.0</v>
      </c>
      <c r="M20" s="28">
        <v>30.0</v>
      </c>
      <c r="N20" s="27"/>
      <c r="O20" s="27"/>
      <c r="P20" s="27"/>
      <c r="Q20" s="27"/>
      <c r="R20" s="28">
        <v>2.0</v>
      </c>
      <c r="S20" s="27"/>
      <c r="T20" s="27"/>
      <c r="U20" s="27"/>
      <c r="V20" s="27"/>
      <c r="W20" s="27"/>
      <c r="X20" s="27"/>
      <c r="Y20" s="27"/>
      <c r="Z20" s="27"/>
      <c r="AA20" s="27"/>
      <c r="AB20" s="28">
        <v>1.0</v>
      </c>
      <c r="AC20" s="27"/>
      <c r="AD20" s="27"/>
      <c r="AE20" s="28">
        <v>6.0</v>
      </c>
      <c r="AF20" s="27"/>
      <c r="AG20" s="27"/>
      <c r="AH20" s="27"/>
      <c r="AI20" s="28">
        <v>6.0</v>
      </c>
      <c r="AJ20" s="27"/>
      <c r="AK20" s="27"/>
      <c r="AL20" s="27"/>
      <c r="AM20" s="28">
        <v>2.0</v>
      </c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8">
        <v>2.0</v>
      </c>
      <c r="BC20" s="27"/>
      <c r="BD20" s="27"/>
      <c r="BE20" s="28">
        <v>4.0</v>
      </c>
      <c r="BF20" s="27"/>
      <c r="BG20" s="27"/>
      <c r="BH20" s="27"/>
      <c r="BI20" s="27"/>
      <c r="BJ20" s="27"/>
      <c r="BK20" s="28">
        <v>1.0</v>
      </c>
      <c r="BL20" s="27"/>
      <c r="BM20" s="28">
        <v>77.0</v>
      </c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8">
        <v>12.0</v>
      </c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8">
        <v>1.0</v>
      </c>
      <c r="CT20" s="27"/>
      <c r="CU20" s="27"/>
      <c r="CV20" s="28">
        <v>1.0</v>
      </c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8">
        <v>2.0</v>
      </c>
      <c r="DH20" s="27"/>
      <c r="DI20" s="27"/>
      <c r="DJ20" s="27"/>
      <c r="DK20" s="27"/>
      <c r="DL20" s="27"/>
      <c r="DM20" s="28">
        <v>34.0</v>
      </c>
      <c r="DN20" s="27"/>
      <c r="DO20" s="28">
        <v>1.0</v>
      </c>
      <c r="DP20" s="27"/>
      <c r="DQ20" s="27"/>
      <c r="DR20" s="27"/>
      <c r="DS20" s="28">
        <v>13.0</v>
      </c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8">
        <v>176.0</v>
      </c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8">
        <v>16.0</v>
      </c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8">
        <v>51.0</v>
      </c>
      <c r="FT20" s="27"/>
      <c r="FU20" s="27"/>
      <c r="FV20" s="27"/>
      <c r="FW20" s="28">
        <v>72.0</v>
      </c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8">
        <f t="shared" si="15"/>
        <v>20</v>
      </c>
      <c r="GI20" s="28">
        <f t="shared" si="16"/>
        <v>15</v>
      </c>
      <c r="GJ20" s="28">
        <f t="shared" si="17"/>
        <v>10</v>
      </c>
      <c r="GK20" s="28">
        <f t="shared" si="18"/>
        <v>480</v>
      </c>
      <c r="GL20" s="28">
        <f t="shared" si="19"/>
        <v>0</v>
      </c>
      <c r="GM20" s="28">
        <f t="shared" si="20"/>
        <v>-480</v>
      </c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</row>
    <row r="21">
      <c r="A21" s="21">
        <v>42823.0</v>
      </c>
      <c r="B21" s="5" t="s">
        <v>37</v>
      </c>
      <c r="C21" s="16">
        <f t="shared" si="2"/>
        <v>173</v>
      </c>
      <c r="D21" s="7">
        <v>21.310612</v>
      </c>
      <c r="E21" s="7">
        <v>-158.00441</v>
      </c>
      <c r="F21" s="5" t="s">
        <v>39</v>
      </c>
      <c r="G21" s="6">
        <v>0.3854166666666667</v>
      </c>
      <c r="H21" s="6">
        <v>0.46875</v>
      </c>
      <c r="I21" s="7">
        <v>6.0</v>
      </c>
      <c r="J21" s="7">
        <v>10.0</v>
      </c>
      <c r="K21" s="5" t="s">
        <v>8</v>
      </c>
      <c r="L21" s="7">
        <v>5.0</v>
      </c>
      <c r="M21" s="7">
        <v>26.0</v>
      </c>
      <c r="N21" s="5" t="s">
        <v>42</v>
      </c>
      <c r="O21" s="5"/>
      <c r="P21" s="7">
        <v>26.0</v>
      </c>
      <c r="Q21" s="5"/>
      <c r="R21" s="7">
        <v>8.0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7">
        <v>14.0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7">
        <v>2.0</v>
      </c>
      <c r="BN21" s="5"/>
      <c r="BO21" s="5"/>
      <c r="BP21" s="5"/>
      <c r="BQ21" s="5"/>
      <c r="BR21" s="5"/>
      <c r="BS21" s="5"/>
      <c r="BT21" s="5"/>
      <c r="BU21" s="5"/>
      <c r="BV21" s="7">
        <v>16.0</v>
      </c>
      <c r="BW21" s="5"/>
      <c r="BX21" s="5"/>
      <c r="BY21" s="5"/>
      <c r="BZ21" s="7">
        <v>42.0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7">
        <v>40.0</v>
      </c>
      <c r="DH21" s="5"/>
      <c r="DI21" s="5"/>
      <c r="DJ21" s="5"/>
      <c r="DK21" s="5"/>
      <c r="DL21" s="5"/>
      <c r="DM21" s="7">
        <v>40.0</v>
      </c>
      <c r="DN21" s="5"/>
      <c r="DO21" s="5"/>
      <c r="DP21" s="5"/>
      <c r="DQ21" s="5"/>
      <c r="DR21" s="5"/>
      <c r="DS21" s="7">
        <v>2.0</v>
      </c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7">
        <v>231.0</v>
      </c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7">
        <v>20.0</v>
      </c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7">
        <v>47.0</v>
      </c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7">
        <f t="shared" si="15"/>
        <v>11</v>
      </c>
      <c r="GI21" s="7">
        <f t="shared" si="16"/>
        <v>11</v>
      </c>
      <c r="GJ21" s="7">
        <f t="shared" si="17"/>
        <v>9</v>
      </c>
      <c r="GK21" s="7">
        <f t="shared" si="18"/>
        <v>462</v>
      </c>
      <c r="GL21" s="7">
        <f t="shared" si="19"/>
        <v>650</v>
      </c>
      <c r="GM21" s="7">
        <f t="shared" si="20"/>
        <v>188</v>
      </c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</row>
    <row r="22">
      <c r="A22" s="15">
        <v>42825.0</v>
      </c>
      <c r="B22" s="12" t="s">
        <v>43</v>
      </c>
      <c r="C22" s="16">
        <f t="shared" si="2"/>
        <v>174</v>
      </c>
      <c r="D22" s="13">
        <v>21.2882</v>
      </c>
      <c r="E22" s="13">
        <v>-157.667999</v>
      </c>
      <c r="F22" s="12" t="s">
        <v>39</v>
      </c>
      <c r="G22" s="14">
        <v>0.4173611111111111</v>
      </c>
      <c r="H22" s="14">
        <v>0.45069444444444445</v>
      </c>
      <c r="I22" s="13">
        <v>6.0</v>
      </c>
      <c r="J22" s="13">
        <v>12.0</v>
      </c>
      <c r="K22" s="12" t="s">
        <v>44</v>
      </c>
      <c r="L22" s="13">
        <v>5.0</v>
      </c>
      <c r="M22" s="13">
        <v>9.0</v>
      </c>
      <c r="N22" s="12" t="s">
        <v>45</v>
      </c>
      <c r="O22" s="12"/>
      <c r="P22" s="12"/>
      <c r="Q22" s="12"/>
      <c r="R22" s="13">
        <v>4.0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3">
        <v>18.0</v>
      </c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3">
        <v>3.0</v>
      </c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3">
        <v>2.0</v>
      </c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3">
        <v>1.0</v>
      </c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3">
        <v>3.0</v>
      </c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3">
        <v>13.0</v>
      </c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3">
        <v>1.0</v>
      </c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3">
        <v>10.0</v>
      </c>
      <c r="FS22" s="13">
        <v>71.0</v>
      </c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</row>
    <row r="23">
      <c r="A23" s="21">
        <v>42844.0</v>
      </c>
      <c r="B23" s="5" t="s">
        <v>37</v>
      </c>
      <c r="C23" s="16">
        <f t="shared" si="2"/>
        <v>175</v>
      </c>
      <c r="D23" s="7">
        <v>21.310612</v>
      </c>
      <c r="E23" s="7">
        <v>-158.00441</v>
      </c>
      <c r="F23" s="5" t="s">
        <v>39</v>
      </c>
      <c r="G23" s="6">
        <v>0.3854166666666667</v>
      </c>
      <c r="H23" s="6">
        <v>0.46875</v>
      </c>
      <c r="I23" s="7">
        <v>6.0</v>
      </c>
      <c r="J23" s="7">
        <v>6.0</v>
      </c>
      <c r="K23" s="5" t="s">
        <v>8</v>
      </c>
      <c r="L23" s="7">
        <v>5.0</v>
      </c>
      <c r="M23" s="7">
        <v>24.0</v>
      </c>
      <c r="N23" s="5" t="s">
        <v>46</v>
      </c>
      <c r="O23" s="5" t="s">
        <v>47</v>
      </c>
      <c r="P23" s="7">
        <v>24.0</v>
      </c>
      <c r="Q23" s="5"/>
      <c r="R23" s="7">
        <v>9.0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7">
        <v>2.0</v>
      </c>
      <c r="AF23" s="5"/>
      <c r="AG23" s="5"/>
      <c r="AH23" s="5"/>
      <c r="AI23" s="7">
        <v>8.0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7">
        <v>2.0</v>
      </c>
      <c r="AX23" s="5"/>
      <c r="AY23" s="5"/>
      <c r="AZ23" s="5"/>
      <c r="BA23" s="5"/>
      <c r="BB23" s="7">
        <v>1.0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7">
        <v>2.0</v>
      </c>
      <c r="BN23" s="5"/>
      <c r="BO23" s="5"/>
      <c r="BP23" s="5"/>
      <c r="BQ23" s="5"/>
      <c r="BR23" s="5"/>
      <c r="BS23" s="5"/>
      <c r="BT23" s="5"/>
      <c r="BU23" s="5"/>
      <c r="BV23" s="7">
        <v>3.0</v>
      </c>
      <c r="BW23" s="5"/>
      <c r="BX23" s="5"/>
      <c r="BY23" s="5"/>
      <c r="BZ23" s="7">
        <v>95.0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7">
        <v>4.0</v>
      </c>
      <c r="DH23" s="5"/>
      <c r="DI23" s="5"/>
      <c r="DJ23" s="5"/>
      <c r="DK23" s="5"/>
      <c r="DL23" s="5"/>
      <c r="DM23" s="7">
        <v>30.0</v>
      </c>
      <c r="DN23" s="5"/>
      <c r="DO23" s="5"/>
      <c r="DP23" s="5"/>
      <c r="DQ23" s="5"/>
      <c r="DR23" s="5"/>
      <c r="DS23" s="7">
        <v>1.0</v>
      </c>
      <c r="DT23" s="5"/>
      <c r="DU23" s="5"/>
      <c r="DV23" s="5"/>
      <c r="DW23" s="5"/>
      <c r="DX23" s="5"/>
      <c r="DY23" s="5"/>
      <c r="DZ23" s="5"/>
      <c r="EA23" s="5"/>
      <c r="EB23" s="5"/>
      <c r="EC23" s="7">
        <v>3.0</v>
      </c>
      <c r="ED23" s="5"/>
      <c r="EE23" s="5"/>
      <c r="EF23" s="5"/>
      <c r="EG23" s="5"/>
      <c r="EH23" s="5"/>
      <c r="EI23" s="5"/>
      <c r="EJ23" s="7">
        <v>288.0</v>
      </c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7">
        <v>1.0</v>
      </c>
      <c r="EY23" s="5"/>
      <c r="EZ23" s="5"/>
      <c r="FA23" s="5"/>
      <c r="FB23" s="5"/>
      <c r="FC23" s="5"/>
      <c r="FD23" s="5"/>
      <c r="FE23" s="5"/>
      <c r="FF23" s="7">
        <v>1.0</v>
      </c>
      <c r="FG23" s="5"/>
      <c r="FH23" s="5"/>
      <c r="FI23" s="7">
        <v>33.0</v>
      </c>
      <c r="FJ23" s="5"/>
      <c r="FK23" s="5"/>
      <c r="FL23" s="5"/>
      <c r="FM23" s="5"/>
      <c r="FN23" s="5"/>
      <c r="FO23" s="5"/>
      <c r="FP23" s="5"/>
      <c r="FQ23" s="5"/>
      <c r="FR23" s="5"/>
      <c r="FS23" s="7">
        <v>20.0</v>
      </c>
      <c r="FT23" s="5"/>
      <c r="FU23" s="5"/>
      <c r="FV23" s="5"/>
      <c r="FW23" s="7">
        <v>1.0</v>
      </c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7">
        <f t="shared" ref="GH23:GH25" si="21">count(R23:GG23)</f>
        <v>18</v>
      </c>
      <c r="GI23" s="7">
        <f t="shared" ref="GI23:GI25" si="22">countif(R23:GG23,"&gt;=2")</f>
        <v>13</v>
      </c>
      <c r="GJ23" s="7">
        <f t="shared" ref="GJ23:GJ25" si="23">countif(R23:GG23,"&gt;=5")</f>
        <v>7</v>
      </c>
      <c r="GK23" s="7">
        <f t="shared" ref="GK23:GK25" si="24">sum(R23:GG23)</f>
        <v>504</v>
      </c>
      <c r="GL23" s="7">
        <f t="shared" ref="GL23:GL25" si="25">25*P23</f>
        <v>600</v>
      </c>
      <c r="GM23" s="7">
        <f t="shared" ref="GM23:GM25" si="26">GL23-GK23</f>
        <v>96</v>
      </c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</row>
    <row r="24">
      <c r="A24" s="21">
        <v>42860.0</v>
      </c>
      <c r="B24" s="5" t="s">
        <v>37</v>
      </c>
      <c r="C24" s="16">
        <f t="shared" si="2"/>
        <v>176</v>
      </c>
      <c r="D24" s="7">
        <v>21.310612</v>
      </c>
      <c r="E24" s="7">
        <v>-158.00441</v>
      </c>
      <c r="F24" s="5" t="s">
        <v>39</v>
      </c>
      <c r="G24" s="6">
        <v>0.3854166666666667</v>
      </c>
      <c r="H24" s="6">
        <v>0.4583333333333333</v>
      </c>
      <c r="I24" s="7">
        <v>6.0</v>
      </c>
      <c r="J24" s="7">
        <v>12.0</v>
      </c>
      <c r="K24" s="5" t="s">
        <v>8</v>
      </c>
      <c r="L24" s="7">
        <v>5.0</v>
      </c>
      <c r="M24" s="7">
        <v>25.0</v>
      </c>
      <c r="N24" s="5" t="s">
        <v>48</v>
      </c>
      <c r="O24" s="5"/>
      <c r="P24" s="7">
        <v>25.0</v>
      </c>
      <c r="Q24" s="5"/>
      <c r="R24" s="7">
        <v>2.0</v>
      </c>
      <c r="S24" s="5"/>
      <c r="T24" s="5"/>
      <c r="U24" s="5"/>
      <c r="V24" s="5"/>
      <c r="W24" s="5"/>
      <c r="X24" s="5"/>
      <c r="Y24" s="5"/>
      <c r="Z24" s="5"/>
      <c r="AA24" s="5"/>
      <c r="AB24" s="7">
        <v>2.0</v>
      </c>
      <c r="AC24" s="7">
        <v>4.0</v>
      </c>
      <c r="AD24" s="5"/>
      <c r="AE24" s="7">
        <v>4.0</v>
      </c>
      <c r="AF24" s="5"/>
      <c r="AG24" s="5"/>
      <c r="AH24" s="5"/>
      <c r="AI24" s="7">
        <v>1.0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7">
        <v>1.0</v>
      </c>
      <c r="BC24" s="5"/>
      <c r="BD24" s="5"/>
      <c r="BE24" s="7">
        <v>1.0</v>
      </c>
      <c r="BF24" s="7">
        <v>1.0</v>
      </c>
      <c r="BG24" s="5"/>
      <c r="BH24" s="5"/>
      <c r="BI24" s="5"/>
      <c r="BJ24" s="5"/>
      <c r="BK24" s="5"/>
      <c r="BL24" s="5"/>
      <c r="BM24" s="7">
        <v>30.0</v>
      </c>
      <c r="BN24" s="5"/>
      <c r="BO24" s="5"/>
      <c r="BP24" s="5"/>
      <c r="BQ24" s="5"/>
      <c r="BR24" s="5"/>
      <c r="BS24" s="7">
        <v>3.0</v>
      </c>
      <c r="BT24" s="5"/>
      <c r="BU24" s="5"/>
      <c r="BV24" s="7">
        <v>2.0</v>
      </c>
      <c r="BW24" s="5"/>
      <c r="BX24" s="5"/>
      <c r="BY24" s="5"/>
      <c r="BZ24" s="7">
        <v>54.0</v>
      </c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7">
        <v>5.0</v>
      </c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7">
        <v>3.0</v>
      </c>
      <c r="DH24" s="5"/>
      <c r="DI24" s="5"/>
      <c r="DJ24" s="5"/>
      <c r="DK24" s="5"/>
      <c r="DL24" s="5"/>
      <c r="DM24" s="7">
        <v>27.0</v>
      </c>
      <c r="DN24" s="5"/>
      <c r="DO24" s="7">
        <v>5.0</v>
      </c>
      <c r="DP24" s="5"/>
      <c r="DQ24" s="5"/>
      <c r="DR24" s="5"/>
      <c r="DS24" s="5"/>
      <c r="DT24" s="5"/>
      <c r="DU24" s="5"/>
      <c r="DV24" s="7">
        <v>1.0</v>
      </c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7">
        <v>305.0</v>
      </c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7">
        <v>24.0</v>
      </c>
      <c r="FJ24" s="5"/>
      <c r="FK24" s="5"/>
      <c r="FL24" s="5"/>
      <c r="FM24" s="5"/>
      <c r="FN24" s="7">
        <v>1.0</v>
      </c>
      <c r="FO24" s="5"/>
      <c r="FP24" s="5"/>
      <c r="FQ24" s="5"/>
      <c r="FR24" s="5"/>
      <c r="FS24" s="7">
        <v>40.0</v>
      </c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7">
        <f t="shared" si="21"/>
        <v>21</v>
      </c>
      <c r="GI24" s="7">
        <f t="shared" si="22"/>
        <v>15</v>
      </c>
      <c r="GJ24" s="7">
        <f t="shared" si="23"/>
        <v>8</v>
      </c>
      <c r="GK24" s="7">
        <f t="shared" si="24"/>
        <v>516</v>
      </c>
      <c r="GL24" s="7">
        <f t="shared" si="25"/>
        <v>625</v>
      </c>
      <c r="GM24" s="7">
        <f t="shared" si="26"/>
        <v>109</v>
      </c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</row>
    <row r="25">
      <c r="A25" s="21">
        <v>42866.0</v>
      </c>
      <c r="B25" s="5" t="s">
        <v>37</v>
      </c>
      <c r="C25" s="16">
        <f t="shared" si="2"/>
        <v>177</v>
      </c>
      <c r="D25" s="7">
        <v>21.310612</v>
      </c>
      <c r="E25" s="7">
        <v>-158.00441</v>
      </c>
      <c r="F25" s="5" t="s">
        <v>39</v>
      </c>
      <c r="G25" s="6">
        <v>0.3854166666666667</v>
      </c>
      <c r="H25" s="6">
        <v>0.4583333333333333</v>
      </c>
      <c r="I25" s="7">
        <v>6.0</v>
      </c>
      <c r="J25" s="7">
        <v>11.0</v>
      </c>
      <c r="K25" s="5" t="s">
        <v>8</v>
      </c>
      <c r="L25" s="7">
        <v>5.0</v>
      </c>
      <c r="M25" s="7">
        <v>24.0</v>
      </c>
      <c r="N25" s="5" t="s">
        <v>49</v>
      </c>
      <c r="O25" s="5"/>
      <c r="P25" s="7">
        <v>24.0</v>
      </c>
      <c r="Q25" s="5"/>
      <c r="R25" s="7">
        <v>35.0</v>
      </c>
      <c r="S25" s="5"/>
      <c r="T25" s="5"/>
      <c r="U25" s="5"/>
      <c r="V25" s="5"/>
      <c r="W25" s="5"/>
      <c r="X25" s="5"/>
      <c r="Y25" s="5"/>
      <c r="Z25" s="5"/>
      <c r="AA25" s="5"/>
      <c r="AB25" s="7">
        <v>10.0</v>
      </c>
      <c r="AC25" s="5"/>
      <c r="AD25" s="5"/>
      <c r="AE25" s="7">
        <v>5.0</v>
      </c>
      <c r="AF25" s="5"/>
      <c r="AG25" s="5"/>
      <c r="AH25" s="5"/>
      <c r="AI25" s="7">
        <v>9.0</v>
      </c>
      <c r="AJ25" s="5"/>
      <c r="AK25" s="5"/>
      <c r="AL25" s="5"/>
      <c r="AM25" s="5"/>
      <c r="AN25" s="7">
        <v>1.0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7">
        <v>5.0</v>
      </c>
      <c r="BC25" s="5"/>
      <c r="BD25" s="5"/>
      <c r="BE25" s="7">
        <v>5.0</v>
      </c>
      <c r="BF25" s="5"/>
      <c r="BG25" s="5"/>
      <c r="BH25" s="5"/>
      <c r="BI25" s="5"/>
      <c r="BJ25" s="5"/>
      <c r="BK25" s="5"/>
      <c r="BL25" s="5"/>
      <c r="BM25" s="7">
        <v>1.0</v>
      </c>
      <c r="BN25" s="5"/>
      <c r="BO25" s="5"/>
      <c r="BP25" s="7">
        <v>1.0</v>
      </c>
      <c r="BQ25" s="7">
        <v>1.0</v>
      </c>
      <c r="BR25" s="5"/>
      <c r="BS25" s="5"/>
      <c r="BT25" s="5"/>
      <c r="BU25" s="5"/>
      <c r="BV25" s="7">
        <v>11.0</v>
      </c>
      <c r="BW25" s="5"/>
      <c r="BX25" s="5"/>
      <c r="BY25" s="5"/>
      <c r="BZ25" s="7">
        <v>2.0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7">
        <v>1.0</v>
      </c>
      <c r="CL25" s="5"/>
      <c r="CM25" s="5"/>
      <c r="CN25" s="5"/>
      <c r="CO25" s="7">
        <v>7.0</v>
      </c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7">
        <v>12.0</v>
      </c>
      <c r="DH25" s="5"/>
      <c r="DI25" s="5"/>
      <c r="DJ25" s="5"/>
      <c r="DK25" s="5"/>
      <c r="DL25" s="5"/>
      <c r="DM25" s="7">
        <v>32.0</v>
      </c>
      <c r="DN25" s="5"/>
      <c r="DO25" s="7">
        <v>4.0</v>
      </c>
      <c r="DP25" s="5"/>
      <c r="DQ25" s="5"/>
      <c r="DR25" s="5"/>
      <c r="DS25" s="5"/>
      <c r="DT25" s="5"/>
      <c r="DU25" s="5"/>
      <c r="DV25" s="7">
        <v>6.0</v>
      </c>
      <c r="DW25" s="5"/>
      <c r="DX25" s="5"/>
      <c r="DY25" s="5"/>
      <c r="DZ25" s="5"/>
      <c r="EA25" s="5"/>
      <c r="EB25" s="5"/>
      <c r="EC25" s="7">
        <v>4.0</v>
      </c>
      <c r="ED25" s="5"/>
      <c r="EE25" s="5"/>
      <c r="EF25" s="5"/>
      <c r="EG25" s="5"/>
      <c r="EH25" s="5"/>
      <c r="EI25" s="5"/>
      <c r="EJ25" s="7">
        <v>122.0</v>
      </c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7">
        <v>9.0</v>
      </c>
      <c r="EY25" s="5"/>
      <c r="EZ25" s="5"/>
      <c r="FA25" s="5"/>
      <c r="FB25" s="7">
        <v>13.0</v>
      </c>
      <c r="FC25" s="5"/>
      <c r="FD25" s="5"/>
      <c r="FE25" s="5"/>
      <c r="FF25" s="5"/>
      <c r="FG25" s="5"/>
      <c r="FH25" s="7">
        <v>1.0</v>
      </c>
      <c r="FI25" s="7">
        <v>10.0</v>
      </c>
      <c r="FJ25" s="5"/>
      <c r="FK25" s="5"/>
      <c r="FL25" s="5"/>
      <c r="FM25" s="5"/>
      <c r="FN25" s="5"/>
      <c r="FO25" s="5"/>
      <c r="FP25" s="5"/>
      <c r="FQ25" s="5"/>
      <c r="FR25" s="5"/>
      <c r="FS25" s="7">
        <v>32.0</v>
      </c>
      <c r="FT25" s="5"/>
      <c r="FU25" s="5"/>
      <c r="FV25" s="5"/>
      <c r="FW25" s="7">
        <v>6.0</v>
      </c>
      <c r="FX25" s="5"/>
      <c r="FY25" s="5"/>
      <c r="FZ25" s="5"/>
      <c r="GA25" s="5"/>
      <c r="GB25" s="5"/>
      <c r="GC25" s="5"/>
      <c r="GD25" s="5"/>
      <c r="GE25" s="5"/>
      <c r="GF25" s="5"/>
      <c r="GG25" s="7">
        <v>35.0</v>
      </c>
      <c r="GH25" s="7">
        <f t="shared" si="21"/>
        <v>27</v>
      </c>
      <c r="GI25" s="7">
        <f t="shared" si="22"/>
        <v>21</v>
      </c>
      <c r="GJ25" s="7">
        <f t="shared" si="23"/>
        <v>18</v>
      </c>
      <c r="GK25" s="7">
        <f t="shared" si="24"/>
        <v>380</v>
      </c>
      <c r="GL25" s="7">
        <f t="shared" si="25"/>
        <v>600</v>
      </c>
      <c r="GM25" s="7">
        <f t="shared" si="26"/>
        <v>220</v>
      </c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</row>
    <row r="26">
      <c r="A26" s="15">
        <v>43515.0</v>
      </c>
      <c r="B26" s="12" t="s">
        <v>37</v>
      </c>
      <c r="C26" s="16">
        <f t="shared" si="2"/>
        <v>178</v>
      </c>
      <c r="D26" s="13">
        <v>21.310612</v>
      </c>
      <c r="E26" s="13">
        <v>-158.00441</v>
      </c>
      <c r="F26" s="12" t="s">
        <v>39</v>
      </c>
      <c r="G26" s="14">
        <v>0.3854166666666667</v>
      </c>
      <c r="H26" s="14">
        <v>0.4270833333333333</v>
      </c>
      <c r="I26" s="13">
        <v>6.0</v>
      </c>
      <c r="J26" s="13">
        <v>5.0</v>
      </c>
      <c r="K26" s="12" t="s">
        <v>8</v>
      </c>
      <c r="L26" s="13">
        <v>5.0</v>
      </c>
      <c r="M26" s="13">
        <v>24.0</v>
      </c>
      <c r="N26" s="12" t="s">
        <v>50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>
        <v>9.0</v>
      </c>
      <c r="AF26" s="12"/>
      <c r="AG26" s="12"/>
      <c r="AH26" s="12"/>
      <c r="AI26" s="12"/>
      <c r="AJ26" s="12"/>
      <c r="AK26" s="12"/>
      <c r="AL26" s="12"/>
      <c r="AM26" s="13">
        <v>1.0</v>
      </c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>
        <v>7.0</v>
      </c>
      <c r="BC26" s="12"/>
      <c r="BD26" s="12"/>
      <c r="BE26" s="13">
        <v>2.0</v>
      </c>
      <c r="BF26" s="12"/>
      <c r="BG26" s="12"/>
      <c r="BH26" s="12"/>
      <c r="BI26" s="12"/>
      <c r="BJ26" s="12"/>
      <c r="BK26" s="12"/>
      <c r="BL26" s="13">
        <v>1.0</v>
      </c>
      <c r="BM26" s="13">
        <v>8.0</v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3">
        <v>1.0</v>
      </c>
      <c r="DH26" s="12"/>
      <c r="DI26" s="12"/>
      <c r="DJ26" s="12"/>
      <c r="DK26" s="12"/>
      <c r="DL26" s="12"/>
      <c r="DM26" s="12"/>
      <c r="DN26" s="12"/>
      <c r="DO26" s="13">
        <v>2.0</v>
      </c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3">
        <v>152.0</v>
      </c>
      <c r="EK26" s="12"/>
      <c r="EL26" s="12"/>
      <c r="EM26" s="12"/>
      <c r="EN26" s="12"/>
      <c r="EO26" s="13">
        <v>5.0</v>
      </c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3">
        <v>119.0</v>
      </c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</row>
    <row r="27">
      <c r="A27" s="15">
        <v>43516.0</v>
      </c>
      <c r="B27" s="12" t="s">
        <v>37</v>
      </c>
      <c r="C27" s="16">
        <v>174.0</v>
      </c>
      <c r="D27" s="13">
        <v>21.310612</v>
      </c>
      <c r="E27" s="13">
        <v>-158.00441</v>
      </c>
      <c r="F27" s="12" t="s">
        <v>39</v>
      </c>
      <c r="G27" s="14">
        <v>0.39444444444444443</v>
      </c>
      <c r="H27" s="14">
        <v>0.4791666666666667</v>
      </c>
      <c r="I27" s="13">
        <v>8.0</v>
      </c>
      <c r="J27" s="13">
        <v>10.0</v>
      </c>
      <c r="K27" s="12" t="s">
        <v>51</v>
      </c>
      <c r="L27" s="13">
        <v>6.0</v>
      </c>
      <c r="M27" s="13">
        <v>6.0</v>
      </c>
      <c r="N27" s="12" t="s">
        <v>52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">
        <v>6.0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3">
        <v>5.0</v>
      </c>
      <c r="BF27" s="12"/>
      <c r="BG27" s="12"/>
      <c r="BH27" s="12"/>
      <c r="BI27" s="12"/>
      <c r="BJ27" s="12"/>
      <c r="BK27" s="12"/>
      <c r="BL27" s="12"/>
      <c r="BM27" s="13">
        <v>1.0</v>
      </c>
      <c r="BN27" s="12"/>
      <c r="BO27" s="12"/>
      <c r="BP27" s="12"/>
      <c r="BQ27" s="12"/>
      <c r="BR27" s="12"/>
      <c r="BS27" s="12"/>
      <c r="BT27" s="12"/>
      <c r="BU27" s="12"/>
      <c r="BV27" s="13">
        <v>8.0</v>
      </c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3">
        <v>1.0</v>
      </c>
      <c r="DH27" s="12"/>
      <c r="DI27" s="12"/>
      <c r="DJ27" s="12"/>
      <c r="DK27" s="12"/>
      <c r="DL27" s="13">
        <v>1.0</v>
      </c>
      <c r="DM27" s="12"/>
      <c r="DN27" s="12"/>
      <c r="DO27" s="13">
        <v>1.0</v>
      </c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3">
        <v>81.0</v>
      </c>
      <c r="EK27" s="12"/>
      <c r="EL27" s="12"/>
      <c r="EM27" s="12"/>
      <c r="EN27" s="12"/>
      <c r="EO27" s="13">
        <v>13.0</v>
      </c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3">
        <v>1.0</v>
      </c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</row>
    <row r="28">
      <c r="A28" s="26">
        <v>43525.0</v>
      </c>
      <c r="B28" s="27" t="s">
        <v>37</v>
      </c>
      <c r="C28" s="16">
        <f t="shared" ref="C28:C32" si="27">C27+1</f>
        <v>175</v>
      </c>
      <c r="D28" s="28">
        <v>21.310612</v>
      </c>
      <c r="E28" s="28">
        <v>-158.00441</v>
      </c>
      <c r="F28" s="27" t="s">
        <v>39</v>
      </c>
      <c r="G28" s="29">
        <v>0.3854166666666667</v>
      </c>
      <c r="H28" s="29">
        <v>0.4722222222222222</v>
      </c>
      <c r="I28" s="28">
        <v>8.0</v>
      </c>
      <c r="J28" s="28">
        <v>10.0</v>
      </c>
      <c r="K28" s="27" t="s">
        <v>16</v>
      </c>
      <c r="L28" s="28">
        <v>6.0</v>
      </c>
      <c r="M28" s="28">
        <v>32.0</v>
      </c>
      <c r="N28" s="27" t="s">
        <v>53</v>
      </c>
      <c r="O28" s="27"/>
      <c r="P28" s="27"/>
      <c r="Q28" s="27"/>
      <c r="R28" s="28">
        <v>9.0</v>
      </c>
      <c r="S28" s="27"/>
      <c r="T28" s="27"/>
      <c r="U28" s="27"/>
      <c r="V28" s="27"/>
      <c r="W28" s="27"/>
      <c r="X28" s="27"/>
      <c r="Y28" s="27"/>
      <c r="Z28" s="27"/>
      <c r="AA28" s="27"/>
      <c r="AB28" s="28">
        <v>2.0</v>
      </c>
      <c r="AC28" s="27"/>
      <c r="AD28" s="27"/>
      <c r="AE28" s="28">
        <v>12.0</v>
      </c>
      <c r="AF28" s="27"/>
      <c r="AG28" s="27"/>
      <c r="AH28" s="27"/>
      <c r="AI28" s="27"/>
      <c r="AJ28" s="27"/>
      <c r="AK28" s="27"/>
      <c r="AL28" s="27"/>
      <c r="AM28" s="28">
        <v>3.0</v>
      </c>
      <c r="AN28" s="27"/>
      <c r="AO28" s="27"/>
      <c r="AP28" s="27"/>
      <c r="AQ28" s="27"/>
      <c r="AR28" s="27"/>
      <c r="AS28" s="27"/>
      <c r="AT28" s="28">
        <v>7.0</v>
      </c>
      <c r="AU28" s="27"/>
      <c r="AV28" s="27"/>
      <c r="AW28" s="27"/>
      <c r="AX28" s="27"/>
      <c r="AY28" s="27"/>
      <c r="AZ28" s="27"/>
      <c r="BA28" s="27"/>
      <c r="BB28" s="28">
        <v>18.0</v>
      </c>
      <c r="BC28" s="27"/>
      <c r="BD28" s="28">
        <v>27.0</v>
      </c>
      <c r="BE28" s="28">
        <v>13.0</v>
      </c>
      <c r="BF28" s="27"/>
      <c r="BG28" s="27"/>
      <c r="BH28" s="27"/>
      <c r="BI28" s="27"/>
      <c r="BJ28" s="27"/>
      <c r="BK28" s="28">
        <v>25.0</v>
      </c>
      <c r="BL28" s="27"/>
      <c r="BM28" s="28">
        <v>14.0</v>
      </c>
      <c r="BN28" s="27"/>
      <c r="BO28" s="27"/>
      <c r="BP28" s="27"/>
      <c r="BQ28" s="27"/>
      <c r="BR28" s="27"/>
      <c r="BS28" s="27"/>
      <c r="BT28" s="27"/>
      <c r="BU28" s="27"/>
      <c r="BV28" s="28">
        <v>10.0</v>
      </c>
      <c r="BW28" s="27"/>
      <c r="BX28" s="28">
        <v>5.0</v>
      </c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8">
        <v>18.0</v>
      </c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8">
        <v>7.0</v>
      </c>
      <c r="DD28" s="27"/>
      <c r="DE28" s="28">
        <v>9.0</v>
      </c>
      <c r="DF28" s="27"/>
      <c r="DG28" s="28">
        <v>3.0</v>
      </c>
      <c r="DH28" s="27"/>
      <c r="DI28" s="27"/>
      <c r="DJ28" s="27"/>
      <c r="DK28" s="27"/>
      <c r="DL28" s="27"/>
      <c r="DM28" s="28">
        <v>5.0</v>
      </c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8">
        <v>2.0</v>
      </c>
      <c r="ED28" s="28">
        <v>15.0</v>
      </c>
      <c r="EE28" s="27"/>
      <c r="EF28" s="27"/>
      <c r="EG28" s="27"/>
      <c r="EH28" s="27"/>
      <c r="EI28" s="27"/>
      <c r="EJ28" s="28">
        <v>91.0</v>
      </c>
      <c r="EK28" s="28">
        <v>1.0</v>
      </c>
      <c r="EL28" s="27"/>
      <c r="EM28" s="27"/>
      <c r="EN28" s="27"/>
      <c r="EO28" s="28">
        <v>1.0</v>
      </c>
      <c r="EP28" s="27"/>
      <c r="EQ28" s="27"/>
      <c r="ER28" s="27"/>
      <c r="ES28" s="27"/>
      <c r="ET28" s="27"/>
      <c r="EU28" s="27"/>
      <c r="EV28" s="27"/>
      <c r="EW28" s="28">
        <v>1.0</v>
      </c>
      <c r="EX28" s="28">
        <v>3.0</v>
      </c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8">
        <v>2.0</v>
      </c>
      <c r="FM28" s="27"/>
      <c r="FN28" s="27"/>
      <c r="FO28" s="27"/>
      <c r="FP28" s="27"/>
      <c r="FQ28" s="28">
        <v>29.0</v>
      </c>
      <c r="FR28" s="27"/>
      <c r="FS28" s="28">
        <v>162.0</v>
      </c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8">
        <f>count(R28:GG28)</f>
        <v>27</v>
      </c>
      <c r="GI28" s="28">
        <f>countif(R28:GG28,"&gt;=2")</f>
        <v>24</v>
      </c>
      <c r="GJ28" s="28">
        <f>countif(R28:GG28,"&gt;=5")</f>
        <v>18</v>
      </c>
      <c r="GK28" s="28">
        <f>sum(R28:GG28)</f>
        <v>494</v>
      </c>
      <c r="GL28" s="28">
        <f>25*P28</f>
        <v>0</v>
      </c>
      <c r="GM28" s="28">
        <f>GL28-GK28</f>
        <v>-494</v>
      </c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</row>
    <row r="29">
      <c r="A29" s="15">
        <v>43562.0</v>
      </c>
      <c r="B29" s="12" t="s">
        <v>14</v>
      </c>
      <c r="C29" s="16">
        <f t="shared" si="27"/>
        <v>176</v>
      </c>
      <c r="D29" s="13">
        <v>19.738602</v>
      </c>
      <c r="E29" s="13">
        <v>-155.038879</v>
      </c>
      <c r="F29" s="12" t="s">
        <v>54</v>
      </c>
      <c r="G29" s="14">
        <v>0.4583333333333333</v>
      </c>
      <c r="H29" s="14">
        <v>0.4791666666666667</v>
      </c>
      <c r="I29" s="13">
        <v>2.0</v>
      </c>
      <c r="J29" s="13">
        <v>10.0</v>
      </c>
      <c r="K29" s="12" t="s">
        <v>8</v>
      </c>
      <c r="L29" s="13">
        <v>5.0</v>
      </c>
      <c r="M29" s="13">
        <v>10.0</v>
      </c>
      <c r="N29" s="12" t="s">
        <v>55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3">
        <v>10.0</v>
      </c>
      <c r="BL29" s="12"/>
      <c r="BM29" s="13">
        <v>40.0</v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3">
        <v>2.0</v>
      </c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3">
        <v>7.0</v>
      </c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3">
        <v>1.0</v>
      </c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3">
        <v>4.0</v>
      </c>
      <c r="EK29" s="12"/>
      <c r="EL29" s="12"/>
      <c r="EM29" s="12"/>
      <c r="EN29" s="12"/>
      <c r="EO29" s="12"/>
      <c r="EP29" s="12"/>
      <c r="EQ29" s="12"/>
      <c r="ER29" s="13">
        <v>1.0</v>
      </c>
      <c r="ES29" s="13">
        <v>3.0</v>
      </c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3">
        <v>1.0</v>
      </c>
      <c r="FQ29" s="12"/>
      <c r="FR29" s="12"/>
      <c r="FS29" s="13">
        <v>146.0</v>
      </c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</row>
    <row r="30">
      <c r="A30" s="26">
        <v>43572.0</v>
      </c>
      <c r="B30" s="27" t="s">
        <v>56</v>
      </c>
      <c r="C30" s="16">
        <f t="shared" si="27"/>
        <v>177</v>
      </c>
      <c r="D30" s="28">
        <v>19.737894</v>
      </c>
      <c r="E30" s="28">
        <v>-155.034058</v>
      </c>
      <c r="F30" s="27" t="s">
        <v>54</v>
      </c>
      <c r="G30" s="29">
        <v>0.3680555555555556</v>
      </c>
      <c r="H30" s="29">
        <v>0.4479166666666667</v>
      </c>
      <c r="I30" s="28">
        <v>7.0</v>
      </c>
      <c r="J30" s="28">
        <v>20.0</v>
      </c>
      <c r="K30" s="27" t="s">
        <v>2</v>
      </c>
      <c r="L30" s="28">
        <v>5.0</v>
      </c>
      <c r="M30" s="28">
        <v>29.0</v>
      </c>
      <c r="N30" s="27" t="s">
        <v>57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8">
        <v>4.0</v>
      </c>
      <c r="AH30" s="27"/>
      <c r="AI30" s="27"/>
      <c r="AJ30" s="27"/>
      <c r="AK30" s="27"/>
      <c r="AL30" s="27"/>
      <c r="AM30" s="28">
        <v>94.0</v>
      </c>
      <c r="AN30" s="27"/>
      <c r="AO30" s="27"/>
      <c r="AP30" s="28">
        <v>1.0</v>
      </c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8">
        <v>12.0</v>
      </c>
      <c r="BC30" s="27"/>
      <c r="BD30" s="27"/>
      <c r="BE30" s="27"/>
      <c r="BF30" s="27"/>
      <c r="BG30" s="27"/>
      <c r="BH30" s="27"/>
      <c r="BI30" s="27"/>
      <c r="BJ30" s="27"/>
      <c r="BK30" s="28">
        <v>20.0</v>
      </c>
      <c r="BL30" s="27"/>
      <c r="BM30" s="28">
        <v>75.0</v>
      </c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8">
        <v>11.0</v>
      </c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8">
        <v>28.0</v>
      </c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8">
        <v>17.0</v>
      </c>
      <c r="FF30" s="27"/>
      <c r="FG30" s="27"/>
      <c r="FH30" s="27"/>
      <c r="FI30" s="27"/>
      <c r="FJ30" s="27"/>
      <c r="FK30" s="27"/>
      <c r="FL30" s="27"/>
      <c r="FM30" s="28">
        <v>3.0</v>
      </c>
      <c r="FN30" s="27"/>
      <c r="FO30" s="27"/>
      <c r="FP30" s="27"/>
      <c r="FQ30" s="27"/>
      <c r="FR30" s="27"/>
      <c r="FS30" s="28">
        <v>186.0</v>
      </c>
      <c r="FT30" s="27"/>
      <c r="FU30" s="27"/>
      <c r="FV30" s="27"/>
      <c r="FW30" s="28">
        <v>8.0</v>
      </c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8">
        <f t="shared" ref="GH30:GH32" si="28">count(R30:GG30)</f>
        <v>12</v>
      </c>
      <c r="GI30" s="28">
        <f t="shared" ref="GI30:GI32" si="29">countif(R30:GG30,"&gt;=2")</f>
        <v>11</v>
      </c>
      <c r="GJ30" s="28">
        <f t="shared" ref="GJ30:GJ32" si="30">countif(R30:GG30,"&gt;=5")</f>
        <v>9</v>
      </c>
      <c r="GK30" s="28">
        <f t="shared" ref="GK30:GK32" si="31">sum(R30:GG30)</f>
        <v>459</v>
      </c>
      <c r="GL30" s="28">
        <f t="shared" ref="GL30:GL32" si="32">25*P30</f>
        <v>0</v>
      </c>
      <c r="GM30" s="28">
        <f t="shared" ref="GM30:GM32" si="33">GL30-GK30</f>
        <v>-459</v>
      </c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</row>
    <row r="31">
      <c r="A31" s="26">
        <v>43573.0</v>
      </c>
      <c r="B31" s="27" t="s">
        <v>56</v>
      </c>
      <c r="C31" s="16">
        <f t="shared" si="27"/>
        <v>178</v>
      </c>
      <c r="D31" s="28">
        <v>19.737894</v>
      </c>
      <c r="E31" s="28">
        <v>-155.034058</v>
      </c>
      <c r="F31" s="27" t="s">
        <v>54</v>
      </c>
      <c r="G31" s="29">
        <v>0.375</v>
      </c>
      <c r="H31" s="29">
        <v>0.4479166666666667</v>
      </c>
      <c r="I31" s="28">
        <v>7.0</v>
      </c>
      <c r="J31" s="28">
        <v>20.0</v>
      </c>
      <c r="K31" s="27" t="s">
        <v>2</v>
      </c>
      <c r="L31" s="28">
        <v>5.0</v>
      </c>
      <c r="M31" s="28">
        <v>33.0</v>
      </c>
      <c r="N31" s="27" t="s">
        <v>58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>
        <v>49.0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8">
        <v>24.0</v>
      </c>
      <c r="BL31" s="27"/>
      <c r="BM31" s="28">
        <v>36.0</v>
      </c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8">
        <v>1.0</v>
      </c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8">
        <v>48.0</v>
      </c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8">
        <v>2.0</v>
      </c>
      <c r="FF31" s="27"/>
      <c r="FG31" s="27"/>
      <c r="FH31" s="27"/>
      <c r="FI31" s="27"/>
      <c r="FJ31" s="27"/>
      <c r="FK31" s="27"/>
      <c r="FL31" s="27"/>
      <c r="FM31" s="28">
        <v>3.0</v>
      </c>
      <c r="FN31" s="27"/>
      <c r="FO31" s="27"/>
      <c r="FP31" s="28">
        <v>1.0</v>
      </c>
      <c r="FQ31" s="28">
        <v>6.0</v>
      </c>
      <c r="FR31" s="27"/>
      <c r="FS31" s="28">
        <v>336.0</v>
      </c>
      <c r="FT31" s="27"/>
      <c r="FU31" s="27"/>
      <c r="FV31" s="27"/>
      <c r="FW31" s="28">
        <v>3.0</v>
      </c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8">
        <f t="shared" si="28"/>
        <v>11</v>
      </c>
      <c r="GI31" s="28">
        <f t="shared" si="29"/>
        <v>9</v>
      </c>
      <c r="GJ31" s="28">
        <f t="shared" si="30"/>
        <v>6</v>
      </c>
      <c r="GK31" s="28">
        <f t="shared" si="31"/>
        <v>509</v>
      </c>
      <c r="GL31" s="28">
        <f t="shared" si="32"/>
        <v>0</v>
      </c>
      <c r="GM31" s="28">
        <f t="shared" si="33"/>
        <v>-509</v>
      </c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</row>
    <row r="32">
      <c r="A32" s="21">
        <v>42838.0</v>
      </c>
      <c r="B32" s="5" t="s">
        <v>56</v>
      </c>
      <c r="C32" s="16">
        <f t="shared" si="27"/>
        <v>179</v>
      </c>
      <c r="D32" s="7">
        <v>19.737894</v>
      </c>
      <c r="E32" s="7">
        <v>-155.034058</v>
      </c>
      <c r="F32" s="5" t="s">
        <v>59</v>
      </c>
      <c r="G32" s="6">
        <v>0.4027777777777778</v>
      </c>
      <c r="H32" s="6">
        <v>0.47847222222222224</v>
      </c>
      <c r="I32" s="7">
        <v>4.0</v>
      </c>
      <c r="J32" s="7">
        <v>60.0</v>
      </c>
      <c r="K32" s="5" t="s">
        <v>60</v>
      </c>
      <c r="L32" s="7">
        <v>10.0</v>
      </c>
      <c r="M32" s="7">
        <v>27.0</v>
      </c>
      <c r="N32" s="5" t="s">
        <v>61</v>
      </c>
      <c r="O32" s="5"/>
      <c r="P32" s="7">
        <v>27.0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7">
        <v>27.0</v>
      </c>
      <c r="AD32" s="5"/>
      <c r="AE32" s="5"/>
      <c r="AF32" s="7">
        <v>2.0</v>
      </c>
      <c r="AG32" s="5"/>
      <c r="AH32" s="5"/>
      <c r="AI32" s="7">
        <v>1.0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7">
        <v>11.0</v>
      </c>
      <c r="BL32" s="5"/>
      <c r="BM32" s="7">
        <v>31.0</v>
      </c>
      <c r="BN32" s="7">
        <v>21.0</v>
      </c>
      <c r="BO32" s="5"/>
      <c r="BP32" s="5"/>
      <c r="BQ32" s="7">
        <v>3.0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7">
        <v>1.0</v>
      </c>
      <c r="CI32" s="5"/>
      <c r="CJ32" s="5"/>
      <c r="CK32" s="5"/>
      <c r="CL32" s="5"/>
      <c r="CM32" s="5"/>
      <c r="CN32" s="5"/>
      <c r="CO32" s="7">
        <v>5.0</v>
      </c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7">
        <v>18.0</v>
      </c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7">
        <v>7.0</v>
      </c>
      <c r="FC32" s="5"/>
      <c r="FD32" s="5"/>
      <c r="FE32" s="5"/>
      <c r="FF32" s="7">
        <v>2.0</v>
      </c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7">
        <v>230.0</v>
      </c>
      <c r="FT32" s="5"/>
      <c r="FU32" s="7">
        <v>3.0</v>
      </c>
      <c r="FV32" s="5"/>
      <c r="FW32" s="7">
        <v>35.0</v>
      </c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7">
        <f t="shared" si="28"/>
        <v>15</v>
      </c>
      <c r="GI32" s="7">
        <f t="shared" si="29"/>
        <v>13</v>
      </c>
      <c r="GJ32" s="7">
        <f t="shared" si="30"/>
        <v>9</v>
      </c>
      <c r="GK32" s="7">
        <f t="shared" si="31"/>
        <v>397</v>
      </c>
      <c r="GL32" s="7">
        <f t="shared" si="32"/>
        <v>675</v>
      </c>
      <c r="GM32" s="7">
        <f t="shared" si="33"/>
        <v>278</v>
      </c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</row>
    <row r="33">
      <c r="A33" s="15">
        <v>43236.0</v>
      </c>
      <c r="B33" s="12" t="s">
        <v>56</v>
      </c>
      <c r="C33" s="16">
        <v>161.0</v>
      </c>
      <c r="D33" s="13">
        <v>19.737894</v>
      </c>
      <c r="E33" s="13">
        <v>-155.034058</v>
      </c>
      <c r="F33" s="12" t="s">
        <v>59</v>
      </c>
      <c r="G33" s="14">
        <v>0.375</v>
      </c>
      <c r="H33" s="14">
        <v>0.4166666666666667</v>
      </c>
      <c r="I33" s="13">
        <v>7.0</v>
      </c>
      <c r="J33" s="13">
        <v>20.0</v>
      </c>
      <c r="K33" s="12" t="s">
        <v>8</v>
      </c>
      <c r="L33" s="13">
        <v>4.0</v>
      </c>
      <c r="M33" s="13">
        <v>16.0</v>
      </c>
      <c r="N33" s="12" t="s">
        <v>62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3">
        <v>35.0</v>
      </c>
      <c r="BI33" s="12"/>
      <c r="BJ33" s="12"/>
      <c r="BK33" s="13">
        <v>4.0</v>
      </c>
      <c r="BL33" s="12"/>
      <c r="BM33" s="13">
        <v>68.0</v>
      </c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3">
        <v>2.0</v>
      </c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3">
        <v>1.0</v>
      </c>
      <c r="CV33" s="13">
        <v>10.0</v>
      </c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3">
        <v>4.0</v>
      </c>
      <c r="DI33" s="12"/>
      <c r="DJ33" s="13">
        <v>6.0</v>
      </c>
      <c r="DK33" s="12"/>
      <c r="DL33" s="12"/>
      <c r="DM33" s="12"/>
      <c r="DN33" s="12"/>
      <c r="DO33" s="12"/>
      <c r="DP33" s="13">
        <v>4.0</v>
      </c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3">
        <v>7.0</v>
      </c>
      <c r="ED33" s="13">
        <v>13.0</v>
      </c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3">
        <v>3.0</v>
      </c>
      <c r="FD33" s="12"/>
      <c r="FE33" s="12"/>
      <c r="FF33" s="12"/>
      <c r="FG33" s="12"/>
      <c r="FH33" s="12"/>
      <c r="FI33" s="12"/>
      <c r="FJ33" s="12"/>
      <c r="FK33" s="12"/>
      <c r="FL33" s="12"/>
      <c r="FM33" s="13">
        <v>12.0</v>
      </c>
      <c r="FN33" s="12"/>
      <c r="FO33" s="12"/>
      <c r="FP33" s="12"/>
      <c r="FQ33" s="12"/>
      <c r="FR33" s="12"/>
      <c r="FS33" s="13">
        <v>56.0</v>
      </c>
      <c r="FT33" s="12"/>
      <c r="FU33" s="12"/>
      <c r="FV33" s="12"/>
      <c r="FW33" s="13">
        <v>1.0</v>
      </c>
      <c r="FX33" s="12"/>
      <c r="FY33" s="12"/>
      <c r="FZ33" s="12"/>
      <c r="GA33" s="12"/>
      <c r="GB33" s="12"/>
      <c r="GC33" s="12"/>
      <c r="GD33" s="12"/>
      <c r="GE33" s="12"/>
      <c r="GF33" s="12"/>
      <c r="GG33" s="13">
        <v>1.0</v>
      </c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</row>
    <row r="34">
      <c r="A34" s="26">
        <v>43238.0</v>
      </c>
      <c r="B34" s="27" t="s">
        <v>56</v>
      </c>
      <c r="C34" s="16">
        <f t="shared" ref="C34:C46" si="34">C33+1</f>
        <v>162</v>
      </c>
      <c r="D34" s="28">
        <v>19.737894</v>
      </c>
      <c r="E34" s="28">
        <v>-155.034058</v>
      </c>
      <c r="F34" s="27" t="s">
        <v>59</v>
      </c>
      <c r="G34" s="29">
        <v>0.3888888888888889</v>
      </c>
      <c r="H34" s="29">
        <v>0.4166666666666667</v>
      </c>
      <c r="I34" s="28">
        <v>7.0</v>
      </c>
      <c r="J34" s="28">
        <v>20.0</v>
      </c>
      <c r="K34" s="27" t="s">
        <v>8</v>
      </c>
      <c r="L34" s="28">
        <v>12.0</v>
      </c>
      <c r="M34" s="28">
        <v>52.0</v>
      </c>
      <c r="N34" s="27" t="s">
        <v>63</v>
      </c>
      <c r="O34" s="27"/>
      <c r="P34" s="27"/>
      <c r="Q34" s="27"/>
      <c r="R34" s="27"/>
      <c r="S34" s="28">
        <v>6.0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>
        <v>15.0</v>
      </c>
      <c r="AG34" s="28">
        <v>49.0</v>
      </c>
      <c r="AH34" s="27"/>
      <c r="AI34" s="27"/>
      <c r="AJ34" s="27"/>
      <c r="AK34" s="27"/>
      <c r="AL34" s="28">
        <v>5.0</v>
      </c>
      <c r="AM34" s="27"/>
      <c r="AN34" s="27"/>
      <c r="AO34" s="27"/>
      <c r="AP34" s="28">
        <v>1.0</v>
      </c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8">
        <v>11.0</v>
      </c>
      <c r="BC34" s="27"/>
      <c r="BD34" s="27"/>
      <c r="BE34" s="27"/>
      <c r="BF34" s="27"/>
      <c r="BG34" s="27"/>
      <c r="BH34" s="27"/>
      <c r="BI34" s="27"/>
      <c r="BJ34" s="27"/>
      <c r="BK34" s="28">
        <v>6.0</v>
      </c>
      <c r="BL34" s="28">
        <v>4.0</v>
      </c>
      <c r="BM34" s="28">
        <v>155.0</v>
      </c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8">
        <v>31.0</v>
      </c>
      <c r="CD34" s="28">
        <v>1.0</v>
      </c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8">
        <v>6.0</v>
      </c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8">
        <v>8.0</v>
      </c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8">
        <v>52.0</v>
      </c>
      <c r="EE34" s="27"/>
      <c r="EF34" s="27"/>
      <c r="EG34" s="27"/>
      <c r="EH34" s="27"/>
      <c r="EI34" s="28">
        <v>1.0</v>
      </c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8">
        <v>25.0</v>
      </c>
      <c r="EY34" s="27"/>
      <c r="EZ34" s="27"/>
      <c r="FA34" s="27"/>
      <c r="FB34" s="27"/>
      <c r="FC34" s="28">
        <v>2.0</v>
      </c>
      <c r="FD34" s="27"/>
      <c r="FE34" s="27"/>
      <c r="FF34" s="28">
        <v>45.0</v>
      </c>
      <c r="FG34" s="27"/>
      <c r="FH34" s="27"/>
      <c r="FI34" s="27"/>
      <c r="FJ34" s="27"/>
      <c r="FK34" s="27"/>
      <c r="FL34" s="27"/>
      <c r="FM34" s="28">
        <v>31.0</v>
      </c>
      <c r="FN34" s="27"/>
      <c r="FO34" s="27"/>
      <c r="FP34" s="27"/>
      <c r="FQ34" s="28">
        <v>3.0</v>
      </c>
      <c r="FR34" s="27"/>
      <c r="FS34" s="28">
        <v>485.0</v>
      </c>
      <c r="FT34" s="28">
        <v>32.0</v>
      </c>
      <c r="FU34" s="27"/>
      <c r="FV34" s="27"/>
      <c r="FW34" s="28">
        <v>25.0</v>
      </c>
      <c r="FX34" s="27"/>
      <c r="FY34" s="27"/>
      <c r="FZ34" s="27"/>
      <c r="GA34" s="28">
        <v>67.0</v>
      </c>
      <c r="GB34" s="27"/>
      <c r="GC34" s="27"/>
      <c r="GD34" s="27"/>
      <c r="GE34" s="27"/>
      <c r="GF34" s="28">
        <v>4.0</v>
      </c>
      <c r="GG34" s="28">
        <v>1.0</v>
      </c>
      <c r="GH34" s="28">
        <f>count(R34:GG34)</f>
        <v>26</v>
      </c>
      <c r="GI34" s="28">
        <f>countif(R34:GG34,"&gt;=2")</f>
        <v>22</v>
      </c>
      <c r="GJ34" s="28">
        <f>countif(R34:GG34,"&gt;=5")</f>
        <v>18</v>
      </c>
      <c r="GK34" s="28">
        <f>sum(R34:GG34)</f>
        <v>1071</v>
      </c>
      <c r="GL34" s="28">
        <f>25*P34</f>
        <v>0</v>
      </c>
      <c r="GM34" s="28">
        <f>GL34-GK34</f>
        <v>-1071</v>
      </c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</row>
    <row r="35">
      <c r="A35" s="15">
        <v>42822.0</v>
      </c>
      <c r="B35" s="12" t="s">
        <v>0</v>
      </c>
      <c r="C35" s="16">
        <f t="shared" si="34"/>
        <v>163</v>
      </c>
      <c r="D35" s="13">
        <v>21.3002</v>
      </c>
      <c r="E35" s="13">
        <v>-157.882599</v>
      </c>
      <c r="F35" s="12" t="s">
        <v>64</v>
      </c>
      <c r="G35" s="14">
        <v>0.4027777777777778</v>
      </c>
      <c r="H35" s="14">
        <v>0.4583333333333333</v>
      </c>
      <c r="I35" s="13">
        <v>6.0</v>
      </c>
      <c r="J35" s="13">
        <v>14.7</v>
      </c>
      <c r="K35" s="12" t="s">
        <v>8</v>
      </c>
      <c r="L35" s="13">
        <v>5.0</v>
      </c>
      <c r="M35" s="13">
        <v>19.0</v>
      </c>
      <c r="N35" s="9" t="s">
        <v>65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3">
        <v>9.0</v>
      </c>
      <c r="AC35" s="12"/>
      <c r="AD35" s="12"/>
      <c r="AE35" s="12"/>
      <c r="AF35" s="12"/>
      <c r="AG35" s="12"/>
      <c r="AH35" s="12"/>
      <c r="AI35" s="13">
        <v>1.0</v>
      </c>
      <c r="AJ35" s="12"/>
      <c r="AK35" s="12"/>
      <c r="AL35" s="13">
        <v>1.0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3">
        <v>6.0</v>
      </c>
      <c r="BF35" s="12"/>
      <c r="BG35" s="12"/>
      <c r="BH35" s="13">
        <v>1.0</v>
      </c>
      <c r="BI35" s="12"/>
      <c r="BJ35" s="12"/>
      <c r="BK35" s="12"/>
      <c r="BL35" s="12"/>
      <c r="BM35" s="13">
        <v>4.0</v>
      </c>
      <c r="BN35" s="12"/>
      <c r="BO35" s="12"/>
      <c r="BP35" s="12"/>
      <c r="BQ35" s="12"/>
      <c r="BR35" s="12"/>
      <c r="BS35" s="12"/>
      <c r="BT35" s="12"/>
      <c r="BU35" s="12"/>
      <c r="BV35" s="12"/>
      <c r="BW35" s="13">
        <v>4.0</v>
      </c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3">
        <v>3.0</v>
      </c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3">
        <v>344.0</v>
      </c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</row>
    <row r="36">
      <c r="A36" s="15">
        <v>43237.0</v>
      </c>
      <c r="B36" s="12" t="s">
        <v>0</v>
      </c>
      <c r="C36" s="16">
        <f t="shared" si="34"/>
        <v>164</v>
      </c>
      <c r="D36" s="13">
        <v>21.3002</v>
      </c>
      <c r="E36" s="13">
        <v>-157.882599</v>
      </c>
      <c r="F36" s="12" t="s">
        <v>64</v>
      </c>
      <c r="G36" s="14">
        <v>0.375</v>
      </c>
      <c r="H36" s="14">
        <v>0.4583333333333333</v>
      </c>
      <c r="I36" s="13">
        <v>7.0</v>
      </c>
      <c r="J36" s="13">
        <v>15.0</v>
      </c>
      <c r="K36" s="12" t="s">
        <v>8</v>
      </c>
      <c r="L36" s="13">
        <v>5.0</v>
      </c>
      <c r="M36" s="13">
        <v>26.0</v>
      </c>
      <c r="N36" s="12" t="s">
        <v>66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>
        <v>5.0</v>
      </c>
      <c r="AA36" s="12"/>
      <c r="AB36" s="13">
        <v>74.0</v>
      </c>
      <c r="AC36" s="13">
        <v>1.0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3">
        <v>1.0</v>
      </c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3">
        <v>2.0</v>
      </c>
      <c r="BD36" s="12"/>
      <c r="BE36" s="13">
        <v>7.0</v>
      </c>
      <c r="BF36" s="12"/>
      <c r="BG36" s="12"/>
      <c r="BH36" s="12"/>
      <c r="BI36" s="12"/>
      <c r="BJ36" s="12"/>
      <c r="BK36" s="12"/>
      <c r="BL36" s="12"/>
      <c r="BM36" s="13">
        <v>1.0</v>
      </c>
      <c r="BN36" s="12"/>
      <c r="BO36" s="12"/>
      <c r="BP36" s="12"/>
      <c r="BQ36" s="12"/>
      <c r="BR36" s="12"/>
      <c r="BS36" s="12"/>
      <c r="BT36" s="13">
        <v>2.0</v>
      </c>
      <c r="BU36" s="12"/>
      <c r="BV36" s="12"/>
      <c r="BW36" s="12"/>
      <c r="BX36" s="12"/>
      <c r="BY36" s="12"/>
      <c r="BZ36" s="13">
        <v>17.0</v>
      </c>
      <c r="CA36" s="12"/>
      <c r="CB36" s="12"/>
      <c r="CC36" s="12"/>
      <c r="CD36" s="12"/>
      <c r="CE36" s="12"/>
      <c r="CF36" s="13">
        <v>2.0</v>
      </c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3">
        <v>1.0</v>
      </c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3">
        <v>5.0</v>
      </c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3">
        <v>138.0</v>
      </c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</row>
    <row r="37">
      <c r="A37" s="15">
        <v>43558.0</v>
      </c>
      <c r="B37" s="12" t="s">
        <v>0</v>
      </c>
      <c r="C37" s="16">
        <f t="shared" si="34"/>
        <v>165</v>
      </c>
      <c r="D37" s="13">
        <v>21.3002</v>
      </c>
      <c r="E37" s="13">
        <v>-157.882599</v>
      </c>
      <c r="F37" s="12" t="s">
        <v>67</v>
      </c>
      <c r="G37" s="14">
        <v>0.39305555555555555</v>
      </c>
      <c r="H37" s="14">
        <v>0.4479166666666667</v>
      </c>
      <c r="I37" s="13">
        <v>6.0</v>
      </c>
      <c r="J37" s="13">
        <v>18.0</v>
      </c>
      <c r="K37" s="12" t="s">
        <v>8</v>
      </c>
      <c r="L37" s="13">
        <v>5.0</v>
      </c>
      <c r="M37" s="13">
        <v>12.0</v>
      </c>
      <c r="N37" s="12" t="s">
        <v>68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3">
        <v>10.0</v>
      </c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3">
        <v>1.0</v>
      </c>
      <c r="BF37" s="12"/>
      <c r="BG37" s="12"/>
      <c r="BH37" s="12"/>
      <c r="BI37" s="12"/>
      <c r="BJ37" s="12"/>
      <c r="BK37" s="12"/>
      <c r="BL37" s="12"/>
      <c r="BM37" s="13">
        <v>3.0</v>
      </c>
      <c r="BN37" s="12"/>
      <c r="BO37" s="12"/>
      <c r="BP37" s="12"/>
      <c r="BQ37" s="12"/>
      <c r="BR37" s="12"/>
      <c r="BS37" s="12"/>
      <c r="BT37" s="13">
        <v>3.0</v>
      </c>
      <c r="BU37" s="13">
        <v>2.0</v>
      </c>
      <c r="BV37" s="13">
        <v>1.0</v>
      </c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3">
        <v>1.0</v>
      </c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3">
        <v>1.0</v>
      </c>
      <c r="ED37" s="12"/>
      <c r="EE37" s="12"/>
      <c r="EF37" s="12"/>
      <c r="EG37" s="12"/>
      <c r="EH37" s="12"/>
      <c r="EI37" s="12"/>
      <c r="EJ37" s="13">
        <v>3.0</v>
      </c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3">
        <v>6.0</v>
      </c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</row>
    <row r="38">
      <c r="A38" s="21">
        <v>42850.0</v>
      </c>
      <c r="B38" s="5" t="s">
        <v>69</v>
      </c>
      <c r="C38" s="16">
        <f t="shared" si="34"/>
        <v>166</v>
      </c>
      <c r="D38" s="7">
        <v>21.4104</v>
      </c>
      <c r="E38" s="7">
        <v>-158.177704</v>
      </c>
      <c r="F38" s="5" t="s">
        <v>70</v>
      </c>
      <c r="G38" s="6">
        <v>0.3888888888888889</v>
      </c>
      <c r="H38" s="6">
        <v>0.4791666666666667</v>
      </c>
      <c r="I38" s="7">
        <v>6.0</v>
      </c>
      <c r="J38" s="7">
        <v>20.0</v>
      </c>
      <c r="K38" s="5" t="s">
        <v>8</v>
      </c>
      <c r="L38" s="7">
        <v>5.0</v>
      </c>
      <c r="M38" s="7">
        <v>23.0</v>
      </c>
      <c r="N38" s="5" t="s">
        <v>71</v>
      </c>
      <c r="O38" s="5"/>
      <c r="P38" s="7">
        <v>23.0</v>
      </c>
      <c r="Q38" s="5"/>
      <c r="R38" s="7">
        <v>104.0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7">
        <v>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7">
        <v>3.0</v>
      </c>
      <c r="BT38" s="5"/>
      <c r="BU38" s="5"/>
      <c r="BV38" s="5"/>
      <c r="BW38" s="5"/>
      <c r="BX38" s="5"/>
      <c r="BY38" s="5"/>
      <c r="BZ38" s="7">
        <v>42.0</v>
      </c>
      <c r="CA38" s="5"/>
      <c r="CB38" s="5"/>
      <c r="CC38" s="7">
        <v>2.0</v>
      </c>
      <c r="CD38" s="5"/>
      <c r="CE38" s="5"/>
      <c r="CF38" s="5"/>
      <c r="CG38" s="5"/>
      <c r="CH38" s="5"/>
      <c r="CI38" s="5"/>
      <c r="CJ38" s="5"/>
      <c r="CK38" s="7">
        <v>96.0</v>
      </c>
      <c r="CL38" s="5"/>
      <c r="CM38" s="5"/>
      <c r="CN38" s="7">
        <v>6.0</v>
      </c>
      <c r="CO38" s="7">
        <v>5.0</v>
      </c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7">
        <v>12.0</v>
      </c>
      <c r="DH38" s="5"/>
      <c r="DI38" s="5"/>
      <c r="DJ38" s="7">
        <v>3.0</v>
      </c>
      <c r="DK38" s="5"/>
      <c r="DL38" s="7">
        <v>1.0</v>
      </c>
      <c r="DM38" s="7">
        <v>33.0</v>
      </c>
      <c r="DN38" s="5"/>
      <c r="DO38" s="5"/>
      <c r="DP38" s="5"/>
      <c r="DQ38" s="5"/>
      <c r="DR38" s="5"/>
      <c r="DS38" s="7">
        <v>5.0</v>
      </c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7">
        <v>13.0</v>
      </c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7">
        <v>55.0</v>
      </c>
      <c r="EY38" s="7">
        <v>1.0</v>
      </c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7">
        <v>1.0</v>
      </c>
      <c r="FS38" s="7">
        <v>160.0</v>
      </c>
      <c r="FT38" s="5"/>
      <c r="FU38" s="5"/>
      <c r="FV38" s="5"/>
      <c r="FW38" s="5"/>
      <c r="FX38" s="5"/>
      <c r="FY38" s="5"/>
      <c r="FZ38" s="5"/>
      <c r="GA38" s="5"/>
      <c r="GB38" s="5"/>
      <c r="GC38" s="7">
        <v>1.0</v>
      </c>
      <c r="GD38" s="5"/>
      <c r="GE38" s="5"/>
      <c r="GF38" s="7">
        <v>2.0</v>
      </c>
      <c r="GG38" s="5"/>
      <c r="GH38" s="7">
        <f t="shared" ref="GH38:GH39" si="35">count(R38:GG38)</f>
        <v>20</v>
      </c>
      <c r="GI38" s="7">
        <f t="shared" ref="GI38:GI39" si="36">countif(R38:GG38,"&gt;=2")</f>
        <v>15</v>
      </c>
      <c r="GJ38" s="7">
        <f t="shared" ref="GJ38:GJ39" si="37">countif(R38:GG38,"&gt;=5")</f>
        <v>11</v>
      </c>
      <c r="GK38" s="7">
        <f t="shared" ref="GK38:GK39" si="38">sum(R38:GG38)</f>
        <v>546</v>
      </c>
      <c r="GL38" s="7">
        <f t="shared" ref="GL38:GL39" si="39">25*P38</f>
        <v>575</v>
      </c>
      <c r="GM38" s="7">
        <f t="shared" ref="GM38:GM39" si="40">GL38-GK38</f>
        <v>29</v>
      </c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</row>
    <row r="39">
      <c r="A39" s="21">
        <v>42852.0</v>
      </c>
      <c r="B39" s="5" t="s">
        <v>21</v>
      </c>
      <c r="C39" s="16">
        <f t="shared" si="34"/>
        <v>167</v>
      </c>
      <c r="D39" s="7">
        <v>21.25544</v>
      </c>
      <c r="E39" s="7">
        <v>-157.810303</v>
      </c>
      <c r="F39" s="5" t="s">
        <v>72</v>
      </c>
      <c r="G39" s="6">
        <v>0.3784722222222222</v>
      </c>
      <c r="H39" s="6">
        <v>0.4236111111111111</v>
      </c>
      <c r="I39" s="7">
        <v>7.0</v>
      </c>
      <c r="J39" s="7">
        <v>12.0</v>
      </c>
      <c r="K39" s="5" t="s">
        <v>8</v>
      </c>
      <c r="L39" s="7">
        <v>6.0</v>
      </c>
      <c r="M39" s="7">
        <v>31.0</v>
      </c>
      <c r="N39" s="5" t="s">
        <v>73</v>
      </c>
      <c r="O39" s="5"/>
      <c r="P39" s="7">
        <v>31.0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7">
        <v>1.0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7">
        <v>15.0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7">
        <v>5.0</v>
      </c>
      <c r="BW39" s="5"/>
      <c r="BX39" s="5"/>
      <c r="BY39" s="5"/>
      <c r="BZ39" s="7">
        <v>6.0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7">
        <v>9.0</v>
      </c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7">
        <v>27.0</v>
      </c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7">
        <v>252.0</v>
      </c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7">
        <v>26.0</v>
      </c>
      <c r="FC39" s="5"/>
      <c r="FD39" s="5"/>
      <c r="FE39" s="7">
        <v>2.0</v>
      </c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7">
        <v>53.0</v>
      </c>
      <c r="FS39" s="7">
        <v>178.0</v>
      </c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7">
        <f t="shared" si="35"/>
        <v>11</v>
      </c>
      <c r="GI39" s="7">
        <f t="shared" si="36"/>
        <v>10</v>
      </c>
      <c r="GJ39" s="7">
        <f t="shared" si="37"/>
        <v>9</v>
      </c>
      <c r="GK39" s="7">
        <f t="shared" si="38"/>
        <v>574</v>
      </c>
      <c r="GL39" s="7">
        <f t="shared" si="39"/>
        <v>775</v>
      </c>
      <c r="GM39" s="7">
        <f t="shared" si="40"/>
        <v>201</v>
      </c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</row>
    <row r="40">
      <c r="A40" s="17">
        <v>43147.0</v>
      </c>
      <c r="B40" s="18" t="s">
        <v>21</v>
      </c>
      <c r="C40" s="16">
        <f t="shared" si="34"/>
        <v>168</v>
      </c>
      <c r="D40" s="19">
        <v>21.25544</v>
      </c>
      <c r="E40" s="19">
        <v>-157.810303</v>
      </c>
      <c r="F40" s="18" t="s">
        <v>72</v>
      </c>
      <c r="G40" s="20">
        <v>0.4583333333333333</v>
      </c>
      <c r="H40" s="20">
        <v>0.5208333333333334</v>
      </c>
      <c r="I40" s="19">
        <v>10.0</v>
      </c>
      <c r="J40" s="19">
        <v>15.0</v>
      </c>
      <c r="K40" s="18" t="s">
        <v>8</v>
      </c>
      <c r="L40" s="19">
        <v>5.0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</row>
    <row r="41">
      <c r="A41" s="21">
        <v>42495.0</v>
      </c>
      <c r="B41" s="5" t="s">
        <v>74</v>
      </c>
      <c r="C41" s="16">
        <f t="shared" si="34"/>
        <v>169</v>
      </c>
      <c r="D41" s="7">
        <v>19.736111</v>
      </c>
      <c r="E41" s="7">
        <v>-155.030838</v>
      </c>
      <c r="F41" s="5" t="s">
        <v>75</v>
      </c>
      <c r="G41" s="6">
        <v>0.36180555555555555</v>
      </c>
      <c r="H41" s="6">
        <v>0.4166666666666667</v>
      </c>
      <c r="I41" s="7">
        <v>8.0</v>
      </c>
      <c r="J41" s="7">
        <v>11.0</v>
      </c>
      <c r="K41" s="5" t="s">
        <v>8</v>
      </c>
      <c r="L41" s="7">
        <v>11.0</v>
      </c>
      <c r="M41" s="7">
        <v>64.0</v>
      </c>
      <c r="N41" s="5" t="s">
        <v>76</v>
      </c>
      <c r="O41" s="5"/>
      <c r="P41" s="7">
        <v>64.0</v>
      </c>
      <c r="Q41" s="5"/>
      <c r="R41" s="7">
        <v>42.0</v>
      </c>
      <c r="S41" s="5"/>
      <c r="T41" s="7">
        <v>38.0</v>
      </c>
      <c r="U41" s="5"/>
      <c r="V41" s="5"/>
      <c r="W41" s="5"/>
      <c r="X41" s="5"/>
      <c r="Y41" s="5"/>
      <c r="Z41" s="5"/>
      <c r="AA41" s="5"/>
      <c r="AB41" s="5"/>
      <c r="AC41" s="5"/>
      <c r="AD41" s="7">
        <v>5.0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7">
        <v>2.0</v>
      </c>
      <c r="BF41" s="5"/>
      <c r="BG41" s="5"/>
      <c r="BH41" s="5"/>
      <c r="BI41" s="5"/>
      <c r="BJ41" s="5"/>
      <c r="BK41" s="7">
        <v>15.0</v>
      </c>
      <c r="BL41" s="5"/>
      <c r="BM41" s="7">
        <v>162.0</v>
      </c>
      <c r="BN41" s="5"/>
      <c r="BO41" s="5"/>
      <c r="BP41" s="5"/>
      <c r="BQ41" s="5"/>
      <c r="BR41" s="5"/>
      <c r="BS41" s="5"/>
      <c r="BT41" s="5"/>
      <c r="BU41" s="5"/>
      <c r="BV41" s="7">
        <v>3.0</v>
      </c>
      <c r="BW41" s="5"/>
      <c r="BX41" s="5"/>
      <c r="BY41" s="5"/>
      <c r="BZ41" s="5"/>
      <c r="CA41" s="5"/>
      <c r="CB41" s="7">
        <v>12.0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7">
        <v>55.0</v>
      </c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7">
        <v>3.0</v>
      </c>
      <c r="EE41" s="5"/>
      <c r="EF41" s="5"/>
      <c r="EG41" s="5"/>
      <c r="EH41" s="5"/>
      <c r="EI41" s="5"/>
      <c r="EJ41" s="7">
        <v>27.0</v>
      </c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7">
        <v>1.0</v>
      </c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7">
        <v>71.0</v>
      </c>
      <c r="FM41" s="5"/>
      <c r="FN41" s="5"/>
      <c r="FO41" s="5"/>
      <c r="FP41" s="5"/>
      <c r="FQ41" s="7">
        <v>1.0</v>
      </c>
      <c r="FR41" s="7">
        <v>2.0</v>
      </c>
      <c r="FS41" s="7">
        <v>382.0</v>
      </c>
      <c r="FT41" s="7">
        <v>1.0</v>
      </c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7">
        <f>count(R41:GG41)</f>
        <v>17</v>
      </c>
      <c r="GI41" s="7">
        <f>countif(R41:GG41,"&gt;=2")</f>
        <v>14</v>
      </c>
      <c r="GJ41" s="7">
        <f>countif(R41:GG41,"&gt;=5")</f>
        <v>10</v>
      </c>
      <c r="GK41" s="7">
        <f>sum(R41:GG41)</f>
        <v>822</v>
      </c>
      <c r="GL41" s="7">
        <f>25*P41</f>
        <v>1600</v>
      </c>
      <c r="GM41" s="7">
        <f>GL41-GK41</f>
        <v>778</v>
      </c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</row>
    <row r="42">
      <c r="A42" s="15">
        <v>43605.0</v>
      </c>
      <c r="B42" s="12" t="s">
        <v>74</v>
      </c>
      <c r="C42" s="16">
        <f t="shared" si="34"/>
        <v>170</v>
      </c>
      <c r="D42" s="13">
        <v>19.736111</v>
      </c>
      <c r="E42" s="13">
        <v>-155.030838</v>
      </c>
      <c r="F42" s="12" t="s">
        <v>75</v>
      </c>
      <c r="G42" s="14">
        <v>0.40625</v>
      </c>
      <c r="H42" s="14">
        <v>0.46875</v>
      </c>
      <c r="I42" s="13">
        <v>8.0</v>
      </c>
      <c r="J42" s="13">
        <v>12.0</v>
      </c>
      <c r="K42" s="12" t="s">
        <v>2</v>
      </c>
      <c r="L42" s="13">
        <v>8.0</v>
      </c>
      <c r="M42" s="13">
        <v>43.0</v>
      </c>
      <c r="N42" s="12" t="s">
        <v>77</v>
      </c>
      <c r="O42" s="12"/>
      <c r="P42" s="12"/>
      <c r="Q42" s="12"/>
      <c r="R42" s="13">
        <v>3.0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3">
        <v>28.0</v>
      </c>
      <c r="BN42" s="12"/>
      <c r="BO42" s="12"/>
      <c r="BP42" s="12"/>
      <c r="BQ42" s="13">
        <v>2.0</v>
      </c>
      <c r="BR42" s="12"/>
      <c r="BS42" s="12"/>
      <c r="BT42" s="12"/>
      <c r="BU42" s="12"/>
      <c r="BV42" s="13">
        <v>5.0</v>
      </c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3">
        <v>13.0</v>
      </c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3">
        <v>1.0</v>
      </c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3">
        <v>8.0</v>
      </c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3">
        <v>2.0</v>
      </c>
      <c r="EB42" s="12"/>
      <c r="EC42" s="12"/>
      <c r="ED42" s="12"/>
      <c r="EE42" s="13">
        <v>2.0</v>
      </c>
      <c r="EF42" s="12"/>
      <c r="EG42" s="12"/>
      <c r="EH42" s="12"/>
      <c r="EI42" s="12"/>
      <c r="EJ42" s="13">
        <v>3.0</v>
      </c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3">
        <v>1.0</v>
      </c>
      <c r="EY42" s="12"/>
      <c r="EZ42" s="12"/>
      <c r="FA42" s="12"/>
      <c r="FB42" s="12"/>
      <c r="FC42" s="12"/>
      <c r="FD42" s="12"/>
      <c r="FE42" s="13">
        <v>8.0</v>
      </c>
      <c r="FF42" s="13">
        <v>9.0</v>
      </c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3">
        <v>9.0</v>
      </c>
      <c r="FS42" s="13">
        <v>480.0</v>
      </c>
      <c r="FT42" s="12"/>
      <c r="FU42" s="12"/>
      <c r="FV42" s="12"/>
      <c r="FW42" s="12"/>
      <c r="FX42" s="13">
        <v>1.0</v>
      </c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</row>
    <row r="43">
      <c r="A43" s="15">
        <v>42832.0</v>
      </c>
      <c r="B43" s="12" t="s">
        <v>69</v>
      </c>
      <c r="C43" s="16">
        <f t="shared" si="34"/>
        <v>171</v>
      </c>
      <c r="D43" s="13">
        <v>21.4104</v>
      </c>
      <c r="E43" s="13">
        <v>-158.177704</v>
      </c>
      <c r="F43" s="12" t="s">
        <v>78</v>
      </c>
      <c r="G43" s="14">
        <v>0.375</v>
      </c>
      <c r="H43" s="14">
        <v>0.4791666666666667</v>
      </c>
      <c r="I43" s="13">
        <v>4.0</v>
      </c>
      <c r="J43" s="13">
        <v>7.0</v>
      </c>
      <c r="K43" s="12" t="s">
        <v>8</v>
      </c>
      <c r="L43" s="13">
        <v>5.0</v>
      </c>
      <c r="M43" s="13">
        <v>15.0</v>
      </c>
      <c r="N43" s="12" t="s">
        <v>79</v>
      </c>
      <c r="O43" s="12"/>
      <c r="P43" s="12"/>
      <c r="Q43" s="12"/>
      <c r="R43" s="13">
        <v>101.0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3">
        <v>13.0</v>
      </c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3">
        <v>1.0</v>
      </c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3">
        <v>18.0</v>
      </c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3">
        <v>15.0</v>
      </c>
      <c r="DH43" s="12"/>
      <c r="DI43" s="12"/>
      <c r="DJ43" s="12"/>
      <c r="DK43" s="12"/>
      <c r="DL43" s="12"/>
      <c r="DM43" s="13">
        <v>1.0</v>
      </c>
      <c r="DN43" s="12"/>
      <c r="DO43" s="12"/>
      <c r="DP43" s="13">
        <v>1.0</v>
      </c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3">
        <v>1.0</v>
      </c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3">
        <v>3.0</v>
      </c>
      <c r="FC43" s="12"/>
      <c r="FD43" s="12"/>
      <c r="FE43" s="13">
        <v>1.0</v>
      </c>
      <c r="FF43" s="12"/>
      <c r="FG43" s="12"/>
      <c r="FH43" s="12"/>
      <c r="FI43" s="13">
        <v>1.0</v>
      </c>
      <c r="FJ43" s="12"/>
      <c r="FK43" s="12"/>
      <c r="FL43" s="12"/>
      <c r="FM43" s="12"/>
      <c r="FN43" s="12"/>
      <c r="FO43" s="12"/>
      <c r="FP43" s="12"/>
      <c r="FQ43" s="12"/>
      <c r="FR43" s="12"/>
      <c r="FS43" s="13">
        <v>138.0</v>
      </c>
      <c r="FT43" s="12"/>
      <c r="FU43" s="12"/>
      <c r="FV43" s="12"/>
      <c r="FW43" s="12"/>
      <c r="FX43" s="12"/>
      <c r="FY43" s="12"/>
      <c r="FZ43" s="12"/>
      <c r="GA43" s="13">
        <v>2.0</v>
      </c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</row>
    <row r="44">
      <c r="A44" s="15">
        <v>42482.0</v>
      </c>
      <c r="B44" s="12" t="s">
        <v>80</v>
      </c>
      <c r="C44" s="16">
        <f t="shared" si="34"/>
        <v>172</v>
      </c>
      <c r="D44" s="13">
        <v>21.7057</v>
      </c>
      <c r="E44" s="13">
        <v>-157.995697</v>
      </c>
      <c r="F44" s="12" t="s">
        <v>81</v>
      </c>
      <c r="G44" s="14">
        <v>0.4270833333333333</v>
      </c>
      <c r="H44" s="14">
        <v>0.4791666666666667</v>
      </c>
      <c r="I44" s="13">
        <v>5.0</v>
      </c>
      <c r="J44" s="13">
        <v>17.0</v>
      </c>
      <c r="K44" s="12" t="s">
        <v>8</v>
      </c>
      <c r="L44" s="13">
        <v>8.0</v>
      </c>
      <c r="M44" s="13">
        <v>27.0</v>
      </c>
      <c r="N44" s="12" t="s">
        <v>82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3">
        <v>1.0</v>
      </c>
      <c r="BN44" s="13">
        <v>328.0</v>
      </c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3">
        <v>4.0</v>
      </c>
      <c r="CC44" s="13">
        <v>7.0</v>
      </c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3">
        <v>19.0</v>
      </c>
      <c r="DQ44" s="12"/>
      <c r="DR44" s="12"/>
      <c r="DS44" s="12"/>
      <c r="DT44" s="12"/>
      <c r="DU44" s="12"/>
      <c r="DV44" s="13">
        <v>5.0</v>
      </c>
      <c r="DW44" s="12"/>
      <c r="DX44" s="12"/>
      <c r="DY44" s="12"/>
      <c r="DZ44" s="12"/>
      <c r="EA44" s="12"/>
      <c r="EB44" s="12"/>
      <c r="EC44" s="12"/>
      <c r="ED44" s="13">
        <v>2.0</v>
      </c>
      <c r="EE44" s="12"/>
      <c r="EF44" s="13">
        <v>3.0</v>
      </c>
      <c r="EG44" s="12"/>
      <c r="EH44" s="12"/>
      <c r="EI44" s="12"/>
      <c r="EJ44" s="12"/>
      <c r="EK44" s="12"/>
      <c r="EL44" s="12"/>
      <c r="EM44" s="12"/>
      <c r="EN44" s="13">
        <v>6.0</v>
      </c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3">
        <v>1.0</v>
      </c>
      <c r="FD44" s="12"/>
      <c r="FE44" s="12"/>
      <c r="FF44" s="12"/>
      <c r="FG44" s="12"/>
      <c r="FH44" s="12"/>
      <c r="FI44" s="12"/>
      <c r="FJ44" s="12"/>
      <c r="FK44" s="13">
        <v>13.0</v>
      </c>
      <c r="FL44" s="12"/>
      <c r="FM44" s="12"/>
      <c r="FN44" s="12"/>
      <c r="FO44" s="12"/>
      <c r="FP44" s="12"/>
      <c r="FQ44" s="12"/>
      <c r="FR44" s="12"/>
      <c r="FS44" s="13">
        <v>15.0</v>
      </c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</row>
    <row r="45">
      <c r="A45" s="21">
        <v>42838.0</v>
      </c>
      <c r="B45" s="5" t="s">
        <v>80</v>
      </c>
      <c r="C45" s="16">
        <f t="shared" si="34"/>
        <v>173</v>
      </c>
      <c r="D45" s="7">
        <v>21.7057</v>
      </c>
      <c r="E45" s="7">
        <v>-157.995697</v>
      </c>
      <c r="F45" s="5" t="s">
        <v>81</v>
      </c>
      <c r="G45" s="6">
        <v>0.4375</v>
      </c>
      <c r="H45" s="6">
        <v>0.4791666666666667</v>
      </c>
      <c r="I45" s="7">
        <v>9.0</v>
      </c>
      <c r="J45" s="7">
        <v>16.0</v>
      </c>
      <c r="K45" s="5" t="s">
        <v>8</v>
      </c>
      <c r="L45" s="7">
        <v>10.0</v>
      </c>
      <c r="M45" s="7">
        <v>40.0</v>
      </c>
      <c r="N45" s="5" t="s">
        <v>83</v>
      </c>
      <c r="O45" s="5" t="s">
        <v>84</v>
      </c>
      <c r="P45" s="7">
        <v>40.0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7">
        <v>1.0</v>
      </c>
      <c r="AJ45" s="5"/>
      <c r="AK45" s="5"/>
      <c r="AL45" s="5"/>
      <c r="AM45" s="5"/>
      <c r="AN45" s="7">
        <v>1.0</v>
      </c>
      <c r="AO45" s="5"/>
      <c r="AP45" s="5"/>
      <c r="AQ45" s="5"/>
      <c r="AR45" s="5"/>
      <c r="AS45" s="5"/>
      <c r="AT45" s="5"/>
      <c r="AU45" s="7">
        <v>1.0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7">
        <v>4.0</v>
      </c>
      <c r="BN45" s="7">
        <v>2.0</v>
      </c>
      <c r="BO45" s="5"/>
      <c r="BP45" s="5"/>
      <c r="BQ45" s="5"/>
      <c r="BR45" s="5"/>
      <c r="BS45" s="5"/>
      <c r="BT45" s="5"/>
      <c r="BU45" s="5"/>
      <c r="BV45" s="7">
        <v>1.0</v>
      </c>
      <c r="BW45" s="5"/>
      <c r="BX45" s="5"/>
      <c r="BY45" s="5"/>
      <c r="BZ45" s="5"/>
      <c r="CA45" s="5"/>
      <c r="CB45" s="5"/>
      <c r="CC45" s="7">
        <v>8.0</v>
      </c>
      <c r="CD45" s="7">
        <v>3.0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7">
        <v>7.0</v>
      </c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7">
        <v>9.0</v>
      </c>
      <c r="DN45" s="5"/>
      <c r="DO45" s="5"/>
      <c r="DP45" s="5"/>
      <c r="DQ45" s="5"/>
      <c r="DR45" s="5"/>
      <c r="DS45" s="5"/>
      <c r="DT45" s="5"/>
      <c r="DU45" s="5"/>
      <c r="DV45" s="7">
        <v>6.0</v>
      </c>
      <c r="DW45" s="5"/>
      <c r="DX45" s="5"/>
      <c r="DY45" s="5"/>
      <c r="DZ45" s="7">
        <v>2.0</v>
      </c>
      <c r="EA45" s="5"/>
      <c r="EB45" s="5"/>
      <c r="EC45" s="5"/>
      <c r="ED45" s="5"/>
      <c r="EE45" s="5"/>
      <c r="EF45" s="5"/>
      <c r="EG45" s="5"/>
      <c r="EH45" s="5"/>
      <c r="EI45" s="5"/>
      <c r="EJ45" s="7">
        <v>344.0</v>
      </c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7">
        <v>2.0</v>
      </c>
      <c r="FC45" s="5"/>
      <c r="FD45" s="5"/>
      <c r="FE45" s="5"/>
      <c r="FF45" s="5"/>
      <c r="FG45" s="5"/>
      <c r="FH45" s="7">
        <v>2.0</v>
      </c>
      <c r="FI45" s="5"/>
      <c r="FJ45" s="5"/>
      <c r="FK45" s="5"/>
      <c r="FL45" s="5"/>
      <c r="FM45" s="5"/>
      <c r="FN45" s="5"/>
      <c r="FO45" s="5"/>
      <c r="FP45" s="5"/>
      <c r="FQ45" s="5"/>
      <c r="FR45" s="7">
        <v>25.0</v>
      </c>
      <c r="FS45" s="7">
        <v>133.0</v>
      </c>
      <c r="FT45" s="5"/>
      <c r="FU45" s="5"/>
      <c r="FV45" s="5"/>
      <c r="FW45" s="5"/>
      <c r="FX45" s="5"/>
      <c r="FY45" s="5"/>
      <c r="FZ45" s="5"/>
      <c r="GA45" s="5"/>
      <c r="GB45" s="5"/>
      <c r="GC45" s="7">
        <v>3.0</v>
      </c>
      <c r="GD45" s="5"/>
      <c r="GE45" s="5"/>
      <c r="GF45" s="5"/>
      <c r="GG45" s="5"/>
      <c r="GH45" s="7">
        <f>count(R45:GG45)</f>
        <v>18</v>
      </c>
      <c r="GI45" s="7">
        <f>countif(R45:GG45,"&gt;=2")</f>
        <v>14</v>
      </c>
      <c r="GJ45" s="7">
        <f>countif(R45:GG45,"&gt;=5")</f>
        <v>7</v>
      </c>
      <c r="GK45" s="7">
        <f>sum(R45:GG45)</f>
        <v>554</v>
      </c>
      <c r="GL45" s="7">
        <f>25*P45</f>
        <v>1000</v>
      </c>
      <c r="GM45" s="7">
        <f>GL45-GK45</f>
        <v>446</v>
      </c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</row>
    <row r="46">
      <c r="A46" s="15">
        <v>42838.0</v>
      </c>
      <c r="B46" s="12" t="s">
        <v>85</v>
      </c>
      <c r="C46" s="16">
        <f t="shared" si="34"/>
        <v>174</v>
      </c>
      <c r="D46" s="13">
        <v>21.706499</v>
      </c>
      <c r="E46" s="13">
        <v>-157.998505</v>
      </c>
      <c r="F46" s="12" t="s">
        <v>81</v>
      </c>
      <c r="G46" s="14">
        <v>0.4375</v>
      </c>
      <c r="H46" s="14">
        <v>0.4583333333333333</v>
      </c>
      <c r="I46" s="13">
        <v>5.0</v>
      </c>
      <c r="J46" s="13">
        <v>10.0</v>
      </c>
      <c r="K46" s="12" t="s">
        <v>8</v>
      </c>
      <c r="L46" s="13">
        <v>3.0</v>
      </c>
      <c r="M46" s="13">
        <v>7.0</v>
      </c>
      <c r="N46" s="12" t="s">
        <v>86</v>
      </c>
      <c r="O46" s="12"/>
      <c r="P46" s="12"/>
      <c r="Q46" s="12"/>
      <c r="R46" s="13">
        <v>1.0</v>
      </c>
      <c r="S46" s="12"/>
      <c r="T46" s="12"/>
      <c r="U46" s="12"/>
      <c r="V46" s="12"/>
      <c r="W46" s="12"/>
      <c r="X46" s="12"/>
      <c r="Y46" s="12"/>
      <c r="Z46" s="12"/>
      <c r="AA46" s="12"/>
      <c r="AB46" s="13">
        <v>1.0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>
        <v>3.0</v>
      </c>
      <c r="BC46" s="12"/>
      <c r="BD46" s="12"/>
      <c r="BE46" s="12"/>
      <c r="BF46" s="12"/>
      <c r="BG46" s="12"/>
      <c r="BH46" s="12"/>
      <c r="BI46" s="12"/>
      <c r="BJ46" s="12"/>
      <c r="BK46" s="13">
        <v>3.0</v>
      </c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3">
        <v>14.0</v>
      </c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3">
        <v>6.0</v>
      </c>
      <c r="DW46" s="12"/>
      <c r="DX46" s="12"/>
      <c r="DY46" s="12"/>
      <c r="DZ46" s="12"/>
      <c r="EA46" s="12"/>
      <c r="EB46" s="12"/>
      <c r="EC46" s="12"/>
      <c r="ED46" s="13">
        <v>1.0</v>
      </c>
      <c r="EE46" s="12"/>
      <c r="EF46" s="12"/>
      <c r="EG46" s="12"/>
      <c r="EH46" s="12"/>
      <c r="EI46" s="12"/>
      <c r="EJ46" s="13">
        <v>4.0</v>
      </c>
      <c r="EK46" s="13">
        <v>5.0</v>
      </c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3">
        <v>2.0</v>
      </c>
      <c r="EW46" s="13">
        <v>1.0</v>
      </c>
      <c r="EX46" s="12"/>
      <c r="EY46" s="12"/>
      <c r="EZ46" s="12"/>
      <c r="FA46" s="12"/>
      <c r="FB46" s="13">
        <v>4.0</v>
      </c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3">
        <v>24.0</v>
      </c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</row>
    <row r="47">
      <c r="A47" s="26">
        <v>43311.0</v>
      </c>
      <c r="B47" s="27" t="s">
        <v>43</v>
      </c>
      <c r="C47" s="16">
        <v>168.0</v>
      </c>
      <c r="D47" s="28">
        <v>21.2882</v>
      </c>
      <c r="E47" s="28">
        <v>-157.667999</v>
      </c>
      <c r="F47" s="27" t="s">
        <v>81</v>
      </c>
      <c r="G47" s="29">
        <v>0.3902777777777778</v>
      </c>
      <c r="H47" s="29">
        <v>0.4479166666666667</v>
      </c>
      <c r="I47" s="28">
        <v>6.0</v>
      </c>
      <c r="J47" s="28">
        <v>17.0</v>
      </c>
      <c r="K47" s="27" t="s">
        <v>8</v>
      </c>
      <c r="L47" s="28">
        <v>6.0</v>
      </c>
      <c r="M47" s="28">
        <v>26.0</v>
      </c>
      <c r="N47" s="27" t="s">
        <v>87</v>
      </c>
      <c r="O47" s="27"/>
      <c r="P47" s="27"/>
      <c r="Q47" s="27"/>
      <c r="R47" s="28">
        <v>2.0</v>
      </c>
      <c r="S47" s="28">
        <v>2.0</v>
      </c>
      <c r="T47" s="27"/>
      <c r="U47" s="27"/>
      <c r="V47" s="27"/>
      <c r="W47" s="27"/>
      <c r="X47" s="27"/>
      <c r="Y47" s="27"/>
      <c r="Z47" s="27"/>
      <c r="AA47" s="27"/>
      <c r="AB47" s="27"/>
      <c r="AC47" s="28">
        <v>1.0</v>
      </c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8">
        <v>1.0</v>
      </c>
      <c r="BI47" s="27"/>
      <c r="BJ47" s="27"/>
      <c r="BK47" s="28">
        <v>2.0</v>
      </c>
      <c r="BL47" s="28">
        <v>1.0</v>
      </c>
      <c r="BM47" s="28">
        <v>12.0</v>
      </c>
      <c r="BN47" s="28">
        <v>3.0</v>
      </c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8">
        <v>3.0</v>
      </c>
      <c r="CB47" s="27"/>
      <c r="CC47" s="28">
        <v>2.0</v>
      </c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8">
        <v>1.0</v>
      </c>
      <c r="DH47" s="27"/>
      <c r="DI47" s="27"/>
      <c r="DJ47" s="27"/>
      <c r="DK47" s="27"/>
      <c r="DL47" s="27"/>
      <c r="DM47" s="28">
        <v>2.0</v>
      </c>
      <c r="DN47" s="27"/>
      <c r="DO47" s="28">
        <v>5.0</v>
      </c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8">
        <v>2.0</v>
      </c>
      <c r="EA47" s="27"/>
      <c r="EB47" s="27"/>
      <c r="EC47" s="27"/>
      <c r="ED47" s="27"/>
      <c r="EE47" s="27"/>
      <c r="EF47" s="27"/>
      <c r="EG47" s="27"/>
      <c r="EH47" s="27"/>
      <c r="EI47" s="27"/>
      <c r="EJ47" s="28">
        <v>1.0</v>
      </c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8">
        <v>4.0</v>
      </c>
      <c r="FA47" s="27"/>
      <c r="FB47" s="28">
        <v>1.0</v>
      </c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8">
        <v>6.0</v>
      </c>
      <c r="FN47" s="27"/>
      <c r="FO47" s="27"/>
      <c r="FP47" s="28">
        <v>1.0</v>
      </c>
      <c r="FQ47" s="27"/>
      <c r="FR47" s="28">
        <v>11.0</v>
      </c>
      <c r="FS47" s="28">
        <v>217.0</v>
      </c>
      <c r="FT47" s="27"/>
      <c r="FU47" s="27"/>
      <c r="FV47" s="27"/>
      <c r="FW47" s="28">
        <v>1.0</v>
      </c>
      <c r="FX47" s="27"/>
      <c r="FY47" s="27"/>
      <c r="FZ47" s="27"/>
      <c r="GA47" s="27"/>
      <c r="GB47" s="27"/>
      <c r="GC47" s="27"/>
      <c r="GD47" s="27"/>
      <c r="GE47" s="27"/>
      <c r="GF47" s="27"/>
      <c r="GG47" s="28">
        <v>7.0</v>
      </c>
      <c r="GH47" s="28">
        <f t="shared" ref="GH47:GH52" si="41">count(R47:GG47)</f>
        <v>23</v>
      </c>
      <c r="GI47" s="28">
        <f t="shared" ref="GI47:GI52" si="42">countif(R47:GG47,"&gt;=2")</f>
        <v>15</v>
      </c>
      <c r="GJ47" s="28">
        <f t="shared" ref="GJ47:GJ52" si="43">countif(R47:GG47,"&gt;=5")</f>
        <v>6</v>
      </c>
      <c r="GK47" s="28">
        <f t="shared" ref="GK47:GK52" si="44">sum(R47:GG47)</f>
        <v>288</v>
      </c>
      <c r="GL47" s="28">
        <f t="shared" ref="GL47:GL52" si="45">25*P47</f>
        <v>0</v>
      </c>
      <c r="GM47" s="28">
        <f t="shared" ref="GM47:GM52" si="46">GL47-GK47</f>
        <v>-288</v>
      </c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</row>
    <row r="48">
      <c r="A48" s="26">
        <v>43214.0</v>
      </c>
      <c r="B48" s="27" t="s">
        <v>21</v>
      </c>
      <c r="C48" s="16">
        <f t="shared" ref="C48:C50" si="47">C47+1</f>
        <v>169</v>
      </c>
      <c r="D48" s="28">
        <v>21.25544</v>
      </c>
      <c r="E48" s="28">
        <v>-157.810303</v>
      </c>
      <c r="F48" s="27" t="s">
        <v>88</v>
      </c>
      <c r="G48" s="29">
        <v>0.3854166666666667</v>
      </c>
      <c r="H48" s="29">
        <v>0.4097222222222222</v>
      </c>
      <c r="I48" s="28">
        <v>7.0</v>
      </c>
      <c r="J48" s="28">
        <v>12.0</v>
      </c>
      <c r="K48" s="27" t="s">
        <v>8</v>
      </c>
      <c r="L48" s="28">
        <v>5.0</v>
      </c>
      <c r="M48" s="28">
        <v>25.0</v>
      </c>
      <c r="N48" s="27" t="s">
        <v>89</v>
      </c>
      <c r="O48" s="27"/>
      <c r="P48" s="28">
        <v>25.0</v>
      </c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8">
        <v>4.0</v>
      </c>
      <c r="AF48" s="27"/>
      <c r="AG48" s="27"/>
      <c r="AH48" s="27"/>
      <c r="AI48" s="28">
        <v>2.0</v>
      </c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8">
        <v>1.0</v>
      </c>
      <c r="AW48" s="27"/>
      <c r="AX48" s="27"/>
      <c r="AY48" s="27"/>
      <c r="AZ48" s="27"/>
      <c r="BA48" s="27"/>
      <c r="BB48" s="28">
        <v>3.0</v>
      </c>
      <c r="BC48" s="27"/>
      <c r="BD48" s="27"/>
      <c r="BE48" s="28">
        <v>1.0</v>
      </c>
      <c r="BF48" s="28">
        <v>3.0</v>
      </c>
      <c r="BG48" s="27"/>
      <c r="BH48" s="27"/>
      <c r="BI48" s="27"/>
      <c r="BJ48" s="27"/>
      <c r="BK48" s="27"/>
      <c r="BL48" s="27"/>
      <c r="BM48" s="28">
        <v>4.0</v>
      </c>
      <c r="BN48" s="27"/>
      <c r="BO48" s="27"/>
      <c r="BP48" s="27"/>
      <c r="BQ48" s="28">
        <v>46.0</v>
      </c>
      <c r="BR48" s="27"/>
      <c r="BS48" s="27"/>
      <c r="BT48" s="27"/>
      <c r="BU48" s="27"/>
      <c r="BV48" s="28">
        <v>2.0</v>
      </c>
      <c r="BW48" s="27"/>
      <c r="BX48" s="27"/>
      <c r="BY48" s="27"/>
      <c r="BZ48" s="28">
        <v>11.0</v>
      </c>
      <c r="CA48" s="27"/>
      <c r="CB48" s="27"/>
      <c r="CC48" s="27"/>
      <c r="CD48" s="27"/>
      <c r="CE48" s="28">
        <v>1.0</v>
      </c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8">
        <v>5.0</v>
      </c>
      <c r="DN48" s="27"/>
      <c r="DO48" s="27"/>
      <c r="DP48" s="27"/>
      <c r="DQ48" s="27"/>
      <c r="DR48" s="27"/>
      <c r="DS48" s="28">
        <v>5.0</v>
      </c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8">
        <v>315.0</v>
      </c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8">
        <v>5.0</v>
      </c>
      <c r="FC48" s="27"/>
      <c r="FD48" s="27"/>
      <c r="FE48" s="27"/>
      <c r="FF48" s="28">
        <v>5.0</v>
      </c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8">
        <v>34.0</v>
      </c>
      <c r="FS48" s="28">
        <v>23.0</v>
      </c>
      <c r="FT48" s="27"/>
      <c r="FU48" s="27"/>
      <c r="FV48" s="27"/>
      <c r="FW48" s="28">
        <v>4.0</v>
      </c>
      <c r="FX48" s="27"/>
      <c r="FY48" s="27"/>
      <c r="FZ48" s="27"/>
      <c r="GA48" s="27"/>
      <c r="GB48" s="27"/>
      <c r="GC48" s="28">
        <v>2.0</v>
      </c>
      <c r="GD48" s="27"/>
      <c r="GE48" s="27"/>
      <c r="GF48" s="27"/>
      <c r="GG48" s="28">
        <v>2.0</v>
      </c>
      <c r="GH48" s="28">
        <f t="shared" si="41"/>
        <v>21</v>
      </c>
      <c r="GI48" s="28">
        <f t="shared" si="42"/>
        <v>18</v>
      </c>
      <c r="GJ48" s="28">
        <f t="shared" si="43"/>
        <v>9</v>
      </c>
      <c r="GK48" s="28">
        <f t="shared" si="44"/>
        <v>478</v>
      </c>
      <c r="GL48" s="28">
        <f t="shared" si="45"/>
        <v>625</v>
      </c>
      <c r="GM48" s="28">
        <f t="shared" si="46"/>
        <v>147</v>
      </c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</row>
    <row r="49">
      <c r="A49" s="21">
        <v>42837.0</v>
      </c>
      <c r="B49" s="5" t="s">
        <v>28</v>
      </c>
      <c r="C49" s="16">
        <f t="shared" si="47"/>
        <v>170</v>
      </c>
      <c r="D49" s="7">
        <v>22.060684</v>
      </c>
      <c r="E49" s="7">
        <v>-159.318512</v>
      </c>
      <c r="F49" s="5" t="s">
        <v>90</v>
      </c>
      <c r="G49" s="6">
        <v>0.3611111111111111</v>
      </c>
      <c r="H49" s="6">
        <v>0.4409722222222222</v>
      </c>
      <c r="I49" s="7">
        <v>6.0</v>
      </c>
      <c r="J49" s="7">
        <v>13.0</v>
      </c>
      <c r="K49" s="5" t="s">
        <v>8</v>
      </c>
      <c r="L49" s="7">
        <v>5.0</v>
      </c>
      <c r="M49" s="7">
        <v>28.0</v>
      </c>
      <c r="N49" s="2" t="s">
        <v>91</v>
      </c>
      <c r="O49" s="5"/>
      <c r="P49" s="7">
        <v>28.0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7">
        <v>1.0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7">
        <v>5.0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7">
        <v>215.0</v>
      </c>
      <c r="BO49" s="5"/>
      <c r="BP49" s="5"/>
      <c r="BQ49" s="5"/>
      <c r="BR49" s="5"/>
      <c r="BS49" s="5"/>
      <c r="BT49" s="5"/>
      <c r="BU49" s="5"/>
      <c r="BV49" s="7">
        <v>5.0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7">
        <v>1.0</v>
      </c>
      <c r="DE49" s="5"/>
      <c r="DF49" s="5"/>
      <c r="DG49" s="5"/>
      <c r="DH49" s="5"/>
      <c r="DI49" s="5"/>
      <c r="DJ49" s="5"/>
      <c r="DK49" s="5"/>
      <c r="DL49" s="5"/>
      <c r="DM49" s="7">
        <v>77.0</v>
      </c>
      <c r="DN49" s="5"/>
      <c r="DO49" s="5"/>
      <c r="DP49" s="5"/>
      <c r="DQ49" s="5"/>
      <c r="DR49" s="5"/>
      <c r="DS49" s="5"/>
      <c r="DT49" s="5"/>
      <c r="DU49" s="5"/>
      <c r="DV49" s="7">
        <v>10.0</v>
      </c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7">
        <v>144.0</v>
      </c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7">
        <v>5.0</v>
      </c>
      <c r="FS49" s="7">
        <v>47.0</v>
      </c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7">
        <f t="shared" si="41"/>
        <v>10</v>
      </c>
      <c r="GI49" s="7">
        <f t="shared" si="42"/>
        <v>8</v>
      </c>
      <c r="GJ49" s="7">
        <f t="shared" si="43"/>
        <v>8</v>
      </c>
      <c r="GK49" s="7">
        <f t="shared" si="44"/>
        <v>510</v>
      </c>
      <c r="GL49" s="7">
        <f t="shared" si="45"/>
        <v>700</v>
      </c>
      <c r="GM49" s="7">
        <f t="shared" si="46"/>
        <v>190</v>
      </c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</row>
    <row r="50">
      <c r="A50" s="21">
        <v>42788.0</v>
      </c>
      <c r="B50" s="5" t="s">
        <v>92</v>
      </c>
      <c r="C50" s="16">
        <f t="shared" si="47"/>
        <v>171</v>
      </c>
      <c r="D50" s="7">
        <v>22.005989</v>
      </c>
      <c r="E50" s="7">
        <v>-159.335648</v>
      </c>
      <c r="F50" s="5" t="s">
        <v>93</v>
      </c>
      <c r="G50" s="6">
        <v>0.3819444444444444</v>
      </c>
      <c r="H50" s="6">
        <v>0.48125</v>
      </c>
      <c r="I50" s="7">
        <v>2.0</v>
      </c>
      <c r="J50" s="7">
        <v>8.0</v>
      </c>
      <c r="K50" s="5" t="s">
        <v>16</v>
      </c>
      <c r="L50" s="7">
        <v>7.0</v>
      </c>
      <c r="M50" s="7">
        <v>12.0</v>
      </c>
      <c r="N50" s="5" t="s">
        <v>94</v>
      </c>
      <c r="O50" s="5"/>
      <c r="P50" s="7">
        <v>12.0</v>
      </c>
      <c r="Q50" s="5"/>
      <c r="R50" s="7">
        <v>35.0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7">
        <v>40.0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7">
        <v>2.0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7">
        <v>23.0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7">
        <v>14.0</v>
      </c>
      <c r="DM50" s="5"/>
      <c r="DN50" s="5"/>
      <c r="DO50" s="5"/>
      <c r="DP50" s="5"/>
      <c r="DQ50" s="5"/>
      <c r="DR50" s="5"/>
      <c r="DS50" s="5"/>
      <c r="DT50" s="5"/>
      <c r="DU50" s="5"/>
      <c r="DV50" s="7">
        <v>42.0</v>
      </c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7">
        <v>9.0</v>
      </c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7">
        <v>8.0</v>
      </c>
      <c r="FA50" s="5"/>
      <c r="FB50" s="5"/>
      <c r="FC50" s="5"/>
      <c r="FD50" s="5"/>
      <c r="FE50" s="7">
        <v>1.0</v>
      </c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7">
        <v>27.0</v>
      </c>
      <c r="FT50" s="5"/>
      <c r="FU50" s="7">
        <v>1.0</v>
      </c>
      <c r="FV50" s="5"/>
      <c r="FW50" s="5"/>
      <c r="FX50" s="5"/>
      <c r="FY50" s="5"/>
      <c r="FZ50" s="5"/>
      <c r="GA50" s="7">
        <v>1.0</v>
      </c>
      <c r="GB50" s="5"/>
      <c r="GC50" s="5"/>
      <c r="GD50" s="5"/>
      <c r="GE50" s="5"/>
      <c r="GF50" s="5"/>
      <c r="GG50" s="5"/>
      <c r="GH50" s="7">
        <f t="shared" si="41"/>
        <v>12</v>
      </c>
      <c r="GI50" s="7">
        <f t="shared" si="42"/>
        <v>9</v>
      </c>
      <c r="GJ50" s="7">
        <f t="shared" si="43"/>
        <v>8</v>
      </c>
      <c r="GK50" s="7">
        <f t="shared" si="44"/>
        <v>203</v>
      </c>
      <c r="GL50" s="7">
        <f t="shared" si="45"/>
        <v>300</v>
      </c>
      <c r="GM50" s="7">
        <f t="shared" si="46"/>
        <v>97</v>
      </c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</row>
    <row r="51">
      <c r="A51" s="21">
        <v>42844.0</v>
      </c>
      <c r="B51" s="5" t="s">
        <v>95</v>
      </c>
      <c r="C51" s="16" t="str">
        <f>#REF!+1</f>
        <v>#REF!</v>
      </c>
      <c r="D51" s="7">
        <v>21.888725</v>
      </c>
      <c r="E51" s="7">
        <v>-159.416412</v>
      </c>
      <c r="F51" s="5" t="s">
        <v>93</v>
      </c>
      <c r="G51" s="6">
        <v>0.3541666666666667</v>
      </c>
      <c r="H51" s="6">
        <v>0.5</v>
      </c>
      <c r="I51" s="7">
        <v>5.0</v>
      </c>
      <c r="J51" s="7">
        <v>18.0</v>
      </c>
      <c r="K51" s="5" t="s">
        <v>2</v>
      </c>
      <c r="L51" s="7">
        <v>5.0</v>
      </c>
      <c r="M51" s="7">
        <v>19.0</v>
      </c>
      <c r="N51" s="5" t="s">
        <v>96</v>
      </c>
      <c r="O51" s="5"/>
      <c r="P51" s="7">
        <v>19.0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7">
        <v>26.0</v>
      </c>
      <c r="AC51" s="5"/>
      <c r="AD51" s="5"/>
      <c r="AE51" s="5"/>
      <c r="AF51" s="5"/>
      <c r="AG51" s="5"/>
      <c r="AH51" s="5"/>
      <c r="AI51" s="7">
        <v>1.0</v>
      </c>
      <c r="AJ51" s="5"/>
      <c r="AK51" s="5"/>
      <c r="AL51" s="5"/>
      <c r="AM51" s="5"/>
      <c r="AN51" s="7">
        <v>5.0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7">
        <v>12.0</v>
      </c>
      <c r="BI51" s="5"/>
      <c r="BJ51" s="5"/>
      <c r="BK51" s="5"/>
      <c r="BL51" s="5"/>
      <c r="BM51" s="5"/>
      <c r="BN51" s="5"/>
      <c r="BO51" s="5"/>
      <c r="BP51" s="7">
        <v>2.0</v>
      </c>
      <c r="BQ51" s="5"/>
      <c r="BR51" s="5"/>
      <c r="BS51" s="5"/>
      <c r="BT51" s="5"/>
      <c r="BU51" s="5"/>
      <c r="BV51" s="7">
        <v>4.0</v>
      </c>
      <c r="BW51" s="5"/>
      <c r="BX51" s="5"/>
      <c r="BY51" s="5"/>
      <c r="BZ51" s="7">
        <v>28.0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7">
        <v>1.0</v>
      </c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7">
        <v>30.0</v>
      </c>
      <c r="DT51" s="5"/>
      <c r="DU51" s="5"/>
      <c r="DV51" s="7">
        <v>45.0</v>
      </c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7">
        <v>73.0</v>
      </c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7">
        <v>7.0</v>
      </c>
      <c r="FJ51" s="5"/>
      <c r="FK51" s="5"/>
      <c r="FL51" s="5"/>
      <c r="FM51" s="5"/>
      <c r="FN51" s="5"/>
      <c r="FO51" s="5"/>
      <c r="FP51" s="5"/>
      <c r="FQ51" s="5"/>
      <c r="FR51" s="5"/>
      <c r="FS51" s="7">
        <v>150.0</v>
      </c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7">
        <f t="shared" si="41"/>
        <v>13</v>
      </c>
      <c r="GI51" s="7">
        <f t="shared" si="42"/>
        <v>11</v>
      </c>
      <c r="GJ51" s="7">
        <f t="shared" si="43"/>
        <v>9</v>
      </c>
      <c r="GK51" s="7">
        <f t="shared" si="44"/>
        <v>384</v>
      </c>
      <c r="GL51" s="7">
        <f t="shared" si="45"/>
        <v>475</v>
      </c>
      <c r="GM51" s="7">
        <f t="shared" si="46"/>
        <v>91</v>
      </c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</row>
    <row r="52">
      <c r="A52" s="21">
        <v>42851.0</v>
      </c>
      <c r="B52" s="5" t="s">
        <v>95</v>
      </c>
      <c r="C52" s="16" t="str">
        <f>C51+1</f>
        <v>#REF!</v>
      </c>
      <c r="D52" s="7">
        <v>21.888725</v>
      </c>
      <c r="E52" s="7">
        <v>-159.416412</v>
      </c>
      <c r="F52" s="2" t="s">
        <v>93</v>
      </c>
      <c r="G52" s="6">
        <v>0.375</v>
      </c>
      <c r="H52" s="6">
        <v>0.5625</v>
      </c>
      <c r="I52" s="7">
        <v>5.0</v>
      </c>
      <c r="J52" s="7">
        <v>10.0</v>
      </c>
      <c r="K52" s="5" t="s">
        <v>2</v>
      </c>
      <c r="L52" s="7">
        <v>5.0</v>
      </c>
      <c r="M52" s="7">
        <v>23.0</v>
      </c>
      <c r="N52" s="5" t="s">
        <v>97</v>
      </c>
      <c r="O52" s="5"/>
      <c r="P52" s="7">
        <v>23.0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7">
        <v>78.0</v>
      </c>
      <c r="AC52" s="7">
        <v>1.0</v>
      </c>
      <c r="AD52" s="5"/>
      <c r="AE52" s="5"/>
      <c r="AF52" s="5"/>
      <c r="AG52" s="5"/>
      <c r="AH52" s="7">
        <v>1.0</v>
      </c>
      <c r="AI52" s="7">
        <v>5.0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7">
        <v>4.0</v>
      </c>
      <c r="BC52" s="5"/>
      <c r="BD52" s="5"/>
      <c r="BE52" s="5"/>
      <c r="BF52" s="5"/>
      <c r="BG52" s="5"/>
      <c r="BH52" s="7">
        <v>5.0</v>
      </c>
      <c r="BI52" s="5"/>
      <c r="BJ52" s="5"/>
      <c r="BK52" s="5"/>
      <c r="BL52" s="5"/>
      <c r="BM52" s="7">
        <v>28.0</v>
      </c>
      <c r="BN52" s="5"/>
      <c r="BO52" s="5"/>
      <c r="BP52" s="7">
        <v>1.0</v>
      </c>
      <c r="BQ52" s="5"/>
      <c r="BR52" s="5"/>
      <c r="BS52" s="5"/>
      <c r="BT52" s="5"/>
      <c r="BU52" s="5"/>
      <c r="BV52" s="7">
        <v>10.0</v>
      </c>
      <c r="BW52" s="5"/>
      <c r="BX52" s="5"/>
      <c r="BY52" s="5"/>
      <c r="BZ52" s="7">
        <v>6.0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7">
        <v>9.0</v>
      </c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7">
        <v>5.0</v>
      </c>
      <c r="DH52" s="5"/>
      <c r="DI52" s="5"/>
      <c r="DJ52" s="5"/>
      <c r="DK52" s="5"/>
      <c r="DL52" s="5"/>
      <c r="DM52" s="7">
        <v>27.0</v>
      </c>
      <c r="DN52" s="5"/>
      <c r="DO52" s="5"/>
      <c r="DP52" s="5"/>
      <c r="DQ52" s="5"/>
      <c r="DR52" s="5"/>
      <c r="DS52" s="7">
        <v>33.0</v>
      </c>
      <c r="DT52" s="5"/>
      <c r="DU52" s="5"/>
      <c r="DV52" s="7">
        <v>52.0</v>
      </c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7">
        <v>50.0</v>
      </c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7">
        <v>9.0</v>
      </c>
      <c r="FC52" s="5"/>
      <c r="FD52" s="5"/>
      <c r="FE52" s="5"/>
      <c r="FF52" s="5"/>
      <c r="FG52" s="5"/>
      <c r="FH52" s="5"/>
      <c r="FI52" s="7">
        <v>1.0</v>
      </c>
      <c r="FJ52" s="5"/>
      <c r="FK52" s="5"/>
      <c r="FL52" s="5"/>
      <c r="FM52" s="5"/>
      <c r="FN52" s="5"/>
      <c r="FO52" s="5"/>
      <c r="FP52" s="5"/>
      <c r="FQ52" s="5"/>
      <c r="FR52" s="5"/>
      <c r="FS52" s="7">
        <v>112.0</v>
      </c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7">
        <f t="shared" si="41"/>
        <v>19</v>
      </c>
      <c r="GI52" s="7">
        <f t="shared" si="42"/>
        <v>15</v>
      </c>
      <c r="GJ52" s="7">
        <f t="shared" si="43"/>
        <v>14</v>
      </c>
      <c r="GK52" s="7">
        <f t="shared" si="44"/>
        <v>437</v>
      </c>
      <c r="GL52" s="7">
        <f t="shared" si="45"/>
        <v>575</v>
      </c>
      <c r="GM52" s="7">
        <f t="shared" si="46"/>
        <v>138</v>
      </c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</row>
    <row r="53">
      <c r="A53" s="15">
        <v>43239.0</v>
      </c>
      <c r="B53" s="12" t="s">
        <v>95</v>
      </c>
      <c r="C53" s="16">
        <v>166.0</v>
      </c>
      <c r="D53" s="13">
        <v>21.888725</v>
      </c>
      <c r="E53" s="13">
        <v>-159.416412</v>
      </c>
      <c r="F53" s="9" t="s">
        <v>93</v>
      </c>
      <c r="G53" s="14">
        <v>0.45694444444444443</v>
      </c>
      <c r="H53" s="14">
        <v>0.4756944444444444</v>
      </c>
      <c r="I53" s="13">
        <v>3.0</v>
      </c>
      <c r="J53" s="13">
        <v>4.5</v>
      </c>
      <c r="K53" s="12" t="s">
        <v>51</v>
      </c>
      <c r="L53" s="13">
        <v>10.0</v>
      </c>
      <c r="M53" s="13">
        <v>9.0</v>
      </c>
      <c r="N53" s="12" t="s">
        <v>98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3">
        <v>25.0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3">
        <v>6.0</v>
      </c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3">
        <v>56.0</v>
      </c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3">
        <v>1.0</v>
      </c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3">
        <v>1.0</v>
      </c>
      <c r="FT53" s="12"/>
      <c r="FU53" s="13">
        <v>22.0</v>
      </c>
      <c r="FV53" s="12"/>
      <c r="FW53" s="13">
        <v>7.0</v>
      </c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</row>
    <row r="54">
      <c r="A54" s="21">
        <v>42851.0</v>
      </c>
      <c r="B54" s="5" t="s">
        <v>99</v>
      </c>
      <c r="C54" s="16">
        <f t="shared" ref="C54:C58" si="48">C53+1</f>
        <v>167</v>
      </c>
      <c r="D54" s="7">
        <v>19.643276</v>
      </c>
      <c r="E54" s="7">
        <v>-156.010193</v>
      </c>
      <c r="F54" s="5" t="s">
        <v>100</v>
      </c>
      <c r="G54" s="6">
        <v>0.3854166666666667</v>
      </c>
      <c r="H54" s="6">
        <v>0.4583333333333333</v>
      </c>
      <c r="I54" s="7">
        <v>7.0</v>
      </c>
      <c r="J54" s="7">
        <v>21.0</v>
      </c>
      <c r="K54" s="5" t="s">
        <v>8</v>
      </c>
      <c r="L54" s="7">
        <v>11.0</v>
      </c>
      <c r="M54" s="7">
        <v>75.0</v>
      </c>
      <c r="N54" s="30" t="s">
        <v>101</v>
      </c>
      <c r="O54" s="5"/>
      <c r="P54" s="7">
        <v>75.0</v>
      </c>
      <c r="Q54" s="5"/>
      <c r="R54" s="5"/>
      <c r="S54" s="5"/>
      <c r="T54" s="7">
        <v>1.0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7">
        <v>1.0</v>
      </c>
      <c r="AH54" s="5"/>
      <c r="AI54" s="5"/>
      <c r="AJ54" s="5"/>
      <c r="AK54" s="5"/>
      <c r="AL54" s="5"/>
      <c r="AM54" s="7">
        <v>12.0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7">
        <v>25.0</v>
      </c>
      <c r="BN54" s="5"/>
      <c r="BO54" s="5"/>
      <c r="BP54" s="5"/>
      <c r="BQ54" s="5"/>
      <c r="BR54" s="7">
        <v>1.0</v>
      </c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7">
        <v>16.0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7">
        <v>11.0</v>
      </c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7">
        <v>3.0</v>
      </c>
      <c r="FA54" s="5"/>
      <c r="FB54" s="5"/>
      <c r="FC54" s="5"/>
      <c r="FD54" s="5"/>
      <c r="FE54" s="5"/>
      <c r="FF54" s="7">
        <v>1.0</v>
      </c>
      <c r="FG54" s="5"/>
      <c r="FH54" s="5"/>
      <c r="FI54" s="5"/>
      <c r="FJ54" s="5"/>
      <c r="FK54" s="5"/>
      <c r="FL54" s="5"/>
      <c r="FM54" s="7">
        <v>5.0</v>
      </c>
      <c r="FN54" s="5"/>
      <c r="FO54" s="5"/>
      <c r="FP54" s="5"/>
      <c r="FQ54" s="5"/>
      <c r="FR54" s="7">
        <v>680.0</v>
      </c>
      <c r="FS54" s="7">
        <v>920.0</v>
      </c>
      <c r="FT54" s="5"/>
      <c r="FU54" s="5"/>
      <c r="FV54" s="5"/>
      <c r="FW54" s="5"/>
      <c r="FX54" s="5"/>
      <c r="FY54" s="5"/>
      <c r="FZ54" s="5"/>
      <c r="GA54" s="5"/>
      <c r="GB54" s="5"/>
      <c r="GC54" s="7">
        <v>1.0</v>
      </c>
      <c r="GD54" s="5"/>
      <c r="GE54" s="5"/>
      <c r="GF54" s="5"/>
      <c r="GG54" s="5"/>
      <c r="GH54" s="7">
        <f t="shared" ref="GH54:GH63" si="49">count(R54:GG54)</f>
        <v>13</v>
      </c>
      <c r="GI54" s="7">
        <f t="shared" ref="GI54:GI63" si="50">countif(R54:GG54,"&gt;=2")</f>
        <v>8</v>
      </c>
      <c r="GJ54" s="7">
        <f t="shared" ref="GJ54:GJ63" si="51">countif(R54:GG54,"&gt;=5")</f>
        <v>7</v>
      </c>
      <c r="GK54" s="7">
        <f t="shared" ref="GK54:GK63" si="52">sum(R54:GG54)</f>
        <v>1677</v>
      </c>
      <c r="GL54" s="7">
        <f t="shared" ref="GL54:GL63" si="53">25*P54</f>
        <v>1875</v>
      </c>
      <c r="GM54" s="7">
        <f t="shared" ref="GM54:GM63" si="54">GL54-GK54</f>
        <v>198</v>
      </c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</row>
    <row r="55">
      <c r="A55" s="21">
        <v>43215.0</v>
      </c>
      <c r="B55" s="5" t="s">
        <v>99</v>
      </c>
      <c r="C55" s="16">
        <f t="shared" si="48"/>
        <v>168</v>
      </c>
      <c r="D55" s="7">
        <v>19.643276</v>
      </c>
      <c r="E55" s="7">
        <v>-156.010193</v>
      </c>
      <c r="F55" s="5" t="s">
        <v>100</v>
      </c>
      <c r="G55" s="6">
        <v>0.3159722222222222</v>
      </c>
      <c r="H55" s="6">
        <v>0.34375</v>
      </c>
      <c r="I55" s="7">
        <v>5.0</v>
      </c>
      <c r="J55" s="7">
        <v>21.0</v>
      </c>
      <c r="K55" s="5" t="s">
        <v>8</v>
      </c>
      <c r="L55" s="7">
        <v>11.0</v>
      </c>
      <c r="M55" s="7">
        <v>50.0</v>
      </c>
      <c r="N55" s="5" t="s">
        <v>102</v>
      </c>
      <c r="O55" s="5"/>
      <c r="P55" s="7">
        <v>50.0</v>
      </c>
      <c r="Q55" s="5"/>
      <c r="R55" s="5"/>
      <c r="S55" s="7">
        <v>7.0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7">
        <v>371.0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7">
        <v>8.0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7">
        <v>23.0</v>
      </c>
      <c r="CD55" s="7">
        <v>7.0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7">
        <v>1.0</v>
      </c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7">
        <v>12.0</v>
      </c>
      <c r="FG55" s="5"/>
      <c r="FH55" s="5"/>
      <c r="FI55" s="5"/>
      <c r="FJ55" s="5"/>
      <c r="FK55" s="5"/>
      <c r="FL55" s="5"/>
      <c r="FM55" s="7">
        <v>7.0</v>
      </c>
      <c r="FN55" s="5"/>
      <c r="FO55" s="5"/>
      <c r="FP55" s="5"/>
      <c r="FQ55" s="5"/>
      <c r="FR55" s="7">
        <v>1.0</v>
      </c>
      <c r="FS55" s="7">
        <v>398.0</v>
      </c>
      <c r="FT55" s="7">
        <v>6.0</v>
      </c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7">
        <f t="shared" si="49"/>
        <v>11</v>
      </c>
      <c r="GI55" s="7">
        <f t="shared" si="50"/>
        <v>9</v>
      </c>
      <c r="GJ55" s="7">
        <f t="shared" si="51"/>
        <v>9</v>
      </c>
      <c r="GK55" s="7">
        <f t="shared" si="52"/>
        <v>841</v>
      </c>
      <c r="GL55" s="7">
        <f t="shared" si="53"/>
        <v>1250</v>
      </c>
      <c r="GM55" s="7">
        <f t="shared" si="54"/>
        <v>409</v>
      </c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</row>
    <row r="56">
      <c r="A56" s="21">
        <v>42836.0</v>
      </c>
      <c r="B56" s="5" t="s">
        <v>103</v>
      </c>
      <c r="C56" s="16">
        <f t="shared" si="48"/>
        <v>169</v>
      </c>
      <c r="D56" s="7">
        <v>22.065599</v>
      </c>
      <c r="E56" s="7">
        <v>-159.317703</v>
      </c>
      <c r="F56" s="5" t="s">
        <v>104</v>
      </c>
      <c r="G56" s="6">
        <v>0.3958333333333333</v>
      </c>
      <c r="H56" s="6">
        <v>0.44375</v>
      </c>
      <c r="I56" s="7">
        <v>6.0</v>
      </c>
      <c r="J56" s="7">
        <v>15.0</v>
      </c>
      <c r="K56" s="5" t="s">
        <v>8</v>
      </c>
      <c r="L56" s="7">
        <v>7.0</v>
      </c>
      <c r="M56" s="7">
        <v>33.0</v>
      </c>
      <c r="N56" s="5" t="s">
        <v>105</v>
      </c>
      <c r="O56" s="5"/>
      <c r="P56" s="7">
        <v>33.0</v>
      </c>
      <c r="Q56" s="5"/>
      <c r="R56" s="5"/>
      <c r="S56" s="5"/>
      <c r="T56" s="5"/>
      <c r="U56" s="5"/>
      <c r="V56" s="5"/>
      <c r="W56" s="5"/>
      <c r="X56" s="7">
        <v>1.0</v>
      </c>
      <c r="Y56" s="5"/>
      <c r="Z56" s="5"/>
      <c r="AA56" s="5"/>
      <c r="AB56" s="7">
        <v>5.0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7">
        <v>1.0</v>
      </c>
      <c r="AO56" s="5"/>
      <c r="AP56" s="5"/>
      <c r="AQ56" s="5"/>
      <c r="AR56" s="5"/>
      <c r="AS56" s="5"/>
      <c r="AT56" s="5"/>
      <c r="AU56" s="7">
        <v>2.0</v>
      </c>
      <c r="AV56" s="5"/>
      <c r="AW56" s="5"/>
      <c r="AX56" s="7">
        <v>13.0</v>
      </c>
      <c r="AY56" s="5"/>
      <c r="AZ56" s="7">
        <v>1.0</v>
      </c>
      <c r="BA56" s="5"/>
      <c r="BB56" s="7">
        <v>4.0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7">
        <v>3.0</v>
      </c>
      <c r="BN56" s="7">
        <v>62.0</v>
      </c>
      <c r="BO56" s="5"/>
      <c r="BP56" s="5"/>
      <c r="BQ56" s="5"/>
      <c r="BR56" s="5"/>
      <c r="BS56" s="5"/>
      <c r="BT56" s="5"/>
      <c r="BU56" s="7">
        <v>7.0</v>
      </c>
      <c r="BV56" s="7">
        <v>36.0</v>
      </c>
      <c r="BW56" s="5"/>
      <c r="BX56" s="5"/>
      <c r="BY56" s="5"/>
      <c r="BZ56" s="7">
        <v>1.0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7">
        <v>1.0</v>
      </c>
      <c r="CT56" s="5"/>
      <c r="CU56" s="5"/>
      <c r="CV56" s="7">
        <v>2.0</v>
      </c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7">
        <v>22.0</v>
      </c>
      <c r="DK56" s="5"/>
      <c r="DL56" s="7">
        <v>14.0</v>
      </c>
      <c r="DM56" s="7">
        <v>5.0</v>
      </c>
      <c r="DN56" s="5"/>
      <c r="DO56" s="5"/>
      <c r="DP56" s="5"/>
      <c r="DQ56" s="5"/>
      <c r="DR56" s="5"/>
      <c r="DS56" s="7">
        <v>11.0</v>
      </c>
      <c r="DT56" s="5"/>
      <c r="DU56" s="5"/>
      <c r="DV56" s="7">
        <v>1.0</v>
      </c>
      <c r="DW56" s="5"/>
      <c r="DX56" s="5"/>
      <c r="DY56" s="5"/>
      <c r="DZ56" s="7">
        <v>1.0</v>
      </c>
      <c r="EA56" s="5"/>
      <c r="EB56" s="5"/>
      <c r="EC56" s="5"/>
      <c r="ED56" s="5"/>
      <c r="EE56" s="5"/>
      <c r="EF56" s="5"/>
      <c r="EG56" s="5"/>
      <c r="EH56" s="5"/>
      <c r="EI56" s="5"/>
      <c r="EJ56" s="7">
        <v>159.0</v>
      </c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7">
        <v>3.0</v>
      </c>
      <c r="EW56" s="5"/>
      <c r="EX56" s="5"/>
      <c r="EY56" s="5"/>
      <c r="EZ56" s="5"/>
      <c r="FA56" s="5"/>
      <c r="FB56" s="7">
        <v>2.0</v>
      </c>
      <c r="FC56" s="5"/>
      <c r="FD56" s="5"/>
      <c r="FE56" s="5"/>
      <c r="FF56" s="7">
        <v>18.0</v>
      </c>
      <c r="FG56" s="5"/>
      <c r="FH56" s="5"/>
      <c r="FI56" s="7">
        <v>20.0</v>
      </c>
      <c r="FJ56" s="5"/>
      <c r="FK56" s="5"/>
      <c r="FL56" s="5"/>
      <c r="FM56" s="5"/>
      <c r="FN56" s="5"/>
      <c r="FO56" s="5"/>
      <c r="FP56" s="5"/>
      <c r="FQ56" s="5"/>
      <c r="FR56" s="5"/>
      <c r="FS56" s="7">
        <v>159.0</v>
      </c>
      <c r="FT56" s="5"/>
      <c r="FU56" s="5"/>
      <c r="FV56" s="5"/>
      <c r="FW56" s="5"/>
      <c r="FX56" s="5"/>
      <c r="FY56" s="5"/>
      <c r="FZ56" s="5"/>
      <c r="GA56" s="5"/>
      <c r="GB56" s="7">
        <v>1.0</v>
      </c>
      <c r="GC56" s="5"/>
      <c r="GD56" s="5"/>
      <c r="GE56" s="5"/>
      <c r="GF56" s="5"/>
      <c r="GG56" s="5"/>
      <c r="GH56" s="7">
        <f t="shared" si="49"/>
        <v>27</v>
      </c>
      <c r="GI56" s="7">
        <f t="shared" si="50"/>
        <v>19</v>
      </c>
      <c r="GJ56" s="7">
        <f t="shared" si="51"/>
        <v>13</v>
      </c>
      <c r="GK56" s="7">
        <f t="shared" si="52"/>
        <v>555</v>
      </c>
      <c r="GL56" s="7">
        <f t="shared" si="53"/>
        <v>825</v>
      </c>
      <c r="GM56" s="7">
        <f t="shared" si="54"/>
        <v>270</v>
      </c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</row>
    <row r="57">
      <c r="A57" s="21">
        <v>43236.0</v>
      </c>
      <c r="B57" s="5" t="s">
        <v>28</v>
      </c>
      <c r="C57" s="16">
        <f t="shared" si="48"/>
        <v>170</v>
      </c>
      <c r="D57" s="7">
        <v>22.060684</v>
      </c>
      <c r="E57" s="7">
        <v>-159.318512</v>
      </c>
      <c r="F57" s="5" t="s">
        <v>104</v>
      </c>
      <c r="G57" s="6">
        <v>0.40625</v>
      </c>
      <c r="H57" s="6">
        <v>0.45555555555555555</v>
      </c>
      <c r="I57" s="7">
        <v>10.0</v>
      </c>
      <c r="J57" s="7">
        <v>7.0</v>
      </c>
      <c r="K57" s="5" t="s">
        <v>8</v>
      </c>
      <c r="L57" s="7">
        <v>10.0</v>
      </c>
      <c r="M57" s="7">
        <v>69.0</v>
      </c>
      <c r="N57" s="30" t="s">
        <v>106</v>
      </c>
      <c r="O57" s="5"/>
      <c r="P57" s="7">
        <v>69.0</v>
      </c>
      <c r="Q57" s="5"/>
      <c r="R57" s="5"/>
      <c r="S57" s="5"/>
      <c r="T57" s="5"/>
      <c r="U57" s="5"/>
      <c r="V57" s="5"/>
      <c r="W57" s="5"/>
      <c r="X57" s="7">
        <v>1.0</v>
      </c>
      <c r="Y57" s="5"/>
      <c r="Z57" s="5"/>
      <c r="AA57" s="5"/>
      <c r="AB57" s="7">
        <v>3.0</v>
      </c>
      <c r="AC57" s="7">
        <v>1.0</v>
      </c>
      <c r="AD57" s="7">
        <v>11.0</v>
      </c>
      <c r="AE57" s="5"/>
      <c r="AF57" s="5"/>
      <c r="AG57" s="5"/>
      <c r="AH57" s="5"/>
      <c r="AI57" s="7">
        <v>1.0</v>
      </c>
      <c r="AJ57" s="5"/>
      <c r="AK57" s="5"/>
      <c r="AL57" s="5"/>
      <c r="AM57" s="7">
        <v>52.0</v>
      </c>
      <c r="AN57" s="7">
        <v>1.0</v>
      </c>
      <c r="AO57" s="5"/>
      <c r="AP57" s="5"/>
      <c r="AQ57" s="5"/>
      <c r="AR57" s="5"/>
      <c r="AS57" s="5"/>
      <c r="AT57" s="7">
        <v>2.0</v>
      </c>
      <c r="AU57" s="5"/>
      <c r="AV57" s="5"/>
      <c r="AW57" s="5"/>
      <c r="AX57" s="5"/>
      <c r="AY57" s="5"/>
      <c r="AZ57" s="5"/>
      <c r="BA57" s="5"/>
      <c r="BB57" s="7">
        <v>3.0</v>
      </c>
      <c r="BC57" s="5"/>
      <c r="BD57" s="5"/>
      <c r="BE57" s="7">
        <v>5.0</v>
      </c>
      <c r="BF57" s="5"/>
      <c r="BG57" s="5"/>
      <c r="BH57" s="5"/>
      <c r="BI57" s="5"/>
      <c r="BJ57" s="5"/>
      <c r="BK57" s="7">
        <v>15.0</v>
      </c>
      <c r="BL57" s="5"/>
      <c r="BM57" s="5"/>
      <c r="BN57" s="7">
        <v>21.0</v>
      </c>
      <c r="BO57" s="5"/>
      <c r="BP57" s="5"/>
      <c r="BQ57" s="5"/>
      <c r="BR57" s="5"/>
      <c r="BS57" s="5"/>
      <c r="BT57" s="7">
        <v>7.0</v>
      </c>
      <c r="BU57" s="5"/>
      <c r="BV57" s="7">
        <v>43.0</v>
      </c>
      <c r="BW57" s="7">
        <v>4.0</v>
      </c>
      <c r="BX57" s="5"/>
      <c r="BY57" s="5"/>
      <c r="BZ57" s="7">
        <v>4.0</v>
      </c>
      <c r="CA57" s="5"/>
      <c r="CB57" s="5"/>
      <c r="CC57" s="5"/>
      <c r="CD57" s="7">
        <v>7.0</v>
      </c>
      <c r="CE57" s="5"/>
      <c r="CF57" s="7">
        <v>3.0</v>
      </c>
      <c r="CG57" s="5"/>
      <c r="CH57" s="5"/>
      <c r="CI57" s="5"/>
      <c r="CJ57" s="5"/>
      <c r="CK57" s="7">
        <v>2.0</v>
      </c>
      <c r="CL57" s="5"/>
      <c r="CM57" s="5"/>
      <c r="CN57" s="5"/>
      <c r="CO57" s="5"/>
      <c r="CP57" s="5"/>
      <c r="CQ57" s="5"/>
      <c r="CR57" s="5"/>
      <c r="CS57" s="7">
        <v>5.0</v>
      </c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7">
        <v>1.0</v>
      </c>
      <c r="DE57" s="5"/>
      <c r="DF57" s="5"/>
      <c r="DG57" s="7">
        <v>2.0</v>
      </c>
      <c r="DH57" s="5"/>
      <c r="DI57" s="5"/>
      <c r="DJ57" s="5"/>
      <c r="DK57" s="5"/>
      <c r="DL57" s="5"/>
      <c r="DM57" s="7">
        <v>16.0</v>
      </c>
      <c r="DN57" s="5"/>
      <c r="DO57" s="5"/>
      <c r="DP57" s="5"/>
      <c r="DQ57" s="5"/>
      <c r="DR57" s="5"/>
      <c r="DS57" s="7">
        <v>71.0</v>
      </c>
      <c r="DT57" s="5"/>
      <c r="DU57" s="5"/>
      <c r="DV57" s="7">
        <v>37.0</v>
      </c>
      <c r="DW57" s="5"/>
      <c r="DX57" s="5"/>
      <c r="DY57" s="5"/>
      <c r="DZ57" s="5"/>
      <c r="EA57" s="7">
        <v>3.0</v>
      </c>
      <c r="EB57" s="5"/>
      <c r="EC57" s="5"/>
      <c r="ED57" s="5"/>
      <c r="EE57" s="5"/>
      <c r="EF57" s="5"/>
      <c r="EG57" s="5"/>
      <c r="EH57" s="5"/>
      <c r="EI57" s="5"/>
      <c r="EJ57" s="7">
        <v>193.0</v>
      </c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7">
        <v>1.0</v>
      </c>
      <c r="EW57" s="5"/>
      <c r="EX57" s="5"/>
      <c r="EY57" s="5"/>
      <c r="EZ57" s="5"/>
      <c r="FA57" s="5"/>
      <c r="FB57" s="7">
        <v>6.0</v>
      </c>
      <c r="FC57" s="5"/>
      <c r="FD57" s="5"/>
      <c r="FE57" s="5"/>
      <c r="FF57" s="7">
        <v>19.0</v>
      </c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7">
        <v>26.0</v>
      </c>
      <c r="FS57" s="7">
        <v>649.0</v>
      </c>
      <c r="FT57" s="5"/>
      <c r="FU57" s="5"/>
      <c r="FV57" s="5"/>
      <c r="FW57" s="5"/>
      <c r="FX57" s="5"/>
      <c r="FY57" s="5"/>
      <c r="FZ57" s="5"/>
      <c r="GA57" s="7">
        <v>5.0</v>
      </c>
      <c r="GB57" s="5"/>
      <c r="GC57" s="5"/>
      <c r="GD57" s="5"/>
      <c r="GE57" s="5"/>
      <c r="GF57" s="7">
        <v>1.0</v>
      </c>
      <c r="GG57" s="7">
        <v>4.0</v>
      </c>
      <c r="GH57" s="7">
        <f t="shared" si="49"/>
        <v>35</v>
      </c>
      <c r="GI57" s="7">
        <f t="shared" si="50"/>
        <v>28</v>
      </c>
      <c r="GJ57" s="7">
        <f t="shared" si="51"/>
        <v>18</v>
      </c>
      <c r="GK57" s="7">
        <f t="shared" si="52"/>
        <v>1225</v>
      </c>
      <c r="GL57" s="7">
        <f t="shared" si="53"/>
        <v>1725</v>
      </c>
      <c r="GM57" s="7">
        <f t="shared" si="54"/>
        <v>500</v>
      </c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</row>
    <row r="58">
      <c r="A58" s="21">
        <v>43519.0</v>
      </c>
      <c r="B58" s="5" t="s">
        <v>28</v>
      </c>
      <c r="C58" s="16">
        <f t="shared" si="48"/>
        <v>171</v>
      </c>
      <c r="D58" s="31">
        <v>22.060684</v>
      </c>
      <c r="E58" s="31">
        <v>-159.318512</v>
      </c>
      <c r="F58" s="5" t="s">
        <v>104</v>
      </c>
      <c r="G58" s="6">
        <v>0.5347222222222222</v>
      </c>
      <c r="H58" s="6">
        <v>0.6041666666666666</v>
      </c>
      <c r="I58" s="7">
        <v>3.0</v>
      </c>
      <c r="J58" s="7">
        <v>20.0</v>
      </c>
      <c r="K58" s="5" t="s">
        <v>8</v>
      </c>
      <c r="L58" s="7">
        <v>20.0</v>
      </c>
      <c r="M58" s="7">
        <v>10.0</v>
      </c>
      <c r="N58" s="5" t="s">
        <v>107</v>
      </c>
      <c r="O58" s="5" t="s">
        <v>108</v>
      </c>
      <c r="P58" s="7">
        <v>10.0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7">
        <v>1.0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7">
        <v>2.0</v>
      </c>
      <c r="BL58" s="5"/>
      <c r="BM58" s="7">
        <v>1.0</v>
      </c>
      <c r="BN58" s="5"/>
      <c r="BO58" s="5"/>
      <c r="BP58" s="5"/>
      <c r="BQ58" s="5"/>
      <c r="BR58" s="5"/>
      <c r="BS58" s="5"/>
      <c r="BT58" s="5"/>
      <c r="BU58" s="5"/>
      <c r="BV58" s="7">
        <v>1.0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7">
        <v>10.0</v>
      </c>
      <c r="DN58" s="5"/>
      <c r="DO58" s="5"/>
      <c r="DP58" s="5"/>
      <c r="DQ58" s="5"/>
      <c r="DR58" s="5"/>
      <c r="DS58" s="7">
        <v>59.0</v>
      </c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7">
        <v>11.0</v>
      </c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7">
        <v>5.0</v>
      </c>
      <c r="FJ58" s="5"/>
      <c r="FK58" s="5"/>
      <c r="FL58" s="5"/>
      <c r="FM58" s="5"/>
      <c r="FN58" s="5"/>
      <c r="FO58" s="5"/>
      <c r="FP58" s="5"/>
      <c r="FQ58" s="5"/>
      <c r="FR58" s="7">
        <v>1.0</v>
      </c>
      <c r="FS58" s="7">
        <v>28.0</v>
      </c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7">
        <f t="shared" si="49"/>
        <v>10</v>
      </c>
      <c r="GI58" s="7">
        <f t="shared" si="50"/>
        <v>6</v>
      </c>
      <c r="GJ58" s="7">
        <f t="shared" si="51"/>
        <v>5</v>
      </c>
      <c r="GK58" s="7">
        <f t="shared" si="52"/>
        <v>119</v>
      </c>
      <c r="GL58" s="7">
        <f t="shared" si="53"/>
        <v>250</v>
      </c>
      <c r="GM58" s="7">
        <f t="shared" si="54"/>
        <v>131</v>
      </c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</row>
    <row r="59">
      <c r="A59" s="21">
        <v>43577.0</v>
      </c>
      <c r="B59" s="5" t="s">
        <v>103</v>
      </c>
      <c r="C59" s="16">
        <v>209.0</v>
      </c>
      <c r="D59" s="7">
        <v>22.065599</v>
      </c>
      <c r="E59" s="7">
        <v>-159.317703</v>
      </c>
      <c r="F59" s="5" t="s">
        <v>104</v>
      </c>
      <c r="G59" s="6">
        <v>0.4583333333333333</v>
      </c>
      <c r="H59" s="6">
        <v>0.5</v>
      </c>
      <c r="I59" s="7">
        <v>5.0</v>
      </c>
      <c r="J59" s="7">
        <v>7.0</v>
      </c>
      <c r="K59" s="5" t="s">
        <v>8</v>
      </c>
      <c r="L59" s="7">
        <v>8.0</v>
      </c>
      <c r="M59" s="7">
        <v>40.0</v>
      </c>
      <c r="N59" s="5"/>
      <c r="O59" s="5"/>
      <c r="P59" s="7">
        <v>40.0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7">
        <v>23.0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7">
        <v>13.0</v>
      </c>
      <c r="BN59" s="7">
        <v>2.0</v>
      </c>
      <c r="BO59" s="5"/>
      <c r="BP59" s="5"/>
      <c r="BQ59" s="5"/>
      <c r="BR59" s="5"/>
      <c r="BS59" s="5"/>
      <c r="BT59" s="5"/>
      <c r="BU59" s="5"/>
      <c r="BV59" s="7">
        <v>35.0</v>
      </c>
      <c r="BW59" s="7">
        <v>37.0</v>
      </c>
      <c r="BX59" s="7">
        <v>28.0</v>
      </c>
      <c r="BY59" s="5"/>
      <c r="BZ59" s="7">
        <v>2.0</v>
      </c>
      <c r="CA59" s="5"/>
      <c r="CB59" s="5"/>
      <c r="CC59" s="5"/>
      <c r="CD59" s="7">
        <v>2.0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7">
        <v>13.0</v>
      </c>
      <c r="DM59" s="7">
        <v>23.0</v>
      </c>
      <c r="DN59" s="5"/>
      <c r="DO59" s="5"/>
      <c r="DP59" s="5"/>
      <c r="DQ59" s="5"/>
      <c r="DR59" s="5"/>
      <c r="DS59" s="7">
        <v>6.0</v>
      </c>
      <c r="DT59" s="5"/>
      <c r="DU59" s="5"/>
      <c r="DV59" s="5"/>
      <c r="DW59" s="5"/>
      <c r="DX59" s="5"/>
      <c r="DY59" s="5"/>
      <c r="DZ59" s="5"/>
      <c r="EA59" s="5"/>
      <c r="EB59" s="7">
        <v>1.0</v>
      </c>
      <c r="EC59" s="5"/>
      <c r="ED59" s="5"/>
      <c r="EE59" s="5"/>
      <c r="EF59" s="5"/>
      <c r="EG59" s="5"/>
      <c r="EH59" s="5"/>
      <c r="EI59" s="5"/>
      <c r="EJ59" s="7">
        <v>117.0</v>
      </c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7">
        <v>12.0</v>
      </c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7">
        <v>9.0</v>
      </c>
      <c r="FS59" s="7">
        <v>478.0</v>
      </c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7">
        <v>2.0</v>
      </c>
      <c r="GH59" s="7">
        <f t="shared" si="49"/>
        <v>17</v>
      </c>
      <c r="GI59" s="7">
        <f t="shared" si="50"/>
        <v>16</v>
      </c>
      <c r="GJ59" s="7">
        <f t="shared" si="51"/>
        <v>12</v>
      </c>
      <c r="GK59" s="7">
        <f t="shared" si="52"/>
        <v>803</v>
      </c>
      <c r="GL59" s="7">
        <f t="shared" si="53"/>
        <v>1000</v>
      </c>
      <c r="GM59" s="7">
        <f t="shared" si="54"/>
        <v>197</v>
      </c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</row>
    <row r="60">
      <c r="A60" s="21">
        <v>42471.0</v>
      </c>
      <c r="B60" s="5" t="s">
        <v>103</v>
      </c>
      <c r="C60" s="16">
        <f t="shared" ref="C60:C101" si="55">C59+1</f>
        <v>210</v>
      </c>
      <c r="D60" s="7">
        <v>22.065599</v>
      </c>
      <c r="E60" s="7">
        <v>-159.317703</v>
      </c>
      <c r="F60" s="5" t="s">
        <v>109</v>
      </c>
      <c r="G60" s="6">
        <v>0.4895833333333333</v>
      </c>
      <c r="H60" s="6">
        <v>0.5416666666666666</v>
      </c>
      <c r="I60" s="7">
        <v>5.0</v>
      </c>
      <c r="J60" s="7">
        <v>5.0</v>
      </c>
      <c r="K60" s="5" t="s">
        <v>8</v>
      </c>
      <c r="L60" s="7">
        <v>5.0</v>
      </c>
      <c r="M60" s="7">
        <v>25.0</v>
      </c>
      <c r="N60" s="2"/>
      <c r="O60" s="5"/>
      <c r="P60" s="7">
        <v>25.0</v>
      </c>
      <c r="Q60" s="5"/>
      <c r="R60" s="7">
        <v>5.0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7">
        <v>9.0</v>
      </c>
      <c r="AD60" s="5"/>
      <c r="AE60" s="5"/>
      <c r="AF60" s="5"/>
      <c r="AG60" s="7">
        <v>20.0</v>
      </c>
      <c r="AH60" s="5"/>
      <c r="AI60" s="5"/>
      <c r="AJ60" s="5"/>
      <c r="AK60" s="5"/>
      <c r="AL60" s="5"/>
      <c r="AM60" s="7">
        <v>68.0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7">
        <v>1.0</v>
      </c>
      <c r="BA60" s="5"/>
      <c r="BB60" s="7">
        <v>2.0</v>
      </c>
      <c r="BC60" s="5"/>
      <c r="BD60" s="5"/>
      <c r="BE60" s="7">
        <v>1.0</v>
      </c>
      <c r="BF60" s="5"/>
      <c r="BG60" s="5"/>
      <c r="BH60" s="5"/>
      <c r="BI60" s="5"/>
      <c r="BJ60" s="5"/>
      <c r="BK60" s="7">
        <v>2.0</v>
      </c>
      <c r="BL60" s="5"/>
      <c r="BM60" s="7">
        <v>22.0</v>
      </c>
      <c r="BN60" s="7">
        <v>149.0</v>
      </c>
      <c r="BO60" s="7">
        <v>1.0</v>
      </c>
      <c r="BP60" s="5"/>
      <c r="BQ60" s="5"/>
      <c r="BR60" s="5"/>
      <c r="BS60" s="5"/>
      <c r="BT60" s="5"/>
      <c r="BU60" s="5"/>
      <c r="BV60" s="7">
        <v>10.0</v>
      </c>
      <c r="BW60" s="5"/>
      <c r="BX60" s="5"/>
      <c r="BY60" s="5"/>
      <c r="BZ60" s="7">
        <v>12.0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7">
        <v>21.0</v>
      </c>
      <c r="DN60" s="5"/>
      <c r="DO60" s="5"/>
      <c r="DP60" s="5"/>
      <c r="DQ60" s="5"/>
      <c r="DR60" s="5"/>
      <c r="DS60" s="5"/>
      <c r="DT60" s="5"/>
      <c r="DU60" s="5"/>
      <c r="DV60" s="7">
        <v>15.0</v>
      </c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7">
        <v>108.0</v>
      </c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7">
        <v>11.0</v>
      </c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7">
        <v>1.0</v>
      </c>
      <c r="FQ60" s="5"/>
      <c r="FR60" s="7">
        <v>8.0</v>
      </c>
      <c r="FS60" s="7">
        <v>55.0</v>
      </c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7">
        <f t="shared" si="49"/>
        <v>20</v>
      </c>
      <c r="GI60" s="7">
        <f t="shared" si="50"/>
        <v>16</v>
      </c>
      <c r="GJ60" s="7">
        <f t="shared" si="51"/>
        <v>14</v>
      </c>
      <c r="GK60" s="7">
        <f t="shared" si="52"/>
        <v>521</v>
      </c>
      <c r="GL60" s="7">
        <f t="shared" si="53"/>
        <v>625</v>
      </c>
      <c r="GM60" s="7">
        <f t="shared" si="54"/>
        <v>104</v>
      </c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</row>
    <row r="61">
      <c r="A61" s="21">
        <v>42471.0</v>
      </c>
      <c r="B61" s="5" t="s">
        <v>28</v>
      </c>
      <c r="C61" s="16">
        <f t="shared" si="55"/>
        <v>211</v>
      </c>
      <c r="D61" s="7">
        <v>22.060684</v>
      </c>
      <c r="E61" s="7">
        <v>-159.318512</v>
      </c>
      <c r="F61" s="5" t="s">
        <v>110</v>
      </c>
      <c r="G61" s="6">
        <v>0.4895833333333333</v>
      </c>
      <c r="H61" s="6">
        <v>0.5416666666666666</v>
      </c>
      <c r="I61" s="7">
        <v>5.0</v>
      </c>
      <c r="J61" s="7">
        <v>12.0</v>
      </c>
      <c r="K61" s="5" t="s">
        <v>8</v>
      </c>
      <c r="L61" s="7">
        <v>5.0</v>
      </c>
      <c r="M61" s="7">
        <v>24.0</v>
      </c>
      <c r="N61" s="5" t="s">
        <v>111</v>
      </c>
      <c r="O61" s="5"/>
      <c r="P61" s="7">
        <v>24.0</v>
      </c>
      <c r="Q61" s="5"/>
      <c r="R61" s="7">
        <v>1.0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7">
        <v>14.0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7">
        <v>13.0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7">
        <v>2.0</v>
      </c>
      <c r="BN61" s="7">
        <v>289.0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7">
        <v>1.0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7">
        <v>3.0</v>
      </c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7">
        <v>5.0</v>
      </c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7">
        <v>26.0</v>
      </c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7">
        <v>21.0</v>
      </c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7">
        <f t="shared" si="49"/>
        <v>10</v>
      </c>
      <c r="GI61" s="7">
        <f t="shared" si="50"/>
        <v>8</v>
      </c>
      <c r="GJ61" s="7">
        <f t="shared" si="51"/>
        <v>6</v>
      </c>
      <c r="GK61" s="7">
        <f t="shared" si="52"/>
        <v>375</v>
      </c>
      <c r="GL61" s="7">
        <f t="shared" si="53"/>
        <v>600</v>
      </c>
      <c r="GM61" s="7">
        <f t="shared" si="54"/>
        <v>225</v>
      </c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</row>
    <row r="62">
      <c r="A62" s="21">
        <v>42836.0</v>
      </c>
      <c r="B62" s="5" t="s">
        <v>28</v>
      </c>
      <c r="C62" s="16">
        <f t="shared" si="55"/>
        <v>212</v>
      </c>
      <c r="D62" s="7">
        <v>22.060684</v>
      </c>
      <c r="E62" s="7">
        <v>-159.318512</v>
      </c>
      <c r="F62" s="5" t="s">
        <v>110</v>
      </c>
      <c r="G62" s="6">
        <v>0.4041666666666667</v>
      </c>
      <c r="H62" s="6">
        <v>0.4409722222222222</v>
      </c>
      <c r="I62" s="7">
        <v>6.0</v>
      </c>
      <c r="J62" s="7">
        <v>14.0</v>
      </c>
      <c r="K62" s="5" t="s">
        <v>8</v>
      </c>
      <c r="L62" s="7">
        <v>8.0</v>
      </c>
      <c r="M62" s="7">
        <v>37.0</v>
      </c>
      <c r="N62" s="5" t="s">
        <v>112</v>
      </c>
      <c r="O62" s="5"/>
      <c r="P62" s="7">
        <v>37.0</v>
      </c>
      <c r="Q62" s="5"/>
      <c r="R62" s="5"/>
      <c r="S62" s="5"/>
      <c r="T62" s="7">
        <v>1.0</v>
      </c>
      <c r="U62" s="5"/>
      <c r="V62" s="5"/>
      <c r="W62" s="5"/>
      <c r="X62" s="5"/>
      <c r="Y62" s="5"/>
      <c r="Z62" s="5"/>
      <c r="AA62" s="7">
        <v>3.0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7">
        <v>1.0</v>
      </c>
      <c r="AW62" s="5"/>
      <c r="AX62" s="5"/>
      <c r="AY62" s="5"/>
      <c r="AZ62" s="5"/>
      <c r="BA62" s="5"/>
      <c r="BB62" s="7">
        <v>1.0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7">
        <v>139.0</v>
      </c>
      <c r="BO62" s="5"/>
      <c r="BP62" s="5"/>
      <c r="BQ62" s="5"/>
      <c r="BR62" s="5"/>
      <c r="BS62" s="5"/>
      <c r="BT62" s="5"/>
      <c r="BU62" s="5"/>
      <c r="BV62" s="7">
        <v>10.0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7">
        <v>1.0</v>
      </c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7">
        <v>1.0</v>
      </c>
      <c r="DN62" s="5"/>
      <c r="DO62" s="5"/>
      <c r="DP62" s="5"/>
      <c r="DQ62" s="5"/>
      <c r="DR62" s="5"/>
      <c r="DS62" s="7">
        <v>154.0</v>
      </c>
      <c r="DT62" s="5"/>
      <c r="DU62" s="5"/>
      <c r="DV62" s="7">
        <v>8.0</v>
      </c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7">
        <v>181.0</v>
      </c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7">
        <v>6.0</v>
      </c>
      <c r="FC62" s="7">
        <v>2.0</v>
      </c>
      <c r="FD62" s="5"/>
      <c r="FE62" s="5"/>
      <c r="FF62" s="7">
        <v>28.0</v>
      </c>
      <c r="FG62" s="5"/>
      <c r="FH62" s="5"/>
      <c r="FI62" s="7">
        <v>4.0</v>
      </c>
      <c r="FJ62" s="5"/>
      <c r="FK62" s="5"/>
      <c r="FL62" s="5"/>
      <c r="FM62" s="5"/>
      <c r="FN62" s="5"/>
      <c r="FO62" s="5"/>
      <c r="FP62" s="5"/>
      <c r="FQ62" s="5"/>
      <c r="FR62" s="7">
        <v>21.0</v>
      </c>
      <c r="FS62" s="7">
        <v>72.0</v>
      </c>
      <c r="FT62" s="5"/>
      <c r="FU62" s="7">
        <v>1.0</v>
      </c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7">
        <f t="shared" si="49"/>
        <v>18</v>
      </c>
      <c r="GI62" s="7">
        <f t="shared" si="50"/>
        <v>12</v>
      </c>
      <c r="GJ62" s="7">
        <f t="shared" si="51"/>
        <v>9</v>
      </c>
      <c r="GK62" s="7">
        <f t="shared" si="52"/>
        <v>634</v>
      </c>
      <c r="GL62" s="7">
        <f t="shared" si="53"/>
        <v>925</v>
      </c>
      <c r="GM62" s="7">
        <f t="shared" si="54"/>
        <v>291</v>
      </c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</row>
    <row r="63">
      <c r="A63" s="21">
        <v>43519.0</v>
      </c>
      <c r="B63" s="5" t="s">
        <v>28</v>
      </c>
      <c r="C63" s="16">
        <f t="shared" si="55"/>
        <v>213</v>
      </c>
      <c r="D63" s="31">
        <v>22.060684</v>
      </c>
      <c r="E63" s="31">
        <v>-159.318512</v>
      </c>
      <c r="F63" s="5" t="s">
        <v>110</v>
      </c>
      <c r="G63" s="6">
        <v>0.36875</v>
      </c>
      <c r="H63" s="6">
        <v>0.40625</v>
      </c>
      <c r="I63" s="7">
        <v>4.0</v>
      </c>
      <c r="J63" s="7">
        <v>20.0</v>
      </c>
      <c r="K63" s="5" t="s">
        <v>8</v>
      </c>
      <c r="L63" s="7">
        <v>5.0</v>
      </c>
      <c r="M63" s="7">
        <v>19.0</v>
      </c>
      <c r="N63" s="5" t="s">
        <v>113</v>
      </c>
      <c r="O63" s="5"/>
      <c r="P63" s="7">
        <v>19.0</v>
      </c>
      <c r="Q63" s="5"/>
      <c r="R63" s="7">
        <v>1.0</v>
      </c>
      <c r="S63" s="5"/>
      <c r="T63" s="5"/>
      <c r="U63" s="5"/>
      <c r="V63" s="5"/>
      <c r="W63" s="5"/>
      <c r="X63" s="5"/>
      <c r="Y63" s="5"/>
      <c r="Z63" s="5"/>
      <c r="AA63" s="5"/>
      <c r="AB63" s="7">
        <v>13.0</v>
      </c>
      <c r="AC63" s="5"/>
      <c r="AD63" s="7">
        <v>1.0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7">
        <v>1.0</v>
      </c>
      <c r="AY63" s="5"/>
      <c r="AZ63" s="5"/>
      <c r="BA63" s="5"/>
      <c r="BB63" s="7">
        <v>1.0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7">
        <v>1.0</v>
      </c>
      <c r="BN63" s="7">
        <v>43.0</v>
      </c>
      <c r="BO63" s="5"/>
      <c r="BP63" s="5"/>
      <c r="BQ63" s="5"/>
      <c r="BR63" s="5"/>
      <c r="BS63" s="5"/>
      <c r="BT63" s="5"/>
      <c r="BU63" s="5"/>
      <c r="BV63" s="7">
        <v>9.0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7">
        <v>37.0</v>
      </c>
      <c r="DN63" s="7">
        <v>1.0</v>
      </c>
      <c r="DO63" s="5"/>
      <c r="DP63" s="5"/>
      <c r="DQ63" s="5"/>
      <c r="DR63" s="5"/>
      <c r="DS63" s="7">
        <v>28.0</v>
      </c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7">
        <v>89.0</v>
      </c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7">
        <v>5.0</v>
      </c>
      <c r="FC63" s="5"/>
      <c r="FD63" s="5"/>
      <c r="FE63" s="5"/>
      <c r="FF63" s="5"/>
      <c r="FG63" s="5"/>
      <c r="FH63" s="5"/>
      <c r="FI63" s="7">
        <v>22.0</v>
      </c>
      <c r="FJ63" s="5"/>
      <c r="FK63" s="5"/>
      <c r="FL63" s="5"/>
      <c r="FM63" s="5"/>
      <c r="FN63" s="5"/>
      <c r="FO63" s="5"/>
      <c r="FP63" s="5"/>
      <c r="FQ63" s="5"/>
      <c r="FR63" s="7">
        <v>31.0</v>
      </c>
      <c r="FS63" s="7">
        <v>63.0</v>
      </c>
      <c r="FT63" s="5"/>
      <c r="FU63" s="5"/>
      <c r="FV63" s="5"/>
      <c r="FW63" s="5"/>
      <c r="FX63" s="5"/>
      <c r="FY63" s="5"/>
      <c r="FZ63" s="5"/>
      <c r="GA63" s="5"/>
      <c r="GB63" s="7">
        <v>21.0</v>
      </c>
      <c r="GC63" s="5"/>
      <c r="GD63" s="5"/>
      <c r="GE63" s="5"/>
      <c r="GF63" s="5"/>
      <c r="GG63" s="5"/>
      <c r="GH63" s="7">
        <f t="shared" si="49"/>
        <v>17</v>
      </c>
      <c r="GI63" s="7">
        <f t="shared" si="50"/>
        <v>11</v>
      </c>
      <c r="GJ63" s="7">
        <f t="shared" si="51"/>
        <v>11</v>
      </c>
      <c r="GK63" s="7">
        <f t="shared" si="52"/>
        <v>367</v>
      </c>
      <c r="GL63" s="7">
        <f t="shared" si="53"/>
        <v>475</v>
      </c>
      <c r="GM63" s="7">
        <f t="shared" si="54"/>
        <v>108</v>
      </c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</row>
    <row r="64">
      <c r="A64" s="15">
        <v>42465.0</v>
      </c>
      <c r="B64" s="12" t="s">
        <v>114</v>
      </c>
      <c r="C64" s="16">
        <f t="shared" si="55"/>
        <v>214</v>
      </c>
      <c r="D64" s="13">
        <v>19.8517</v>
      </c>
      <c r="E64" s="13">
        <v>-155.9319</v>
      </c>
      <c r="F64" s="12" t="s">
        <v>115</v>
      </c>
      <c r="G64" s="14">
        <v>0.40625</v>
      </c>
      <c r="H64" s="14">
        <v>0.4930555555555556</v>
      </c>
      <c r="I64" s="13">
        <v>3.0</v>
      </c>
      <c r="J64" s="13">
        <v>11.0</v>
      </c>
      <c r="K64" s="12" t="s">
        <v>51</v>
      </c>
      <c r="L64" s="13">
        <v>10.0</v>
      </c>
      <c r="M64" s="13">
        <v>25.0</v>
      </c>
      <c r="N64" s="12" t="s">
        <v>116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3">
        <v>15.0</v>
      </c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3">
        <v>2.0</v>
      </c>
      <c r="CD64" s="13">
        <v>2.0</v>
      </c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3">
        <v>1.0</v>
      </c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3">
        <v>2.0</v>
      </c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3">
        <v>9.0</v>
      </c>
      <c r="FS64" s="13">
        <v>491.0</v>
      </c>
      <c r="FT64" s="13">
        <v>4.0</v>
      </c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</row>
    <row r="65">
      <c r="A65" s="21">
        <v>42810.0</v>
      </c>
      <c r="B65" s="5" t="s">
        <v>117</v>
      </c>
      <c r="C65" s="16">
        <f t="shared" si="55"/>
        <v>215</v>
      </c>
      <c r="D65" s="7">
        <v>19.957188</v>
      </c>
      <c r="E65" s="7">
        <v>-155.859497</v>
      </c>
      <c r="F65" s="5" t="s">
        <v>115</v>
      </c>
      <c r="G65" s="6">
        <v>0.48055555555555557</v>
      </c>
      <c r="H65" s="6">
        <v>0.5520833333333334</v>
      </c>
      <c r="I65" s="7">
        <v>3.0</v>
      </c>
      <c r="J65" s="7">
        <v>10.0</v>
      </c>
      <c r="K65" s="5" t="s">
        <v>16</v>
      </c>
      <c r="L65" s="7">
        <v>10.0</v>
      </c>
      <c r="M65" s="7">
        <v>30.0</v>
      </c>
      <c r="N65" s="5"/>
      <c r="O65" s="5"/>
      <c r="P65" s="7">
        <v>30.0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7">
        <v>133.0</v>
      </c>
      <c r="AC65" s="5"/>
      <c r="AD65" s="5"/>
      <c r="AE65" s="5"/>
      <c r="AF65" s="5"/>
      <c r="AG65" s="5"/>
      <c r="AH65" s="5"/>
      <c r="AI65" s="5"/>
      <c r="AJ65" s="5"/>
      <c r="AK65" s="5"/>
      <c r="AL65" s="7">
        <v>5.0</v>
      </c>
      <c r="AM65" s="7">
        <v>7.0</v>
      </c>
      <c r="AN65" s="7">
        <v>3.0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7">
        <v>20.0</v>
      </c>
      <c r="BI65" s="5"/>
      <c r="BJ65" s="5"/>
      <c r="BK65" s="5"/>
      <c r="BL65" s="5"/>
      <c r="BM65" s="7">
        <v>64.0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7">
        <v>5.0</v>
      </c>
      <c r="BZ65" s="5"/>
      <c r="CA65" s="5"/>
      <c r="CB65" s="5"/>
      <c r="CC65" s="7">
        <v>44.0</v>
      </c>
      <c r="CD65" s="7">
        <v>7.0</v>
      </c>
      <c r="CE65" s="5"/>
      <c r="CF65" s="5"/>
      <c r="CG65" s="5"/>
      <c r="CH65" s="5"/>
      <c r="CI65" s="5"/>
      <c r="CJ65" s="5"/>
      <c r="CK65" s="7">
        <v>3.0</v>
      </c>
      <c r="CL65" s="5"/>
      <c r="CM65" s="5"/>
      <c r="CN65" s="5"/>
      <c r="CO65" s="5"/>
      <c r="CP65" s="5"/>
      <c r="CQ65" s="5"/>
      <c r="CR65" s="5"/>
      <c r="CS65" s="5"/>
      <c r="CT65" s="5"/>
      <c r="CU65" s="7">
        <v>9.0</v>
      </c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7">
        <v>1.0</v>
      </c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7">
        <v>4.0</v>
      </c>
      <c r="DT65" s="5"/>
      <c r="DU65" s="5"/>
      <c r="DV65" s="5"/>
      <c r="DW65" s="5"/>
      <c r="DX65" s="5"/>
      <c r="DY65" s="5"/>
      <c r="DZ65" s="5"/>
      <c r="EA65" s="7">
        <v>2.0</v>
      </c>
      <c r="EB65" s="5"/>
      <c r="EC65" s="5"/>
      <c r="ED65" s="5"/>
      <c r="EE65" s="5"/>
      <c r="EF65" s="5"/>
      <c r="EG65" s="5"/>
      <c r="EH65" s="5"/>
      <c r="EI65" s="5"/>
      <c r="EJ65" s="7">
        <v>27.0</v>
      </c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7">
        <v>1.0</v>
      </c>
      <c r="EX65" s="5"/>
      <c r="EY65" s="5"/>
      <c r="EZ65" s="5"/>
      <c r="FA65" s="5"/>
      <c r="FB65" s="7">
        <v>6.0</v>
      </c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7">
        <v>7.0</v>
      </c>
      <c r="FS65" s="7">
        <v>310.0</v>
      </c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7">
        <f t="shared" ref="GH65:GH68" si="56">count(R65:GG65)</f>
        <v>19</v>
      </c>
      <c r="GI65" s="7">
        <f t="shared" ref="GI65:GI68" si="57">countif(R65:GG65,"&gt;=2")</f>
        <v>17</v>
      </c>
      <c r="GJ65" s="7">
        <f t="shared" ref="GJ65:GJ68" si="58">countif(R65:GG65,"&gt;=5")</f>
        <v>13</v>
      </c>
      <c r="GK65" s="7">
        <f t="shared" ref="GK65:GK68" si="59">sum(R65:GG65)</f>
        <v>658</v>
      </c>
      <c r="GL65" s="7">
        <f t="shared" ref="GL65:GL68" si="60">25*P65</f>
        <v>750</v>
      </c>
      <c r="GM65" s="7">
        <f t="shared" ref="GM65:GM68" si="61">GL65-GK65</f>
        <v>92</v>
      </c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</row>
    <row r="66">
      <c r="A66" s="26">
        <v>42804.0</v>
      </c>
      <c r="B66" s="27" t="s">
        <v>118</v>
      </c>
      <c r="C66" s="16">
        <f t="shared" si="55"/>
        <v>216</v>
      </c>
      <c r="D66" s="28">
        <v>21.1408</v>
      </c>
      <c r="E66" s="28">
        <v>-157.290115</v>
      </c>
      <c r="F66" s="27" t="s">
        <v>119</v>
      </c>
      <c r="G66" s="29">
        <v>0.4375</v>
      </c>
      <c r="H66" s="29">
        <v>0.4673611111111111</v>
      </c>
      <c r="I66" s="28">
        <v>6.0</v>
      </c>
      <c r="J66" s="28">
        <v>10.0</v>
      </c>
      <c r="K66" s="27" t="s">
        <v>16</v>
      </c>
      <c r="L66" s="28">
        <v>5.0</v>
      </c>
      <c r="M66" s="28">
        <v>27.0</v>
      </c>
      <c r="N66" s="27" t="s">
        <v>120</v>
      </c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8">
        <v>2.0</v>
      </c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8">
        <v>16.0</v>
      </c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8">
        <v>4.0</v>
      </c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8">
        <v>48.0</v>
      </c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8">
        <v>8.0</v>
      </c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8">
        <v>40.0</v>
      </c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8">
        <v>4.0</v>
      </c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8">
        <v>53.0</v>
      </c>
      <c r="FT66" s="27"/>
      <c r="FU66" s="28">
        <v>9.0</v>
      </c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8">
        <f t="shared" si="56"/>
        <v>9</v>
      </c>
      <c r="GI66" s="28">
        <f t="shared" si="57"/>
        <v>9</v>
      </c>
      <c r="GJ66" s="28">
        <f t="shared" si="58"/>
        <v>6</v>
      </c>
      <c r="GK66" s="28">
        <f t="shared" si="59"/>
        <v>184</v>
      </c>
      <c r="GL66" s="28">
        <f t="shared" si="60"/>
        <v>0</v>
      </c>
      <c r="GM66" s="28">
        <f t="shared" si="61"/>
        <v>-184</v>
      </c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</row>
    <row r="67">
      <c r="A67" s="21">
        <v>43216.0</v>
      </c>
      <c r="B67" s="5" t="s">
        <v>118</v>
      </c>
      <c r="C67" s="16">
        <f t="shared" si="55"/>
        <v>217</v>
      </c>
      <c r="D67" s="7">
        <v>21.1408</v>
      </c>
      <c r="E67" s="7">
        <v>-157.290115</v>
      </c>
      <c r="F67" s="5" t="s">
        <v>119</v>
      </c>
      <c r="G67" s="6">
        <v>0.3958333333333333</v>
      </c>
      <c r="H67" s="6">
        <v>0.4236111111111111</v>
      </c>
      <c r="I67" s="7">
        <v>5.0</v>
      </c>
      <c r="J67" s="7">
        <v>9.5</v>
      </c>
      <c r="K67" s="5" t="s">
        <v>16</v>
      </c>
      <c r="L67" s="7">
        <v>5.0</v>
      </c>
      <c r="M67" s="7">
        <v>23.0</v>
      </c>
      <c r="N67" s="5" t="s">
        <v>121</v>
      </c>
      <c r="O67" s="5"/>
      <c r="P67" s="7">
        <v>23.0</v>
      </c>
      <c r="Q67" s="5"/>
      <c r="R67" s="5"/>
      <c r="S67" s="7">
        <v>4.0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7">
        <v>8.0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7">
        <v>9.0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7">
        <v>24.0</v>
      </c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7">
        <v>4.0</v>
      </c>
      <c r="DN67" s="5"/>
      <c r="DO67" s="7">
        <v>10.0</v>
      </c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7">
        <v>34.0</v>
      </c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7">
        <v>6.0</v>
      </c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7">
        <v>10.0</v>
      </c>
      <c r="FR67" s="5"/>
      <c r="FS67" s="7">
        <v>128.0</v>
      </c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7">
        <f t="shared" si="56"/>
        <v>10</v>
      </c>
      <c r="GI67" s="7">
        <f t="shared" si="57"/>
        <v>10</v>
      </c>
      <c r="GJ67" s="7">
        <f t="shared" si="58"/>
        <v>8</v>
      </c>
      <c r="GK67" s="7">
        <f t="shared" si="59"/>
        <v>237</v>
      </c>
      <c r="GL67" s="7">
        <f t="shared" si="60"/>
        <v>575</v>
      </c>
      <c r="GM67" s="7">
        <f t="shared" si="61"/>
        <v>338</v>
      </c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</row>
    <row r="68">
      <c r="A68" s="21">
        <v>42853.0</v>
      </c>
      <c r="B68" s="5" t="s">
        <v>122</v>
      </c>
      <c r="C68" s="16">
        <f t="shared" si="55"/>
        <v>218</v>
      </c>
      <c r="D68" s="7">
        <v>20.738001</v>
      </c>
      <c r="E68" s="7">
        <v>-156.895004</v>
      </c>
      <c r="F68" s="5" t="s">
        <v>123</v>
      </c>
      <c r="G68" s="6">
        <v>0.4708333333333333</v>
      </c>
      <c r="H68" s="6">
        <v>0.4986111111111111</v>
      </c>
      <c r="I68" s="7">
        <v>2.0</v>
      </c>
      <c r="J68" s="7">
        <v>25.0</v>
      </c>
      <c r="K68" s="5" t="s">
        <v>8</v>
      </c>
      <c r="L68" s="7">
        <v>13.0</v>
      </c>
      <c r="M68" s="7">
        <v>11.0</v>
      </c>
      <c r="N68" s="5" t="s">
        <v>124</v>
      </c>
      <c r="O68" s="5"/>
      <c r="P68" s="7">
        <v>11.0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7">
        <v>60.0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7">
        <v>7.0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7">
        <v>1.0</v>
      </c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7">
        <v>8.0</v>
      </c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7">
        <v>2.0</v>
      </c>
      <c r="FN68" s="5"/>
      <c r="FO68" s="5"/>
      <c r="FP68" s="5"/>
      <c r="FQ68" s="5"/>
      <c r="FR68" s="5"/>
      <c r="FS68" s="7">
        <v>73.0</v>
      </c>
      <c r="FT68" s="5"/>
      <c r="FU68" s="7">
        <v>16.0</v>
      </c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7">
        <f t="shared" si="56"/>
        <v>7</v>
      </c>
      <c r="GI68" s="7">
        <f t="shared" si="57"/>
        <v>6</v>
      </c>
      <c r="GJ68" s="7">
        <f t="shared" si="58"/>
        <v>5</v>
      </c>
      <c r="GK68" s="7">
        <f t="shared" si="59"/>
        <v>167</v>
      </c>
      <c r="GL68" s="7">
        <f t="shared" si="60"/>
        <v>275</v>
      </c>
      <c r="GM68" s="7">
        <f t="shared" si="61"/>
        <v>108</v>
      </c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</row>
    <row r="69">
      <c r="A69" s="15">
        <v>43232.0</v>
      </c>
      <c r="B69" s="12" t="s">
        <v>122</v>
      </c>
      <c r="C69" s="16">
        <f t="shared" si="55"/>
        <v>219</v>
      </c>
      <c r="D69" s="13">
        <v>20.738001</v>
      </c>
      <c r="E69" s="13">
        <v>-156.895004</v>
      </c>
      <c r="F69" s="12" t="s">
        <v>123</v>
      </c>
      <c r="G69" s="14">
        <v>0.3715277777777778</v>
      </c>
      <c r="H69" s="14">
        <v>0.42083333333333334</v>
      </c>
      <c r="I69" s="13">
        <v>3.0</v>
      </c>
      <c r="J69" s="13">
        <v>25.0</v>
      </c>
      <c r="K69" s="12" t="s">
        <v>8</v>
      </c>
      <c r="L69" s="13">
        <v>13.0</v>
      </c>
      <c r="M69" s="13">
        <v>18.0</v>
      </c>
      <c r="N69" s="12" t="s">
        <v>125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>
        <v>20.0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3">
        <v>301.0</v>
      </c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3">
        <v>13.0</v>
      </c>
      <c r="BZ69" s="12"/>
      <c r="CA69" s="12"/>
      <c r="CB69" s="12"/>
      <c r="CC69" s="13">
        <v>6.0</v>
      </c>
      <c r="CD69" s="12"/>
      <c r="CE69" s="12"/>
      <c r="CF69" s="12"/>
      <c r="CG69" s="12"/>
      <c r="CH69" s="13">
        <v>3.0</v>
      </c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3">
        <v>11.0</v>
      </c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3">
        <v>6.0</v>
      </c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3">
        <v>8.0</v>
      </c>
      <c r="FA69" s="12"/>
      <c r="FB69" s="13">
        <v>1.0</v>
      </c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3">
        <v>29.0</v>
      </c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</row>
    <row r="70">
      <c r="A70" s="21">
        <v>42850.0</v>
      </c>
      <c r="B70" s="5" t="s">
        <v>122</v>
      </c>
      <c r="C70" s="16">
        <f t="shared" si="55"/>
        <v>220</v>
      </c>
      <c r="D70" s="7">
        <v>20.738001</v>
      </c>
      <c r="E70" s="7">
        <v>-156.895004</v>
      </c>
      <c r="F70" s="5" t="s">
        <v>126</v>
      </c>
      <c r="G70" s="6">
        <v>0.40625</v>
      </c>
      <c r="H70" s="6">
        <v>0.46875</v>
      </c>
      <c r="I70" s="7">
        <v>5.0</v>
      </c>
      <c r="J70" s="7">
        <v>20.0</v>
      </c>
      <c r="K70" s="5" t="s">
        <v>16</v>
      </c>
      <c r="L70" s="7">
        <v>5.0</v>
      </c>
      <c r="M70" s="7">
        <v>20.0</v>
      </c>
      <c r="N70" s="5" t="s">
        <v>127</v>
      </c>
      <c r="O70" s="5"/>
      <c r="P70" s="7">
        <v>20.0</v>
      </c>
      <c r="Q70" s="5"/>
      <c r="R70" s="7">
        <v>7.0</v>
      </c>
      <c r="S70" s="7">
        <v>3.0</v>
      </c>
      <c r="T70" s="5"/>
      <c r="U70" s="5"/>
      <c r="V70" s="5"/>
      <c r="W70" s="5"/>
      <c r="X70" s="5"/>
      <c r="Y70" s="5"/>
      <c r="Z70" s="5"/>
      <c r="AA70" s="5"/>
      <c r="AB70" s="7">
        <v>19.0</v>
      </c>
      <c r="AC70" s="5"/>
      <c r="AD70" s="7">
        <v>1.0</v>
      </c>
      <c r="AE70" s="5"/>
      <c r="AF70" s="5"/>
      <c r="AG70" s="5"/>
      <c r="AH70" s="7">
        <v>10.0</v>
      </c>
      <c r="AI70" s="5"/>
      <c r="AJ70" s="5"/>
      <c r="AK70" s="5"/>
      <c r="AL70" s="5"/>
      <c r="AM70" s="7">
        <v>7.0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7">
        <v>6.0</v>
      </c>
      <c r="BA70" s="5"/>
      <c r="BB70" s="5"/>
      <c r="BC70" s="5"/>
      <c r="BD70" s="5"/>
      <c r="BE70" s="7">
        <v>5.0</v>
      </c>
      <c r="BF70" s="5"/>
      <c r="BG70" s="5"/>
      <c r="BH70" s="5"/>
      <c r="BI70" s="5"/>
      <c r="BJ70" s="5"/>
      <c r="BK70" s="5"/>
      <c r="BL70" s="5"/>
      <c r="BM70" s="7">
        <v>35.0</v>
      </c>
      <c r="BN70" s="5"/>
      <c r="BO70" s="5"/>
      <c r="BP70" s="5"/>
      <c r="BQ70" s="5"/>
      <c r="BR70" s="5"/>
      <c r="BS70" s="5"/>
      <c r="BT70" s="5"/>
      <c r="BU70" s="5"/>
      <c r="BV70" s="7">
        <v>2.0</v>
      </c>
      <c r="BW70" s="7">
        <v>2.0</v>
      </c>
      <c r="BX70" s="5"/>
      <c r="BY70" s="7">
        <v>3.0</v>
      </c>
      <c r="BZ70" s="7">
        <v>10.0</v>
      </c>
      <c r="CA70" s="5"/>
      <c r="CB70" s="5"/>
      <c r="CC70" s="7">
        <v>20.0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7">
        <v>1.0</v>
      </c>
      <c r="CQ70" s="5"/>
      <c r="CR70" s="5"/>
      <c r="CS70" s="5"/>
      <c r="CT70" s="5"/>
      <c r="CU70" s="5"/>
      <c r="CV70" s="5"/>
      <c r="CW70" s="5"/>
      <c r="CX70" s="5"/>
      <c r="CY70" s="5"/>
      <c r="CZ70" s="7">
        <v>15.0</v>
      </c>
      <c r="DA70" s="5"/>
      <c r="DB70" s="7">
        <v>3.0</v>
      </c>
      <c r="DC70" s="5"/>
      <c r="DD70" s="5"/>
      <c r="DE70" s="5"/>
      <c r="DF70" s="5"/>
      <c r="DG70" s="7">
        <v>5.0</v>
      </c>
      <c r="DH70" s="5"/>
      <c r="DI70" s="5"/>
      <c r="DJ70" s="7">
        <v>5.0</v>
      </c>
      <c r="DK70" s="5"/>
      <c r="DL70" s="5"/>
      <c r="DM70" s="5"/>
      <c r="DN70" s="5"/>
      <c r="DO70" s="5"/>
      <c r="DP70" s="7">
        <v>5.0</v>
      </c>
      <c r="DQ70" s="5"/>
      <c r="DR70" s="5"/>
      <c r="DS70" s="5"/>
      <c r="DT70" s="5"/>
      <c r="DU70" s="5"/>
      <c r="DV70" s="5"/>
      <c r="DW70" s="7">
        <v>2.0</v>
      </c>
      <c r="DX70" s="5"/>
      <c r="DY70" s="5"/>
      <c r="DZ70" s="5"/>
      <c r="EA70" s="5"/>
      <c r="EB70" s="5"/>
      <c r="EC70" s="5"/>
      <c r="ED70" s="7">
        <v>23.0</v>
      </c>
      <c r="EE70" s="5"/>
      <c r="EF70" s="5"/>
      <c r="EG70" s="5"/>
      <c r="EH70" s="5"/>
      <c r="EI70" s="5"/>
      <c r="EJ70" s="7">
        <v>21.0</v>
      </c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7">
        <v>4.0</v>
      </c>
      <c r="FA70" s="5"/>
      <c r="FB70" s="7">
        <v>18.0</v>
      </c>
      <c r="FC70" s="5"/>
      <c r="FD70" s="5"/>
      <c r="FE70" s="5"/>
      <c r="FF70" s="7">
        <v>1.0</v>
      </c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7">
        <v>1.0</v>
      </c>
      <c r="FS70" s="7">
        <v>55.0</v>
      </c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7">
        <f>count(R70:GG70)</f>
        <v>28</v>
      </c>
      <c r="GI70" s="7">
        <f>countif(R70:GG70,"&gt;=2")</f>
        <v>24</v>
      </c>
      <c r="GJ70" s="7">
        <f>countif(R70:GG70,"&gt;=5")</f>
        <v>17</v>
      </c>
      <c r="GK70" s="7">
        <f>sum(R70:GG70)</f>
        <v>289</v>
      </c>
      <c r="GL70" s="7">
        <f>25*P70</f>
        <v>500</v>
      </c>
      <c r="GM70" s="7">
        <f>GL70-GK70</f>
        <v>211</v>
      </c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</row>
    <row r="71">
      <c r="A71" s="15">
        <v>43219.0</v>
      </c>
      <c r="B71" s="12" t="s">
        <v>122</v>
      </c>
      <c r="C71" s="16">
        <f t="shared" si="55"/>
        <v>221</v>
      </c>
      <c r="D71" s="13">
        <v>20.738001</v>
      </c>
      <c r="E71" s="13">
        <v>-156.895004</v>
      </c>
      <c r="F71" s="12" t="s">
        <v>126</v>
      </c>
      <c r="G71" s="14">
        <v>0.35625</v>
      </c>
      <c r="H71" s="14">
        <v>0.4479166666666667</v>
      </c>
      <c r="I71" s="13">
        <v>5.0</v>
      </c>
      <c r="J71" s="13">
        <v>20.0</v>
      </c>
      <c r="K71" s="12" t="s">
        <v>128</v>
      </c>
      <c r="L71" s="13">
        <v>5.0</v>
      </c>
      <c r="M71" s="13">
        <v>19.0</v>
      </c>
      <c r="N71" s="12" t="s">
        <v>129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3">
        <v>1.0</v>
      </c>
      <c r="AF71" s="12"/>
      <c r="AG71" s="12"/>
      <c r="AH71" s="12"/>
      <c r="AI71" s="12"/>
      <c r="AJ71" s="12"/>
      <c r="AK71" s="12"/>
      <c r="AL71" s="12"/>
      <c r="AM71" s="12"/>
      <c r="AN71" s="13">
        <v>4.0</v>
      </c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3">
        <v>7.0</v>
      </c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3">
        <v>69.0</v>
      </c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3">
        <v>1.0</v>
      </c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3">
        <v>2.0</v>
      </c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3">
        <v>148.0</v>
      </c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</row>
    <row r="72">
      <c r="A72" s="21">
        <v>42865.0</v>
      </c>
      <c r="B72" s="5" t="s">
        <v>34</v>
      </c>
      <c r="C72" s="16">
        <f t="shared" si="55"/>
        <v>222</v>
      </c>
      <c r="D72" s="7">
        <v>20.7537</v>
      </c>
      <c r="E72" s="7">
        <v>-156.460907</v>
      </c>
      <c r="F72" s="5" t="s">
        <v>130</v>
      </c>
      <c r="G72" s="6">
        <v>0.3958333333333333</v>
      </c>
      <c r="H72" s="6">
        <v>0.4652777777777778</v>
      </c>
      <c r="I72" s="7">
        <v>4.0</v>
      </c>
      <c r="J72" s="7">
        <v>15.0</v>
      </c>
      <c r="K72" s="5" t="s">
        <v>44</v>
      </c>
      <c r="L72" s="7">
        <v>7.0</v>
      </c>
      <c r="M72" s="7">
        <v>24.0</v>
      </c>
      <c r="N72" s="5" t="s">
        <v>131</v>
      </c>
      <c r="O72" s="5"/>
      <c r="P72" s="7">
        <v>24.0</v>
      </c>
      <c r="Q72" s="5"/>
      <c r="R72" s="7">
        <v>170.0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7">
        <v>148.0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7">
        <v>1.0</v>
      </c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7">
        <v>3.0</v>
      </c>
      <c r="DG72" s="7">
        <v>4.0</v>
      </c>
      <c r="DH72" s="5"/>
      <c r="DI72" s="5"/>
      <c r="DJ72" s="5"/>
      <c r="DK72" s="5"/>
      <c r="DL72" s="5"/>
      <c r="DM72" s="5"/>
      <c r="DN72" s="5"/>
      <c r="DO72" s="7">
        <v>1.0</v>
      </c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7">
        <v>4.0</v>
      </c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7">
        <v>17.0</v>
      </c>
      <c r="FT72" s="5"/>
      <c r="FU72" s="5"/>
      <c r="FV72" s="5"/>
      <c r="FW72" s="7">
        <v>1.0</v>
      </c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7">
        <f>count(R72:GG72)</f>
        <v>9</v>
      </c>
      <c r="GI72" s="7">
        <f>countif(R72:GG72,"&gt;=2")</f>
        <v>6</v>
      </c>
      <c r="GJ72" s="7">
        <f>countif(R72:GG72,"&gt;=5")</f>
        <v>3</v>
      </c>
      <c r="GK72" s="7">
        <f>sum(R72:GG72)</f>
        <v>349</v>
      </c>
      <c r="GL72" s="7">
        <f>25*P72</f>
        <v>600</v>
      </c>
      <c r="GM72" s="7">
        <f>GL72-GK72</f>
        <v>251</v>
      </c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</row>
    <row r="73">
      <c r="A73" s="15">
        <v>43241.0</v>
      </c>
      <c r="B73" s="12" t="s">
        <v>34</v>
      </c>
      <c r="C73" s="16">
        <f t="shared" si="55"/>
        <v>223</v>
      </c>
      <c r="D73" s="13">
        <v>20.7537</v>
      </c>
      <c r="E73" s="13">
        <v>-156.460907</v>
      </c>
      <c r="F73" s="12" t="s">
        <v>130</v>
      </c>
      <c r="G73" s="14">
        <v>0.46875</v>
      </c>
      <c r="H73" s="14">
        <v>0.5416666666666666</v>
      </c>
      <c r="I73" s="13">
        <v>5.0</v>
      </c>
      <c r="J73" s="13">
        <v>12.0</v>
      </c>
      <c r="K73" s="12" t="s">
        <v>8</v>
      </c>
      <c r="L73" s="13">
        <v>7.0</v>
      </c>
      <c r="M73" s="13">
        <v>19.0</v>
      </c>
      <c r="N73" s="12" t="s">
        <v>132</v>
      </c>
      <c r="O73" s="12"/>
      <c r="P73" s="12"/>
      <c r="Q73" s="12"/>
      <c r="R73" s="13">
        <v>26.0</v>
      </c>
      <c r="S73" s="12"/>
      <c r="T73" s="12"/>
      <c r="U73" s="12"/>
      <c r="V73" s="12"/>
      <c r="W73" s="12"/>
      <c r="X73" s="12"/>
      <c r="Y73" s="12"/>
      <c r="Z73" s="12"/>
      <c r="AA73" s="12"/>
      <c r="AB73" s="13">
        <v>5.0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3">
        <v>61.0</v>
      </c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3">
        <v>54.0</v>
      </c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3">
        <v>1.0</v>
      </c>
      <c r="CL73" s="12"/>
      <c r="CM73" s="12"/>
      <c r="CN73" s="13">
        <v>2.0</v>
      </c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3">
        <v>1.0</v>
      </c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3">
        <v>2.0</v>
      </c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3">
        <v>42.0</v>
      </c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</row>
    <row r="74">
      <c r="A74" s="15">
        <v>43505.0</v>
      </c>
      <c r="B74" s="12" t="s">
        <v>28</v>
      </c>
      <c r="C74" s="16">
        <f t="shared" si="55"/>
        <v>224</v>
      </c>
      <c r="D74" s="13">
        <v>22.060684</v>
      </c>
      <c r="E74" s="13">
        <v>-159.318512</v>
      </c>
      <c r="F74" s="12" t="s">
        <v>133</v>
      </c>
      <c r="G74" s="14">
        <v>1.1574074074074073E-5</v>
      </c>
      <c r="H74" s="14">
        <v>2.3148148148148147E-5</v>
      </c>
      <c r="I74" s="13">
        <v>3.0</v>
      </c>
      <c r="J74" s="13">
        <v>14.0</v>
      </c>
      <c r="K74" s="12" t="s">
        <v>8</v>
      </c>
      <c r="L74" s="13">
        <v>2.0</v>
      </c>
      <c r="M74" s="13">
        <v>2.0</v>
      </c>
      <c r="N74" s="12" t="s">
        <v>134</v>
      </c>
      <c r="O74" s="12"/>
      <c r="P74" s="12"/>
      <c r="Q74" s="12"/>
      <c r="R74" s="13">
        <v>10.0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3">
        <v>3.0</v>
      </c>
      <c r="BN74" s="12"/>
      <c r="BO74" s="12"/>
      <c r="BP74" s="12"/>
      <c r="BQ74" s="12"/>
      <c r="BR74" s="12"/>
      <c r="BS74" s="12"/>
      <c r="BT74" s="12"/>
      <c r="BU74" s="12"/>
      <c r="BV74" s="12"/>
      <c r="BW74" s="13">
        <v>1.0</v>
      </c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3">
        <v>10.0</v>
      </c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3">
        <v>5.0</v>
      </c>
      <c r="FJ74" s="12"/>
      <c r="FK74" s="12"/>
      <c r="FL74" s="12"/>
      <c r="FM74" s="12"/>
      <c r="FN74" s="12"/>
      <c r="FO74" s="12"/>
      <c r="FP74" s="12"/>
      <c r="FQ74" s="12"/>
      <c r="FR74" s="13">
        <v>1.0</v>
      </c>
      <c r="FS74" s="13">
        <v>5.0</v>
      </c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</row>
    <row r="75">
      <c r="A75" s="21">
        <v>42439.0</v>
      </c>
      <c r="B75" s="5" t="s">
        <v>0</v>
      </c>
      <c r="C75" s="16">
        <f t="shared" si="55"/>
        <v>225</v>
      </c>
      <c r="D75" s="7">
        <v>21.3002</v>
      </c>
      <c r="E75" s="7">
        <v>-157.882599</v>
      </c>
      <c r="F75" s="5" t="s">
        <v>135</v>
      </c>
      <c r="G75" s="6">
        <v>0.43194444444444446</v>
      </c>
      <c r="H75" s="6">
        <v>0.4798611111111111</v>
      </c>
      <c r="I75" s="7">
        <v>7.0</v>
      </c>
      <c r="J75" s="7">
        <v>21.0</v>
      </c>
      <c r="K75" s="5" t="s">
        <v>8</v>
      </c>
      <c r="L75" s="7">
        <v>6.0</v>
      </c>
      <c r="M75" s="7">
        <v>36.0</v>
      </c>
      <c r="N75" s="5" t="s">
        <v>136</v>
      </c>
      <c r="O75" s="5"/>
      <c r="P75" s="7">
        <v>36.0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7">
        <v>4.0</v>
      </c>
      <c r="AL75" s="7">
        <v>4.0</v>
      </c>
      <c r="AM75" s="7">
        <v>21.0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7">
        <v>2.0</v>
      </c>
      <c r="BF75" s="5"/>
      <c r="BG75" s="5"/>
      <c r="BH75" s="5"/>
      <c r="BI75" s="5"/>
      <c r="BJ75" s="5"/>
      <c r="BK75" s="5"/>
      <c r="BL75" s="5"/>
      <c r="BM75" s="7">
        <v>1.0</v>
      </c>
      <c r="BN75" s="7">
        <v>2.0</v>
      </c>
      <c r="BO75" s="5"/>
      <c r="BP75" s="5"/>
      <c r="BQ75" s="7">
        <v>11.0</v>
      </c>
      <c r="BR75" s="5"/>
      <c r="BS75" s="5"/>
      <c r="BT75" s="5"/>
      <c r="BU75" s="5"/>
      <c r="BV75" s="7">
        <v>2.0</v>
      </c>
      <c r="BW75" s="5"/>
      <c r="BX75" s="5"/>
      <c r="BY75" s="5"/>
      <c r="BZ75" s="5"/>
      <c r="CA75" s="5"/>
      <c r="CB75" s="5"/>
      <c r="CC75" s="5"/>
      <c r="CD75" s="7">
        <v>2.0</v>
      </c>
      <c r="CE75" s="5"/>
      <c r="CF75" s="5"/>
      <c r="CG75" s="5"/>
      <c r="CH75" s="5"/>
      <c r="CI75" s="5"/>
      <c r="CJ75" s="5"/>
      <c r="CK75" s="7">
        <v>6.0</v>
      </c>
      <c r="CL75" s="5"/>
      <c r="CM75" s="5"/>
      <c r="CN75" s="5"/>
      <c r="CO75" s="5"/>
      <c r="CP75" s="5"/>
      <c r="CQ75" s="7">
        <v>1.0</v>
      </c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7">
        <v>2.0</v>
      </c>
      <c r="DH75" s="5"/>
      <c r="DI75" s="7">
        <v>1.0</v>
      </c>
      <c r="DJ75" s="5"/>
      <c r="DK75" s="5"/>
      <c r="DL75" s="5"/>
      <c r="DM75" s="5"/>
      <c r="DN75" s="5"/>
      <c r="DO75" s="5"/>
      <c r="DP75" s="5"/>
      <c r="DQ75" s="7">
        <v>2.0</v>
      </c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7">
        <v>14.0</v>
      </c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7">
        <v>3.0</v>
      </c>
      <c r="EV75" s="5"/>
      <c r="EW75" s="5"/>
      <c r="EX75" s="5"/>
      <c r="EY75" s="5"/>
      <c r="EZ75" s="5"/>
      <c r="FA75" s="5"/>
      <c r="FB75" s="7">
        <v>6.0</v>
      </c>
      <c r="FC75" s="5"/>
      <c r="FD75" s="5"/>
      <c r="FE75" s="5"/>
      <c r="FF75" s="7">
        <v>1.0</v>
      </c>
      <c r="FG75" s="5"/>
      <c r="FH75" s="5"/>
      <c r="FI75" s="5"/>
      <c r="FJ75" s="5"/>
      <c r="FK75" s="7">
        <v>1.0</v>
      </c>
      <c r="FL75" s="7">
        <v>1.0</v>
      </c>
      <c r="FM75" s="5"/>
      <c r="FN75" s="5"/>
      <c r="FO75" s="5"/>
      <c r="FP75" s="5"/>
      <c r="FQ75" s="5"/>
      <c r="FR75" s="5"/>
      <c r="FS75" s="7">
        <v>406.0</v>
      </c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7">
        <f t="shared" ref="GH75:GH77" si="62">count(R75:GG75)</f>
        <v>21</v>
      </c>
      <c r="GI75" s="7">
        <f t="shared" ref="GI75:GI77" si="63">countif(R75:GG75,"&gt;=2")</f>
        <v>15</v>
      </c>
      <c r="GJ75" s="7">
        <f t="shared" ref="GJ75:GJ77" si="64">countif(R75:GG75,"&gt;=5")</f>
        <v>6</v>
      </c>
      <c r="GK75" s="7">
        <f t="shared" ref="GK75:GK77" si="65">sum(R75:GG75)</f>
        <v>493</v>
      </c>
      <c r="GL75" s="7">
        <f t="shared" ref="GL75:GL77" si="66">25*P75</f>
        <v>900</v>
      </c>
      <c r="GM75" s="7">
        <f t="shared" ref="GM75:GM77" si="67">GL75-GK75</f>
        <v>407</v>
      </c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</row>
    <row r="76">
      <c r="A76" s="21">
        <v>42835.0</v>
      </c>
      <c r="B76" s="5" t="s">
        <v>0</v>
      </c>
      <c r="C76" s="16">
        <f t="shared" si="55"/>
        <v>226</v>
      </c>
      <c r="D76" s="7">
        <v>21.3002</v>
      </c>
      <c r="E76" s="7">
        <v>-157.882599</v>
      </c>
      <c r="F76" s="5" t="s">
        <v>135</v>
      </c>
      <c r="G76" s="6">
        <v>0.3888888888888889</v>
      </c>
      <c r="H76" s="6">
        <v>0.4236111111111111</v>
      </c>
      <c r="I76" s="7">
        <v>7.0</v>
      </c>
      <c r="J76" s="7">
        <v>20.0</v>
      </c>
      <c r="K76" s="5" t="s">
        <v>8</v>
      </c>
      <c r="L76" s="7">
        <v>5.0</v>
      </c>
      <c r="M76" s="7">
        <v>33.0</v>
      </c>
      <c r="N76" s="5" t="s">
        <v>137</v>
      </c>
      <c r="O76" s="5"/>
      <c r="P76" s="7">
        <v>33.0</v>
      </c>
      <c r="Q76" s="5"/>
      <c r="R76" s="5"/>
      <c r="S76" s="5"/>
      <c r="T76" s="5"/>
      <c r="U76" s="5"/>
      <c r="V76" s="5"/>
      <c r="W76" s="5"/>
      <c r="X76" s="7">
        <v>1.0</v>
      </c>
      <c r="Y76" s="5"/>
      <c r="Z76" s="5"/>
      <c r="AA76" s="5"/>
      <c r="AB76" s="7">
        <v>17.0</v>
      </c>
      <c r="AC76" s="7">
        <v>2.0</v>
      </c>
      <c r="AD76" s="5"/>
      <c r="AE76" s="5"/>
      <c r="AF76" s="5"/>
      <c r="AG76" s="5"/>
      <c r="AH76" s="5"/>
      <c r="AI76" s="7">
        <v>2.0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7">
        <v>20.0</v>
      </c>
      <c r="BN76" s="5"/>
      <c r="BO76" s="5"/>
      <c r="BP76" s="5"/>
      <c r="BQ76" s="5"/>
      <c r="BR76" s="5"/>
      <c r="BS76" s="5"/>
      <c r="BT76" s="5"/>
      <c r="BU76" s="5"/>
      <c r="BV76" s="7">
        <v>3.0</v>
      </c>
      <c r="BW76" s="5"/>
      <c r="BX76" s="5"/>
      <c r="BY76" s="5"/>
      <c r="BZ76" s="7">
        <v>1.0</v>
      </c>
      <c r="CA76" s="5"/>
      <c r="CB76" s="5"/>
      <c r="CC76" s="7">
        <v>2.0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7">
        <v>1.0</v>
      </c>
      <c r="DH76" s="7">
        <v>15.0</v>
      </c>
      <c r="DI76" s="5"/>
      <c r="DJ76" s="5"/>
      <c r="DK76" s="5"/>
      <c r="DL76" s="5"/>
      <c r="DM76" s="5"/>
      <c r="DN76" s="5"/>
      <c r="DO76" s="7">
        <v>2.0</v>
      </c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7">
        <v>4.0</v>
      </c>
      <c r="ED76" s="5"/>
      <c r="EE76" s="5"/>
      <c r="EF76" s="5"/>
      <c r="EG76" s="5"/>
      <c r="EH76" s="7">
        <v>1.0</v>
      </c>
      <c r="EI76" s="5"/>
      <c r="EJ76" s="7">
        <v>10.0</v>
      </c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7">
        <v>56.0</v>
      </c>
      <c r="FJ76" s="5"/>
      <c r="FK76" s="5"/>
      <c r="FL76" s="5"/>
      <c r="FM76" s="5"/>
      <c r="FN76" s="5"/>
      <c r="FO76" s="5"/>
      <c r="FP76" s="5"/>
      <c r="FQ76" s="5"/>
      <c r="FR76" s="5"/>
      <c r="FS76" s="7">
        <v>365.0</v>
      </c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7">
        <f t="shared" si="62"/>
        <v>16</v>
      </c>
      <c r="GI76" s="7">
        <f t="shared" si="63"/>
        <v>12</v>
      </c>
      <c r="GJ76" s="7">
        <f t="shared" si="64"/>
        <v>6</v>
      </c>
      <c r="GK76" s="7">
        <f t="shared" si="65"/>
        <v>502</v>
      </c>
      <c r="GL76" s="7">
        <f t="shared" si="66"/>
        <v>825</v>
      </c>
      <c r="GM76" s="7">
        <f t="shared" si="67"/>
        <v>323</v>
      </c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</row>
    <row r="77">
      <c r="A77" s="26">
        <v>43234.0</v>
      </c>
      <c r="B77" s="27" t="s">
        <v>0</v>
      </c>
      <c r="C77" s="16">
        <f t="shared" si="55"/>
        <v>227</v>
      </c>
      <c r="D77" s="28">
        <v>21.3002</v>
      </c>
      <c r="E77" s="28">
        <v>-157.882599</v>
      </c>
      <c r="F77" s="27" t="s">
        <v>135</v>
      </c>
      <c r="G77" s="29">
        <v>0.38263888888888886</v>
      </c>
      <c r="H77" s="29">
        <v>0.41944444444444445</v>
      </c>
      <c r="I77" s="28">
        <v>6.0</v>
      </c>
      <c r="J77" s="28">
        <v>26.0</v>
      </c>
      <c r="K77" s="27" t="s">
        <v>8</v>
      </c>
      <c r="L77" s="28">
        <v>5.0</v>
      </c>
      <c r="M77" s="28">
        <v>27.0</v>
      </c>
      <c r="N77" s="27" t="s">
        <v>138</v>
      </c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8">
        <v>1.0</v>
      </c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8">
        <v>1.0</v>
      </c>
      <c r="BF77" s="27"/>
      <c r="BG77" s="27"/>
      <c r="BH77" s="28">
        <v>1.0</v>
      </c>
      <c r="BI77" s="27"/>
      <c r="BJ77" s="28">
        <v>1.0</v>
      </c>
      <c r="BK77" s="27"/>
      <c r="BL77" s="28">
        <v>1.0</v>
      </c>
      <c r="BM77" s="28">
        <v>10.0</v>
      </c>
      <c r="BN77" s="27"/>
      <c r="BO77" s="27"/>
      <c r="BP77" s="27"/>
      <c r="BQ77" s="28">
        <v>8.0</v>
      </c>
      <c r="BR77" s="27"/>
      <c r="BS77" s="27"/>
      <c r="BT77" s="27"/>
      <c r="BU77" s="27"/>
      <c r="BV77" s="28">
        <v>2.0</v>
      </c>
      <c r="BW77" s="27"/>
      <c r="BX77" s="27"/>
      <c r="BY77" s="27"/>
      <c r="BZ77" s="27"/>
      <c r="CA77" s="27"/>
      <c r="CB77" s="27"/>
      <c r="CC77" s="27"/>
      <c r="CD77" s="27"/>
      <c r="CE77" s="28">
        <v>1.0</v>
      </c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8">
        <v>3.0</v>
      </c>
      <c r="ED77" s="27"/>
      <c r="EE77" s="27"/>
      <c r="EF77" s="27"/>
      <c r="EG77" s="27"/>
      <c r="EH77" s="27"/>
      <c r="EI77" s="27"/>
      <c r="EJ77" s="28">
        <v>2.0</v>
      </c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8">
        <v>1.0</v>
      </c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8">
        <v>1.0</v>
      </c>
      <c r="FM77" s="27"/>
      <c r="FN77" s="27"/>
      <c r="FO77" s="27"/>
      <c r="FP77" s="27"/>
      <c r="FQ77" s="27"/>
      <c r="FR77" s="27"/>
      <c r="FS77" s="28">
        <v>508.0</v>
      </c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8">
        <f t="shared" si="62"/>
        <v>14</v>
      </c>
      <c r="GI77" s="28">
        <f t="shared" si="63"/>
        <v>6</v>
      </c>
      <c r="GJ77" s="28">
        <f t="shared" si="64"/>
        <v>3</v>
      </c>
      <c r="GK77" s="28">
        <f t="shared" si="65"/>
        <v>541</v>
      </c>
      <c r="GL77" s="28">
        <f t="shared" si="66"/>
        <v>0</v>
      </c>
      <c r="GM77" s="28">
        <f t="shared" si="67"/>
        <v>-541</v>
      </c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</row>
    <row r="78">
      <c r="A78" s="15">
        <v>43235.0</v>
      </c>
      <c r="B78" s="12" t="s">
        <v>0</v>
      </c>
      <c r="C78" s="16">
        <f t="shared" si="55"/>
        <v>228</v>
      </c>
      <c r="D78" s="13">
        <v>21.3002</v>
      </c>
      <c r="E78" s="13">
        <v>-157.882599</v>
      </c>
      <c r="F78" s="12" t="s">
        <v>135</v>
      </c>
      <c r="G78" s="14">
        <v>0.38263888888888886</v>
      </c>
      <c r="H78" s="14">
        <v>0.4083333333333333</v>
      </c>
      <c r="I78" s="13">
        <v>6.0</v>
      </c>
      <c r="J78" s="13">
        <v>30.0</v>
      </c>
      <c r="K78" s="12" t="s">
        <v>8</v>
      </c>
      <c r="L78" s="13">
        <v>5.0</v>
      </c>
      <c r="M78" s="13">
        <v>26.0</v>
      </c>
      <c r="N78" s="12" t="s">
        <v>139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>
        <v>1.0</v>
      </c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3">
        <v>42.0</v>
      </c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3">
        <v>1.0</v>
      </c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3">
        <v>1.0</v>
      </c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3">
        <v>1.0</v>
      </c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3">
        <v>3.0</v>
      </c>
      <c r="ED78" s="12"/>
      <c r="EE78" s="12"/>
      <c r="EF78" s="12"/>
      <c r="EG78" s="12"/>
      <c r="EH78" s="12"/>
      <c r="EI78" s="13">
        <v>1.0</v>
      </c>
      <c r="EJ78" s="13">
        <v>1.0</v>
      </c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3">
        <v>394.0</v>
      </c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</row>
    <row r="79">
      <c r="A79" s="26">
        <v>42804.0</v>
      </c>
      <c r="B79" s="27" t="s">
        <v>140</v>
      </c>
      <c r="C79" s="16">
        <f t="shared" si="55"/>
        <v>229</v>
      </c>
      <c r="D79" s="28">
        <v>21.295799</v>
      </c>
      <c r="E79" s="28">
        <v>-158.103699</v>
      </c>
      <c r="F79" s="27" t="s">
        <v>141</v>
      </c>
      <c r="G79" s="29">
        <v>0.3854166666666667</v>
      </c>
      <c r="H79" s="29">
        <v>0.4479166666666667</v>
      </c>
      <c r="I79" s="28">
        <v>7.0</v>
      </c>
      <c r="J79" s="28">
        <v>10.0</v>
      </c>
      <c r="K79" s="27" t="s">
        <v>16</v>
      </c>
      <c r="L79" s="28">
        <v>5.0</v>
      </c>
      <c r="M79" s="28">
        <v>31.0</v>
      </c>
      <c r="N79" s="27" t="s">
        <v>142</v>
      </c>
      <c r="O79" s="27"/>
      <c r="P79" s="27"/>
      <c r="Q79" s="27"/>
      <c r="R79" s="28">
        <v>32.0</v>
      </c>
      <c r="S79" s="28">
        <v>1.0</v>
      </c>
      <c r="T79" s="27"/>
      <c r="U79" s="27"/>
      <c r="V79" s="27"/>
      <c r="W79" s="27"/>
      <c r="X79" s="27"/>
      <c r="Y79" s="27"/>
      <c r="Z79" s="27"/>
      <c r="AA79" s="27"/>
      <c r="AB79" s="28">
        <v>3.0</v>
      </c>
      <c r="AC79" s="28">
        <v>2.0</v>
      </c>
      <c r="AD79" s="28">
        <v>1.0</v>
      </c>
      <c r="AE79" s="28">
        <v>2.0</v>
      </c>
      <c r="AF79" s="27"/>
      <c r="AG79" s="27"/>
      <c r="AH79" s="27"/>
      <c r="AI79" s="28">
        <v>1.0</v>
      </c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8">
        <v>1.0</v>
      </c>
      <c r="AU79" s="27"/>
      <c r="AV79" s="27"/>
      <c r="AW79" s="27"/>
      <c r="AX79" s="27"/>
      <c r="AY79" s="27"/>
      <c r="AZ79" s="27"/>
      <c r="BA79" s="27"/>
      <c r="BB79" s="27"/>
      <c r="BC79" s="28">
        <v>1.0</v>
      </c>
      <c r="BD79" s="28">
        <v>1.0</v>
      </c>
      <c r="BE79" s="28">
        <v>16.0</v>
      </c>
      <c r="BF79" s="27"/>
      <c r="BG79" s="27"/>
      <c r="BH79" s="28">
        <v>1.0</v>
      </c>
      <c r="BI79" s="27"/>
      <c r="BJ79" s="27"/>
      <c r="BK79" s="27"/>
      <c r="BL79" s="27"/>
      <c r="BM79" s="28">
        <v>10.0</v>
      </c>
      <c r="BN79" s="28">
        <v>12.0</v>
      </c>
      <c r="BO79" s="27"/>
      <c r="BP79" s="27"/>
      <c r="BQ79" s="28">
        <v>30.0</v>
      </c>
      <c r="BR79" s="27"/>
      <c r="BS79" s="27"/>
      <c r="BT79" s="27"/>
      <c r="BU79" s="27"/>
      <c r="BV79" s="28">
        <v>22.0</v>
      </c>
      <c r="BW79" s="27"/>
      <c r="BX79" s="27"/>
      <c r="BY79" s="27"/>
      <c r="BZ79" s="28">
        <v>34.0</v>
      </c>
      <c r="CA79" s="27"/>
      <c r="CB79" s="27"/>
      <c r="CC79" s="28">
        <v>4.0</v>
      </c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8">
        <v>27.0</v>
      </c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8">
        <v>4.0</v>
      </c>
      <c r="DE79" s="27"/>
      <c r="DF79" s="27"/>
      <c r="DG79" s="28">
        <v>7.0</v>
      </c>
      <c r="DH79" s="27"/>
      <c r="DI79" s="27"/>
      <c r="DJ79" s="27"/>
      <c r="DK79" s="27"/>
      <c r="DL79" s="27"/>
      <c r="DM79" s="28">
        <v>23.0</v>
      </c>
      <c r="DN79" s="27"/>
      <c r="DO79" s="27"/>
      <c r="DP79" s="27"/>
      <c r="DQ79" s="27"/>
      <c r="DR79" s="27"/>
      <c r="DS79" s="28">
        <v>22.0</v>
      </c>
      <c r="DT79" s="27"/>
      <c r="DU79" s="27"/>
      <c r="DV79" s="27"/>
      <c r="DW79" s="27"/>
      <c r="DX79" s="27"/>
      <c r="DY79" s="27"/>
      <c r="DZ79" s="28">
        <v>1.0</v>
      </c>
      <c r="EA79" s="27"/>
      <c r="EB79" s="27"/>
      <c r="EC79" s="28">
        <v>7.0</v>
      </c>
      <c r="ED79" s="27"/>
      <c r="EE79" s="27"/>
      <c r="EF79" s="27"/>
      <c r="EG79" s="27"/>
      <c r="EH79" s="27"/>
      <c r="EI79" s="27"/>
      <c r="EJ79" s="28">
        <v>181.0</v>
      </c>
      <c r="EK79" s="28">
        <v>3.0</v>
      </c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8">
        <v>54.0</v>
      </c>
      <c r="FC79" s="27"/>
      <c r="FD79" s="27"/>
      <c r="FE79" s="27"/>
      <c r="FF79" s="28">
        <v>9.0</v>
      </c>
      <c r="FG79" s="27"/>
      <c r="FH79" s="27"/>
      <c r="FI79" s="28">
        <v>9.0</v>
      </c>
      <c r="FJ79" s="27"/>
      <c r="FK79" s="27"/>
      <c r="FL79" s="27"/>
      <c r="FM79" s="27"/>
      <c r="FN79" s="27"/>
      <c r="FO79" s="27"/>
      <c r="FP79" s="27"/>
      <c r="FQ79" s="27"/>
      <c r="FR79" s="28">
        <v>18.0</v>
      </c>
      <c r="FS79" s="28">
        <v>42.0</v>
      </c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8">
        <f t="shared" ref="GH79:GH80" si="68">count(R79:GG79)</f>
        <v>32</v>
      </c>
      <c r="GI79" s="28">
        <f t="shared" ref="GI79:GI80" si="69">countif(R79:GG79,"&gt;=2")</f>
        <v>24</v>
      </c>
      <c r="GJ79" s="28">
        <f t="shared" ref="GJ79:GJ80" si="70">countif(R79:GG79,"&gt;=5")</f>
        <v>18</v>
      </c>
      <c r="GK79" s="28">
        <f t="shared" ref="GK79:GK80" si="71">sum(R79:GG79)</f>
        <v>581</v>
      </c>
      <c r="GL79" s="28">
        <f t="shared" ref="GL79:GL80" si="72">25*P79</f>
        <v>0</v>
      </c>
      <c r="GM79" s="28">
        <f t="shared" ref="GM79:GM80" si="73">GL79-GK79</f>
        <v>-581</v>
      </c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</row>
    <row r="80">
      <c r="A80" s="26">
        <v>43160.0</v>
      </c>
      <c r="B80" s="27" t="s">
        <v>140</v>
      </c>
      <c r="C80" s="16">
        <f t="shared" si="55"/>
        <v>230</v>
      </c>
      <c r="D80" s="28">
        <v>21.295799</v>
      </c>
      <c r="E80" s="28">
        <v>-158.103699</v>
      </c>
      <c r="F80" s="27" t="s">
        <v>141</v>
      </c>
      <c r="G80" s="29">
        <v>0.375</v>
      </c>
      <c r="H80" s="29">
        <v>0.4513888888888889</v>
      </c>
      <c r="I80" s="28">
        <v>10.0</v>
      </c>
      <c r="J80" s="28">
        <v>10.0</v>
      </c>
      <c r="K80" s="27" t="s">
        <v>16</v>
      </c>
      <c r="L80" s="28">
        <v>5.0</v>
      </c>
      <c r="M80" s="28">
        <v>46.0</v>
      </c>
      <c r="N80" s="32" t="s">
        <v>143</v>
      </c>
      <c r="O80" s="27"/>
      <c r="P80" s="27"/>
      <c r="Q80" s="27"/>
      <c r="R80" s="28">
        <v>4.0</v>
      </c>
      <c r="S80" s="27"/>
      <c r="T80" s="27"/>
      <c r="U80" s="27"/>
      <c r="V80" s="27"/>
      <c r="W80" s="27"/>
      <c r="X80" s="28">
        <v>4.0</v>
      </c>
      <c r="Y80" s="27"/>
      <c r="Z80" s="28">
        <v>12.0</v>
      </c>
      <c r="AA80" s="27"/>
      <c r="AB80" s="28">
        <v>10.0</v>
      </c>
      <c r="AC80" s="28">
        <v>20.0</v>
      </c>
      <c r="AD80" s="27"/>
      <c r="AE80" s="28">
        <v>5.0</v>
      </c>
      <c r="AF80" s="27"/>
      <c r="AG80" s="27"/>
      <c r="AH80" s="27"/>
      <c r="AI80" s="28">
        <v>10.0</v>
      </c>
      <c r="AJ80" s="27"/>
      <c r="AK80" s="27"/>
      <c r="AL80" s="27"/>
      <c r="AM80" s="27"/>
      <c r="AN80" s="28">
        <v>11.0</v>
      </c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8">
        <v>33.0</v>
      </c>
      <c r="BD80" s="28">
        <v>8.0</v>
      </c>
      <c r="BE80" s="28">
        <v>6.0</v>
      </c>
      <c r="BF80" s="27"/>
      <c r="BG80" s="27"/>
      <c r="BH80" s="27"/>
      <c r="BI80" s="27"/>
      <c r="BJ80" s="27"/>
      <c r="BK80" s="27"/>
      <c r="BL80" s="27"/>
      <c r="BM80" s="28">
        <v>14.0</v>
      </c>
      <c r="BN80" s="28">
        <v>45.0</v>
      </c>
      <c r="BO80" s="27"/>
      <c r="BP80" s="27"/>
      <c r="BQ80" s="28">
        <v>42.0</v>
      </c>
      <c r="BR80" s="27"/>
      <c r="BS80" s="27"/>
      <c r="BT80" s="27"/>
      <c r="BU80" s="27"/>
      <c r="BV80" s="28">
        <v>44.0</v>
      </c>
      <c r="BW80" s="27"/>
      <c r="BX80" s="27"/>
      <c r="BY80" s="27"/>
      <c r="BZ80" s="28">
        <v>25.0</v>
      </c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8">
        <v>51.0</v>
      </c>
      <c r="CT80" s="27"/>
      <c r="CU80" s="28">
        <v>1.0</v>
      </c>
      <c r="CV80" s="27"/>
      <c r="CW80" s="27"/>
      <c r="CX80" s="27"/>
      <c r="CY80" s="27"/>
      <c r="CZ80" s="27"/>
      <c r="DA80" s="27"/>
      <c r="DB80" s="27"/>
      <c r="DC80" s="27"/>
      <c r="DD80" s="28">
        <v>3.0</v>
      </c>
      <c r="DE80" s="27"/>
      <c r="DF80" s="27"/>
      <c r="DG80" s="28">
        <v>1.0</v>
      </c>
      <c r="DH80" s="27"/>
      <c r="DI80" s="27"/>
      <c r="DJ80" s="27"/>
      <c r="DK80" s="27"/>
      <c r="DL80" s="27"/>
      <c r="DM80" s="28">
        <v>23.0</v>
      </c>
      <c r="DN80" s="28">
        <v>1.0</v>
      </c>
      <c r="DO80" s="28">
        <v>1.0</v>
      </c>
      <c r="DP80" s="28">
        <v>1.0</v>
      </c>
      <c r="DQ80" s="27"/>
      <c r="DR80" s="27"/>
      <c r="DS80" s="28">
        <v>5.0</v>
      </c>
      <c r="DT80" s="27"/>
      <c r="DU80" s="27"/>
      <c r="DV80" s="28">
        <v>4.0</v>
      </c>
      <c r="DW80" s="27"/>
      <c r="DX80" s="27"/>
      <c r="DY80" s="27"/>
      <c r="DZ80" s="27"/>
      <c r="EA80" s="27"/>
      <c r="EB80" s="27"/>
      <c r="EC80" s="28">
        <v>40.0</v>
      </c>
      <c r="ED80" s="27"/>
      <c r="EE80" s="27"/>
      <c r="EF80" s="27"/>
      <c r="EG80" s="27"/>
      <c r="EH80" s="27"/>
      <c r="EI80" s="27"/>
      <c r="EJ80" s="28">
        <v>310.0</v>
      </c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8">
        <v>15.0</v>
      </c>
      <c r="FC80" s="27"/>
      <c r="FD80" s="27"/>
      <c r="FE80" s="27"/>
      <c r="FF80" s="28">
        <v>3.0</v>
      </c>
      <c r="FG80" s="27"/>
      <c r="FH80" s="27"/>
      <c r="FI80" s="28">
        <v>15.0</v>
      </c>
      <c r="FJ80" s="27"/>
      <c r="FK80" s="27"/>
      <c r="FL80" s="27"/>
      <c r="FM80" s="27"/>
      <c r="FN80" s="27"/>
      <c r="FO80" s="27"/>
      <c r="FP80" s="27"/>
      <c r="FQ80" s="27"/>
      <c r="FR80" s="27"/>
      <c r="FS80" s="28">
        <v>76.0</v>
      </c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8">
        <v>1.0</v>
      </c>
      <c r="GH80" s="28">
        <f t="shared" si="68"/>
        <v>33</v>
      </c>
      <c r="GI80" s="28">
        <f t="shared" si="69"/>
        <v>27</v>
      </c>
      <c r="GJ80" s="28">
        <f t="shared" si="70"/>
        <v>22</v>
      </c>
      <c r="GK80" s="28">
        <f t="shared" si="71"/>
        <v>844</v>
      </c>
      <c r="GL80" s="28">
        <f t="shared" si="72"/>
        <v>0</v>
      </c>
      <c r="GM80" s="28">
        <f t="shared" si="73"/>
        <v>-844</v>
      </c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</row>
    <row r="81">
      <c r="A81" s="15">
        <v>42852.0</v>
      </c>
      <c r="B81" s="12" t="s">
        <v>21</v>
      </c>
      <c r="C81" s="16">
        <f t="shared" si="55"/>
        <v>231</v>
      </c>
      <c r="D81" s="13">
        <v>21.25544</v>
      </c>
      <c r="E81" s="13">
        <v>-157.810303</v>
      </c>
      <c r="F81" s="12" t="s">
        <v>144</v>
      </c>
      <c r="G81" s="14">
        <v>0.4236111111111111</v>
      </c>
      <c r="H81" s="14">
        <v>0.4722222222222222</v>
      </c>
      <c r="I81" s="13">
        <v>6.0</v>
      </c>
      <c r="J81" s="13">
        <v>15.0</v>
      </c>
      <c r="K81" s="12" t="s">
        <v>6</v>
      </c>
      <c r="L81" s="13">
        <v>5.0</v>
      </c>
      <c r="M81" s="13">
        <v>10.0</v>
      </c>
      <c r="N81" s="12" t="s">
        <v>145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>
        <v>1.0</v>
      </c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3">
        <v>10.0</v>
      </c>
      <c r="BW81" s="12"/>
      <c r="BX81" s="12"/>
      <c r="BY81" s="12"/>
      <c r="BZ81" s="13">
        <v>5.0</v>
      </c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3">
        <v>1.0</v>
      </c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3">
        <v>108.0</v>
      </c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3">
        <v>2.0</v>
      </c>
      <c r="FS81" s="13">
        <v>51.0</v>
      </c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</row>
    <row r="82">
      <c r="A82" s="21">
        <v>42467.0</v>
      </c>
      <c r="B82" s="5" t="s">
        <v>146</v>
      </c>
      <c r="C82" s="16">
        <f t="shared" si="55"/>
        <v>232</v>
      </c>
      <c r="D82" s="31">
        <v>21.066799</v>
      </c>
      <c r="E82" s="31">
        <v>-156.804993</v>
      </c>
      <c r="F82" s="5" t="s">
        <v>147</v>
      </c>
      <c r="G82" s="6">
        <v>0.375</v>
      </c>
      <c r="H82" s="6">
        <v>0.4388888888888889</v>
      </c>
      <c r="I82" s="7">
        <v>4.0</v>
      </c>
      <c r="J82" s="7">
        <v>17.0</v>
      </c>
      <c r="K82" s="5" t="s">
        <v>8</v>
      </c>
      <c r="L82" s="7">
        <v>16.0</v>
      </c>
      <c r="M82" s="7">
        <v>25.0</v>
      </c>
      <c r="N82" s="5" t="s">
        <v>148</v>
      </c>
      <c r="O82" s="5" t="s">
        <v>149</v>
      </c>
      <c r="P82" s="7">
        <v>25.0</v>
      </c>
      <c r="Q82" s="5"/>
      <c r="R82" s="7">
        <v>11.0</v>
      </c>
      <c r="S82" s="5"/>
      <c r="T82" s="5"/>
      <c r="U82" s="7">
        <v>39.0</v>
      </c>
      <c r="V82" s="5"/>
      <c r="W82" s="7">
        <v>11.0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7">
        <v>5.0</v>
      </c>
      <c r="BC82" s="5"/>
      <c r="BD82" s="5"/>
      <c r="BE82" s="5"/>
      <c r="BF82" s="5"/>
      <c r="BG82" s="5"/>
      <c r="BH82" s="5"/>
      <c r="BI82" s="5"/>
      <c r="BJ82" s="5"/>
      <c r="BK82" s="5"/>
      <c r="BL82" s="7">
        <v>1.0</v>
      </c>
      <c r="BM82" s="7">
        <v>26.0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7">
        <v>16.0</v>
      </c>
      <c r="CA82" s="5"/>
      <c r="CB82" s="5"/>
      <c r="CC82" s="5"/>
      <c r="CD82" s="7">
        <v>1.0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7">
        <v>13.0</v>
      </c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7">
        <v>40.0</v>
      </c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7">
        <v>83.0</v>
      </c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7">
        <v>109.0</v>
      </c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7">
        <v>5.0</v>
      </c>
      <c r="FZ82" s="5"/>
      <c r="GA82" s="5"/>
      <c r="GB82" s="5"/>
      <c r="GC82" s="5"/>
      <c r="GD82" s="5"/>
      <c r="GE82" s="5"/>
      <c r="GF82" s="5"/>
      <c r="GG82" s="5"/>
      <c r="GH82" s="7">
        <f t="shared" ref="GH82:GH83" si="74">count(R82:GG82)</f>
        <v>13</v>
      </c>
      <c r="GI82" s="7">
        <f t="shared" ref="GI82:GI83" si="75">countif(R82:GG82,"&gt;=2")</f>
        <v>11</v>
      </c>
      <c r="GJ82" s="7">
        <f t="shared" ref="GJ82:GJ83" si="76">countif(R82:GG82,"&gt;=5")</f>
        <v>11</v>
      </c>
      <c r="GK82" s="7">
        <f t="shared" ref="GK82:GK83" si="77">sum(R82:GG82)</f>
        <v>360</v>
      </c>
      <c r="GL82" s="7">
        <f t="shared" ref="GL82:GL83" si="78">25*P82</f>
        <v>625</v>
      </c>
      <c r="GM82" s="7">
        <f t="shared" ref="GM82:GM83" si="79">GL82-GK82</f>
        <v>265</v>
      </c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</row>
    <row r="83">
      <c r="A83" s="26">
        <v>42481.0</v>
      </c>
      <c r="B83" s="27" t="s">
        <v>150</v>
      </c>
      <c r="C83" s="16">
        <f t="shared" si="55"/>
        <v>233</v>
      </c>
      <c r="D83" s="28">
        <v>21.1059</v>
      </c>
      <c r="E83" s="28">
        <v>-156.746094</v>
      </c>
      <c r="F83" s="27" t="s">
        <v>147</v>
      </c>
      <c r="G83" s="29">
        <v>0.3736111111111111</v>
      </c>
      <c r="H83" s="29">
        <v>0.4076388888888889</v>
      </c>
      <c r="I83" s="28">
        <v>4.0</v>
      </c>
      <c r="J83" s="28">
        <v>13.0</v>
      </c>
      <c r="K83" s="27" t="s">
        <v>8</v>
      </c>
      <c r="L83" s="28">
        <v>12.0</v>
      </c>
      <c r="M83" s="28">
        <v>34.0</v>
      </c>
      <c r="N83" s="27" t="s">
        <v>151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8">
        <v>1.0</v>
      </c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8">
        <v>7.0</v>
      </c>
      <c r="BF83" s="27"/>
      <c r="BG83" s="27"/>
      <c r="BH83" s="28">
        <v>1.0</v>
      </c>
      <c r="BI83" s="27"/>
      <c r="BJ83" s="27"/>
      <c r="BK83" s="27"/>
      <c r="BL83" s="27"/>
      <c r="BM83" s="28">
        <v>41.0</v>
      </c>
      <c r="BN83" s="28">
        <v>2.0</v>
      </c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8">
        <v>2.0</v>
      </c>
      <c r="CR83" s="27"/>
      <c r="CS83" s="27"/>
      <c r="CT83" s="27"/>
      <c r="CU83" s="27"/>
      <c r="CV83" s="27"/>
      <c r="CW83" s="28">
        <v>5.0</v>
      </c>
      <c r="CX83" s="27"/>
      <c r="CY83" s="27"/>
      <c r="CZ83" s="27"/>
      <c r="DA83" s="27"/>
      <c r="DB83" s="27"/>
      <c r="DC83" s="27"/>
      <c r="DD83" s="27"/>
      <c r="DE83" s="27"/>
      <c r="DF83" s="27"/>
      <c r="DG83" s="28">
        <v>1.0</v>
      </c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8">
        <v>3.0</v>
      </c>
      <c r="DW83" s="27"/>
      <c r="DX83" s="27"/>
      <c r="DY83" s="27"/>
      <c r="DZ83" s="28">
        <v>2.0</v>
      </c>
      <c r="EA83" s="27"/>
      <c r="EB83" s="27"/>
      <c r="EC83" s="27"/>
      <c r="ED83" s="27"/>
      <c r="EE83" s="28">
        <v>1.0</v>
      </c>
      <c r="EF83" s="27"/>
      <c r="EG83" s="28">
        <v>1.0</v>
      </c>
      <c r="EH83" s="27"/>
      <c r="EI83" s="27"/>
      <c r="EJ83" s="28">
        <v>13.0</v>
      </c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8">
        <v>2.0</v>
      </c>
      <c r="EY83" s="27"/>
      <c r="EZ83" s="27"/>
      <c r="FA83" s="27"/>
      <c r="FB83" s="27"/>
      <c r="FC83" s="28">
        <v>2.0</v>
      </c>
      <c r="FD83" s="28">
        <v>1.0</v>
      </c>
      <c r="FE83" s="27"/>
      <c r="FF83" s="28">
        <v>21.0</v>
      </c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8">
        <v>460.0</v>
      </c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8">
        <f t="shared" si="74"/>
        <v>18</v>
      </c>
      <c r="GI83" s="28">
        <f t="shared" si="75"/>
        <v>12</v>
      </c>
      <c r="GJ83" s="28">
        <f t="shared" si="76"/>
        <v>6</v>
      </c>
      <c r="GK83" s="28">
        <f t="shared" si="77"/>
        <v>566</v>
      </c>
      <c r="GL83" s="28">
        <f t="shared" si="78"/>
        <v>0</v>
      </c>
      <c r="GM83" s="28">
        <f t="shared" si="79"/>
        <v>-566</v>
      </c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</row>
    <row r="84">
      <c r="A84" s="15">
        <v>42482.0</v>
      </c>
      <c r="B84" s="12" t="s">
        <v>152</v>
      </c>
      <c r="C84" s="16">
        <f t="shared" si="55"/>
        <v>234</v>
      </c>
      <c r="D84" s="13">
        <v>21.196848</v>
      </c>
      <c r="E84" s="13">
        <v>-157.143478</v>
      </c>
      <c r="F84" s="12" t="s">
        <v>147</v>
      </c>
      <c r="G84" s="14">
        <v>0.3597222222222222</v>
      </c>
      <c r="H84" s="14">
        <v>0.3958333333333333</v>
      </c>
      <c r="I84" s="13">
        <v>4.0</v>
      </c>
      <c r="J84" s="13">
        <v>13.0</v>
      </c>
      <c r="K84" s="12" t="s">
        <v>51</v>
      </c>
      <c r="L84" s="13">
        <v>14.0</v>
      </c>
      <c r="M84" s="13">
        <v>36.0</v>
      </c>
      <c r="N84" s="12" t="s">
        <v>153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3">
        <v>2.0</v>
      </c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3">
        <v>10.0</v>
      </c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3">
        <v>1.0</v>
      </c>
      <c r="FM84" s="12"/>
      <c r="FN84" s="12"/>
      <c r="FO84" s="12"/>
      <c r="FP84" s="12"/>
      <c r="FQ84" s="12"/>
      <c r="FR84" s="12"/>
      <c r="FS84" s="13">
        <v>667.0</v>
      </c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</row>
    <row r="85">
      <c r="A85" s="21">
        <v>42761.0</v>
      </c>
      <c r="B85" s="5" t="s">
        <v>146</v>
      </c>
      <c r="C85" s="16">
        <f t="shared" si="55"/>
        <v>235</v>
      </c>
      <c r="D85" s="31">
        <v>21.066799</v>
      </c>
      <c r="E85" s="31">
        <v>-156.804993</v>
      </c>
      <c r="F85" s="5" t="s">
        <v>147</v>
      </c>
      <c r="G85" s="6">
        <v>0.4166666666666667</v>
      </c>
      <c r="H85" s="6">
        <v>0.4722222222222222</v>
      </c>
      <c r="I85" s="7">
        <v>4.0</v>
      </c>
      <c r="J85" s="7">
        <v>20.0</v>
      </c>
      <c r="K85" s="5" t="s">
        <v>2</v>
      </c>
      <c r="L85" s="7">
        <v>10.0</v>
      </c>
      <c r="M85" s="7">
        <v>20.0</v>
      </c>
      <c r="N85" s="5" t="s">
        <v>154</v>
      </c>
      <c r="O85" s="5" t="s">
        <v>155</v>
      </c>
      <c r="P85" s="7">
        <v>20.0</v>
      </c>
      <c r="Q85" s="5"/>
      <c r="R85" s="7">
        <v>20.0</v>
      </c>
      <c r="S85" s="5"/>
      <c r="T85" s="5"/>
      <c r="U85" s="5"/>
      <c r="V85" s="5"/>
      <c r="W85" s="5"/>
      <c r="X85" s="5"/>
      <c r="Y85" s="5"/>
      <c r="Z85" s="7">
        <v>57.0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7">
        <v>20.0</v>
      </c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7">
        <v>35.0</v>
      </c>
      <c r="DN85" s="5"/>
      <c r="DO85" s="5"/>
      <c r="DP85" s="5"/>
      <c r="DQ85" s="5"/>
      <c r="DR85" s="5"/>
      <c r="DS85" s="7">
        <v>7.0</v>
      </c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7">
        <v>219.0</v>
      </c>
      <c r="FT85" s="5"/>
      <c r="FU85" s="5"/>
      <c r="FV85" s="5"/>
      <c r="FW85" s="5"/>
      <c r="FX85" s="5"/>
      <c r="FY85" s="5"/>
      <c r="FZ85" s="7">
        <v>24.0</v>
      </c>
      <c r="GA85" s="5"/>
      <c r="GB85" s="5"/>
      <c r="GC85" s="5"/>
      <c r="GD85" s="5"/>
      <c r="GE85" s="5"/>
      <c r="GF85" s="5"/>
      <c r="GG85" s="5"/>
      <c r="GH85" s="7">
        <f t="shared" ref="GH85:GH98" si="80">count(R85:GG85)</f>
        <v>7</v>
      </c>
      <c r="GI85" s="7">
        <f t="shared" ref="GI85:GI98" si="81">countif(R85:GG85,"&gt;=2")</f>
        <v>7</v>
      </c>
      <c r="GJ85" s="7">
        <f t="shared" ref="GJ85:GJ98" si="82">countif(R85:GG85,"&gt;=5")</f>
        <v>7</v>
      </c>
      <c r="GK85" s="7">
        <f t="shared" ref="GK85:GK98" si="83">sum(R85:GG85)</f>
        <v>382</v>
      </c>
      <c r="GL85" s="7">
        <f t="shared" ref="GL85:GL98" si="84">25*P85</f>
        <v>500</v>
      </c>
      <c r="GM85" s="7">
        <f t="shared" ref="GM85:GM98" si="85">GL85-GK85</f>
        <v>118</v>
      </c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</row>
    <row r="86">
      <c r="A86" s="21">
        <v>43160.0</v>
      </c>
      <c r="B86" s="5" t="s">
        <v>146</v>
      </c>
      <c r="C86" s="16">
        <f t="shared" si="55"/>
        <v>236</v>
      </c>
      <c r="D86" s="31">
        <v>21.066799</v>
      </c>
      <c r="E86" s="31">
        <v>-156.804993</v>
      </c>
      <c r="F86" s="5" t="s">
        <v>147</v>
      </c>
      <c r="G86" s="6">
        <v>0.3958333333333333</v>
      </c>
      <c r="H86" s="6">
        <v>0.4388888888888889</v>
      </c>
      <c r="I86" s="7">
        <v>4.0</v>
      </c>
      <c r="J86" s="7">
        <v>9.0</v>
      </c>
      <c r="K86" s="5" t="s">
        <v>8</v>
      </c>
      <c r="L86" s="7">
        <v>9.0</v>
      </c>
      <c r="M86" s="7">
        <v>28.0</v>
      </c>
      <c r="N86" s="5" t="s">
        <v>156</v>
      </c>
      <c r="O86" s="5"/>
      <c r="P86" s="7">
        <v>28.0</v>
      </c>
      <c r="Q86" s="5"/>
      <c r="R86" s="5"/>
      <c r="S86" s="5"/>
      <c r="T86" s="5"/>
      <c r="U86" s="5"/>
      <c r="V86" s="5"/>
      <c r="W86" s="5"/>
      <c r="X86" s="5"/>
      <c r="Y86" s="5"/>
      <c r="Z86" s="7">
        <v>7.0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7">
        <v>15.0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7">
        <v>70.0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7">
        <v>1.0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7">
        <v>5.0</v>
      </c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7">
        <v>25.0</v>
      </c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7">
        <v>101.0</v>
      </c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7">
        <v>4.0</v>
      </c>
      <c r="FC86" s="5"/>
      <c r="FD86" s="5"/>
      <c r="FE86" s="5"/>
      <c r="FF86" s="7">
        <v>11.0</v>
      </c>
      <c r="FG86" s="5"/>
      <c r="FH86" s="7">
        <v>1.0</v>
      </c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7">
        <v>6.0</v>
      </c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7">
        <f t="shared" si="80"/>
        <v>11</v>
      </c>
      <c r="GI86" s="7">
        <f t="shared" si="81"/>
        <v>9</v>
      </c>
      <c r="GJ86" s="7">
        <f t="shared" si="82"/>
        <v>8</v>
      </c>
      <c r="GK86" s="7">
        <f t="shared" si="83"/>
        <v>246</v>
      </c>
      <c r="GL86" s="7">
        <f t="shared" si="84"/>
        <v>700</v>
      </c>
      <c r="GM86" s="7">
        <f t="shared" si="85"/>
        <v>454</v>
      </c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</row>
    <row r="87">
      <c r="A87" s="26">
        <v>43531.0</v>
      </c>
      <c r="B87" s="27" t="s">
        <v>146</v>
      </c>
      <c r="C87" s="16">
        <f t="shared" si="55"/>
        <v>237</v>
      </c>
      <c r="D87" s="28">
        <v>21.066799</v>
      </c>
      <c r="E87" s="28">
        <v>-156.804993</v>
      </c>
      <c r="F87" s="27" t="s">
        <v>147</v>
      </c>
      <c r="G87" s="29">
        <v>0.4354166666666667</v>
      </c>
      <c r="H87" s="29">
        <v>0.47430555555555554</v>
      </c>
      <c r="I87" s="28">
        <v>4.0</v>
      </c>
      <c r="J87" s="28">
        <v>24.0</v>
      </c>
      <c r="K87" s="27" t="s">
        <v>6</v>
      </c>
      <c r="L87" s="28">
        <v>9.0</v>
      </c>
      <c r="M87" s="28">
        <v>25.0</v>
      </c>
      <c r="N87" s="27" t="s">
        <v>157</v>
      </c>
      <c r="O87" s="27"/>
      <c r="P87" s="27"/>
      <c r="Q87" s="27"/>
      <c r="R87" s="28">
        <v>5.0</v>
      </c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8">
        <v>49.0</v>
      </c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8">
        <v>209.0</v>
      </c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8">
        <v>8.0</v>
      </c>
      <c r="CI87" s="27"/>
      <c r="CJ87" s="27"/>
      <c r="CK87" s="27"/>
      <c r="CL87" s="27"/>
      <c r="CM87" s="27"/>
      <c r="CN87" s="27"/>
      <c r="CO87" s="28">
        <v>7.0</v>
      </c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8">
        <v>37.0</v>
      </c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8">
        <v>7.0</v>
      </c>
      <c r="EK87" s="28">
        <v>1.0</v>
      </c>
      <c r="EL87" s="27"/>
      <c r="EM87" s="27"/>
      <c r="EN87" s="27"/>
      <c r="EO87" s="27"/>
      <c r="EP87" s="27"/>
      <c r="EQ87" s="28">
        <v>22.0</v>
      </c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8">
        <v>16.0</v>
      </c>
      <c r="FS87" s="28">
        <v>14.0</v>
      </c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8">
        <f t="shared" si="80"/>
        <v>11</v>
      </c>
      <c r="GI87" s="28">
        <f t="shared" si="81"/>
        <v>10</v>
      </c>
      <c r="GJ87" s="28">
        <f t="shared" si="82"/>
        <v>10</v>
      </c>
      <c r="GK87" s="28">
        <f t="shared" si="83"/>
        <v>375</v>
      </c>
      <c r="GL87" s="28">
        <f t="shared" si="84"/>
        <v>0</v>
      </c>
      <c r="GM87" s="28">
        <f t="shared" si="85"/>
        <v>-375</v>
      </c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</row>
    <row r="88">
      <c r="A88" s="26">
        <v>43734.0</v>
      </c>
      <c r="B88" s="27" t="s">
        <v>118</v>
      </c>
      <c r="C88" s="16">
        <f t="shared" si="55"/>
        <v>238</v>
      </c>
      <c r="D88" s="28">
        <v>21.1408</v>
      </c>
      <c r="E88" s="28">
        <v>-157.290115</v>
      </c>
      <c r="F88" s="27" t="s">
        <v>147</v>
      </c>
      <c r="G88" s="29">
        <v>0.375</v>
      </c>
      <c r="H88" s="29">
        <v>0.39166666666666666</v>
      </c>
      <c r="I88" s="28">
        <v>3.0</v>
      </c>
      <c r="J88" s="28">
        <v>14.0</v>
      </c>
      <c r="K88" s="27" t="s">
        <v>8</v>
      </c>
      <c r="L88" s="28">
        <v>14.0</v>
      </c>
      <c r="M88" s="28">
        <v>15.0</v>
      </c>
      <c r="N88" s="27" t="s">
        <v>158</v>
      </c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8">
        <v>3.0</v>
      </c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8">
        <v>1.0</v>
      </c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8">
        <v>186.0</v>
      </c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8">
        <v>1.0</v>
      </c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8">
        <v>4.0</v>
      </c>
      <c r="GD88" s="27"/>
      <c r="GE88" s="27"/>
      <c r="GF88" s="27"/>
      <c r="GG88" s="27"/>
      <c r="GH88" s="28">
        <f t="shared" si="80"/>
        <v>5</v>
      </c>
      <c r="GI88" s="28">
        <f t="shared" si="81"/>
        <v>3</v>
      </c>
      <c r="GJ88" s="28">
        <f t="shared" si="82"/>
        <v>1</v>
      </c>
      <c r="GK88" s="28">
        <f t="shared" si="83"/>
        <v>195</v>
      </c>
      <c r="GL88" s="28">
        <f t="shared" si="84"/>
        <v>0</v>
      </c>
      <c r="GM88" s="28">
        <f t="shared" si="85"/>
        <v>-195</v>
      </c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</row>
    <row r="89">
      <c r="A89" s="26">
        <v>43735.0</v>
      </c>
      <c r="B89" s="27" t="s">
        <v>118</v>
      </c>
      <c r="C89" s="16">
        <f t="shared" si="55"/>
        <v>239</v>
      </c>
      <c r="D89" s="28">
        <v>21.1408</v>
      </c>
      <c r="E89" s="28">
        <v>-157.290115</v>
      </c>
      <c r="F89" s="27" t="s">
        <v>147</v>
      </c>
      <c r="G89" s="29">
        <v>0.3729166666666667</v>
      </c>
      <c r="H89" s="29">
        <v>0.38958333333333334</v>
      </c>
      <c r="I89" s="28">
        <v>6.0</v>
      </c>
      <c r="J89" s="28">
        <v>13.0</v>
      </c>
      <c r="K89" s="27" t="s">
        <v>8</v>
      </c>
      <c r="L89" s="28">
        <v>13.0</v>
      </c>
      <c r="M89" s="28">
        <v>42.0</v>
      </c>
      <c r="N89" s="27" t="s">
        <v>159</v>
      </c>
      <c r="O89" s="27"/>
      <c r="P89" s="27"/>
      <c r="Q89" s="27"/>
      <c r="R89" s="27"/>
      <c r="S89" s="28">
        <v>3.0</v>
      </c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8">
        <v>4.0</v>
      </c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8">
        <v>27.0</v>
      </c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8">
        <v>1.0</v>
      </c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8">
        <v>1.0</v>
      </c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8">
        <v>49.0</v>
      </c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8">
        <v>8.0</v>
      </c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8">
        <v>318.0</v>
      </c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8">
        <v>6.0</v>
      </c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8">
        <v>53.0</v>
      </c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8">
        <f t="shared" si="80"/>
        <v>10</v>
      </c>
      <c r="GI89" s="28">
        <f t="shared" si="81"/>
        <v>8</v>
      </c>
      <c r="GJ89" s="28">
        <f t="shared" si="82"/>
        <v>6</v>
      </c>
      <c r="GK89" s="28">
        <f t="shared" si="83"/>
        <v>470</v>
      </c>
      <c r="GL89" s="28">
        <f t="shared" si="84"/>
        <v>0</v>
      </c>
      <c r="GM89" s="28">
        <f t="shared" si="85"/>
        <v>-470</v>
      </c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</row>
    <row r="90">
      <c r="A90" s="33">
        <v>43885.0</v>
      </c>
      <c r="B90" s="5" t="s">
        <v>146</v>
      </c>
      <c r="C90" s="16">
        <f t="shared" si="55"/>
        <v>240</v>
      </c>
      <c r="D90" s="34">
        <v>21.066799</v>
      </c>
      <c r="E90" s="7">
        <v>-156.804993</v>
      </c>
      <c r="F90" s="5" t="s">
        <v>147</v>
      </c>
      <c r="G90" s="35">
        <v>0.475694444444444</v>
      </c>
      <c r="H90" s="35">
        <v>0.5104166666666666</v>
      </c>
      <c r="I90" s="7">
        <v>5.0</v>
      </c>
      <c r="J90" s="7">
        <v>25.0</v>
      </c>
      <c r="K90" s="5" t="s">
        <v>8</v>
      </c>
      <c r="L90" s="7">
        <v>7.0</v>
      </c>
      <c r="M90" s="7">
        <v>28.0</v>
      </c>
      <c r="N90" s="5" t="s">
        <v>160</v>
      </c>
      <c r="O90" s="5"/>
      <c r="P90" s="7">
        <v>28.0</v>
      </c>
      <c r="Q90" s="5"/>
      <c r="R90" s="7">
        <v>10.0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7">
        <v>2.0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7">
        <v>63.0</v>
      </c>
      <c r="BN90" s="5"/>
      <c r="BO90" s="5"/>
      <c r="BP90" s="5"/>
      <c r="BQ90" s="5"/>
      <c r="BR90" s="5"/>
      <c r="BS90" s="5"/>
      <c r="BT90" s="5"/>
      <c r="BU90" s="5"/>
      <c r="BV90" s="7">
        <v>1.0</v>
      </c>
      <c r="BW90" s="5"/>
      <c r="BX90" s="5"/>
      <c r="BY90" s="5"/>
      <c r="BZ90" s="7">
        <v>6.0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7">
        <v>1.0</v>
      </c>
      <c r="DH90" s="5"/>
      <c r="DI90" s="5"/>
      <c r="DJ90" s="5"/>
      <c r="DK90" s="5"/>
      <c r="DL90" s="5"/>
      <c r="DM90" s="7">
        <v>15.0</v>
      </c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7">
        <v>18.0</v>
      </c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7">
        <v>4.0</v>
      </c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7">
        <v>178.0</v>
      </c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7">
        <v>2.0</v>
      </c>
      <c r="GH90" s="7">
        <f t="shared" si="80"/>
        <v>11</v>
      </c>
      <c r="GI90" s="7">
        <f t="shared" si="81"/>
        <v>9</v>
      </c>
      <c r="GJ90" s="7">
        <f t="shared" si="82"/>
        <v>6</v>
      </c>
      <c r="GK90" s="7">
        <f t="shared" si="83"/>
        <v>300</v>
      </c>
      <c r="GL90" s="7">
        <f t="shared" si="84"/>
        <v>700</v>
      </c>
      <c r="GM90" s="7">
        <f t="shared" si="85"/>
        <v>400</v>
      </c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</row>
    <row r="91">
      <c r="A91" s="21">
        <v>42439.0</v>
      </c>
      <c r="B91" s="5" t="s">
        <v>28</v>
      </c>
      <c r="C91" s="16">
        <f t="shared" si="55"/>
        <v>241</v>
      </c>
      <c r="D91" s="7">
        <v>22.060684</v>
      </c>
      <c r="E91" s="7">
        <v>-159.318512</v>
      </c>
      <c r="F91" s="5" t="s">
        <v>161</v>
      </c>
      <c r="G91" s="6">
        <v>0.375</v>
      </c>
      <c r="H91" s="6">
        <v>0.5416666666666666</v>
      </c>
      <c r="I91" s="7">
        <v>4.0</v>
      </c>
      <c r="J91" s="7">
        <v>11.0</v>
      </c>
      <c r="K91" s="5" t="s">
        <v>8</v>
      </c>
      <c r="L91" s="7">
        <v>10.0</v>
      </c>
      <c r="M91" s="7">
        <v>23.0</v>
      </c>
      <c r="N91" s="5" t="s">
        <v>162</v>
      </c>
      <c r="O91" s="5"/>
      <c r="P91" s="7">
        <v>23.0</v>
      </c>
      <c r="Q91" s="5"/>
      <c r="R91" s="7">
        <v>2.0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7">
        <v>3.0</v>
      </c>
      <c r="AD91" s="5"/>
      <c r="AE91" s="5"/>
      <c r="AF91" s="5"/>
      <c r="AG91" s="5"/>
      <c r="AH91" s="5"/>
      <c r="AI91" s="5"/>
      <c r="AJ91" s="5"/>
      <c r="AK91" s="5"/>
      <c r="AL91" s="7">
        <v>3.0</v>
      </c>
      <c r="AM91" s="7">
        <v>8.0</v>
      </c>
      <c r="AN91" s="7">
        <v>25.0</v>
      </c>
      <c r="AO91" s="5"/>
      <c r="AP91" s="5"/>
      <c r="AQ91" s="5"/>
      <c r="AR91" s="5"/>
      <c r="AS91" s="5"/>
      <c r="AT91" s="5"/>
      <c r="AU91" s="7">
        <v>1.0</v>
      </c>
      <c r="AV91" s="5"/>
      <c r="AW91" s="5"/>
      <c r="AX91" s="5"/>
      <c r="AY91" s="5"/>
      <c r="AZ91" s="5"/>
      <c r="BA91" s="5"/>
      <c r="BB91" s="5"/>
      <c r="BC91" s="5"/>
      <c r="BD91" s="5"/>
      <c r="BE91" s="7">
        <v>3.0</v>
      </c>
      <c r="BF91" s="5"/>
      <c r="BG91" s="5"/>
      <c r="BH91" s="7">
        <v>4.0</v>
      </c>
      <c r="BI91" s="5"/>
      <c r="BJ91" s="5"/>
      <c r="BK91" s="7">
        <v>1.0</v>
      </c>
      <c r="BL91" s="5"/>
      <c r="BM91" s="7">
        <v>3.0</v>
      </c>
      <c r="BN91" s="5"/>
      <c r="BO91" s="5"/>
      <c r="BP91" s="5"/>
      <c r="BQ91" s="5"/>
      <c r="BR91" s="5"/>
      <c r="BS91" s="5"/>
      <c r="BT91" s="5"/>
      <c r="BU91" s="5"/>
      <c r="BV91" s="7">
        <v>17.0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7">
        <v>2.0</v>
      </c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7">
        <v>12.0</v>
      </c>
      <c r="DH91" s="5"/>
      <c r="DI91" s="5"/>
      <c r="DJ91" s="5"/>
      <c r="DK91" s="5"/>
      <c r="DL91" s="5"/>
      <c r="DM91" s="7">
        <v>93.0</v>
      </c>
      <c r="DN91" s="5"/>
      <c r="DO91" s="5"/>
      <c r="DP91" s="5"/>
      <c r="DQ91" s="5"/>
      <c r="DR91" s="5"/>
      <c r="DS91" s="5"/>
      <c r="DT91" s="5"/>
      <c r="DU91" s="5"/>
      <c r="DV91" s="7">
        <v>1.0</v>
      </c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7">
        <v>46.0</v>
      </c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7">
        <v>1.0</v>
      </c>
      <c r="EY91" s="5"/>
      <c r="EZ91" s="5"/>
      <c r="FA91" s="5"/>
      <c r="FB91" s="7">
        <v>3.0</v>
      </c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7">
        <v>1.0</v>
      </c>
      <c r="FQ91" s="5"/>
      <c r="FR91" s="7">
        <v>21.0</v>
      </c>
      <c r="FS91" s="7">
        <v>114.0</v>
      </c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7">
        <f t="shared" si="80"/>
        <v>21</v>
      </c>
      <c r="GI91" s="7">
        <f t="shared" si="81"/>
        <v>16</v>
      </c>
      <c r="GJ91" s="7">
        <f t="shared" si="82"/>
        <v>8</v>
      </c>
      <c r="GK91" s="7">
        <f t="shared" si="83"/>
        <v>364</v>
      </c>
      <c r="GL91" s="7">
        <f t="shared" si="84"/>
        <v>575</v>
      </c>
      <c r="GM91" s="7">
        <f t="shared" si="85"/>
        <v>211</v>
      </c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</row>
    <row r="92">
      <c r="A92" s="21">
        <v>42440.0</v>
      </c>
      <c r="B92" s="5" t="s">
        <v>43</v>
      </c>
      <c r="C92" s="16">
        <f t="shared" si="55"/>
        <v>242</v>
      </c>
      <c r="D92" s="7">
        <v>21.2882</v>
      </c>
      <c r="E92" s="7">
        <v>-157.667999</v>
      </c>
      <c r="F92" s="5" t="s">
        <v>161</v>
      </c>
      <c r="G92" s="6">
        <v>0.4270833333333333</v>
      </c>
      <c r="H92" s="6">
        <v>0.4791666666666667</v>
      </c>
      <c r="I92" s="7">
        <v>5.0</v>
      </c>
      <c r="J92" s="7">
        <v>13.0</v>
      </c>
      <c r="K92" s="5" t="s">
        <v>8</v>
      </c>
      <c r="L92" s="7">
        <v>5.0</v>
      </c>
      <c r="M92" s="7">
        <v>18.0</v>
      </c>
      <c r="N92" s="5" t="s">
        <v>163</v>
      </c>
      <c r="O92" s="5"/>
      <c r="P92" s="7">
        <v>18.0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7">
        <v>18.0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7">
        <v>18.0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7">
        <v>32.0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7">
        <v>3.0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7">
        <v>15.0</v>
      </c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7">
        <v>4.0</v>
      </c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7">
        <v>1.0</v>
      </c>
      <c r="FS92" s="7">
        <v>132.0</v>
      </c>
      <c r="FT92" s="5"/>
      <c r="FU92" s="5"/>
      <c r="FV92" s="5"/>
      <c r="FW92" s="7">
        <v>33.0</v>
      </c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7">
        <f t="shared" si="80"/>
        <v>9</v>
      </c>
      <c r="GI92" s="7">
        <f t="shared" si="81"/>
        <v>8</v>
      </c>
      <c r="GJ92" s="7">
        <f t="shared" si="82"/>
        <v>6</v>
      </c>
      <c r="GK92" s="7">
        <f t="shared" si="83"/>
        <v>256</v>
      </c>
      <c r="GL92" s="7">
        <f t="shared" si="84"/>
        <v>450</v>
      </c>
      <c r="GM92" s="7">
        <f t="shared" si="85"/>
        <v>194</v>
      </c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</row>
    <row r="93">
      <c r="A93" s="21">
        <v>42465.0</v>
      </c>
      <c r="B93" s="5" t="s">
        <v>37</v>
      </c>
      <c r="C93" s="16">
        <f t="shared" si="55"/>
        <v>243</v>
      </c>
      <c r="D93" s="7">
        <v>21.310612</v>
      </c>
      <c r="E93" s="7">
        <v>-158.00441</v>
      </c>
      <c r="F93" s="5" t="s">
        <v>161</v>
      </c>
      <c r="G93" s="6">
        <v>0.3541666666666667</v>
      </c>
      <c r="H93" s="6">
        <v>0.41875</v>
      </c>
      <c r="I93" s="7">
        <v>7.0</v>
      </c>
      <c r="J93" s="7">
        <v>20.0</v>
      </c>
      <c r="K93" s="5" t="s">
        <v>8</v>
      </c>
      <c r="L93" s="7">
        <v>10.0</v>
      </c>
      <c r="M93" s="7">
        <v>51.0</v>
      </c>
      <c r="N93" s="5" t="s">
        <v>164</v>
      </c>
      <c r="O93" s="5"/>
      <c r="P93" s="7">
        <v>51.0</v>
      </c>
      <c r="Q93" s="5"/>
      <c r="R93" s="7">
        <v>331.0</v>
      </c>
      <c r="S93" s="5"/>
      <c r="T93" s="7">
        <v>2.0</v>
      </c>
      <c r="U93" s="5"/>
      <c r="V93" s="5"/>
      <c r="W93" s="7">
        <v>1.0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7">
        <v>3.0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7">
        <v>101.0</v>
      </c>
      <c r="BF93" s="5"/>
      <c r="BG93" s="5"/>
      <c r="BH93" s="5"/>
      <c r="BI93" s="5"/>
      <c r="BJ93" s="5"/>
      <c r="BK93" s="5"/>
      <c r="BL93" s="5"/>
      <c r="BM93" s="7">
        <v>54.0</v>
      </c>
      <c r="BN93" s="5"/>
      <c r="BO93" s="5"/>
      <c r="BP93" s="5"/>
      <c r="BQ93" s="5"/>
      <c r="BR93" s="5"/>
      <c r="BS93" s="5"/>
      <c r="BT93" s="5"/>
      <c r="BU93" s="5"/>
      <c r="BV93" s="7">
        <v>22.0</v>
      </c>
      <c r="BW93" s="5"/>
      <c r="BX93" s="5"/>
      <c r="BY93" s="5"/>
      <c r="BZ93" s="7">
        <v>10.0</v>
      </c>
      <c r="CA93" s="5"/>
      <c r="CB93" s="5"/>
      <c r="CC93" s="7">
        <v>1.0</v>
      </c>
      <c r="CD93" s="5"/>
      <c r="CE93" s="5"/>
      <c r="CF93" s="5"/>
      <c r="CG93" s="5"/>
      <c r="CH93" s="7">
        <v>1.0</v>
      </c>
      <c r="CI93" s="5"/>
      <c r="CJ93" s="5"/>
      <c r="CK93" s="5"/>
      <c r="CL93" s="5"/>
      <c r="CM93" s="5"/>
      <c r="CN93" s="5"/>
      <c r="CO93" s="7">
        <v>16.0</v>
      </c>
      <c r="CP93" s="5"/>
      <c r="CQ93" s="5"/>
      <c r="CR93" s="5"/>
      <c r="CS93" s="7">
        <v>1.0</v>
      </c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7">
        <v>3.0</v>
      </c>
      <c r="DH93" s="5"/>
      <c r="DI93" s="5"/>
      <c r="DJ93" s="5"/>
      <c r="DK93" s="5"/>
      <c r="DL93" s="5"/>
      <c r="DM93" s="7">
        <v>66.0</v>
      </c>
      <c r="DN93" s="5"/>
      <c r="DO93" s="7">
        <v>1.0</v>
      </c>
      <c r="DP93" s="5"/>
      <c r="DQ93" s="5"/>
      <c r="DR93" s="5"/>
      <c r="DS93" s="7">
        <v>7.0</v>
      </c>
      <c r="DT93" s="5"/>
      <c r="DU93" s="5"/>
      <c r="DV93" s="5"/>
      <c r="DW93" s="5"/>
      <c r="DX93" s="5"/>
      <c r="DY93" s="5"/>
      <c r="DZ93" s="5"/>
      <c r="EA93" s="5"/>
      <c r="EB93" s="5"/>
      <c r="EC93" s="7">
        <v>5.0</v>
      </c>
      <c r="ED93" s="5"/>
      <c r="EE93" s="5"/>
      <c r="EF93" s="5"/>
      <c r="EG93" s="5"/>
      <c r="EH93" s="5"/>
      <c r="EI93" s="5"/>
      <c r="EJ93" s="7">
        <v>133.0</v>
      </c>
      <c r="EK93" s="7">
        <v>1.0</v>
      </c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7">
        <v>16.0</v>
      </c>
      <c r="FC93" s="5"/>
      <c r="FD93" s="5"/>
      <c r="FE93" s="5"/>
      <c r="FF93" s="5"/>
      <c r="FG93" s="5"/>
      <c r="FH93" s="7">
        <v>4.0</v>
      </c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7">
        <v>160.0</v>
      </c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7">
        <f t="shared" si="80"/>
        <v>22</v>
      </c>
      <c r="GI93" s="7">
        <f t="shared" si="81"/>
        <v>16</v>
      </c>
      <c r="GJ93" s="7">
        <f t="shared" si="82"/>
        <v>12</v>
      </c>
      <c r="GK93" s="7">
        <f t="shared" si="83"/>
        <v>939</v>
      </c>
      <c r="GL93" s="7">
        <f t="shared" si="84"/>
        <v>1275</v>
      </c>
      <c r="GM93" s="7">
        <f t="shared" si="85"/>
        <v>336</v>
      </c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</row>
    <row r="94">
      <c r="A94" s="26">
        <v>42465.0</v>
      </c>
      <c r="B94" s="27" t="s">
        <v>165</v>
      </c>
      <c r="C94" s="16">
        <f t="shared" si="55"/>
        <v>244</v>
      </c>
      <c r="D94" s="28">
        <v>19.638599</v>
      </c>
      <c r="E94" s="28">
        <v>-156.002502</v>
      </c>
      <c r="F94" s="27" t="s">
        <v>161</v>
      </c>
      <c r="G94" s="29">
        <v>0.4305555555555556</v>
      </c>
      <c r="H94" s="29">
        <v>0.4791666666666667</v>
      </c>
      <c r="I94" s="28">
        <v>8.0</v>
      </c>
      <c r="J94" s="28">
        <v>26.0</v>
      </c>
      <c r="K94" s="27" t="s">
        <v>2</v>
      </c>
      <c r="L94" s="28">
        <v>12.0</v>
      </c>
      <c r="M94" s="28">
        <v>81.0</v>
      </c>
      <c r="N94" s="32" t="s">
        <v>166</v>
      </c>
      <c r="O94" s="27"/>
      <c r="P94" s="27"/>
      <c r="Q94" s="27"/>
      <c r="R94" s="28">
        <v>17.0</v>
      </c>
      <c r="S94" s="28">
        <v>2.0</v>
      </c>
      <c r="T94" s="27"/>
      <c r="U94" s="27"/>
      <c r="V94" s="27"/>
      <c r="W94" s="27"/>
      <c r="X94" s="27"/>
      <c r="Y94" s="27"/>
      <c r="Z94" s="27"/>
      <c r="AA94" s="27"/>
      <c r="AB94" s="27"/>
      <c r="AC94" s="28">
        <v>36.0</v>
      </c>
      <c r="AD94" s="27"/>
      <c r="AE94" s="27"/>
      <c r="AF94" s="27"/>
      <c r="AG94" s="27"/>
      <c r="AH94" s="27"/>
      <c r="AI94" s="27"/>
      <c r="AJ94" s="27"/>
      <c r="AK94" s="27"/>
      <c r="AL94" s="28">
        <v>2.0</v>
      </c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8">
        <v>1.0</v>
      </c>
      <c r="BF94" s="27"/>
      <c r="BG94" s="27"/>
      <c r="BH94" s="27"/>
      <c r="BI94" s="27"/>
      <c r="BJ94" s="27"/>
      <c r="BK94" s="28">
        <v>31.0</v>
      </c>
      <c r="BL94" s="27"/>
      <c r="BM94" s="28">
        <v>51.0</v>
      </c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8">
        <v>25.0</v>
      </c>
      <c r="CD94" s="28">
        <v>10.0</v>
      </c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8">
        <v>1.0</v>
      </c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8">
        <v>4.0</v>
      </c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8">
        <v>3.0</v>
      </c>
      <c r="FG94" s="27"/>
      <c r="FH94" s="27"/>
      <c r="FI94" s="27"/>
      <c r="FJ94" s="27"/>
      <c r="FK94" s="27"/>
      <c r="FL94" s="27"/>
      <c r="FM94" s="27"/>
      <c r="FN94" s="27"/>
      <c r="FO94" s="27"/>
      <c r="FP94" s="28">
        <v>5.0</v>
      </c>
      <c r="FQ94" s="28">
        <v>19.0</v>
      </c>
      <c r="FR94" s="28">
        <v>3.0</v>
      </c>
      <c r="FS94" s="28">
        <v>840.0</v>
      </c>
      <c r="FT94" s="28">
        <v>3.0</v>
      </c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8">
        <f t="shared" si="80"/>
        <v>17</v>
      </c>
      <c r="GI94" s="28">
        <f t="shared" si="81"/>
        <v>15</v>
      </c>
      <c r="GJ94" s="28">
        <f t="shared" si="82"/>
        <v>9</v>
      </c>
      <c r="GK94" s="28">
        <f t="shared" si="83"/>
        <v>1053</v>
      </c>
      <c r="GL94" s="28">
        <f t="shared" si="84"/>
        <v>0</v>
      </c>
      <c r="GM94" s="28">
        <f t="shared" si="85"/>
        <v>-1053</v>
      </c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</row>
    <row r="95">
      <c r="A95" s="21">
        <v>42467.0</v>
      </c>
      <c r="B95" s="5" t="s">
        <v>21</v>
      </c>
      <c r="C95" s="16">
        <f t="shared" si="55"/>
        <v>245</v>
      </c>
      <c r="D95" s="7">
        <v>21.25544</v>
      </c>
      <c r="E95" s="7">
        <v>-157.810303</v>
      </c>
      <c r="F95" s="5" t="s">
        <v>161</v>
      </c>
      <c r="G95" s="6">
        <v>0.3819444444444444</v>
      </c>
      <c r="H95" s="6">
        <v>0.46875</v>
      </c>
      <c r="I95" s="7">
        <v>7.0</v>
      </c>
      <c r="J95" s="7">
        <v>10.0</v>
      </c>
      <c r="K95" s="5" t="s">
        <v>2</v>
      </c>
      <c r="L95" s="7">
        <v>6.0</v>
      </c>
      <c r="M95" s="7">
        <v>41.0</v>
      </c>
      <c r="N95" s="5" t="s">
        <v>167</v>
      </c>
      <c r="O95" s="5"/>
      <c r="P95" s="7">
        <v>41.0</v>
      </c>
      <c r="Q95" s="5"/>
      <c r="R95" s="7">
        <v>6.0</v>
      </c>
      <c r="S95" s="5"/>
      <c r="T95" s="5"/>
      <c r="U95" s="5"/>
      <c r="V95" s="5"/>
      <c r="W95" s="5"/>
      <c r="X95" s="5"/>
      <c r="Y95" s="5"/>
      <c r="Z95" s="5"/>
      <c r="AA95" s="5"/>
      <c r="AB95" s="7">
        <v>2.0</v>
      </c>
      <c r="AC95" s="7">
        <v>1.0</v>
      </c>
      <c r="AD95" s="5"/>
      <c r="AE95" s="5"/>
      <c r="AF95" s="5"/>
      <c r="AG95" s="5"/>
      <c r="AH95" s="5"/>
      <c r="AI95" s="5"/>
      <c r="AJ95" s="5"/>
      <c r="AK95" s="5"/>
      <c r="AL95" s="5"/>
      <c r="AM95" s="7">
        <v>21.0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7">
        <v>5.0</v>
      </c>
      <c r="BC95" s="5"/>
      <c r="BD95" s="7">
        <v>1.0</v>
      </c>
      <c r="BE95" s="7">
        <v>2.0</v>
      </c>
      <c r="BF95" s="5"/>
      <c r="BG95" s="5"/>
      <c r="BH95" s="5"/>
      <c r="BI95" s="5"/>
      <c r="BJ95" s="5"/>
      <c r="BK95" s="5"/>
      <c r="BL95" s="5"/>
      <c r="BM95" s="7">
        <v>44.0</v>
      </c>
      <c r="BN95" s="7">
        <v>1.0</v>
      </c>
      <c r="BO95" s="5"/>
      <c r="BP95" s="5"/>
      <c r="BQ95" s="7">
        <v>46.0</v>
      </c>
      <c r="BR95" s="5"/>
      <c r="BS95" s="5"/>
      <c r="BT95" s="5"/>
      <c r="BU95" s="5"/>
      <c r="BV95" s="7">
        <v>2.0</v>
      </c>
      <c r="BW95" s="7">
        <v>4.0</v>
      </c>
      <c r="BX95" s="5"/>
      <c r="BY95" s="5"/>
      <c r="BZ95" s="7">
        <v>48.0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7">
        <v>1.0</v>
      </c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7">
        <v>102.0</v>
      </c>
      <c r="DM95" s="5"/>
      <c r="DN95" s="5"/>
      <c r="DO95" s="7">
        <v>1.0</v>
      </c>
      <c r="DP95" s="5"/>
      <c r="DQ95" s="5"/>
      <c r="DR95" s="5"/>
      <c r="DS95" s="7">
        <v>12.0</v>
      </c>
      <c r="DT95" s="5"/>
      <c r="DU95" s="5"/>
      <c r="DV95" s="7">
        <v>5.0</v>
      </c>
      <c r="DW95" s="5"/>
      <c r="DX95" s="5"/>
      <c r="DY95" s="5"/>
      <c r="DZ95" s="7">
        <v>1.0</v>
      </c>
      <c r="EA95" s="5"/>
      <c r="EB95" s="5"/>
      <c r="EC95" s="7">
        <v>2.0</v>
      </c>
      <c r="ED95" s="5"/>
      <c r="EE95" s="5"/>
      <c r="EF95" s="5"/>
      <c r="EG95" s="5"/>
      <c r="EH95" s="5"/>
      <c r="EI95" s="5"/>
      <c r="EJ95" s="7">
        <v>259.0</v>
      </c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7">
        <v>4.0</v>
      </c>
      <c r="FA95" s="5"/>
      <c r="FB95" s="7">
        <v>6.0</v>
      </c>
      <c r="FC95" s="7">
        <v>2.0</v>
      </c>
      <c r="FD95" s="5"/>
      <c r="FE95" s="5"/>
      <c r="FF95" s="7">
        <v>11.0</v>
      </c>
      <c r="FG95" s="5"/>
      <c r="FH95" s="5"/>
      <c r="FI95" s="7">
        <v>11.0</v>
      </c>
      <c r="FJ95" s="5"/>
      <c r="FK95" s="5"/>
      <c r="FL95" s="5"/>
      <c r="FM95" s="5"/>
      <c r="FN95" s="5"/>
      <c r="FO95" s="5"/>
      <c r="FP95" s="5"/>
      <c r="FQ95" s="5"/>
      <c r="FR95" s="7">
        <v>24.0</v>
      </c>
      <c r="FS95" s="7">
        <v>129.0</v>
      </c>
      <c r="FT95" s="5"/>
      <c r="FU95" s="5"/>
      <c r="FV95" s="5"/>
      <c r="FW95" s="5"/>
      <c r="FX95" s="5"/>
      <c r="FY95" s="7">
        <v>3.0</v>
      </c>
      <c r="FZ95" s="5"/>
      <c r="GA95" s="5"/>
      <c r="GB95" s="5"/>
      <c r="GC95" s="5"/>
      <c r="GD95" s="5"/>
      <c r="GE95" s="5"/>
      <c r="GF95" s="7">
        <v>4.0</v>
      </c>
      <c r="GG95" s="5"/>
      <c r="GH95" s="7">
        <f t="shared" si="80"/>
        <v>30</v>
      </c>
      <c r="GI95" s="7">
        <f t="shared" si="81"/>
        <v>24</v>
      </c>
      <c r="GJ95" s="7">
        <f t="shared" si="82"/>
        <v>15</v>
      </c>
      <c r="GK95" s="7">
        <f t="shared" si="83"/>
        <v>760</v>
      </c>
      <c r="GL95" s="7">
        <f t="shared" si="84"/>
        <v>1025</v>
      </c>
      <c r="GM95" s="7">
        <f t="shared" si="85"/>
        <v>265</v>
      </c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</row>
    <row r="96">
      <c r="A96" s="21">
        <v>42468.0</v>
      </c>
      <c r="B96" s="5" t="s">
        <v>168</v>
      </c>
      <c r="C96" s="16">
        <f t="shared" si="55"/>
        <v>246</v>
      </c>
      <c r="D96" s="7">
        <v>19.734331</v>
      </c>
      <c r="E96" s="7">
        <v>-155.014832</v>
      </c>
      <c r="F96" s="5" t="s">
        <v>161</v>
      </c>
      <c r="G96" s="6">
        <v>0.3819444444444444</v>
      </c>
      <c r="H96" s="6">
        <v>0.4583333333333333</v>
      </c>
      <c r="I96" s="7">
        <v>6.0</v>
      </c>
      <c r="J96" s="7">
        <v>17.0</v>
      </c>
      <c r="K96" s="5" t="s">
        <v>8</v>
      </c>
      <c r="L96" s="7">
        <v>5.0</v>
      </c>
      <c r="M96" s="7">
        <v>19.0</v>
      </c>
      <c r="N96" s="5" t="s">
        <v>169</v>
      </c>
      <c r="O96" s="5"/>
      <c r="P96" s="7">
        <v>19.0</v>
      </c>
      <c r="Q96" s="5"/>
      <c r="R96" s="7">
        <v>1.0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7">
        <v>1.0</v>
      </c>
      <c r="AD96" s="5"/>
      <c r="AE96" s="5"/>
      <c r="AF96" s="5"/>
      <c r="AG96" s="7">
        <v>4.0</v>
      </c>
      <c r="AH96" s="5"/>
      <c r="AI96" s="5"/>
      <c r="AJ96" s="5"/>
      <c r="AK96" s="5"/>
      <c r="AL96" s="5"/>
      <c r="AM96" s="7">
        <v>20.0</v>
      </c>
      <c r="AN96" s="7">
        <v>28.0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7">
        <v>83.0</v>
      </c>
      <c r="BC96" s="5"/>
      <c r="BD96" s="5"/>
      <c r="BE96" s="5"/>
      <c r="BF96" s="5"/>
      <c r="BG96" s="5"/>
      <c r="BH96" s="5"/>
      <c r="BI96" s="5"/>
      <c r="BJ96" s="5"/>
      <c r="BK96" s="7">
        <v>13.0</v>
      </c>
      <c r="BL96" s="5"/>
      <c r="BM96" s="7">
        <v>123.0</v>
      </c>
      <c r="BN96" s="7">
        <v>1.0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7">
        <v>1.0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7">
        <v>14.0</v>
      </c>
      <c r="CP96" s="5"/>
      <c r="CQ96" s="7">
        <v>10.0</v>
      </c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7">
        <v>2.0</v>
      </c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7">
        <v>2.0</v>
      </c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7">
        <v>2.0</v>
      </c>
      <c r="FC96" s="5"/>
      <c r="FD96" s="5"/>
      <c r="FE96" s="5"/>
      <c r="FF96" s="5"/>
      <c r="FG96" s="5"/>
      <c r="FH96" s="7">
        <v>11.0</v>
      </c>
      <c r="FI96" s="5"/>
      <c r="FJ96" s="5"/>
      <c r="FK96" s="5"/>
      <c r="FL96" s="5"/>
      <c r="FM96" s="5"/>
      <c r="FN96" s="5"/>
      <c r="FO96" s="5"/>
      <c r="FP96" s="5"/>
      <c r="FQ96" s="7">
        <v>2.0</v>
      </c>
      <c r="FR96" s="7">
        <v>1.0</v>
      </c>
      <c r="FS96" s="7">
        <v>65.0</v>
      </c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7">
        <f t="shared" si="80"/>
        <v>19</v>
      </c>
      <c r="GI96" s="7">
        <f t="shared" si="81"/>
        <v>14</v>
      </c>
      <c r="GJ96" s="7">
        <f t="shared" si="82"/>
        <v>9</v>
      </c>
      <c r="GK96" s="7">
        <f t="shared" si="83"/>
        <v>384</v>
      </c>
      <c r="GL96" s="7">
        <f t="shared" si="84"/>
        <v>475</v>
      </c>
      <c r="GM96" s="7">
        <f t="shared" si="85"/>
        <v>91</v>
      </c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</row>
    <row r="97">
      <c r="A97" s="21">
        <v>42475.0</v>
      </c>
      <c r="B97" s="5" t="s">
        <v>170</v>
      </c>
      <c r="C97" s="16">
        <f t="shared" si="55"/>
        <v>247</v>
      </c>
      <c r="D97" s="7">
        <v>20.99424</v>
      </c>
      <c r="E97" s="7">
        <v>-156.668259</v>
      </c>
      <c r="F97" s="5" t="s">
        <v>161</v>
      </c>
      <c r="G97" s="6">
        <v>0.3333333333333333</v>
      </c>
      <c r="H97" s="6">
        <v>0.4166666666666667</v>
      </c>
      <c r="I97" s="7">
        <v>4.0</v>
      </c>
      <c r="J97" s="7">
        <v>22.0</v>
      </c>
      <c r="K97" s="5" t="s">
        <v>2</v>
      </c>
      <c r="L97" s="7">
        <v>12.0</v>
      </c>
      <c r="M97" s="7">
        <v>35.0</v>
      </c>
      <c r="N97" s="5" t="s">
        <v>171</v>
      </c>
      <c r="O97" s="5"/>
      <c r="P97" s="7">
        <v>35.0</v>
      </c>
      <c r="Q97" s="5"/>
      <c r="R97" s="7">
        <v>24.0</v>
      </c>
      <c r="S97" s="5"/>
      <c r="T97" s="7">
        <v>9.0</v>
      </c>
      <c r="U97" s="5"/>
      <c r="V97" s="5"/>
      <c r="W97" s="5"/>
      <c r="X97" s="5"/>
      <c r="Y97" s="5"/>
      <c r="Z97" s="5"/>
      <c r="AA97" s="5"/>
      <c r="AB97" s="7">
        <v>77.0</v>
      </c>
      <c r="AC97" s="5"/>
      <c r="AD97" s="7">
        <v>6.0</v>
      </c>
      <c r="AE97" s="5"/>
      <c r="AF97" s="7">
        <v>2.0</v>
      </c>
      <c r="AG97" s="5"/>
      <c r="AH97" s="5"/>
      <c r="AI97" s="5"/>
      <c r="AJ97" s="5"/>
      <c r="AK97" s="5"/>
      <c r="AL97" s="5"/>
      <c r="AM97" s="7">
        <v>35.0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7">
        <v>4.0</v>
      </c>
      <c r="AY97" s="5"/>
      <c r="AZ97" s="7">
        <v>2.0</v>
      </c>
      <c r="BA97" s="5"/>
      <c r="BB97" s="7">
        <v>3.0</v>
      </c>
      <c r="BC97" s="5"/>
      <c r="BD97" s="5"/>
      <c r="BE97" s="5"/>
      <c r="BF97" s="5"/>
      <c r="BG97" s="7">
        <v>1.0</v>
      </c>
      <c r="BH97" s="5"/>
      <c r="BI97" s="7">
        <v>1.0</v>
      </c>
      <c r="BJ97" s="5"/>
      <c r="BK97" s="7">
        <v>5.0</v>
      </c>
      <c r="BL97" s="5"/>
      <c r="BM97" s="7">
        <v>59.0</v>
      </c>
      <c r="BN97" s="7">
        <v>16.0</v>
      </c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7">
        <v>6.0</v>
      </c>
      <c r="BZ97" s="5"/>
      <c r="CA97" s="5"/>
      <c r="CB97" s="7">
        <v>3.0</v>
      </c>
      <c r="CC97" s="7">
        <v>5.0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7">
        <v>98.0</v>
      </c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7">
        <v>6.0</v>
      </c>
      <c r="DH97" s="7">
        <v>3.0</v>
      </c>
      <c r="DI97" s="5"/>
      <c r="DJ97" s="5"/>
      <c r="DK97" s="5"/>
      <c r="DL97" s="5"/>
      <c r="DM97" s="7">
        <v>3.0</v>
      </c>
      <c r="DN97" s="5"/>
      <c r="DO97" s="5"/>
      <c r="DP97" s="5"/>
      <c r="DQ97" s="7">
        <v>1.0</v>
      </c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7">
        <v>13.0</v>
      </c>
      <c r="EK97" s="5"/>
      <c r="EL97" s="5"/>
      <c r="EM97" s="5"/>
      <c r="EN97" s="7">
        <v>1.0</v>
      </c>
      <c r="EO97" s="5"/>
      <c r="EP97" s="5"/>
      <c r="EQ97" s="5"/>
      <c r="ER97" s="5"/>
      <c r="ES97" s="5"/>
      <c r="ET97" s="5"/>
      <c r="EU97" s="5"/>
      <c r="EV97" s="5"/>
      <c r="EW97" s="7">
        <v>5.0</v>
      </c>
      <c r="EX97" s="5"/>
      <c r="EY97" s="5"/>
      <c r="EZ97" s="5"/>
      <c r="FA97" s="5"/>
      <c r="FB97" s="7">
        <v>9.0</v>
      </c>
      <c r="FC97" s="7">
        <v>1.0</v>
      </c>
      <c r="FD97" s="5"/>
      <c r="FE97" s="5"/>
      <c r="FF97" s="5"/>
      <c r="FG97" s="5"/>
      <c r="FH97" s="5"/>
      <c r="FI97" s="5"/>
      <c r="FJ97" s="5"/>
      <c r="FK97" s="5"/>
      <c r="FL97" s="5"/>
      <c r="FM97" s="7">
        <v>16.0</v>
      </c>
      <c r="FN97" s="5"/>
      <c r="FO97" s="5"/>
      <c r="FP97" s="7">
        <v>2.0</v>
      </c>
      <c r="FQ97" s="5"/>
      <c r="FR97" s="5"/>
      <c r="FS97" s="7">
        <v>176.0</v>
      </c>
      <c r="FT97" s="7">
        <v>7.0</v>
      </c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7">
        <f t="shared" si="80"/>
        <v>31</v>
      </c>
      <c r="GI97" s="7">
        <f t="shared" si="81"/>
        <v>26</v>
      </c>
      <c r="GJ97" s="7">
        <f t="shared" si="82"/>
        <v>18</v>
      </c>
      <c r="GK97" s="7">
        <f t="shared" si="83"/>
        <v>599</v>
      </c>
      <c r="GL97" s="7">
        <f t="shared" si="84"/>
        <v>875</v>
      </c>
      <c r="GM97" s="7">
        <f t="shared" si="85"/>
        <v>276</v>
      </c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</row>
    <row r="98">
      <c r="A98" s="21">
        <v>42479.0</v>
      </c>
      <c r="B98" s="5" t="s">
        <v>21</v>
      </c>
      <c r="C98" s="16">
        <f t="shared" si="55"/>
        <v>248</v>
      </c>
      <c r="D98" s="7">
        <v>21.25544</v>
      </c>
      <c r="E98" s="7">
        <v>-157.810303</v>
      </c>
      <c r="F98" s="5" t="s">
        <v>161</v>
      </c>
      <c r="G98" s="6">
        <v>0.3611111111111111</v>
      </c>
      <c r="H98" s="6">
        <v>0.4166666666666667</v>
      </c>
      <c r="I98" s="7">
        <v>5.0</v>
      </c>
      <c r="J98" s="7">
        <v>14.0</v>
      </c>
      <c r="K98" s="5" t="s">
        <v>2</v>
      </c>
      <c r="L98" s="7">
        <v>7.0</v>
      </c>
      <c r="M98" s="7">
        <v>29.0</v>
      </c>
      <c r="N98" s="5" t="s">
        <v>172</v>
      </c>
      <c r="O98" s="5"/>
      <c r="P98" s="7">
        <v>29.0</v>
      </c>
      <c r="Q98" s="5"/>
      <c r="R98" s="7">
        <v>1.0</v>
      </c>
      <c r="S98" s="5"/>
      <c r="T98" s="5"/>
      <c r="U98" s="5"/>
      <c r="V98" s="5"/>
      <c r="W98" s="5"/>
      <c r="X98" s="7">
        <v>1.0</v>
      </c>
      <c r="Y98" s="5"/>
      <c r="Z98" s="5"/>
      <c r="AA98" s="5"/>
      <c r="AB98" s="7">
        <v>11.0</v>
      </c>
      <c r="AC98" s="5"/>
      <c r="AD98" s="5"/>
      <c r="AE98" s="5"/>
      <c r="AF98" s="5"/>
      <c r="AG98" s="5"/>
      <c r="AH98" s="5"/>
      <c r="AI98" s="7">
        <v>2.0</v>
      </c>
      <c r="AJ98" s="5"/>
      <c r="AK98" s="5"/>
      <c r="AL98" s="5"/>
      <c r="AM98" s="5"/>
      <c r="AN98" s="5"/>
      <c r="AO98" s="5"/>
      <c r="AP98" s="7">
        <v>2.0</v>
      </c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7">
        <v>9.0</v>
      </c>
      <c r="BC98" s="5"/>
      <c r="BD98" s="5"/>
      <c r="BE98" s="5"/>
      <c r="BF98" s="5"/>
      <c r="BG98" s="5"/>
      <c r="BH98" s="5"/>
      <c r="BI98" s="5"/>
      <c r="BJ98" s="5"/>
      <c r="BK98" s="5"/>
      <c r="BL98" s="7">
        <v>1.0</v>
      </c>
      <c r="BM98" s="7">
        <v>5.0</v>
      </c>
      <c r="BN98" s="7">
        <v>26.0</v>
      </c>
      <c r="BO98" s="5"/>
      <c r="BP98" s="5"/>
      <c r="BQ98" s="7">
        <v>36.0</v>
      </c>
      <c r="BR98" s="5"/>
      <c r="BS98" s="5"/>
      <c r="BT98" s="5"/>
      <c r="BU98" s="5"/>
      <c r="BV98" s="7">
        <v>4.0</v>
      </c>
      <c r="BW98" s="5"/>
      <c r="BX98" s="5"/>
      <c r="BY98" s="5"/>
      <c r="BZ98" s="7">
        <v>13.0</v>
      </c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7">
        <v>5.0</v>
      </c>
      <c r="CL98" s="5"/>
      <c r="CM98" s="5"/>
      <c r="CN98" s="5"/>
      <c r="CO98" s="5"/>
      <c r="CP98" s="5"/>
      <c r="CQ98" s="5"/>
      <c r="CR98" s="5"/>
      <c r="CS98" s="7">
        <v>1.0</v>
      </c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7">
        <v>13.0</v>
      </c>
      <c r="DH98" s="5"/>
      <c r="DI98" s="5"/>
      <c r="DJ98" s="5"/>
      <c r="DK98" s="5"/>
      <c r="DL98" s="5"/>
      <c r="DM98" s="7">
        <v>72.0</v>
      </c>
      <c r="DN98" s="5"/>
      <c r="DO98" s="5"/>
      <c r="DP98" s="7">
        <v>9.0</v>
      </c>
      <c r="DQ98" s="5"/>
      <c r="DR98" s="5"/>
      <c r="DS98" s="5"/>
      <c r="DT98" s="5"/>
      <c r="DU98" s="5"/>
      <c r="DV98" s="7">
        <v>4.0</v>
      </c>
      <c r="DW98" s="5"/>
      <c r="DX98" s="5"/>
      <c r="DY98" s="5"/>
      <c r="DZ98" s="5"/>
      <c r="EA98" s="5"/>
      <c r="EB98" s="5"/>
      <c r="EC98" s="7">
        <v>1.0</v>
      </c>
      <c r="ED98" s="5"/>
      <c r="EE98" s="5"/>
      <c r="EF98" s="7">
        <v>2.0</v>
      </c>
      <c r="EG98" s="5"/>
      <c r="EH98" s="5"/>
      <c r="EI98" s="5"/>
      <c r="EJ98" s="7">
        <v>174.0</v>
      </c>
      <c r="EK98" s="7">
        <v>1.0</v>
      </c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7">
        <v>21.0</v>
      </c>
      <c r="FC98" s="5"/>
      <c r="FD98" s="5"/>
      <c r="FE98" s="5"/>
      <c r="FF98" s="5"/>
      <c r="FG98" s="5"/>
      <c r="FH98" s="5"/>
      <c r="FI98" s="7">
        <v>35.0</v>
      </c>
      <c r="FJ98" s="5"/>
      <c r="FK98" s="5"/>
      <c r="FL98" s="5"/>
      <c r="FM98" s="5"/>
      <c r="FN98" s="5"/>
      <c r="FO98" s="5"/>
      <c r="FP98" s="7">
        <v>1.0</v>
      </c>
      <c r="FQ98" s="5"/>
      <c r="FR98" s="7">
        <v>11.0</v>
      </c>
      <c r="FS98" s="7">
        <v>28.0</v>
      </c>
      <c r="FT98" s="5"/>
      <c r="FU98" s="7">
        <v>1.0</v>
      </c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7">
        <f t="shared" si="80"/>
        <v>28</v>
      </c>
      <c r="GI98" s="7">
        <f t="shared" si="81"/>
        <v>20</v>
      </c>
      <c r="GJ98" s="7">
        <f t="shared" si="82"/>
        <v>15</v>
      </c>
      <c r="GK98" s="7">
        <f t="shared" si="83"/>
        <v>490</v>
      </c>
      <c r="GL98" s="7">
        <f t="shared" si="84"/>
        <v>725</v>
      </c>
      <c r="GM98" s="7">
        <f t="shared" si="85"/>
        <v>235</v>
      </c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</row>
    <row r="99">
      <c r="A99" s="15">
        <v>42479.0</v>
      </c>
      <c r="B99" s="12" t="s">
        <v>14</v>
      </c>
      <c r="C99" s="16">
        <f t="shared" si="55"/>
        <v>249</v>
      </c>
      <c r="D99" s="13">
        <v>19.738602</v>
      </c>
      <c r="E99" s="13">
        <v>-155.038879</v>
      </c>
      <c r="F99" s="12" t="s">
        <v>161</v>
      </c>
      <c r="G99" s="14">
        <v>0.4305555555555556</v>
      </c>
      <c r="H99" s="14">
        <v>0.4618055555555556</v>
      </c>
      <c r="I99" s="13">
        <v>4.0</v>
      </c>
      <c r="J99" s="13">
        <v>13.0</v>
      </c>
      <c r="K99" s="12" t="s">
        <v>51</v>
      </c>
      <c r="L99" s="13">
        <v>12.0</v>
      </c>
      <c r="M99" s="13">
        <v>26.0</v>
      </c>
      <c r="N99" s="12" t="s">
        <v>173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3">
        <v>9.0</v>
      </c>
      <c r="AI99" s="12"/>
      <c r="AJ99" s="12"/>
      <c r="AK99" s="12"/>
      <c r="AL99" s="13">
        <v>3.0</v>
      </c>
      <c r="AM99" s="12"/>
      <c r="AN99" s="12"/>
      <c r="AO99" s="12"/>
      <c r="AP99" s="12"/>
      <c r="AQ99" s="13">
        <v>2.0</v>
      </c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3">
        <v>77.0</v>
      </c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3">
        <v>6.0</v>
      </c>
      <c r="CD99" s="13">
        <v>1.0</v>
      </c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3">
        <v>40.0</v>
      </c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3">
        <v>13.0</v>
      </c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3">
        <v>3.0</v>
      </c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3">
        <v>8.0</v>
      </c>
      <c r="FR99" s="13">
        <v>2.0</v>
      </c>
      <c r="FS99" s="13">
        <v>95.0</v>
      </c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</row>
    <row r="100">
      <c r="A100" s="21">
        <v>42488.0</v>
      </c>
      <c r="B100" s="5" t="s">
        <v>34</v>
      </c>
      <c r="C100" s="16">
        <f t="shared" si="55"/>
        <v>250</v>
      </c>
      <c r="D100" s="7">
        <v>20.7537</v>
      </c>
      <c r="E100" s="7">
        <v>-156.460907</v>
      </c>
      <c r="F100" s="5" t="s">
        <v>161</v>
      </c>
      <c r="G100" s="6">
        <v>0.4111111111111111</v>
      </c>
      <c r="H100" s="6">
        <v>0.5152777777777777</v>
      </c>
      <c r="I100" s="7">
        <v>4.0</v>
      </c>
      <c r="J100" s="7">
        <v>14.0</v>
      </c>
      <c r="K100" s="5" t="s">
        <v>174</v>
      </c>
      <c r="L100" s="7">
        <v>10.0</v>
      </c>
      <c r="M100" s="7">
        <v>39.0</v>
      </c>
      <c r="N100" s="5" t="s">
        <v>175</v>
      </c>
      <c r="O100" s="5"/>
      <c r="P100" s="7">
        <v>39.0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7">
        <v>31.0</v>
      </c>
      <c r="BL100" s="5"/>
      <c r="BM100" s="7">
        <v>397.0</v>
      </c>
      <c r="BN100" s="5"/>
      <c r="BO100" s="5"/>
      <c r="BP100" s="5"/>
      <c r="BQ100" s="7">
        <v>5.0</v>
      </c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7">
        <v>15.0</v>
      </c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7">
        <v>22.0</v>
      </c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7">
        <f>count(R100:GG100)</f>
        <v>5</v>
      </c>
      <c r="GI100" s="7">
        <f>countif(R100:GG100,"&gt;=2")</f>
        <v>5</v>
      </c>
      <c r="GJ100" s="7">
        <f>countif(R100:GG100,"&gt;=5")</f>
        <v>5</v>
      </c>
      <c r="GK100" s="7">
        <f>sum(R100:GG100)</f>
        <v>470</v>
      </c>
      <c r="GL100" s="7">
        <f>25*P100</f>
        <v>975</v>
      </c>
      <c r="GM100" s="7">
        <f>GL100-GK100</f>
        <v>505</v>
      </c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</row>
    <row r="101">
      <c r="A101" s="15">
        <v>43213.0</v>
      </c>
      <c r="B101" s="12" t="s">
        <v>140</v>
      </c>
      <c r="C101" s="16">
        <f t="shared" si="55"/>
        <v>251</v>
      </c>
      <c r="D101" s="13">
        <v>21.295799</v>
      </c>
      <c r="E101" s="13">
        <v>-158.103699</v>
      </c>
      <c r="F101" s="12" t="s">
        <v>161</v>
      </c>
      <c r="G101" s="14">
        <v>0.3333333333333333</v>
      </c>
      <c r="H101" s="14">
        <v>0.4583333333333333</v>
      </c>
      <c r="I101" s="13">
        <v>4.0</v>
      </c>
      <c r="J101" s="13">
        <v>10.0</v>
      </c>
      <c r="K101" s="12" t="s">
        <v>8</v>
      </c>
      <c r="L101" s="13">
        <v>10.0</v>
      </c>
      <c r="M101" s="13">
        <v>1.0</v>
      </c>
      <c r="N101" s="12" t="s">
        <v>176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3">
        <v>3.0</v>
      </c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</row>
    <row r="102">
      <c r="A102" s="26">
        <v>42437.0</v>
      </c>
      <c r="B102" s="27" t="s">
        <v>140</v>
      </c>
      <c r="C102" s="16">
        <v>48.0</v>
      </c>
      <c r="D102" s="28">
        <v>21.295799</v>
      </c>
      <c r="E102" s="28">
        <v>-158.103699</v>
      </c>
      <c r="F102" s="27" t="s">
        <v>177</v>
      </c>
      <c r="G102" s="29">
        <v>0.4201388888888889</v>
      </c>
      <c r="H102" s="29">
        <v>0.4722222222222222</v>
      </c>
      <c r="I102" s="28">
        <v>7.0</v>
      </c>
      <c r="J102" s="28">
        <v>20.0</v>
      </c>
      <c r="K102" s="27" t="s">
        <v>8</v>
      </c>
      <c r="L102" s="28">
        <v>8.0</v>
      </c>
      <c r="M102" s="28">
        <v>44.0</v>
      </c>
      <c r="N102" s="27" t="s">
        <v>178</v>
      </c>
      <c r="O102" s="27"/>
      <c r="P102" s="27"/>
      <c r="Q102" s="27"/>
      <c r="R102" s="28">
        <v>61.0</v>
      </c>
      <c r="S102" s="27"/>
      <c r="T102" s="27"/>
      <c r="U102" s="27"/>
      <c r="V102" s="27"/>
      <c r="W102" s="28">
        <v>1.0</v>
      </c>
      <c r="X102" s="27"/>
      <c r="Y102" s="27"/>
      <c r="Z102" s="27"/>
      <c r="AA102" s="27"/>
      <c r="AB102" s="27"/>
      <c r="AC102" s="28">
        <v>2.0</v>
      </c>
      <c r="AD102" s="27"/>
      <c r="AE102" s="27"/>
      <c r="AF102" s="27"/>
      <c r="AG102" s="27"/>
      <c r="AH102" s="27"/>
      <c r="AI102" s="27"/>
      <c r="AJ102" s="27"/>
      <c r="AK102" s="27"/>
      <c r="AL102" s="27"/>
      <c r="AM102" s="28">
        <v>27.0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8">
        <v>17.0</v>
      </c>
      <c r="BF102" s="27"/>
      <c r="BG102" s="27"/>
      <c r="BH102" s="27"/>
      <c r="BI102" s="27"/>
      <c r="BJ102" s="27"/>
      <c r="BK102" s="28">
        <v>79.0</v>
      </c>
      <c r="BL102" s="27"/>
      <c r="BM102" s="28">
        <v>12.0</v>
      </c>
      <c r="BN102" s="27"/>
      <c r="BO102" s="27"/>
      <c r="BP102" s="27"/>
      <c r="BQ102" s="27"/>
      <c r="BR102" s="27"/>
      <c r="BS102" s="27"/>
      <c r="BT102" s="27"/>
      <c r="BU102" s="27"/>
      <c r="BV102" s="28">
        <v>2.0</v>
      </c>
      <c r="BW102" s="27"/>
      <c r="BX102" s="27"/>
      <c r="BY102" s="27"/>
      <c r="BZ102" s="28">
        <v>17.0</v>
      </c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8">
        <v>2.0</v>
      </c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8">
        <v>2.0</v>
      </c>
      <c r="DH102" s="27"/>
      <c r="DI102" s="27"/>
      <c r="DJ102" s="27"/>
      <c r="DK102" s="27"/>
      <c r="DL102" s="27"/>
      <c r="DM102" s="28">
        <v>25.0</v>
      </c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8">
        <v>2.0</v>
      </c>
      <c r="EA102" s="27"/>
      <c r="EB102" s="27"/>
      <c r="EC102" s="27"/>
      <c r="ED102" s="27"/>
      <c r="EE102" s="27"/>
      <c r="EF102" s="27"/>
      <c r="EG102" s="27"/>
      <c r="EH102" s="27"/>
      <c r="EI102" s="27"/>
      <c r="EJ102" s="28">
        <v>380.0</v>
      </c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8">
        <v>60.0</v>
      </c>
      <c r="FC102" s="27"/>
      <c r="FD102" s="27"/>
      <c r="FE102" s="27"/>
      <c r="FF102" s="28">
        <v>3.0</v>
      </c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8">
        <v>12.0</v>
      </c>
      <c r="FS102" s="28">
        <v>52.0</v>
      </c>
      <c r="FT102" s="28">
        <v>4.0</v>
      </c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8">
        <f t="shared" ref="GH102:GH148" si="86">count(R102:GG102)</f>
        <v>19</v>
      </c>
      <c r="GI102" s="28">
        <f t="shared" ref="GI102:GI148" si="87">countif(R102:GG102,"&gt;=2")</f>
        <v>18</v>
      </c>
      <c r="GJ102" s="28">
        <f t="shared" ref="GJ102:GJ148" si="88">countif(R102:GG102,"&gt;=5")</f>
        <v>11</v>
      </c>
      <c r="GK102" s="28">
        <f t="shared" ref="GK102:GK148" si="89">sum(R102:GG102)</f>
        <v>760</v>
      </c>
      <c r="GL102" s="28">
        <f t="shared" ref="GL102:GL148" si="90">25*P102</f>
        <v>0</v>
      </c>
      <c r="GM102" s="28">
        <f t="shared" ref="GM102:GM148" si="91">GL102-GK102</f>
        <v>-760</v>
      </c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</row>
    <row r="103">
      <c r="A103" s="21">
        <v>38018.0</v>
      </c>
      <c r="B103" s="5" t="s">
        <v>179</v>
      </c>
      <c r="C103" s="7">
        <v>1.0</v>
      </c>
      <c r="D103" s="7">
        <v>21.559278</v>
      </c>
      <c r="E103" s="7">
        <v>-157.871902</v>
      </c>
      <c r="F103" s="5" t="s">
        <v>180</v>
      </c>
      <c r="G103" s="6">
        <v>0.0</v>
      </c>
      <c r="H103" s="6">
        <v>0.041666666666666664</v>
      </c>
      <c r="I103" s="7">
        <v>6.0</v>
      </c>
      <c r="J103" s="7">
        <v>10.0</v>
      </c>
      <c r="K103" s="5" t="s">
        <v>8</v>
      </c>
      <c r="L103" s="7">
        <v>11.0</v>
      </c>
      <c r="M103" s="7">
        <v>22.0</v>
      </c>
      <c r="N103" s="5" t="s">
        <v>181</v>
      </c>
      <c r="O103" s="5"/>
      <c r="P103" s="7">
        <v>22.0</v>
      </c>
      <c r="Q103" s="5"/>
      <c r="R103" s="7">
        <v>23.0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7">
        <v>15.0</v>
      </c>
      <c r="AE103" s="5"/>
      <c r="AF103" s="7">
        <v>15.0</v>
      </c>
      <c r="AG103" s="5"/>
      <c r="AH103" s="5"/>
      <c r="AI103" s="5"/>
      <c r="AJ103" s="5"/>
      <c r="AK103" s="7">
        <v>11.0</v>
      </c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7">
        <v>6.0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7">
        <v>1.0</v>
      </c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7">
        <v>8.0</v>
      </c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7">
        <v>15.0</v>
      </c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7">
        <v>54.0</v>
      </c>
      <c r="FT103" s="7">
        <v>1.0</v>
      </c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7">
        <v>17.0</v>
      </c>
      <c r="GG103" s="5"/>
      <c r="GH103" s="7">
        <f t="shared" si="86"/>
        <v>11</v>
      </c>
      <c r="GI103" s="7">
        <f t="shared" si="87"/>
        <v>9</v>
      </c>
      <c r="GJ103" s="7">
        <f t="shared" si="88"/>
        <v>9</v>
      </c>
      <c r="GK103" s="7">
        <f t="shared" si="89"/>
        <v>166</v>
      </c>
      <c r="GL103" s="7">
        <f t="shared" si="90"/>
        <v>550</v>
      </c>
      <c r="GM103" s="7">
        <f t="shared" si="91"/>
        <v>384</v>
      </c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</row>
    <row r="104">
      <c r="A104" s="21">
        <v>38041.0</v>
      </c>
      <c r="B104" s="5" t="s">
        <v>21</v>
      </c>
      <c r="C104" s="16">
        <f t="shared" ref="C104:C148" si="92">C103+1</f>
        <v>2</v>
      </c>
      <c r="D104" s="7">
        <v>21.25544</v>
      </c>
      <c r="E104" s="7">
        <v>-157.810303</v>
      </c>
      <c r="F104" s="5" t="s">
        <v>180</v>
      </c>
      <c r="G104" s="6">
        <v>0.0</v>
      </c>
      <c r="H104" s="6">
        <v>0.041666666666666664</v>
      </c>
      <c r="I104" s="7">
        <v>6.0</v>
      </c>
      <c r="J104" s="7">
        <v>11.0</v>
      </c>
      <c r="K104" s="5" t="s">
        <v>8</v>
      </c>
      <c r="L104" s="7">
        <v>12.0</v>
      </c>
      <c r="M104" s="7">
        <v>58.0</v>
      </c>
      <c r="N104" s="5" t="s">
        <v>182</v>
      </c>
      <c r="O104" s="5"/>
      <c r="P104" s="7">
        <v>58.0</v>
      </c>
      <c r="Q104" s="5"/>
      <c r="R104" s="7">
        <v>3.0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7">
        <v>3.0</v>
      </c>
      <c r="AG104" s="5"/>
      <c r="AH104" s="5"/>
      <c r="AI104" s="5"/>
      <c r="AJ104" s="5"/>
      <c r="AK104" s="5"/>
      <c r="AL104" s="5"/>
      <c r="AM104" s="5"/>
      <c r="AN104" s="5"/>
      <c r="AO104" s="7">
        <v>1.0</v>
      </c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7">
        <v>5.0</v>
      </c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7">
        <v>4.0</v>
      </c>
      <c r="BN104" s="5"/>
      <c r="BO104" s="5"/>
      <c r="BP104" s="5"/>
      <c r="BQ104" s="7">
        <v>10.0</v>
      </c>
      <c r="BR104" s="5"/>
      <c r="BS104" s="5"/>
      <c r="BT104" s="5"/>
      <c r="BU104" s="5"/>
      <c r="BV104" s="5"/>
      <c r="BW104" s="5"/>
      <c r="BX104" s="5"/>
      <c r="BY104" s="5"/>
      <c r="BZ104" s="7">
        <v>102.0</v>
      </c>
      <c r="CA104" s="5"/>
      <c r="CB104" s="7">
        <v>3.0</v>
      </c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7">
        <v>2.0</v>
      </c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7">
        <v>51.0</v>
      </c>
      <c r="DN104" s="5"/>
      <c r="DO104" s="5"/>
      <c r="DP104" s="7">
        <v>3.0</v>
      </c>
      <c r="DQ104" s="5"/>
      <c r="DR104" s="5"/>
      <c r="DS104" s="7">
        <v>27.0</v>
      </c>
      <c r="DT104" s="5"/>
      <c r="DU104" s="5"/>
      <c r="DV104" s="7">
        <v>4.0</v>
      </c>
      <c r="DW104" s="5"/>
      <c r="DX104" s="5"/>
      <c r="DY104" s="5"/>
      <c r="DZ104" s="5"/>
      <c r="EA104" s="5"/>
      <c r="EB104" s="5"/>
      <c r="EC104" s="5"/>
      <c r="ED104" s="7">
        <v>2.0</v>
      </c>
      <c r="EE104" s="5"/>
      <c r="EF104" s="5"/>
      <c r="EG104" s="5"/>
      <c r="EH104" s="5"/>
      <c r="EI104" s="5"/>
      <c r="EJ104" s="7">
        <v>332.0</v>
      </c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7">
        <v>81.0</v>
      </c>
      <c r="FC104" s="7">
        <v>3.0</v>
      </c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7">
        <v>15.0</v>
      </c>
      <c r="FS104" s="7">
        <v>308.0</v>
      </c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7">
        <v>1.0</v>
      </c>
      <c r="GF104" s="7">
        <v>3.0</v>
      </c>
      <c r="GG104" s="5"/>
      <c r="GH104" s="7">
        <f t="shared" si="86"/>
        <v>21</v>
      </c>
      <c r="GI104" s="7">
        <f t="shared" si="87"/>
        <v>19</v>
      </c>
      <c r="GJ104" s="7">
        <f t="shared" si="88"/>
        <v>9</v>
      </c>
      <c r="GK104" s="7">
        <f t="shared" si="89"/>
        <v>963</v>
      </c>
      <c r="GL104" s="7">
        <f t="shared" si="90"/>
        <v>1450</v>
      </c>
      <c r="GM104" s="7">
        <f t="shared" si="91"/>
        <v>487</v>
      </c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</row>
    <row r="105">
      <c r="A105" s="21">
        <v>38050.0</v>
      </c>
      <c r="B105" s="5" t="s">
        <v>179</v>
      </c>
      <c r="C105" s="16">
        <f t="shared" si="92"/>
        <v>3</v>
      </c>
      <c r="D105" s="7">
        <v>21.559278</v>
      </c>
      <c r="E105" s="7">
        <v>-157.871902</v>
      </c>
      <c r="F105" s="5" t="s">
        <v>180</v>
      </c>
      <c r="G105" s="6">
        <v>0.0</v>
      </c>
      <c r="H105" s="6">
        <v>0.041666666666666664</v>
      </c>
      <c r="I105" s="7">
        <v>6.0</v>
      </c>
      <c r="J105" s="7">
        <v>10.0</v>
      </c>
      <c r="K105" s="5" t="s">
        <v>8</v>
      </c>
      <c r="L105" s="7">
        <v>11.0</v>
      </c>
      <c r="M105" s="7">
        <v>33.0</v>
      </c>
      <c r="N105" s="5" t="s">
        <v>183</v>
      </c>
      <c r="O105" s="5"/>
      <c r="P105" s="7">
        <v>33.0</v>
      </c>
      <c r="Q105" s="5"/>
      <c r="R105" s="7">
        <v>30.0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7">
        <v>13.0</v>
      </c>
      <c r="AE105" s="5"/>
      <c r="AF105" s="7">
        <v>28.0</v>
      </c>
      <c r="AG105" s="5"/>
      <c r="AH105" s="5"/>
      <c r="AI105" s="5"/>
      <c r="AJ105" s="5"/>
      <c r="AK105" s="7">
        <v>13.0</v>
      </c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7">
        <v>6.0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7">
        <v>4.0</v>
      </c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7">
        <v>15.0</v>
      </c>
      <c r="FC105" s="7">
        <v>8.0</v>
      </c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7">
        <v>73.0</v>
      </c>
      <c r="FT105" s="7">
        <v>2.0</v>
      </c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7">
        <v>103.0</v>
      </c>
      <c r="GG105" s="5"/>
      <c r="GH105" s="7">
        <f t="shared" si="86"/>
        <v>11</v>
      </c>
      <c r="GI105" s="7">
        <f t="shared" si="87"/>
        <v>11</v>
      </c>
      <c r="GJ105" s="7">
        <f t="shared" si="88"/>
        <v>9</v>
      </c>
      <c r="GK105" s="7">
        <f t="shared" si="89"/>
        <v>295</v>
      </c>
      <c r="GL105" s="7">
        <f t="shared" si="90"/>
        <v>825</v>
      </c>
      <c r="GM105" s="7">
        <f t="shared" si="91"/>
        <v>530</v>
      </c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</row>
    <row r="106">
      <c r="A106" s="21">
        <v>38384.0</v>
      </c>
      <c r="B106" s="5" t="s">
        <v>179</v>
      </c>
      <c r="C106" s="16">
        <f t="shared" si="92"/>
        <v>4</v>
      </c>
      <c r="D106" s="7">
        <v>21.559278</v>
      </c>
      <c r="E106" s="7">
        <v>-157.871902</v>
      </c>
      <c r="F106" s="5" t="s">
        <v>180</v>
      </c>
      <c r="G106" s="6">
        <v>0.0</v>
      </c>
      <c r="H106" s="6">
        <v>0.041666666666666664</v>
      </c>
      <c r="I106" s="7">
        <v>7.0</v>
      </c>
      <c r="J106" s="7">
        <v>9.0</v>
      </c>
      <c r="K106" s="5" t="s">
        <v>8</v>
      </c>
      <c r="L106" s="7">
        <v>10.0</v>
      </c>
      <c r="M106" s="7">
        <v>31.0</v>
      </c>
      <c r="N106" s="5" t="s">
        <v>184</v>
      </c>
      <c r="O106" s="5"/>
      <c r="P106" s="7">
        <v>31.0</v>
      </c>
      <c r="Q106" s="5"/>
      <c r="R106" s="7">
        <v>85.0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7">
        <v>14.0</v>
      </c>
      <c r="AE106" s="5"/>
      <c r="AF106" s="7">
        <v>37.0</v>
      </c>
      <c r="AG106" s="5"/>
      <c r="AH106" s="5"/>
      <c r="AI106" s="5"/>
      <c r="AJ106" s="5"/>
      <c r="AK106" s="7">
        <v>4.0</v>
      </c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7">
        <v>4.0</v>
      </c>
      <c r="DI106" s="7">
        <v>1.0</v>
      </c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7">
        <v>21.0</v>
      </c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7">
        <v>2.0</v>
      </c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7">
        <v>1.0</v>
      </c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7">
        <v>15.0</v>
      </c>
      <c r="GF106" s="7">
        <v>5.0</v>
      </c>
      <c r="GG106" s="5"/>
      <c r="GH106" s="7">
        <f t="shared" si="86"/>
        <v>11</v>
      </c>
      <c r="GI106" s="7">
        <f t="shared" si="87"/>
        <v>9</v>
      </c>
      <c r="GJ106" s="7">
        <f t="shared" si="88"/>
        <v>6</v>
      </c>
      <c r="GK106" s="7">
        <f t="shared" si="89"/>
        <v>189</v>
      </c>
      <c r="GL106" s="7">
        <f t="shared" si="90"/>
        <v>775</v>
      </c>
      <c r="GM106" s="7">
        <f t="shared" si="91"/>
        <v>586</v>
      </c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</row>
    <row r="107">
      <c r="A107" s="21">
        <v>38401.0</v>
      </c>
      <c r="B107" s="5" t="s">
        <v>21</v>
      </c>
      <c r="C107" s="16">
        <f t="shared" si="92"/>
        <v>5</v>
      </c>
      <c r="D107" s="7">
        <v>21.25544</v>
      </c>
      <c r="E107" s="7">
        <v>-157.810303</v>
      </c>
      <c r="F107" s="5" t="s">
        <v>180</v>
      </c>
      <c r="G107" s="6">
        <v>0.0</v>
      </c>
      <c r="H107" s="6">
        <v>0.041666666666666664</v>
      </c>
      <c r="I107" s="7">
        <v>6.0</v>
      </c>
      <c r="J107" s="7">
        <v>9.0</v>
      </c>
      <c r="K107" s="5" t="s">
        <v>8</v>
      </c>
      <c r="L107" s="7">
        <v>10.0</v>
      </c>
      <c r="M107" s="7">
        <v>56.0</v>
      </c>
      <c r="N107" s="5"/>
      <c r="O107" s="5"/>
      <c r="P107" s="7">
        <v>56.0</v>
      </c>
      <c r="Q107" s="5"/>
      <c r="R107" s="7">
        <v>6.0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7">
        <v>3.0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7">
        <v>3.0</v>
      </c>
      <c r="BR107" s="5"/>
      <c r="BS107" s="5"/>
      <c r="BT107" s="5"/>
      <c r="BU107" s="5"/>
      <c r="BV107" s="5"/>
      <c r="BW107" s="7">
        <v>15.0</v>
      </c>
      <c r="BX107" s="5"/>
      <c r="BY107" s="5"/>
      <c r="BZ107" s="5"/>
      <c r="CA107" s="5"/>
      <c r="CB107" s="7">
        <v>3.0</v>
      </c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7">
        <v>1.0</v>
      </c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7">
        <v>132.0</v>
      </c>
      <c r="DN107" s="5"/>
      <c r="DO107" s="5"/>
      <c r="DP107" s="7">
        <v>1.0</v>
      </c>
      <c r="DQ107" s="5"/>
      <c r="DR107" s="5"/>
      <c r="DS107" s="5"/>
      <c r="DT107" s="5"/>
      <c r="DU107" s="5"/>
      <c r="DV107" s="5"/>
      <c r="DW107" s="7">
        <v>1.0</v>
      </c>
      <c r="DX107" s="5"/>
      <c r="DY107" s="5"/>
      <c r="DZ107" s="5"/>
      <c r="EA107" s="5"/>
      <c r="EB107" s="5"/>
      <c r="EC107" s="5"/>
      <c r="ED107" s="7">
        <v>6.0</v>
      </c>
      <c r="EE107" s="5"/>
      <c r="EF107" s="5"/>
      <c r="EG107" s="5"/>
      <c r="EH107" s="5"/>
      <c r="EI107" s="5"/>
      <c r="EJ107" s="7">
        <v>332.0</v>
      </c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7">
        <v>99.0</v>
      </c>
      <c r="FC107" s="7">
        <v>1.0</v>
      </c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7">
        <v>208.0</v>
      </c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7">
        <v>12.0</v>
      </c>
      <c r="GG107" s="5"/>
      <c r="GH107" s="7">
        <f t="shared" si="86"/>
        <v>15</v>
      </c>
      <c r="GI107" s="7">
        <f t="shared" si="87"/>
        <v>11</v>
      </c>
      <c r="GJ107" s="7">
        <f t="shared" si="88"/>
        <v>8</v>
      </c>
      <c r="GK107" s="7">
        <f t="shared" si="89"/>
        <v>823</v>
      </c>
      <c r="GL107" s="7">
        <f t="shared" si="90"/>
        <v>1400</v>
      </c>
      <c r="GM107" s="7">
        <f t="shared" si="91"/>
        <v>577</v>
      </c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</row>
    <row r="108">
      <c r="A108" s="21">
        <v>38416.0</v>
      </c>
      <c r="B108" s="5" t="s">
        <v>21</v>
      </c>
      <c r="C108" s="16">
        <f t="shared" si="92"/>
        <v>6</v>
      </c>
      <c r="D108" s="7">
        <v>21.25544</v>
      </c>
      <c r="E108" s="7">
        <v>-157.810303</v>
      </c>
      <c r="F108" s="5" t="s">
        <v>180</v>
      </c>
      <c r="G108" s="6">
        <v>0.0</v>
      </c>
      <c r="H108" s="6">
        <v>0.041666666666666664</v>
      </c>
      <c r="I108" s="7">
        <v>7.0</v>
      </c>
      <c r="J108" s="7">
        <v>9.0</v>
      </c>
      <c r="K108" s="5" t="s">
        <v>8</v>
      </c>
      <c r="L108" s="7">
        <v>10.0</v>
      </c>
      <c r="M108" s="7">
        <v>56.0</v>
      </c>
      <c r="N108" s="5" t="s">
        <v>185</v>
      </c>
      <c r="O108" s="5"/>
      <c r="P108" s="7">
        <v>56.0</v>
      </c>
      <c r="Q108" s="5"/>
      <c r="R108" s="7">
        <v>23.0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7">
        <v>1.0</v>
      </c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7">
        <v>3.0</v>
      </c>
      <c r="BR108" s="5"/>
      <c r="BS108" s="5"/>
      <c r="BT108" s="5"/>
      <c r="BU108" s="5"/>
      <c r="BV108" s="5"/>
      <c r="BW108" s="7">
        <v>8.0</v>
      </c>
      <c r="BX108" s="5"/>
      <c r="BY108" s="5"/>
      <c r="BZ108" s="7">
        <v>6.0</v>
      </c>
      <c r="CA108" s="5"/>
      <c r="CB108" s="7">
        <v>4.0</v>
      </c>
      <c r="CC108" s="5"/>
      <c r="CD108" s="7">
        <v>1.0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7">
        <v>3.0</v>
      </c>
      <c r="CT108" s="5"/>
      <c r="CU108" s="5"/>
      <c r="CV108" s="7">
        <v>1.0</v>
      </c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7">
        <v>122.0</v>
      </c>
      <c r="DN108" s="5"/>
      <c r="DO108" s="5"/>
      <c r="DP108" s="7">
        <v>1.0</v>
      </c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7">
        <v>1.0</v>
      </c>
      <c r="EE108" s="5"/>
      <c r="EF108" s="5"/>
      <c r="EG108" s="5"/>
      <c r="EH108" s="5"/>
      <c r="EI108" s="5"/>
      <c r="EJ108" s="7">
        <v>301.0</v>
      </c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7">
        <v>130.0</v>
      </c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7">
        <v>1.0</v>
      </c>
      <c r="FS108" s="7">
        <v>91.0</v>
      </c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7">
        <v>257.0</v>
      </c>
      <c r="GG108" s="5"/>
      <c r="GH108" s="7">
        <f t="shared" si="86"/>
        <v>17</v>
      </c>
      <c r="GI108" s="7">
        <f t="shared" si="87"/>
        <v>11</v>
      </c>
      <c r="GJ108" s="7">
        <f t="shared" si="88"/>
        <v>8</v>
      </c>
      <c r="GK108" s="7">
        <f t="shared" si="89"/>
        <v>954</v>
      </c>
      <c r="GL108" s="7">
        <f t="shared" si="90"/>
        <v>1400</v>
      </c>
      <c r="GM108" s="7">
        <f t="shared" si="91"/>
        <v>446</v>
      </c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</row>
    <row r="109">
      <c r="A109" s="21">
        <v>38416.0</v>
      </c>
      <c r="B109" s="5" t="s">
        <v>179</v>
      </c>
      <c r="C109" s="16">
        <f t="shared" si="92"/>
        <v>7</v>
      </c>
      <c r="D109" s="7">
        <v>21.559278</v>
      </c>
      <c r="E109" s="7">
        <v>-157.871902</v>
      </c>
      <c r="F109" s="5" t="s">
        <v>180</v>
      </c>
      <c r="G109" s="6">
        <v>0.0</v>
      </c>
      <c r="H109" s="6">
        <v>0.041666666666666664</v>
      </c>
      <c r="I109" s="7">
        <v>7.0</v>
      </c>
      <c r="J109" s="7">
        <v>9.0</v>
      </c>
      <c r="K109" s="5" t="s">
        <v>8</v>
      </c>
      <c r="L109" s="7">
        <v>10.0</v>
      </c>
      <c r="M109" s="7">
        <v>29.0</v>
      </c>
      <c r="N109" s="5" t="s">
        <v>186</v>
      </c>
      <c r="O109" s="5"/>
      <c r="P109" s="7">
        <v>29.0</v>
      </c>
      <c r="Q109" s="5"/>
      <c r="R109" s="7">
        <v>57.0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7">
        <v>15.0</v>
      </c>
      <c r="AE109" s="5"/>
      <c r="AF109" s="7">
        <v>28.0</v>
      </c>
      <c r="AG109" s="5"/>
      <c r="AH109" s="5"/>
      <c r="AI109" s="5"/>
      <c r="AJ109" s="5"/>
      <c r="AK109" s="7">
        <v>1.0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7">
        <v>2.0</v>
      </c>
      <c r="DI109" s="5"/>
      <c r="DJ109" s="5"/>
      <c r="DK109" s="5"/>
      <c r="DL109" s="5"/>
      <c r="DM109" s="5"/>
      <c r="DN109" s="5"/>
      <c r="DO109" s="5"/>
      <c r="DP109" s="7">
        <v>1.0</v>
      </c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7">
        <v>14.0</v>
      </c>
      <c r="EE109" s="5"/>
      <c r="EF109" s="5"/>
      <c r="EG109" s="5"/>
      <c r="EH109" s="5"/>
      <c r="EI109" s="5"/>
      <c r="EJ109" s="7">
        <v>10.0</v>
      </c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7">
        <v>1.0</v>
      </c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7">
        <v>8.0</v>
      </c>
      <c r="GG109" s="5"/>
      <c r="GH109" s="7">
        <f t="shared" si="86"/>
        <v>10</v>
      </c>
      <c r="GI109" s="7">
        <f t="shared" si="87"/>
        <v>7</v>
      </c>
      <c r="GJ109" s="7">
        <f t="shared" si="88"/>
        <v>6</v>
      </c>
      <c r="GK109" s="7">
        <f t="shared" si="89"/>
        <v>137</v>
      </c>
      <c r="GL109" s="7">
        <f t="shared" si="90"/>
        <v>725</v>
      </c>
      <c r="GM109" s="7">
        <f t="shared" si="91"/>
        <v>588</v>
      </c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</row>
    <row r="110">
      <c r="A110" s="21">
        <v>38440.0</v>
      </c>
      <c r="B110" s="5" t="s">
        <v>0</v>
      </c>
      <c r="C110" s="16">
        <f t="shared" si="92"/>
        <v>8</v>
      </c>
      <c r="D110" s="7">
        <v>21.3002</v>
      </c>
      <c r="E110" s="7">
        <v>-157.882599</v>
      </c>
      <c r="F110" s="5" t="s">
        <v>180</v>
      </c>
      <c r="G110" s="6">
        <v>0.0</v>
      </c>
      <c r="H110" s="6">
        <v>0.041666666666666664</v>
      </c>
      <c r="I110" s="7">
        <v>4.0</v>
      </c>
      <c r="J110" s="7">
        <v>22.0</v>
      </c>
      <c r="K110" s="5" t="s">
        <v>2</v>
      </c>
      <c r="L110" s="7">
        <v>10.0</v>
      </c>
      <c r="M110" s="7">
        <v>26.0</v>
      </c>
      <c r="N110" s="5" t="s">
        <v>187</v>
      </c>
      <c r="O110" s="5"/>
      <c r="P110" s="7">
        <v>26.0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7">
        <v>6.0</v>
      </c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7">
        <v>181.0</v>
      </c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7">
        <v>3.0</v>
      </c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7">
        <v>4.0</v>
      </c>
      <c r="FN110" s="5"/>
      <c r="FO110" s="5"/>
      <c r="FP110" s="5"/>
      <c r="FQ110" s="5"/>
      <c r="FR110" s="5"/>
      <c r="FS110" s="7">
        <v>2.0</v>
      </c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7">
        <v>5.0</v>
      </c>
      <c r="GG110" s="5"/>
      <c r="GH110" s="7">
        <f t="shared" si="86"/>
        <v>6</v>
      </c>
      <c r="GI110" s="7">
        <f t="shared" si="87"/>
        <v>6</v>
      </c>
      <c r="GJ110" s="7">
        <f t="shared" si="88"/>
        <v>3</v>
      </c>
      <c r="GK110" s="7">
        <f t="shared" si="89"/>
        <v>201</v>
      </c>
      <c r="GL110" s="7">
        <f t="shared" si="90"/>
        <v>650</v>
      </c>
      <c r="GM110" s="7">
        <f t="shared" si="91"/>
        <v>449</v>
      </c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</row>
    <row r="111">
      <c r="A111" s="21">
        <v>38441.0</v>
      </c>
      <c r="B111" s="5" t="s">
        <v>140</v>
      </c>
      <c r="C111" s="16">
        <f t="shared" si="92"/>
        <v>9</v>
      </c>
      <c r="D111" s="7">
        <v>21.295799</v>
      </c>
      <c r="E111" s="7">
        <v>-158.103699</v>
      </c>
      <c r="F111" s="5" t="s">
        <v>180</v>
      </c>
      <c r="G111" s="6">
        <v>0.0</v>
      </c>
      <c r="H111" s="6">
        <v>0.041666666666666664</v>
      </c>
      <c r="I111" s="7">
        <v>5.0</v>
      </c>
      <c r="J111" s="7">
        <v>20.0</v>
      </c>
      <c r="K111" s="5" t="s">
        <v>2</v>
      </c>
      <c r="L111" s="7">
        <v>10.0</v>
      </c>
      <c r="M111" s="7">
        <v>30.0</v>
      </c>
      <c r="N111" s="5" t="s">
        <v>188</v>
      </c>
      <c r="O111" s="5"/>
      <c r="P111" s="7">
        <v>30.0</v>
      </c>
      <c r="Q111" s="5"/>
      <c r="R111" s="7">
        <v>57.0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7">
        <v>5.0</v>
      </c>
      <c r="AJ111" s="5"/>
      <c r="AK111" s="5"/>
      <c r="AL111" s="5"/>
      <c r="AM111" s="7">
        <v>3.0</v>
      </c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7">
        <v>1.0</v>
      </c>
      <c r="BF111" s="5"/>
      <c r="BG111" s="5"/>
      <c r="BH111" s="5"/>
      <c r="BI111" s="5"/>
      <c r="BJ111" s="5"/>
      <c r="BK111" s="5"/>
      <c r="BL111" s="5"/>
      <c r="BM111" s="7">
        <v>1.0</v>
      </c>
      <c r="BN111" s="5"/>
      <c r="BO111" s="5"/>
      <c r="BP111" s="5"/>
      <c r="BQ111" s="7">
        <v>18.0</v>
      </c>
      <c r="BR111" s="5"/>
      <c r="BS111" s="5"/>
      <c r="BT111" s="5"/>
      <c r="BU111" s="5"/>
      <c r="BV111" s="5"/>
      <c r="BW111" s="7">
        <v>14.0</v>
      </c>
      <c r="BX111" s="5"/>
      <c r="BY111" s="5"/>
      <c r="BZ111" s="7">
        <v>18.0</v>
      </c>
      <c r="CA111" s="5"/>
      <c r="CB111" s="5"/>
      <c r="CC111" s="7">
        <v>1.0</v>
      </c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7">
        <v>71.0</v>
      </c>
      <c r="DN111" s="5"/>
      <c r="DO111" s="5"/>
      <c r="DP111" s="5"/>
      <c r="DQ111" s="7">
        <v>1.0</v>
      </c>
      <c r="DR111" s="5"/>
      <c r="DS111" s="5"/>
      <c r="DT111" s="5"/>
      <c r="DU111" s="5"/>
      <c r="DV111" s="5"/>
      <c r="DW111" s="5"/>
      <c r="DX111" s="5"/>
      <c r="DY111" s="5"/>
      <c r="DZ111" s="7">
        <v>8.0</v>
      </c>
      <c r="EA111" s="5"/>
      <c r="EB111" s="5"/>
      <c r="EC111" s="5"/>
      <c r="ED111" s="7">
        <v>1.0</v>
      </c>
      <c r="EE111" s="5"/>
      <c r="EF111" s="5"/>
      <c r="EG111" s="5"/>
      <c r="EH111" s="5"/>
      <c r="EI111" s="5"/>
      <c r="EJ111" s="7">
        <v>171.0</v>
      </c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7">
        <v>24.0</v>
      </c>
      <c r="FC111" s="7">
        <v>2.0</v>
      </c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7">
        <v>48.0</v>
      </c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7">
        <v>9.0</v>
      </c>
      <c r="GG111" s="5"/>
      <c r="GH111" s="7">
        <f t="shared" si="86"/>
        <v>18</v>
      </c>
      <c r="GI111" s="7">
        <f t="shared" si="87"/>
        <v>13</v>
      </c>
      <c r="GJ111" s="7">
        <f t="shared" si="88"/>
        <v>11</v>
      </c>
      <c r="GK111" s="7">
        <f t="shared" si="89"/>
        <v>453</v>
      </c>
      <c r="GL111" s="7">
        <f t="shared" si="90"/>
        <v>750</v>
      </c>
      <c r="GM111" s="7">
        <f t="shared" si="91"/>
        <v>297</v>
      </c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</row>
    <row r="112">
      <c r="A112" s="21">
        <v>38464.0</v>
      </c>
      <c r="B112" s="5" t="s">
        <v>21</v>
      </c>
      <c r="C112" s="16">
        <f t="shared" si="92"/>
        <v>10</v>
      </c>
      <c r="D112" s="7">
        <v>21.25544</v>
      </c>
      <c r="E112" s="7">
        <v>-157.810303</v>
      </c>
      <c r="F112" s="5" t="s">
        <v>180</v>
      </c>
      <c r="G112" s="6">
        <v>0.0</v>
      </c>
      <c r="H112" s="6">
        <v>0.041666666666666664</v>
      </c>
      <c r="I112" s="7">
        <v>5.0</v>
      </c>
      <c r="J112" s="7">
        <v>9.0</v>
      </c>
      <c r="K112" s="5" t="s">
        <v>8</v>
      </c>
      <c r="L112" s="7">
        <v>10.0</v>
      </c>
      <c r="M112" s="7">
        <v>45.0</v>
      </c>
      <c r="N112" s="5" t="s">
        <v>189</v>
      </c>
      <c r="O112" s="5"/>
      <c r="P112" s="7">
        <v>45.0</v>
      </c>
      <c r="Q112" s="5"/>
      <c r="R112" s="7">
        <v>5.0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7">
        <v>1.0</v>
      </c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7">
        <v>1.0</v>
      </c>
      <c r="BR112" s="5"/>
      <c r="BS112" s="5"/>
      <c r="BT112" s="5"/>
      <c r="BU112" s="5"/>
      <c r="BV112" s="5"/>
      <c r="BW112" s="7">
        <v>11.0</v>
      </c>
      <c r="BX112" s="5"/>
      <c r="BY112" s="5"/>
      <c r="BZ112" s="7">
        <v>9.0</v>
      </c>
      <c r="CA112" s="5"/>
      <c r="CB112" s="7">
        <v>5.0</v>
      </c>
      <c r="CC112" s="5"/>
      <c r="CD112" s="5"/>
      <c r="CE112" s="5"/>
      <c r="CF112" s="5"/>
      <c r="CG112" s="5"/>
      <c r="CH112" s="5"/>
      <c r="CI112" s="5"/>
      <c r="CJ112" s="7">
        <v>6.0</v>
      </c>
      <c r="CK112" s="5"/>
      <c r="CL112" s="5"/>
      <c r="CM112" s="5"/>
      <c r="CN112" s="5"/>
      <c r="CO112" s="5"/>
      <c r="CP112" s="5"/>
      <c r="CQ112" s="5"/>
      <c r="CR112" s="5"/>
      <c r="CS112" s="7">
        <v>2.0</v>
      </c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7">
        <v>35.0</v>
      </c>
      <c r="DN112" s="5"/>
      <c r="DO112" s="5"/>
      <c r="DP112" s="7">
        <v>1.0</v>
      </c>
      <c r="DQ112" s="5"/>
      <c r="DR112" s="5"/>
      <c r="DS112" s="7">
        <v>9.0</v>
      </c>
      <c r="DT112" s="7">
        <v>7.0</v>
      </c>
      <c r="DU112" s="7">
        <v>1.0</v>
      </c>
      <c r="DV112" s="5"/>
      <c r="DW112" s="5"/>
      <c r="DX112" s="5"/>
      <c r="DY112" s="5"/>
      <c r="DZ112" s="5"/>
      <c r="EA112" s="5"/>
      <c r="EB112" s="5"/>
      <c r="EC112" s="7">
        <v>1.0</v>
      </c>
      <c r="ED112" s="5"/>
      <c r="EE112" s="5"/>
      <c r="EF112" s="5"/>
      <c r="EG112" s="5"/>
      <c r="EH112" s="5"/>
      <c r="EI112" s="5"/>
      <c r="EJ112" s="7">
        <v>151.0</v>
      </c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7">
        <v>50.0</v>
      </c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7">
        <v>425.0</v>
      </c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7">
        <v>117.0</v>
      </c>
      <c r="GG112" s="5"/>
      <c r="GH112" s="7">
        <f t="shared" si="86"/>
        <v>18</v>
      </c>
      <c r="GI112" s="7">
        <f t="shared" si="87"/>
        <v>13</v>
      </c>
      <c r="GJ112" s="7">
        <f t="shared" si="88"/>
        <v>12</v>
      </c>
      <c r="GK112" s="7">
        <f t="shared" si="89"/>
        <v>837</v>
      </c>
      <c r="GL112" s="7">
        <f t="shared" si="90"/>
        <v>1125</v>
      </c>
      <c r="GM112" s="7">
        <f t="shared" si="91"/>
        <v>288</v>
      </c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</row>
    <row r="113">
      <c r="A113" s="21">
        <v>38469.0</v>
      </c>
      <c r="B113" s="5" t="s">
        <v>140</v>
      </c>
      <c r="C113" s="16">
        <f t="shared" si="92"/>
        <v>11</v>
      </c>
      <c r="D113" s="7">
        <v>21.295799</v>
      </c>
      <c r="E113" s="7">
        <v>-158.103699</v>
      </c>
      <c r="F113" s="5" t="s">
        <v>180</v>
      </c>
      <c r="G113" s="6">
        <v>0.0</v>
      </c>
      <c r="H113" s="6">
        <v>0.041666666666666664</v>
      </c>
      <c r="I113" s="7">
        <v>4.0</v>
      </c>
      <c r="J113" s="7">
        <v>20.0</v>
      </c>
      <c r="K113" s="5" t="s">
        <v>2</v>
      </c>
      <c r="L113" s="7">
        <v>10.0</v>
      </c>
      <c r="M113" s="7">
        <v>29.0</v>
      </c>
      <c r="N113" s="5" t="s">
        <v>190</v>
      </c>
      <c r="O113" s="5"/>
      <c r="P113" s="7">
        <v>29.0</v>
      </c>
      <c r="Q113" s="5"/>
      <c r="R113" s="7">
        <v>112.0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7">
        <v>1.0</v>
      </c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7">
        <v>31.0</v>
      </c>
      <c r="BR113" s="5"/>
      <c r="BS113" s="5"/>
      <c r="BT113" s="5"/>
      <c r="BU113" s="5"/>
      <c r="BV113" s="5"/>
      <c r="BW113" s="7">
        <v>1.0</v>
      </c>
      <c r="BX113" s="5"/>
      <c r="BY113" s="5"/>
      <c r="BZ113" s="7">
        <v>17.0</v>
      </c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7">
        <v>2.0</v>
      </c>
      <c r="DI113" s="5"/>
      <c r="DJ113" s="5"/>
      <c r="DK113" s="5"/>
      <c r="DL113" s="5"/>
      <c r="DM113" s="7">
        <v>9.0</v>
      </c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7">
        <v>1.0</v>
      </c>
      <c r="EA113" s="5"/>
      <c r="EB113" s="5"/>
      <c r="EC113" s="5"/>
      <c r="ED113" s="7">
        <v>2.0</v>
      </c>
      <c r="EE113" s="5"/>
      <c r="EF113" s="5"/>
      <c r="EG113" s="5"/>
      <c r="EH113" s="5"/>
      <c r="EI113" s="5"/>
      <c r="EJ113" s="7">
        <v>111.0</v>
      </c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7">
        <v>10.0</v>
      </c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7">
        <v>44.0</v>
      </c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7">
        <v>9.0</v>
      </c>
      <c r="GG113" s="5"/>
      <c r="GH113" s="7">
        <f t="shared" si="86"/>
        <v>13</v>
      </c>
      <c r="GI113" s="7">
        <f t="shared" si="87"/>
        <v>10</v>
      </c>
      <c r="GJ113" s="7">
        <f t="shared" si="88"/>
        <v>8</v>
      </c>
      <c r="GK113" s="7">
        <f t="shared" si="89"/>
        <v>350</v>
      </c>
      <c r="GL113" s="7">
        <f t="shared" si="90"/>
        <v>725</v>
      </c>
      <c r="GM113" s="7">
        <f t="shared" si="91"/>
        <v>375</v>
      </c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</row>
    <row r="114">
      <c r="A114" s="21">
        <v>38471.0</v>
      </c>
      <c r="B114" s="5" t="s">
        <v>0</v>
      </c>
      <c r="C114" s="16">
        <f t="shared" si="92"/>
        <v>12</v>
      </c>
      <c r="D114" s="7">
        <v>21.3002</v>
      </c>
      <c r="E114" s="7">
        <v>-157.882599</v>
      </c>
      <c r="F114" s="5" t="s">
        <v>180</v>
      </c>
      <c r="G114" s="6">
        <v>0.0</v>
      </c>
      <c r="H114" s="6">
        <v>0.041666666666666664</v>
      </c>
      <c r="I114" s="7">
        <v>6.0</v>
      </c>
      <c r="J114" s="7">
        <v>22.0</v>
      </c>
      <c r="K114" s="5" t="s">
        <v>2</v>
      </c>
      <c r="L114" s="7">
        <v>10.0</v>
      </c>
      <c r="M114" s="7">
        <v>36.0</v>
      </c>
      <c r="N114" s="5" t="s">
        <v>191</v>
      </c>
      <c r="O114" s="5"/>
      <c r="P114" s="7">
        <v>36.0</v>
      </c>
      <c r="Q114" s="5"/>
      <c r="R114" s="7">
        <v>13.0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7">
        <v>10.0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7">
        <v>8.0</v>
      </c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7">
        <v>2.0</v>
      </c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7">
        <v>2.0</v>
      </c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7">
        <v>4.0</v>
      </c>
      <c r="DT114" s="5"/>
      <c r="DU114" s="5"/>
      <c r="DV114" s="5"/>
      <c r="DW114" s="5"/>
      <c r="DX114" s="5"/>
      <c r="DY114" s="5"/>
      <c r="DZ114" s="7">
        <v>1.0</v>
      </c>
      <c r="EA114" s="5"/>
      <c r="EB114" s="5"/>
      <c r="EC114" s="7">
        <v>1.0</v>
      </c>
      <c r="ED114" s="5"/>
      <c r="EE114" s="5"/>
      <c r="EF114" s="5"/>
      <c r="EG114" s="5"/>
      <c r="EH114" s="5"/>
      <c r="EI114" s="5"/>
      <c r="EJ114" s="7">
        <v>106.0</v>
      </c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7">
        <v>1.0</v>
      </c>
      <c r="FD114" s="5"/>
      <c r="FE114" s="7">
        <v>1.0</v>
      </c>
      <c r="FF114" s="5"/>
      <c r="FG114" s="5"/>
      <c r="FH114" s="5"/>
      <c r="FI114" s="5"/>
      <c r="FJ114" s="7">
        <v>1.0</v>
      </c>
      <c r="FK114" s="5"/>
      <c r="FL114" s="5"/>
      <c r="FM114" s="5"/>
      <c r="FN114" s="5"/>
      <c r="FO114" s="5"/>
      <c r="FP114" s="5"/>
      <c r="FQ114" s="5"/>
      <c r="FR114" s="5"/>
      <c r="FS114" s="7">
        <v>204.0</v>
      </c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7">
        <v>26.0</v>
      </c>
      <c r="GG114" s="5"/>
      <c r="GH114" s="7">
        <f t="shared" si="86"/>
        <v>14</v>
      </c>
      <c r="GI114" s="7">
        <f t="shared" si="87"/>
        <v>9</v>
      </c>
      <c r="GJ114" s="7">
        <f t="shared" si="88"/>
        <v>6</v>
      </c>
      <c r="GK114" s="7">
        <f t="shared" si="89"/>
        <v>380</v>
      </c>
      <c r="GL114" s="7">
        <f t="shared" si="90"/>
        <v>900</v>
      </c>
      <c r="GM114" s="7">
        <f t="shared" si="91"/>
        <v>520</v>
      </c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</row>
    <row r="115">
      <c r="A115" s="21">
        <v>38473.0</v>
      </c>
      <c r="B115" s="5" t="s">
        <v>140</v>
      </c>
      <c r="C115" s="16">
        <f t="shared" si="92"/>
        <v>13</v>
      </c>
      <c r="D115" s="7">
        <v>21.295799</v>
      </c>
      <c r="E115" s="7">
        <v>-158.103699</v>
      </c>
      <c r="F115" s="5" t="s">
        <v>180</v>
      </c>
      <c r="G115" s="6">
        <v>0.0</v>
      </c>
      <c r="H115" s="6">
        <v>0.041666666666666664</v>
      </c>
      <c r="I115" s="7">
        <v>6.0</v>
      </c>
      <c r="J115" s="7">
        <v>20.0</v>
      </c>
      <c r="K115" s="5" t="s">
        <v>2</v>
      </c>
      <c r="L115" s="7">
        <v>10.0</v>
      </c>
      <c r="M115" s="7">
        <v>34.0</v>
      </c>
      <c r="N115" s="5" t="s">
        <v>192</v>
      </c>
      <c r="O115" s="5"/>
      <c r="P115" s="7">
        <v>34.0</v>
      </c>
      <c r="Q115" s="5"/>
      <c r="R115" s="7">
        <v>134.0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7">
        <v>10.0</v>
      </c>
      <c r="BR115" s="5"/>
      <c r="BS115" s="5"/>
      <c r="BT115" s="5"/>
      <c r="BU115" s="5"/>
      <c r="BV115" s="5"/>
      <c r="BW115" s="7">
        <v>22.0</v>
      </c>
      <c r="BX115" s="5"/>
      <c r="BY115" s="5"/>
      <c r="BZ115" s="7">
        <v>2.0</v>
      </c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7">
        <v>2.0</v>
      </c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7">
        <v>15.0</v>
      </c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7">
        <v>1.0</v>
      </c>
      <c r="EA115" s="5"/>
      <c r="EB115" s="5"/>
      <c r="EC115" s="5"/>
      <c r="ED115" s="7">
        <v>1.0</v>
      </c>
      <c r="EE115" s="5"/>
      <c r="EF115" s="5"/>
      <c r="EG115" s="5"/>
      <c r="EH115" s="5"/>
      <c r="EI115" s="5"/>
      <c r="EJ115" s="7">
        <v>147.0</v>
      </c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7">
        <v>53.0</v>
      </c>
      <c r="FC115" s="7">
        <v>20.0</v>
      </c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7">
        <v>35.0</v>
      </c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7">
        <v>1.0</v>
      </c>
      <c r="GG115" s="5"/>
      <c r="GH115" s="7">
        <f t="shared" si="86"/>
        <v>13</v>
      </c>
      <c r="GI115" s="7">
        <f t="shared" si="87"/>
        <v>10</v>
      </c>
      <c r="GJ115" s="7">
        <f t="shared" si="88"/>
        <v>8</v>
      </c>
      <c r="GK115" s="7">
        <f t="shared" si="89"/>
        <v>443</v>
      </c>
      <c r="GL115" s="7">
        <f t="shared" si="90"/>
        <v>850</v>
      </c>
      <c r="GM115" s="7">
        <f t="shared" si="91"/>
        <v>407</v>
      </c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</row>
    <row r="116">
      <c r="A116" s="21">
        <v>38473.0</v>
      </c>
      <c r="B116" s="5" t="s">
        <v>21</v>
      </c>
      <c r="C116" s="16">
        <f t="shared" si="92"/>
        <v>14</v>
      </c>
      <c r="D116" s="7">
        <v>21.25544</v>
      </c>
      <c r="E116" s="7">
        <v>-157.810303</v>
      </c>
      <c r="F116" s="5" t="s">
        <v>180</v>
      </c>
      <c r="G116" s="6">
        <v>0.0</v>
      </c>
      <c r="H116" s="6">
        <v>0.041666666666666664</v>
      </c>
      <c r="I116" s="7">
        <v>3.0</v>
      </c>
      <c r="J116" s="7">
        <v>9.0</v>
      </c>
      <c r="K116" s="5" t="s">
        <v>8</v>
      </c>
      <c r="L116" s="7">
        <v>10.0</v>
      </c>
      <c r="M116" s="7">
        <v>27.0</v>
      </c>
      <c r="N116" s="5"/>
      <c r="O116" s="5"/>
      <c r="P116" s="7">
        <v>27.0</v>
      </c>
      <c r="Q116" s="5"/>
      <c r="R116" s="7">
        <v>12.0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7">
        <v>6.0</v>
      </c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7">
        <v>9.0</v>
      </c>
      <c r="BR116" s="5"/>
      <c r="BS116" s="5"/>
      <c r="BT116" s="5"/>
      <c r="BU116" s="5"/>
      <c r="BV116" s="5"/>
      <c r="BW116" s="5"/>
      <c r="BX116" s="5"/>
      <c r="BY116" s="5"/>
      <c r="BZ116" s="7">
        <v>26.0</v>
      </c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7">
        <v>19.0</v>
      </c>
      <c r="DN116" s="5"/>
      <c r="DO116" s="5"/>
      <c r="DP116" s="5"/>
      <c r="DQ116" s="5"/>
      <c r="DR116" s="5"/>
      <c r="DS116" s="7">
        <v>15.0</v>
      </c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7">
        <v>168.0</v>
      </c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7">
        <v>67.0</v>
      </c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7">
        <v>122.0</v>
      </c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7">
        <v>36.0</v>
      </c>
      <c r="GG116" s="5"/>
      <c r="GH116" s="7">
        <f t="shared" si="86"/>
        <v>10</v>
      </c>
      <c r="GI116" s="7">
        <f t="shared" si="87"/>
        <v>10</v>
      </c>
      <c r="GJ116" s="7">
        <f t="shared" si="88"/>
        <v>10</v>
      </c>
      <c r="GK116" s="7">
        <f t="shared" si="89"/>
        <v>480</v>
      </c>
      <c r="GL116" s="7">
        <f t="shared" si="90"/>
        <v>675</v>
      </c>
      <c r="GM116" s="7">
        <f t="shared" si="91"/>
        <v>195</v>
      </c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</row>
    <row r="117">
      <c r="A117" s="21">
        <v>38478.0</v>
      </c>
      <c r="B117" s="5" t="s">
        <v>0</v>
      </c>
      <c r="C117" s="16">
        <f t="shared" si="92"/>
        <v>15</v>
      </c>
      <c r="D117" s="7">
        <v>21.3002</v>
      </c>
      <c r="E117" s="7">
        <v>-157.882599</v>
      </c>
      <c r="F117" s="5" t="s">
        <v>180</v>
      </c>
      <c r="G117" s="6">
        <v>0.0</v>
      </c>
      <c r="H117" s="6">
        <v>0.041666666666666664</v>
      </c>
      <c r="I117" s="7">
        <v>4.0</v>
      </c>
      <c r="J117" s="7">
        <v>22.0</v>
      </c>
      <c r="K117" s="5" t="s">
        <v>2</v>
      </c>
      <c r="L117" s="7">
        <v>10.0</v>
      </c>
      <c r="M117" s="7">
        <v>38.0</v>
      </c>
      <c r="N117" s="5" t="s">
        <v>193</v>
      </c>
      <c r="O117" s="5"/>
      <c r="P117" s="7">
        <v>38.0</v>
      </c>
      <c r="Q117" s="5"/>
      <c r="R117" s="7">
        <v>30.0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7">
        <v>1.0</v>
      </c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7">
        <v>2.0</v>
      </c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7">
        <v>1.0</v>
      </c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7">
        <v>45.0</v>
      </c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7">
        <v>223.0</v>
      </c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7">
        <v>52.0</v>
      </c>
      <c r="GG117" s="5"/>
      <c r="GH117" s="7">
        <f t="shared" si="86"/>
        <v>7</v>
      </c>
      <c r="GI117" s="7">
        <f t="shared" si="87"/>
        <v>5</v>
      </c>
      <c r="GJ117" s="7">
        <f t="shared" si="88"/>
        <v>4</v>
      </c>
      <c r="GK117" s="7">
        <f t="shared" si="89"/>
        <v>354</v>
      </c>
      <c r="GL117" s="7">
        <f t="shared" si="90"/>
        <v>950</v>
      </c>
      <c r="GM117" s="7">
        <f t="shared" si="91"/>
        <v>596</v>
      </c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</row>
    <row r="118">
      <c r="A118" s="21">
        <v>38479.0</v>
      </c>
      <c r="B118" s="5" t="s">
        <v>85</v>
      </c>
      <c r="C118" s="16">
        <f t="shared" si="92"/>
        <v>16</v>
      </c>
      <c r="D118" s="7">
        <v>21.706499</v>
      </c>
      <c r="E118" s="7">
        <v>-157.998505</v>
      </c>
      <c r="F118" s="5" t="s">
        <v>180</v>
      </c>
      <c r="G118" s="6">
        <v>0.0</v>
      </c>
      <c r="H118" s="6">
        <v>0.041666666666666664</v>
      </c>
      <c r="I118" s="7">
        <v>3.0</v>
      </c>
      <c r="J118" s="7">
        <v>27.0</v>
      </c>
      <c r="K118" s="5" t="s">
        <v>6</v>
      </c>
      <c r="L118" s="7">
        <v>10.0</v>
      </c>
      <c r="M118" s="7">
        <v>22.0</v>
      </c>
      <c r="N118" s="5" t="s">
        <v>194</v>
      </c>
      <c r="O118" s="5"/>
      <c r="P118" s="7">
        <v>22.0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7">
        <v>3.0</v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7">
        <v>4.0</v>
      </c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7">
        <v>12.0</v>
      </c>
      <c r="BX118" s="5"/>
      <c r="BY118" s="5"/>
      <c r="BZ118" s="7">
        <v>5.0</v>
      </c>
      <c r="CA118" s="5"/>
      <c r="CB118" s="5"/>
      <c r="CC118" s="7">
        <v>13.0</v>
      </c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7">
        <v>1.0</v>
      </c>
      <c r="CT118" s="5"/>
      <c r="CU118" s="5"/>
      <c r="CV118" s="5"/>
      <c r="CW118" s="5"/>
      <c r="CX118" s="5"/>
      <c r="CY118" s="5"/>
      <c r="CZ118" s="5"/>
      <c r="DA118" s="5"/>
      <c r="DB118" s="5"/>
      <c r="DC118" s="7">
        <v>4.0</v>
      </c>
      <c r="DD118" s="5"/>
      <c r="DE118" s="5"/>
      <c r="DF118" s="5"/>
      <c r="DG118" s="5"/>
      <c r="DH118" s="5"/>
      <c r="DI118" s="5"/>
      <c r="DJ118" s="5"/>
      <c r="DK118" s="5"/>
      <c r="DL118" s="5"/>
      <c r="DM118" s="7">
        <v>116.0</v>
      </c>
      <c r="DN118" s="5"/>
      <c r="DO118" s="5"/>
      <c r="DP118" s="5"/>
      <c r="DQ118" s="5"/>
      <c r="DR118" s="5"/>
      <c r="DS118" s="5"/>
      <c r="DT118" s="5"/>
      <c r="DU118" s="5"/>
      <c r="DV118" s="7">
        <v>62.0</v>
      </c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7">
        <v>93.0</v>
      </c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7">
        <v>29.0</v>
      </c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7">
        <v>14.0</v>
      </c>
      <c r="FS118" s="7">
        <v>118.0</v>
      </c>
      <c r="FT118" s="5"/>
      <c r="FU118" s="5"/>
      <c r="FV118" s="5"/>
      <c r="FW118" s="5"/>
      <c r="FX118" s="5"/>
      <c r="FY118" s="7">
        <v>14.0</v>
      </c>
      <c r="FZ118" s="5"/>
      <c r="GA118" s="5"/>
      <c r="GB118" s="5"/>
      <c r="GC118" s="5"/>
      <c r="GD118" s="5"/>
      <c r="GE118" s="5"/>
      <c r="GF118" s="7">
        <v>16.0</v>
      </c>
      <c r="GG118" s="5"/>
      <c r="GH118" s="7">
        <f t="shared" si="86"/>
        <v>15</v>
      </c>
      <c r="GI118" s="7">
        <f t="shared" si="87"/>
        <v>14</v>
      </c>
      <c r="GJ118" s="7">
        <f t="shared" si="88"/>
        <v>11</v>
      </c>
      <c r="GK118" s="7">
        <f t="shared" si="89"/>
        <v>504</v>
      </c>
      <c r="GL118" s="7">
        <f t="shared" si="90"/>
        <v>550</v>
      </c>
      <c r="GM118" s="7">
        <f t="shared" si="91"/>
        <v>46</v>
      </c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</row>
    <row r="119">
      <c r="A119" s="21">
        <v>38493.0</v>
      </c>
      <c r="B119" s="5" t="s">
        <v>85</v>
      </c>
      <c r="C119" s="16">
        <f t="shared" si="92"/>
        <v>17</v>
      </c>
      <c r="D119" s="7">
        <v>21.706499</v>
      </c>
      <c r="E119" s="7">
        <v>-157.998505</v>
      </c>
      <c r="F119" s="5" t="s">
        <v>180</v>
      </c>
      <c r="G119" s="6">
        <v>0.0</v>
      </c>
      <c r="H119" s="6">
        <v>0.041666666666666664</v>
      </c>
      <c r="I119" s="7">
        <v>2.0</v>
      </c>
      <c r="J119" s="7">
        <v>27.0</v>
      </c>
      <c r="K119" s="5" t="s">
        <v>6</v>
      </c>
      <c r="L119" s="7">
        <v>10.0</v>
      </c>
      <c r="M119" s="7">
        <v>11.0</v>
      </c>
      <c r="N119" s="2" t="s">
        <v>195</v>
      </c>
      <c r="O119" s="5"/>
      <c r="P119" s="7">
        <v>11.0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7">
        <v>1.0</v>
      </c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7">
        <v>3.0</v>
      </c>
      <c r="BX119" s="5"/>
      <c r="BY119" s="5"/>
      <c r="BZ119" s="7">
        <v>1.0</v>
      </c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7">
        <v>32.0</v>
      </c>
      <c r="DW119" s="5"/>
      <c r="DX119" s="5"/>
      <c r="DY119" s="5"/>
      <c r="DZ119" s="5"/>
      <c r="EA119" s="5"/>
      <c r="EB119" s="5"/>
      <c r="EC119" s="5"/>
      <c r="ED119" s="7">
        <v>1.0</v>
      </c>
      <c r="EE119" s="5"/>
      <c r="EF119" s="5"/>
      <c r="EG119" s="5"/>
      <c r="EH119" s="5"/>
      <c r="EI119" s="5"/>
      <c r="EJ119" s="7">
        <v>55.0</v>
      </c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7">
        <v>13.0</v>
      </c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7">
        <v>1.0</v>
      </c>
      <c r="FS119" s="7">
        <v>103.0</v>
      </c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7">
        <v>4.0</v>
      </c>
      <c r="GG119" s="5"/>
      <c r="GH119" s="7">
        <f t="shared" si="86"/>
        <v>10</v>
      </c>
      <c r="GI119" s="7">
        <f t="shared" si="87"/>
        <v>6</v>
      </c>
      <c r="GJ119" s="7">
        <f t="shared" si="88"/>
        <v>4</v>
      </c>
      <c r="GK119" s="7">
        <f t="shared" si="89"/>
        <v>214</v>
      </c>
      <c r="GL119" s="7">
        <f t="shared" si="90"/>
        <v>275</v>
      </c>
      <c r="GM119" s="7">
        <f t="shared" si="91"/>
        <v>61</v>
      </c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</row>
    <row r="120">
      <c r="A120" s="21">
        <v>38496.0</v>
      </c>
      <c r="B120" s="5" t="s">
        <v>34</v>
      </c>
      <c r="C120" s="16">
        <f t="shared" si="92"/>
        <v>18</v>
      </c>
      <c r="D120" s="7">
        <v>20.7537</v>
      </c>
      <c r="E120" s="7">
        <v>-156.460907</v>
      </c>
      <c r="F120" s="5" t="s">
        <v>180</v>
      </c>
      <c r="G120" s="6">
        <v>0.0</v>
      </c>
      <c r="H120" s="6">
        <v>0.041666666666666664</v>
      </c>
      <c r="I120" s="7">
        <v>5.0</v>
      </c>
      <c r="J120" s="7">
        <v>15.0</v>
      </c>
      <c r="K120" s="5" t="s">
        <v>2</v>
      </c>
      <c r="L120" s="7">
        <v>8.0</v>
      </c>
      <c r="M120" s="7">
        <v>36.0</v>
      </c>
      <c r="N120" s="5" t="s">
        <v>196</v>
      </c>
      <c r="O120" s="5"/>
      <c r="P120" s="7">
        <v>36.0</v>
      </c>
      <c r="Q120" s="5"/>
      <c r="R120" s="7">
        <v>12.0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7">
        <v>8.0</v>
      </c>
      <c r="BI120" s="5"/>
      <c r="BJ120" s="5"/>
      <c r="BK120" s="5"/>
      <c r="BL120" s="5"/>
      <c r="BM120" s="7">
        <v>67.0</v>
      </c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7">
        <v>60.0</v>
      </c>
      <c r="DG120" s="5"/>
      <c r="DH120" s="5"/>
      <c r="DI120" s="5"/>
      <c r="DJ120" s="5"/>
      <c r="DK120" s="5"/>
      <c r="DL120" s="5"/>
      <c r="DM120" s="7">
        <v>15.0</v>
      </c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7">
        <v>1.0</v>
      </c>
      <c r="EJ120" s="7">
        <v>8.0</v>
      </c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7">
        <v>31.0</v>
      </c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7">
        <v>23.0</v>
      </c>
      <c r="FT120" s="7">
        <v>59.0</v>
      </c>
      <c r="FU120" s="5"/>
      <c r="FV120" s="7">
        <v>1.0</v>
      </c>
      <c r="FW120" s="5"/>
      <c r="FX120" s="5"/>
      <c r="FY120" s="5"/>
      <c r="FZ120" s="5"/>
      <c r="GA120" s="5"/>
      <c r="GB120" s="5"/>
      <c r="GC120" s="5"/>
      <c r="GD120" s="5"/>
      <c r="GE120" s="5"/>
      <c r="GF120" s="7">
        <v>2.0</v>
      </c>
      <c r="GG120" s="5"/>
      <c r="GH120" s="7">
        <f t="shared" si="86"/>
        <v>12</v>
      </c>
      <c r="GI120" s="7">
        <f t="shared" si="87"/>
        <v>10</v>
      </c>
      <c r="GJ120" s="7">
        <f t="shared" si="88"/>
        <v>9</v>
      </c>
      <c r="GK120" s="7">
        <f t="shared" si="89"/>
        <v>287</v>
      </c>
      <c r="GL120" s="7">
        <f t="shared" si="90"/>
        <v>900</v>
      </c>
      <c r="GM120" s="7">
        <f t="shared" si="91"/>
        <v>613</v>
      </c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</row>
    <row r="121">
      <c r="A121" s="21">
        <v>38507.0</v>
      </c>
      <c r="B121" s="5" t="s">
        <v>85</v>
      </c>
      <c r="C121" s="16">
        <f t="shared" si="92"/>
        <v>19</v>
      </c>
      <c r="D121" s="7">
        <v>21.706499</v>
      </c>
      <c r="E121" s="7">
        <v>-157.998505</v>
      </c>
      <c r="F121" s="5" t="s">
        <v>180</v>
      </c>
      <c r="G121" s="6">
        <v>0.0</v>
      </c>
      <c r="H121" s="6">
        <v>0.041666666666666664</v>
      </c>
      <c r="I121" s="7">
        <v>3.0</v>
      </c>
      <c r="J121" s="7">
        <v>27.0</v>
      </c>
      <c r="K121" s="5" t="s">
        <v>6</v>
      </c>
      <c r="L121" s="7">
        <v>10.0</v>
      </c>
      <c r="M121" s="7">
        <v>20.0</v>
      </c>
      <c r="N121" s="5" t="s">
        <v>197</v>
      </c>
      <c r="O121" s="5"/>
      <c r="P121" s="7">
        <v>20.0</v>
      </c>
      <c r="Q121" s="5"/>
      <c r="R121" s="7">
        <v>7.0</v>
      </c>
      <c r="S121" s="7">
        <v>1.0</v>
      </c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7">
        <v>11.0</v>
      </c>
      <c r="BC121" s="5"/>
      <c r="BD121" s="5"/>
      <c r="BE121" s="5"/>
      <c r="BF121" s="5"/>
      <c r="BG121" s="5"/>
      <c r="BH121" s="7">
        <v>1.0</v>
      </c>
      <c r="BI121" s="5"/>
      <c r="BJ121" s="5"/>
      <c r="BK121" s="5"/>
      <c r="BL121" s="5"/>
      <c r="BM121" s="7">
        <v>3.0</v>
      </c>
      <c r="BN121" s="5"/>
      <c r="BO121" s="5"/>
      <c r="BP121" s="5"/>
      <c r="BQ121" s="5"/>
      <c r="BR121" s="5"/>
      <c r="BS121" s="5"/>
      <c r="BT121" s="5"/>
      <c r="BU121" s="5"/>
      <c r="BV121" s="5"/>
      <c r="BW121" s="7">
        <v>7.0</v>
      </c>
      <c r="BX121" s="5"/>
      <c r="BY121" s="5"/>
      <c r="BZ121" s="7">
        <v>10.0</v>
      </c>
      <c r="CA121" s="5"/>
      <c r="CB121" s="5"/>
      <c r="CC121" s="7">
        <v>7.0</v>
      </c>
      <c r="CD121" s="7">
        <v>4.0</v>
      </c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7">
        <v>1.0</v>
      </c>
      <c r="CT121" s="5"/>
      <c r="CU121" s="5"/>
      <c r="CV121" s="5"/>
      <c r="CW121" s="7">
        <v>7.0</v>
      </c>
      <c r="CX121" s="5"/>
      <c r="CY121" s="5"/>
      <c r="CZ121" s="5"/>
      <c r="DA121" s="5"/>
      <c r="DB121" s="5"/>
      <c r="DC121" s="7">
        <v>1.0</v>
      </c>
      <c r="DD121" s="5"/>
      <c r="DE121" s="5"/>
      <c r="DF121" s="5"/>
      <c r="DG121" s="5"/>
      <c r="DH121" s="5"/>
      <c r="DI121" s="5"/>
      <c r="DJ121" s="5"/>
      <c r="DK121" s="5"/>
      <c r="DL121" s="5"/>
      <c r="DM121" s="7">
        <v>46.0</v>
      </c>
      <c r="DN121" s="5"/>
      <c r="DO121" s="5"/>
      <c r="DP121" s="5"/>
      <c r="DQ121" s="5"/>
      <c r="DR121" s="5"/>
      <c r="DS121" s="5"/>
      <c r="DT121" s="5"/>
      <c r="DU121" s="5"/>
      <c r="DV121" s="7">
        <v>53.0</v>
      </c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7">
        <v>33.0</v>
      </c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7">
        <v>7.0</v>
      </c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7">
        <v>8.0</v>
      </c>
      <c r="FS121" s="7">
        <v>146.0</v>
      </c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7">
        <v>53.0</v>
      </c>
      <c r="GG121" s="5"/>
      <c r="GH121" s="7">
        <f t="shared" si="86"/>
        <v>19</v>
      </c>
      <c r="GI121" s="7">
        <f t="shared" si="87"/>
        <v>15</v>
      </c>
      <c r="GJ121" s="7">
        <f t="shared" si="88"/>
        <v>13</v>
      </c>
      <c r="GK121" s="7">
        <f t="shared" si="89"/>
        <v>406</v>
      </c>
      <c r="GL121" s="7">
        <f t="shared" si="90"/>
        <v>500</v>
      </c>
      <c r="GM121" s="7">
        <f t="shared" si="91"/>
        <v>94</v>
      </c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</row>
    <row r="122">
      <c r="A122" s="21">
        <v>38824.0</v>
      </c>
      <c r="B122" s="5" t="s">
        <v>21</v>
      </c>
      <c r="C122" s="16">
        <f t="shared" si="92"/>
        <v>20</v>
      </c>
      <c r="D122" s="7">
        <v>21.25544</v>
      </c>
      <c r="E122" s="7">
        <v>-157.810303</v>
      </c>
      <c r="F122" s="5" t="s">
        <v>180</v>
      </c>
      <c r="G122" s="6">
        <v>0.0</v>
      </c>
      <c r="H122" s="6">
        <v>0.041666666666666664</v>
      </c>
      <c r="I122" s="7">
        <v>6.0</v>
      </c>
      <c r="J122" s="7">
        <v>11.0</v>
      </c>
      <c r="K122" s="5" t="s">
        <v>8</v>
      </c>
      <c r="L122" s="7">
        <v>12.0</v>
      </c>
      <c r="M122" s="7">
        <v>53.0</v>
      </c>
      <c r="N122" s="5" t="s">
        <v>198</v>
      </c>
      <c r="O122" s="5"/>
      <c r="P122" s="7">
        <v>53.0</v>
      </c>
      <c r="Q122" s="5"/>
      <c r="R122" s="7">
        <v>4.0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7">
        <v>2.0</v>
      </c>
      <c r="AF122" s="7">
        <v>1.0</v>
      </c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7">
        <v>2.0</v>
      </c>
      <c r="BI122" s="5"/>
      <c r="BJ122" s="5"/>
      <c r="BK122" s="5"/>
      <c r="BL122" s="5"/>
      <c r="BM122" s="5"/>
      <c r="BN122" s="5"/>
      <c r="BO122" s="5"/>
      <c r="BP122" s="5"/>
      <c r="BQ122" s="7">
        <v>10.0</v>
      </c>
      <c r="BR122" s="5"/>
      <c r="BS122" s="5"/>
      <c r="BT122" s="5"/>
      <c r="BU122" s="5"/>
      <c r="BV122" s="5"/>
      <c r="BW122" s="7">
        <v>7.0</v>
      </c>
      <c r="BX122" s="5"/>
      <c r="BY122" s="5"/>
      <c r="BZ122" s="7">
        <v>31.0</v>
      </c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7">
        <v>22.0</v>
      </c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7">
        <v>248.0</v>
      </c>
      <c r="DN122" s="5"/>
      <c r="DO122" s="5"/>
      <c r="DP122" s="7">
        <v>3.0</v>
      </c>
      <c r="DQ122" s="5"/>
      <c r="DR122" s="5"/>
      <c r="DS122" s="5"/>
      <c r="DT122" s="5"/>
      <c r="DU122" s="5"/>
      <c r="DV122" s="5"/>
      <c r="DW122" s="5"/>
      <c r="DX122" s="5"/>
      <c r="DY122" s="5"/>
      <c r="DZ122" s="7">
        <v>2.0</v>
      </c>
      <c r="EA122" s="5"/>
      <c r="EB122" s="5"/>
      <c r="EC122" s="5"/>
      <c r="ED122" s="5"/>
      <c r="EE122" s="5"/>
      <c r="EF122" s="5"/>
      <c r="EG122" s="5"/>
      <c r="EH122" s="5"/>
      <c r="EI122" s="5"/>
      <c r="EJ122" s="7">
        <v>188.0</v>
      </c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7">
        <v>193.0</v>
      </c>
      <c r="FC122" s="7">
        <v>6.0</v>
      </c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7">
        <v>3.0</v>
      </c>
      <c r="FS122" s="7">
        <v>86.0</v>
      </c>
      <c r="FT122" s="5"/>
      <c r="FU122" s="7">
        <v>15.0</v>
      </c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7">
        <v>25.0</v>
      </c>
      <c r="GG122" s="5"/>
      <c r="GH122" s="7">
        <f t="shared" si="86"/>
        <v>18</v>
      </c>
      <c r="GI122" s="7">
        <f t="shared" si="87"/>
        <v>17</v>
      </c>
      <c r="GJ122" s="7">
        <f t="shared" si="88"/>
        <v>11</v>
      </c>
      <c r="GK122" s="7">
        <f t="shared" si="89"/>
        <v>848</v>
      </c>
      <c r="GL122" s="7">
        <f t="shared" si="90"/>
        <v>1325</v>
      </c>
      <c r="GM122" s="7">
        <f t="shared" si="91"/>
        <v>477</v>
      </c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</row>
    <row r="123">
      <c r="A123" s="21">
        <v>38824.0</v>
      </c>
      <c r="B123" s="5" t="s">
        <v>146</v>
      </c>
      <c r="C123" s="16">
        <f t="shared" si="92"/>
        <v>21</v>
      </c>
      <c r="D123" s="7">
        <v>21.066799</v>
      </c>
      <c r="E123" s="7">
        <v>-156.804993</v>
      </c>
      <c r="F123" s="5" t="s">
        <v>180</v>
      </c>
      <c r="G123" s="6">
        <v>0.0</v>
      </c>
      <c r="H123" s="6">
        <v>0.041666666666666664</v>
      </c>
      <c r="I123" s="7">
        <v>3.0</v>
      </c>
      <c r="J123" s="7">
        <v>27.0</v>
      </c>
      <c r="K123" s="5" t="s">
        <v>6</v>
      </c>
      <c r="L123" s="7">
        <v>10.0</v>
      </c>
      <c r="M123" s="7">
        <v>29.0</v>
      </c>
      <c r="N123" s="5" t="s">
        <v>199</v>
      </c>
      <c r="O123" s="5"/>
      <c r="P123" s="7">
        <v>29.0</v>
      </c>
      <c r="Q123" s="5"/>
      <c r="R123" s="7">
        <v>97.0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7">
        <v>102.0</v>
      </c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7">
        <v>4.0</v>
      </c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7">
        <v>3.0</v>
      </c>
      <c r="BZ123" s="5"/>
      <c r="CA123" s="5"/>
      <c r="CB123" s="5"/>
      <c r="CC123" s="5"/>
      <c r="CD123" s="5"/>
      <c r="CE123" s="5"/>
      <c r="CF123" s="5"/>
      <c r="CG123" s="7">
        <v>1.0</v>
      </c>
      <c r="CH123" s="5"/>
      <c r="CI123" s="5"/>
      <c r="CJ123" s="5"/>
      <c r="CK123" s="5"/>
      <c r="CL123" s="5"/>
      <c r="CM123" s="5"/>
      <c r="CN123" s="5"/>
      <c r="CO123" s="7">
        <v>1.0</v>
      </c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7">
        <v>5.0</v>
      </c>
      <c r="DE123" s="5"/>
      <c r="DF123" s="5"/>
      <c r="DG123" s="5"/>
      <c r="DH123" s="5"/>
      <c r="DI123" s="5"/>
      <c r="DJ123" s="5"/>
      <c r="DK123" s="5"/>
      <c r="DL123" s="5"/>
      <c r="DM123" s="7">
        <v>18.0</v>
      </c>
      <c r="DN123" s="5"/>
      <c r="DO123" s="5"/>
      <c r="DP123" s="5"/>
      <c r="DQ123" s="5"/>
      <c r="DR123" s="5"/>
      <c r="DS123" s="7">
        <v>129.0</v>
      </c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7">
        <v>1.0</v>
      </c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7">
        <v>17.0</v>
      </c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7">
        <v>2.0</v>
      </c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7">
        <f t="shared" si="86"/>
        <v>12</v>
      </c>
      <c r="GI123" s="7">
        <f t="shared" si="87"/>
        <v>9</v>
      </c>
      <c r="GJ123" s="7">
        <f t="shared" si="88"/>
        <v>6</v>
      </c>
      <c r="GK123" s="7">
        <f t="shared" si="89"/>
        <v>380</v>
      </c>
      <c r="GL123" s="7">
        <f t="shared" si="90"/>
        <v>725</v>
      </c>
      <c r="GM123" s="7">
        <f t="shared" si="91"/>
        <v>345</v>
      </c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</row>
    <row r="124">
      <c r="A124" s="21">
        <v>38825.0</v>
      </c>
      <c r="B124" s="5" t="s">
        <v>34</v>
      </c>
      <c r="C124" s="16">
        <f t="shared" si="92"/>
        <v>22</v>
      </c>
      <c r="D124" s="7">
        <v>20.7537</v>
      </c>
      <c r="E124" s="7">
        <v>-156.460907</v>
      </c>
      <c r="F124" s="5" t="s">
        <v>180</v>
      </c>
      <c r="G124" s="6">
        <v>0.0</v>
      </c>
      <c r="H124" s="6">
        <v>0.041666666666666664</v>
      </c>
      <c r="I124" s="7">
        <v>5.0</v>
      </c>
      <c r="J124" s="7">
        <v>22.0</v>
      </c>
      <c r="K124" s="5" t="s">
        <v>2</v>
      </c>
      <c r="L124" s="7">
        <v>14.0</v>
      </c>
      <c r="M124" s="7">
        <v>42.0</v>
      </c>
      <c r="N124" s="5" t="s">
        <v>200</v>
      </c>
      <c r="O124" s="5"/>
      <c r="P124" s="7">
        <v>42.0</v>
      </c>
      <c r="Q124" s="5"/>
      <c r="R124" s="7">
        <v>31.0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7">
        <v>24.0</v>
      </c>
      <c r="BL124" s="5"/>
      <c r="BM124" s="7">
        <v>109.0</v>
      </c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7">
        <v>1.0</v>
      </c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7">
        <v>23.0</v>
      </c>
      <c r="DG124" s="5"/>
      <c r="DH124" s="5"/>
      <c r="DI124" s="5"/>
      <c r="DJ124" s="5"/>
      <c r="DK124" s="5"/>
      <c r="DL124" s="5"/>
      <c r="DM124" s="7">
        <v>2.0</v>
      </c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7">
        <v>2.0</v>
      </c>
      <c r="EE124" s="5"/>
      <c r="EF124" s="5"/>
      <c r="EG124" s="5"/>
      <c r="EH124" s="5"/>
      <c r="EI124" s="5"/>
      <c r="EJ124" s="7">
        <v>9.0</v>
      </c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7">
        <v>14.0</v>
      </c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7">
        <v>3.0</v>
      </c>
      <c r="FO124" s="5"/>
      <c r="FP124" s="5"/>
      <c r="FQ124" s="5"/>
      <c r="FR124" s="5"/>
      <c r="FS124" s="7">
        <v>12.0</v>
      </c>
      <c r="FT124" s="7">
        <v>57.0</v>
      </c>
      <c r="FU124" s="5"/>
      <c r="FV124" s="7">
        <v>2.0</v>
      </c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7">
        <f t="shared" si="86"/>
        <v>13</v>
      </c>
      <c r="GI124" s="7">
        <f t="shared" si="87"/>
        <v>12</v>
      </c>
      <c r="GJ124" s="7">
        <f t="shared" si="88"/>
        <v>8</v>
      </c>
      <c r="GK124" s="7">
        <f t="shared" si="89"/>
        <v>289</v>
      </c>
      <c r="GL124" s="7">
        <f t="shared" si="90"/>
        <v>1050</v>
      </c>
      <c r="GM124" s="7">
        <f t="shared" si="91"/>
        <v>761</v>
      </c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</row>
    <row r="125">
      <c r="A125" s="21">
        <v>38834.0</v>
      </c>
      <c r="B125" s="5" t="s">
        <v>140</v>
      </c>
      <c r="C125" s="16">
        <f t="shared" si="92"/>
        <v>23</v>
      </c>
      <c r="D125" s="7">
        <v>21.295799</v>
      </c>
      <c r="E125" s="7">
        <v>-158.103699</v>
      </c>
      <c r="F125" s="5" t="s">
        <v>180</v>
      </c>
      <c r="G125" s="6">
        <v>0.0</v>
      </c>
      <c r="H125" s="6">
        <v>0.041666666666666664</v>
      </c>
      <c r="I125" s="7">
        <v>4.0</v>
      </c>
      <c r="J125" s="7">
        <v>25.0</v>
      </c>
      <c r="K125" s="5" t="s">
        <v>201</v>
      </c>
      <c r="L125" s="7">
        <v>5.0</v>
      </c>
      <c r="M125" s="7">
        <v>16.0</v>
      </c>
      <c r="N125" s="5" t="s">
        <v>202</v>
      </c>
      <c r="O125" s="5"/>
      <c r="P125" s="7">
        <v>16.0</v>
      </c>
      <c r="Q125" s="5"/>
      <c r="R125" s="7">
        <v>5.0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7">
        <v>1.0</v>
      </c>
      <c r="BE125" s="5"/>
      <c r="BF125" s="5"/>
      <c r="BG125" s="5"/>
      <c r="BH125" s="5"/>
      <c r="BI125" s="5"/>
      <c r="BJ125" s="5"/>
      <c r="BK125" s="5"/>
      <c r="BL125" s="5"/>
      <c r="BM125" s="7">
        <v>1.0</v>
      </c>
      <c r="BN125" s="5"/>
      <c r="BO125" s="5"/>
      <c r="BP125" s="5"/>
      <c r="BQ125" s="7">
        <v>25.0</v>
      </c>
      <c r="BR125" s="5"/>
      <c r="BS125" s="5"/>
      <c r="BT125" s="5"/>
      <c r="BU125" s="7">
        <v>8.0</v>
      </c>
      <c r="BV125" s="5"/>
      <c r="BW125" s="7">
        <v>3.0</v>
      </c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7">
        <v>2.0</v>
      </c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7">
        <v>1.0</v>
      </c>
      <c r="ED125" s="7">
        <v>1.0</v>
      </c>
      <c r="EE125" s="5"/>
      <c r="EF125" s="5"/>
      <c r="EG125" s="5"/>
      <c r="EH125" s="5"/>
      <c r="EI125" s="5"/>
      <c r="EJ125" s="7">
        <v>134.0</v>
      </c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7">
        <v>1.0</v>
      </c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7">
        <v>8.0</v>
      </c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7">
        <f t="shared" si="86"/>
        <v>12</v>
      </c>
      <c r="GI125" s="7">
        <f t="shared" si="87"/>
        <v>7</v>
      </c>
      <c r="GJ125" s="7">
        <f t="shared" si="88"/>
        <v>5</v>
      </c>
      <c r="GK125" s="7">
        <f t="shared" si="89"/>
        <v>190</v>
      </c>
      <c r="GL125" s="7">
        <f t="shared" si="90"/>
        <v>400</v>
      </c>
      <c r="GM125" s="7">
        <f t="shared" si="91"/>
        <v>210</v>
      </c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</row>
    <row r="126">
      <c r="A126" s="21">
        <v>38835.0</v>
      </c>
      <c r="B126" s="5" t="s">
        <v>0</v>
      </c>
      <c r="C126" s="16">
        <f t="shared" si="92"/>
        <v>24</v>
      </c>
      <c r="D126" s="7">
        <v>21.3002</v>
      </c>
      <c r="E126" s="7">
        <v>-157.882599</v>
      </c>
      <c r="F126" s="5" t="s">
        <v>180</v>
      </c>
      <c r="G126" s="6">
        <v>0.0</v>
      </c>
      <c r="H126" s="6">
        <v>0.041666666666666664</v>
      </c>
      <c r="I126" s="7">
        <v>3.0</v>
      </c>
      <c r="J126" s="7">
        <v>25.0</v>
      </c>
      <c r="K126" s="5" t="s">
        <v>201</v>
      </c>
      <c r="L126" s="7">
        <v>5.0</v>
      </c>
      <c r="M126" s="7">
        <v>10.0</v>
      </c>
      <c r="N126" s="5" t="s">
        <v>203</v>
      </c>
      <c r="O126" s="5"/>
      <c r="P126" s="7">
        <v>10.0</v>
      </c>
      <c r="Q126" s="5"/>
      <c r="R126" s="7">
        <v>1.0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7">
        <v>1.0</v>
      </c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7">
        <v>1.0</v>
      </c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7">
        <v>7.0</v>
      </c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7">
        <v>21.0</v>
      </c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7">
        <v>1.0</v>
      </c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7">
        <v>2.0</v>
      </c>
      <c r="GG126" s="5"/>
      <c r="GH126" s="7">
        <f t="shared" si="86"/>
        <v>7</v>
      </c>
      <c r="GI126" s="7">
        <f t="shared" si="87"/>
        <v>3</v>
      </c>
      <c r="GJ126" s="7">
        <f t="shared" si="88"/>
        <v>2</v>
      </c>
      <c r="GK126" s="7">
        <f t="shared" si="89"/>
        <v>34</v>
      </c>
      <c r="GL126" s="7">
        <f t="shared" si="90"/>
        <v>250</v>
      </c>
      <c r="GM126" s="7">
        <f t="shared" si="91"/>
        <v>216</v>
      </c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</row>
    <row r="127">
      <c r="A127" s="21">
        <v>38838.0</v>
      </c>
      <c r="B127" s="5" t="s">
        <v>150</v>
      </c>
      <c r="C127" s="16">
        <f t="shared" si="92"/>
        <v>25</v>
      </c>
      <c r="D127" s="7">
        <v>21.1059</v>
      </c>
      <c r="E127" s="7">
        <v>-156.746094</v>
      </c>
      <c r="F127" s="5" t="s">
        <v>180</v>
      </c>
      <c r="G127" s="6">
        <v>0.0</v>
      </c>
      <c r="H127" s="6">
        <v>0.041666666666666664</v>
      </c>
      <c r="I127" s="7">
        <v>3.0</v>
      </c>
      <c r="J127" s="7">
        <v>27.0</v>
      </c>
      <c r="K127" s="5" t="s">
        <v>6</v>
      </c>
      <c r="L127" s="7">
        <v>10.0</v>
      </c>
      <c r="M127" s="7">
        <v>27.0</v>
      </c>
      <c r="N127" s="5" t="s">
        <v>204</v>
      </c>
      <c r="O127" s="5"/>
      <c r="P127" s="7">
        <v>27.0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7">
        <v>22.0</v>
      </c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7">
        <v>12.0</v>
      </c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7">
        <v>9.0</v>
      </c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7">
        <v>1.0</v>
      </c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7">
        <v>40.0</v>
      </c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7">
        <v>322.0</v>
      </c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7">
        <f t="shared" si="86"/>
        <v>6</v>
      </c>
      <c r="GI127" s="7">
        <f t="shared" si="87"/>
        <v>5</v>
      </c>
      <c r="GJ127" s="7">
        <f t="shared" si="88"/>
        <v>5</v>
      </c>
      <c r="GK127" s="7">
        <f t="shared" si="89"/>
        <v>406</v>
      </c>
      <c r="GL127" s="7">
        <f t="shared" si="90"/>
        <v>675</v>
      </c>
      <c r="GM127" s="7">
        <f t="shared" si="91"/>
        <v>269</v>
      </c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</row>
    <row r="128">
      <c r="A128" s="21">
        <v>38849.0</v>
      </c>
      <c r="B128" s="5" t="s">
        <v>140</v>
      </c>
      <c r="C128" s="16">
        <f t="shared" si="92"/>
        <v>26</v>
      </c>
      <c r="D128" s="7">
        <v>21.295799</v>
      </c>
      <c r="E128" s="7">
        <v>-158.103699</v>
      </c>
      <c r="F128" s="5" t="s">
        <v>180</v>
      </c>
      <c r="G128" s="6">
        <v>0.0</v>
      </c>
      <c r="H128" s="6">
        <v>0.041666666666666664</v>
      </c>
      <c r="I128" s="7">
        <v>4.0</v>
      </c>
      <c r="J128" s="7">
        <v>25.0</v>
      </c>
      <c r="K128" s="5" t="s">
        <v>201</v>
      </c>
      <c r="L128" s="7">
        <v>5.0</v>
      </c>
      <c r="M128" s="7">
        <v>14.0</v>
      </c>
      <c r="N128" s="5" t="s">
        <v>205</v>
      </c>
      <c r="O128" s="5"/>
      <c r="P128" s="7">
        <v>14.0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7">
        <v>3.0</v>
      </c>
      <c r="AE128" s="5"/>
      <c r="AF128" s="5"/>
      <c r="AG128" s="5"/>
      <c r="AH128" s="5"/>
      <c r="AI128" s="5"/>
      <c r="AJ128" s="5"/>
      <c r="AK128" s="5"/>
      <c r="AL128" s="5"/>
      <c r="AM128" s="7">
        <v>6.0</v>
      </c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7">
        <v>5.0</v>
      </c>
      <c r="BR128" s="5"/>
      <c r="BS128" s="5"/>
      <c r="BT128" s="5"/>
      <c r="BU128" s="5"/>
      <c r="BV128" s="5"/>
      <c r="BW128" s="7">
        <v>13.0</v>
      </c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7">
        <v>1.0</v>
      </c>
      <c r="DI128" s="5"/>
      <c r="DJ128" s="5"/>
      <c r="DK128" s="5"/>
      <c r="DL128" s="5"/>
      <c r="DM128" s="7">
        <v>20.0</v>
      </c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7">
        <v>1.0</v>
      </c>
      <c r="ED128" s="5"/>
      <c r="EE128" s="5"/>
      <c r="EF128" s="5"/>
      <c r="EG128" s="5"/>
      <c r="EH128" s="5"/>
      <c r="EI128" s="5"/>
      <c r="EJ128" s="7">
        <v>216.0</v>
      </c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7">
        <v>1.0</v>
      </c>
      <c r="EW128" s="5"/>
      <c r="EX128" s="5"/>
      <c r="EY128" s="5"/>
      <c r="EZ128" s="5"/>
      <c r="FA128" s="5"/>
      <c r="FB128" s="7">
        <v>27.0</v>
      </c>
      <c r="FC128" s="7">
        <v>1.0</v>
      </c>
      <c r="FD128" s="5"/>
      <c r="FE128" s="5"/>
      <c r="FF128" s="5"/>
      <c r="FG128" s="5"/>
      <c r="FH128" s="5"/>
      <c r="FI128" s="5"/>
      <c r="FJ128" s="5"/>
      <c r="FK128" s="5"/>
      <c r="FL128" s="5"/>
      <c r="FM128" s="7">
        <v>8.0</v>
      </c>
      <c r="FN128" s="5"/>
      <c r="FO128" s="5"/>
      <c r="FP128" s="5"/>
      <c r="FQ128" s="5"/>
      <c r="FR128" s="5"/>
      <c r="FS128" s="7">
        <v>38.0</v>
      </c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7">
        <v>1.0</v>
      </c>
      <c r="GG128" s="5"/>
      <c r="GH128" s="7">
        <f t="shared" si="86"/>
        <v>14</v>
      </c>
      <c r="GI128" s="7">
        <f t="shared" si="87"/>
        <v>9</v>
      </c>
      <c r="GJ128" s="7">
        <f t="shared" si="88"/>
        <v>8</v>
      </c>
      <c r="GK128" s="7">
        <f t="shared" si="89"/>
        <v>341</v>
      </c>
      <c r="GL128" s="7">
        <f t="shared" si="90"/>
        <v>350</v>
      </c>
      <c r="GM128" s="7">
        <f t="shared" si="91"/>
        <v>9</v>
      </c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</row>
    <row r="129">
      <c r="A129" s="21">
        <v>38852.0</v>
      </c>
      <c r="B129" s="5" t="s">
        <v>0</v>
      </c>
      <c r="C129" s="16">
        <f t="shared" si="92"/>
        <v>27</v>
      </c>
      <c r="D129" s="7">
        <v>21.3002</v>
      </c>
      <c r="E129" s="7">
        <v>-157.882599</v>
      </c>
      <c r="F129" s="5" t="s">
        <v>180</v>
      </c>
      <c r="G129" s="6">
        <v>0.0</v>
      </c>
      <c r="H129" s="6">
        <v>0.041666666666666664</v>
      </c>
      <c r="I129" s="7">
        <v>7.0</v>
      </c>
      <c r="J129" s="7">
        <v>25.0</v>
      </c>
      <c r="K129" s="5" t="s">
        <v>201</v>
      </c>
      <c r="L129" s="7">
        <v>5.0</v>
      </c>
      <c r="M129" s="7">
        <v>23.0</v>
      </c>
      <c r="N129" s="5" t="s">
        <v>206</v>
      </c>
      <c r="O129" s="5"/>
      <c r="P129" s="7">
        <v>23.0</v>
      </c>
      <c r="Q129" s="5"/>
      <c r="R129" s="7">
        <v>4.0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7">
        <v>3.0</v>
      </c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7">
        <v>1.0</v>
      </c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7">
        <v>11.0</v>
      </c>
      <c r="BR129" s="5"/>
      <c r="BS129" s="5"/>
      <c r="BT129" s="5"/>
      <c r="BU129" s="5"/>
      <c r="BV129" s="5"/>
      <c r="BW129" s="7">
        <v>1.0</v>
      </c>
      <c r="BX129" s="5"/>
      <c r="BY129" s="5"/>
      <c r="BZ129" s="5"/>
      <c r="CA129" s="5"/>
      <c r="CB129" s="5"/>
      <c r="CC129" s="5"/>
      <c r="CD129" s="7">
        <v>2.0</v>
      </c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7">
        <v>3.0</v>
      </c>
      <c r="DN129" s="5"/>
      <c r="DO129" s="7">
        <v>2.0</v>
      </c>
      <c r="DP129" s="5"/>
      <c r="DQ129" s="5"/>
      <c r="DR129" s="5"/>
      <c r="DS129" s="7">
        <v>6.0</v>
      </c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7">
        <v>60.0</v>
      </c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7">
        <v>11.0</v>
      </c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7">
        <v>46.0</v>
      </c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7">
        <f t="shared" si="86"/>
        <v>12</v>
      </c>
      <c r="GI129" s="7">
        <f t="shared" si="87"/>
        <v>10</v>
      </c>
      <c r="GJ129" s="7">
        <f t="shared" si="88"/>
        <v>5</v>
      </c>
      <c r="GK129" s="7">
        <f t="shared" si="89"/>
        <v>150</v>
      </c>
      <c r="GL129" s="7">
        <f t="shared" si="90"/>
        <v>575</v>
      </c>
      <c r="GM129" s="7">
        <f t="shared" si="91"/>
        <v>425</v>
      </c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</row>
    <row r="130">
      <c r="A130" s="21">
        <v>38853.0</v>
      </c>
      <c r="B130" s="5" t="s">
        <v>37</v>
      </c>
      <c r="C130" s="16">
        <f t="shared" si="92"/>
        <v>28</v>
      </c>
      <c r="D130" s="7">
        <v>21.310612</v>
      </c>
      <c r="E130" s="7">
        <v>-158.00441</v>
      </c>
      <c r="F130" s="5" t="s">
        <v>180</v>
      </c>
      <c r="G130" s="6">
        <v>0.0</v>
      </c>
      <c r="H130" s="6">
        <v>0.041666666666666664</v>
      </c>
      <c r="I130" s="7">
        <v>4.0</v>
      </c>
      <c r="J130" s="7">
        <v>20.0</v>
      </c>
      <c r="K130" s="5" t="s">
        <v>207</v>
      </c>
      <c r="L130" s="7">
        <v>5.0</v>
      </c>
      <c r="M130" s="7">
        <v>4.0</v>
      </c>
      <c r="N130" s="7">
        <v>4.0</v>
      </c>
      <c r="O130" s="5"/>
      <c r="P130" s="7">
        <v>4.0</v>
      </c>
      <c r="Q130" s="5"/>
      <c r="R130" s="7">
        <v>12.0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7">
        <v>1.0</v>
      </c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7">
        <v>2.0</v>
      </c>
      <c r="BN130" s="5"/>
      <c r="BO130" s="5"/>
      <c r="BP130" s="5"/>
      <c r="BQ130" s="7">
        <v>14.0</v>
      </c>
      <c r="BR130" s="5"/>
      <c r="BS130" s="5"/>
      <c r="BT130" s="5"/>
      <c r="BU130" s="7">
        <v>20.0</v>
      </c>
      <c r="BV130" s="5"/>
      <c r="BW130" s="5"/>
      <c r="BX130" s="7">
        <v>27.0</v>
      </c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7">
        <v>4.0</v>
      </c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7">
        <v>4.0</v>
      </c>
      <c r="DE130" s="5"/>
      <c r="DF130" s="5"/>
      <c r="DG130" s="5"/>
      <c r="DH130" s="5"/>
      <c r="DI130" s="5"/>
      <c r="DJ130" s="5"/>
      <c r="DK130" s="5"/>
      <c r="DL130" s="5"/>
      <c r="DM130" s="7">
        <v>14.0</v>
      </c>
      <c r="DN130" s="5"/>
      <c r="DO130" s="5"/>
      <c r="DP130" s="5"/>
      <c r="DQ130" s="5"/>
      <c r="DR130" s="5"/>
      <c r="DS130" s="5"/>
      <c r="DT130" s="5"/>
      <c r="DU130" s="5"/>
      <c r="DV130" s="7">
        <v>5.0</v>
      </c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7">
        <v>4.0</v>
      </c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7">
        <v>7.0</v>
      </c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7">
        <v>6.0</v>
      </c>
      <c r="FS130" s="7">
        <v>18.0</v>
      </c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7">
        <f t="shared" si="86"/>
        <v>14</v>
      </c>
      <c r="GI130" s="7">
        <f t="shared" si="87"/>
        <v>13</v>
      </c>
      <c r="GJ130" s="7">
        <f t="shared" si="88"/>
        <v>9</v>
      </c>
      <c r="GK130" s="7">
        <f t="shared" si="89"/>
        <v>138</v>
      </c>
      <c r="GL130" s="7">
        <f t="shared" si="90"/>
        <v>100</v>
      </c>
      <c r="GM130" s="7">
        <f t="shared" si="91"/>
        <v>-38</v>
      </c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</row>
    <row r="131">
      <c r="A131" s="21">
        <v>38854.0</v>
      </c>
      <c r="B131" s="5" t="s">
        <v>43</v>
      </c>
      <c r="C131" s="16">
        <f t="shared" si="92"/>
        <v>29</v>
      </c>
      <c r="D131" s="7">
        <v>21.2882</v>
      </c>
      <c r="E131" s="7">
        <v>-157.667999</v>
      </c>
      <c r="F131" s="5" t="s">
        <v>180</v>
      </c>
      <c r="G131" s="6">
        <v>0.0</v>
      </c>
      <c r="H131" s="6">
        <v>0.041666666666666664</v>
      </c>
      <c r="I131" s="7">
        <v>3.0</v>
      </c>
      <c r="J131" s="7">
        <v>20.0</v>
      </c>
      <c r="K131" s="5" t="s">
        <v>207</v>
      </c>
      <c r="L131" s="7">
        <v>5.0</v>
      </c>
      <c r="M131" s="7">
        <v>4.0</v>
      </c>
      <c r="N131" s="7">
        <v>4.0</v>
      </c>
      <c r="O131" s="5"/>
      <c r="P131" s="7">
        <v>4.0</v>
      </c>
      <c r="Q131" s="5"/>
      <c r="R131" s="7">
        <v>1.0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7">
        <v>1.0</v>
      </c>
      <c r="BI131" s="5"/>
      <c r="BJ131" s="5"/>
      <c r="BK131" s="7">
        <v>2.0</v>
      </c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7">
        <v>3.0</v>
      </c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7">
        <v>6.0</v>
      </c>
      <c r="CK131" s="5"/>
      <c r="CL131" s="5"/>
      <c r="CM131" s="5"/>
      <c r="CN131" s="5"/>
      <c r="CO131" s="7">
        <v>3.0</v>
      </c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7">
        <v>6.0</v>
      </c>
      <c r="DN131" s="5"/>
      <c r="DO131" s="7">
        <v>3.0</v>
      </c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7">
        <v>1.0</v>
      </c>
      <c r="EA131" s="5"/>
      <c r="EB131" s="5"/>
      <c r="EC131" s="5"/>
      <c r="ED131" s="5"/>
      <c r="EE131" s="5"/>
      <c r="EF131" s="5"/>
      <c r="EG131" s="5"/>
      <c r="EH131" s="5"/>
      <c r="EI131" s="5"/>
      <c r="EJ131" s="7">
        <v>8.0</v>
      </c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7">
        <v>10.0</v>
      </c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7">
        <v>1.0</v>
      </c>
      <c r="FS131" s="7">
        <v>34.0</v>
      </c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7">
        <f t="shared" si="86"/>
        <v>13</v>
      </c>
      <c r="GI131" s="7">
        <f t="shared" si="87"/>
        <v>9</v>
      </c>
      <c r="GJ131" s="7">
        <f t="shared" si="88"/>
        <v>5</v>
      </c>
      <c r="GK131" s="7">
        <f t="shared" si="89"/>
        <v>79</v>
      </c>
      <c r="GL131" s="7">
        <f t="shared" si="90"/>
        <v>100</v>
      </c>
      <c r="GM131" s="7">
        <f t="shared" si="91"/>
        <v>21</v>
      </c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</row>
    <row r="132">
      <c r="A132" s="21">
        <v>39177.0</v>
      </c>
      <c r="B132" s="5" t="s">
        <v>208</v>
      </c>
      <c r="C132" s="16">
        <f t="shared" si="92"/>
        <v>30</v>
      </c>
      <c r="D132" s="7">
        <v>19.488199</v>
      </c>
      <c r="E132" s="7">
        <v>-154.819305</v>
      </c>
      <c r="F132" s="5" t="s">
        <v>180</v>
      </c>
      <c r="G132" s="6">
        <v>0.0</v>
      </c>
      <c r="H132" s="6">
        <v>0.041666666666666664</v>
      </c>
      <c r="I132" s="7">
        <v>4.0</v>
      </c>
      <c r="J132" s="7">
        <v>20.0</v>
      </c>
      <c r="K132" s="5" t="s">
        <v>207</v>
      </c>
      <c r="L132" s="7">
        <v>5.0</v>
      </c>
      <c r="M132" s="7">
        <v>13.0</v>
      </c>
      <c r="N132" s="5" t="s">
        <v>209</v>
      </c>
      <c r="O132" s="5"/>
      <c r="P132" s="7">
        <v>13.0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7">
        <v>10.0</v>
      </c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7">
        <v>1.0</v>
      </c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7">
        <v>9.0</v>
      </c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7">
        <v>94.0</v>
      </c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7">
        <v>1.0</v>
      </c>
      <c r="FN132" s="5"/>
      <c r="FO132" s="5"/>
      <c r="FP132" s="5"/>
      <c r="FQ132" s="5"/>
      <c r="FR132" s="5"/>
      <c r="FS132" s="7">
        <v>131.0</v>
      </c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7">
        <v>1.0</v>
      </c>
      <c r="GG132" s="5"/>
      <c r="GH132" s="7">
        <f t="shared" si="86"/>
        <v>7</v>
      </c>
      <c r="GI132" s="7">
        <f t="shared" si="87"/>
        <v>4</v>
      </c>
      <c r="GJ132" s="7">
        <f t="shared" si="88"/>
        <v>4</v>
      </c>
      <c r="GK132" s="7">
        <f t="shared" si="89"/>
        <v>247</v>
      </c>
      <c r="GL132" s="7">
        <f t="shared" si="90"/>
        <v>325</v>
      </c>
      <c r="GM132" s="7">
        <f t="shared" si="91"/>
        <v>78</v>
      </c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</row>
    <row r="133">
      <c r="A133" s="21">
        <v>39190.0</v>
      </c>
      <c r="B133" s="5" t="s">
        <v>21</v>
      </c>
      <c r="C133" s="16">
        <f t="shared" si="92"/>
        <v>31</v>
      </c>
      <c r="D133" s="7">
        <v>21.25544</v>
      </c>
      <c r="E133" s="7">
        <v>-157.810303</v>
      </c>
      <c r="F133" s="5" t="s">
        <v>180</v>
      </c>
      <c r="G133" s="6">
        <v>0.0</v>
      </c>
      <c r="H133" s="6">
        <v>0.041666666666666664</v>
      </c>
      <c r="I133" s="7">
        <v>7.0</v>
      </c>
      <c r="J133" s="7">
        <v>11.0</v>
      </c>
      <c r="K133" s="5" t="s">
        <v>8</v>
      </c>
      <c r="L133" s="7">
        <v>12.0</v>
      </c>
      <c r="M133" s="7">
        <v>74.0</v>
      </c>
      <c r="N133" s="30" t="s">
        <v>210</v>
      </c>
      <c r="O133" s="5"/>
      <c r="P133" s="7">
        <v>74.0</v>
      </c>
      <c r="Q133" s="5"/>
      <c r="R133" s="7">
        <v>175.0</v>
      </c>
      <c r="S133" s="5"/>
      <c r="T133" s="5"/>
      <c r="U133" s="5"/>
      <c r="V133" s="5"/>
      <c r="W133" s="5"/>
      <c r="X133" s="5"/>
      <c r="Y133" s="7">
        <v>1.0</v>
      </c>
      <c r="Z133" s="5"/>
      <c r="AA133" s="5"/>
      <c r="AB133" s="5"/>
      <c r="AC133" s="5"/>
      <c r="AD133" s="5"/>
      <c r="AE133" s="5"/>
      <c r="AF133" s="7">
        <v>1.0</v>
      </c>
      <c r="AG133" s="5"/>
      <c r="AH133" s="5"/>
      <c r="AI133" s="5"/>
      <c r="AJ133" s="5"/>
      <c r="AK133" s="5"/>
      <c r="AL133" s="5"/>
      <c r="AM133" s="7">
        <v>9.0</v>
      </c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7">
        <v>25.0</v>
      </c>
      <c r="BA133" s="5"/>
      <c r="BB133" s="7">
        <v>18.0</v>
      </c>
      <c r="BC133" s="5"/>
      <c r="BD133" s="5"/>
      <c r="BE133" s="5"/>
      <c r="BF133" s="7">
        <v>1.0</v>
      </c>
      <c r="BG133" s="5"/>
      <c r="BH133" s="5"/>
      <c r="BI133" s="5"/>
      <c r="BJ133" s="5"/>
      <c r="BK133" s="5"/>
      <c r="BL133" s="5"/>
      <c r="BM133" s="7">
        <v>16.0</v>
      </c>
      <c r="BN133" s="5"/>
      <c r="BO133" s="5"/>
      <c r="BP133" s="5"/>
      <c r="BQ133" s="7">
        <v>58.0</v>
      </c>
      <c r="BR133" s="5"/>
      <c r="BS133" s="5"/>
      <c r="BT133" s="7">
        <v>7.0</v>
      </c>
      <c r="BU133" s="7">
        <v>3.0</v>
      </c>
      <c r="BV133" s="5"/>
      <c r="BW133" s="7">
        <v>4.0</v>
      </c>
      <c r="BX133" s="7">
        <v>10.0</v>
      </c>
      <c r="BY133" s="7">
        <v>1.0</v>
      </c>
      <c r="BZ133" s="5"/>
      <c r="CA133" s="5"/>
      <c r="CB133" s="7">
        <v>9.0</v>
      </c>
      <c r="CC133" s="5"/>
      <c r="CD133" s="5"/>
      <c r="CE133" s="5"/>
      <c r="CF133" s="5"/>
      <c r="CG133" s="5"/>
      <c r="CH133" s="5"/>
      <c r="CI133" s="5"/>
      <c r="CJ133" s="7">
        <v>4.0</v>
      </c>
      <c r="CK133" s="5"/>
      <c r="CL133" s="5"/>
      <c r="CM133" s="5"/>
      <c r="CN133" s="5"/>
      <c r="CO133" s="7">
        <v>38.0</v>
      </c>
      <c r="CP133" s="5"/>
      <c r="CQ133" s="5"/>
      <c r="CR133" s="5"/>
      <c r="CS133" s="7">
        <v>6.0</v>
      </c>
      <c r="CT133" s="5"/>
      <c r="CU133" s="5"/>
      <c r="CV133" s="7">
        <v>2.0</v>
      </c>
      <c r="CW133" s="5"/>
      <c r="CX133" s="5"/>
      <c r="CY133" s="5"/>
      <c r="CZ133" s="5"/>
      <c r="DA133" s="5"/>
      <c r="DB133" s="5"/>
      <c r="DC133" s="5"/>
      <c r="DD133" s="7">
        <v>1.0</v>
      </c>
      <c r="DE133" s="5"/>
      <c r="DF133" s="7">
        <v>33.0</v>
      </c>
      <c r="DG133" s="5"/>
      <c r="DH133" s="5"/>
      <c r="DI133" s="5"/>
      <c r="DJ133" s="5"/>
      <c r="DK133" s="5"/>
      <c r="DL133" s="7">
        <v>71.0</v>
      </c>
      <c r="DM133" s="7">
        <v>140.0</v>
      </c>
      <c r="DN133" s="5"/>
      <c r="DO133" s="5"/>
      <c r="DP133" s="7">
        <v>3.0</v>
      </c>
      <c r="DQ133" s="5"/>
      <c r="DR133" s="5"/>
      <c r="DS133" s="7">
        <v>72.0</v>
      </c>
      <c r="DT133" s="5"/>
      <c r="DU133" s="5"/>
      <c r="DV133" s="7">
        <v>5.0</v>
      </c>
      <c r="DW133" s="5"/>
      <c r="DX133" s="5"/>
      <c r="DY133" s="5"/>
      <c r="DZ133" s="5"/>
      <c r="EA133" s="5"/>
      <c r="EB133" s="5"/>
      <c r="EC133" s="5"/>
      <c r="ED133" s="7">
        <v>4.0</v>
      </c>
      <c r="EE133" s="5"/>
      <c r="EF133" s="5"/>
      <c r="EG133" s="5"/>
      <c r="EH133" s="5"/>
      <c r="EI133" s="5"/>
      <c r="EJ133" s="7">
        <v>220.0</v>
      </c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7">
        <v>2.0</v>
      </c>
      <c r="EX133" s="5"/>
      <c r="EY133" s="5"/>
      <c r="EZ133" s="5"/>
      <c r="FA133" s="5"/>
      <c r="FB133" s="7">
        <v>221.0</v>
      </c>
      <c r="FC133" s="7">
        <v>36.0</v>
      </c>
      <c r="FD133" s="5"/>
      <c r="FE133" s="5"/>
      <c r="FF133" s="5"/>
      <c r="FG133" s="5"/>
      <c r="FH133" s="5"/>
      <c r="FI133" s="7">
        <v>1.0</v>
      </c>
      <c r="FJ133" s="5"/>
      <c r="FK133" s="5"/>
      <c r="FL133" s="5"/>
      <c r="FM133" s="5"/>
      <c r="FN133" s="5"/>
      <c r="FO133" s="5"/>
      <c r="FP133" s="5"/>
      <c r="FQ133" s="5"/>
      <c r="FR133" s="7">
        <v>2.0</v>
      </c>
      <c r="FS133" s="7">
        <v>142.0</v>
      </c>
      <c r="FT133" s="5"/>
      <c r="FU133" s="5"/>
      <c r="FV133" s="5"/>
      <c r="FW133" s="5"/>
      <c r="FX133" s="5"/>
      <c r="FY133" s="7">
        <v>20.0</v>
      </c>
      <c r="FZ133" s="5"/>
      <c r="GA133" s="5"/>
      <c r="GB133" s="5"/>
      <c r="GC133" s="5"/>
      <c r="GD133" s="5"/>
      <c r="GE133" s="7">
        <v>11.0</v>
      </c>
      <c r="GF133" s="7">
        <v>21.0</v>
      </c>
      <c r="GG133" s="5"/>
      <c r="GH133" s="7">
        <f t="shared" si="86"/>
        <v>37</v>
      </c>
      <c r="GI133" s="7">
        <f t="shared" si="87"/>
        <v>31</v>
      </c>
      <c r="GJ133" s="7">
        <f t="shared" si="88"/>
        <v>23</v>
      </c>
      <c r="GK133" s="7">
        <f t="shared" si="89"/>
        <v>1393</v>
      </c>
      <c r="GL133" s="7">
        <f t="shared" si="90"/>
        <v>1850</v>
      </c>
      <c r="GM133" s="7">
        <f t="shared" si="91"/>
        <v>457</v>
      </c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</row>
    <row r="134">
      <c r="A134" s="21">
        <v>39191.0</v>
      </c>
      <c r="B134" s="5" t="s">
        <v>21</v>
      </c>
      <c r="C134" s="16">
        <f t="shared" si="92"/>
        <v>32</v>
      </c>
      <c r="D134" s="7">
        <v>21.25544</v>
      </c>
      <c r="E134" s="7">
        <v>-157.810303</v>
      </c>
      <c r="F134" s="5" t="s">
        <v>180</v>
      </c>
      <c r="G134" s="6">
        <v>0.0</v>
      </c>
      <c r="H134" s="6">
        <v>0.041666666666666664</v>
      </c>
      <c r="I134" s="7">
        <v>7.0</v>
      </c>
      <c r="J134" s="7">
        <v>11.0</v>
      </c>
      <c r="K134" s="5" t="s">
        <v>8</v>
      </c>
      <c r="L134" s="7">
        <v>12.0</v>
      </c>
      <c r="M134" s="7">
        <v>66.0</v>
      </c>
      <c r="N134" s="2" t="s">
        <v>211</v>
      </c>
      <c r="O134" s="5"/>
      <c r="P134" s="7">
        <v>66.0</v>
      </c>
      <c r="Q134" s="5"/>
      <c r="R134" s="7">
        <v>11.0</v>
      </c>
      <c r="S134" s="5"/>
      <c r="T134" s="5"/>
      <c r="U134" s="5"/>
      <c r="V134" s="5"/>
      <c r="W134" s="5"/>
      <c r="X134" s="7">
        <v>3.0</v>
      </c>
      <c r="Y134" s="5"/>
      <c r="Z134" s="7">
        <v>5.0</v>
      </c>
      <c r="AA134" s="5"/>
      <c r="AB134" s="5"/>
      <c r="AC134" s="5"/>
      <c r="AD134" s="5"/>
      <c r="AE134" s="7">
        <v>10.0</v>
      </c>
      <c r="AF134" s="7">
        <v>2.0</v>
      </c>
      <c r="AG134" s="5"/>
      <c r="AH134" s="5"/>
      <c r="AI134" s="7">
        <v>2.0</v>
      </c>
      <c r="AJ134" s="7">
        <v>1.0</v>
      </c>
      <c r="AK134" s="5"/>
      <c r="AL134" s="5"/>
      <c r="AM134" s="7">
        <v>2.0</v>
      </c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7">
        <v>21.0</v>
      </c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7">
        <v>1.0</v>
      </c>
      <c r="BN134" s="5"/>
      <c r="BO134" s="5"/>
      <c r="BP134" s="5"/>
      <c r="BQ134" s="7">
        <v>80.0</v>
      </c>
      <c r="BR134" s="5"/>
      <c r="BS134" s="5"/>
      <c r="BT134" s="7">
        <v>32.0</v>
      </c>
      <c r="BU134" s="7">
        <v>12.0</v>
      </c>
      <c r="BV134" s="5"/>
      <c r="BW134" s="7">
        <v>5.0</v>
      </c>
      <c r="BX134" s="7">
        <v>70.0</v>
      </c>
      <c r="BY134" s="7">
        <v>52.0</v>
      </c>
      <c r="BZ134" s="5"/>
      <c r="CA134" s="5"/>
      <c r="CB134" s="7">
        <v>14.0</v>
      </c>
      <c r="CC134" s="5"/>
      <c r="CD134" s="5"/>
      <c r="CE134" s="5"/>
      <c r="CF134" s="5"/>
      <c r="CG134" s="5"/>
      <c r="CH134" s="5"/>
      <c r="CI134" s="5"/>
      <c r="CJ134" s="7">
        <v>5.0</v>
      </c>
      <c r="CK134" s="5"/>
      <c r="CL134" s="5"/>
      <c r="CM134" s="5"/>
      <c r="CN134" s="5"/>
      <c r="CO134" s="7">
        <v>24.0</v>
      </c>
      <c r="CP134" s="5"/>
      <c r="CQ134" s="5"/>
      <c r="CR134" s="5"/>
      <c r="CS134" s="7">
        <v>7.0</v>
      </c>
      <c r="CT134" s="5"/>
      <c r="CU134" s="5"/>
      <c r="CV134" s="7">
        <v>5.0</v>
      </c>
      <c r="CW134" s="5"/>
      <c r="CX134" s="5"/>
      <c r="CY134" s="5"/>
      <c r="CZ134" s="5"/>
      <c r="DA134" s="5"/>
      <c r="DB134" s="5"/>
      <c r="DC134" s="5"/>
      <c r="DD134" s="5"/>
      <c r="DE134" s="5"/>
      <c r="DF134" s="7">
        <v>18.0</v>
      </c>
      <c r="DG134" s="5"/>
      <c r="DH134" s="7">
        <v>2.0</v>
      </c>
      <c r="DI134" s="5"/>
      <c r="DJ134" s="5"/>
      <c r="DK134" s="5"/>
      <c r="DL134" s="7">
        <v>40.0</v>
      </c>
      <c r="DM134" s="7">
        <v>207.0</v>
      </c>
      <c r="DN134" s="5"/>
      <c r="DO134" s="7">
        <v>3.0</v>
      </c>
      <c r="DP134" s="7">
        <v>4.0</v>
      </c>
      <c r="DQ134" s="5"/>
      <c r="DR134" s="5"/>
      <c r="DS134" s="7">
        <v>40.0</v>
      </c>
      <c r="DT134" s="5"/>
      <c r="DU134" s="5"/>
      <c r="DV134" s="7">
        <v>44.0</v>
      </c>
      <c r="DW134" s="5"/>
      <c r="DX134" s="5"/>
      <c r="DY134" s="5"/>
      <c r="DZ134" s="7">
        <v>1.0</v>
      </c>
      <c r="EA134" s="5"/>
      <c r="EB134" s="7">
        <v>1.0</v>
      </c>
      <c r="EC134" s="7">
        <v>1.0</v>
      </c>
      <c r="ED134" s="7">
        <v>2.0</v>
      </c>
      <c r="EE134" s="5"/>
      <c r="EF134" s="5"/>
      <c r="EG134" s="5"/>
      <c r="EH134" s="5"/>
      <c r="EI134" s="5"/>
      <c r="EJ134" s="7">
        <v>168.0</v>
      </c>
      <c r="EK134" s="5"/>
      <c r="EL134" s="5"/>
      <c r="EM134" s="5"/>
      <c r="EN134" s="7">
        <v>1.0</v>
      </c>
      <c r="EO134" s="5"/>
      <c r="EP134" s="5"/>
      <c r="EQ134" s="5"/>
      <c r="ER134" s="5"/>
      <c r="ES134" s="5"/>
      <c r="ET134" s="5"/>
      <c r="EU134" s="5"/>
      <c r="EV134" s="5"/>
      <c r="EW134" s="7">
        <v>13.0</v>
      </c>
      <c r="EX134" s="5"/>
      <c r="EY134" s="5"/>
      <c r="EZ134" s="5"/>
      <c r="FA134" s="5"/>
      <c r="FB134" s="7">
        <v>101.0</v>
      </c>
      <c r="FC134" s="7">
        <v>10.0</v>
      </c>
      <c r="FD134" s="5"/>
      <c r="FE134" s="7">
        <v>1.0</v>
      </c>
      <c r="FF134" s="7">
        <v>3.0</v>
      </c>
      <c r="FG134" s="5"/>
      <c r="FH134" s="7">
        <v>1.0</v>
      </c>
      <c r="FI134" s="5"/>
      <c r="FJ134" s="5"/>
      <c r="FK134" s="5"/>
      <c r="FL134" s="5"/>
      <c r="FM134" s="7">
        <v>1.0</v>
      </c>
      <c r="FN134" s="5"/>
      <c r="FO134" s="5"/>
      <c r="FP134" s="5"/>
      <c r="FQ134" s="5"/>
      <c r="FR134" s="7">
        <v>43.0</v>
      </c>
      <c r="FS134" s="7">
        <v>134.0</v>
      </c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7">
        <v>5.0</v>
      </c>
      <c r="GF134" s="7">
        <v>41.0</v>
      </c>
      <c r="GG134" s="5"/>
      <c r="GH134" s="7">
        <f t="shared" si="86"/>
        <v>46</v>
      </c>
      <c r="GI134" s="7">
        <f t="shared" si="87"/>
        <v>37</v>
      </c>
      <c r="GJ134" s="7">
        <f t="shared" si="88"/>
        <v>28</v>
      </c>
      <c r="GK134" s="7">
        <f t="shared" si="89"/>
        <v>1249</v>
      </c>
      <c r="GL134" s="7">
        <f t="shared" si="90"/>
        <v>1650</v>
      </c>
      <c r="GM134" s="7">
        <f t="shared" si="91"/>
        <v>401</v>
      </c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</row>
    <row r="135">
      <c r="A135" s="21">
        <v>39191.0</v>
      </c>
      <c r="B135" s="5" t="s">
        <v>69</v>
      </c>
      <c r="C135" s="16">
        <f t="shared" si="92"/>
        <v>33</v>
      </c>
      <c r="D135" s="7">
        <v>21.4104</v>
      </c>
      <c r="E135" s="7">
        <v>-158.177704</v>
      </c>
      <c r="F135" s="5" t="s">
        <v>180</v>
      </c>
      <c r="G135" s="6">
        <v>0.0</v>
      </c>
      <c r="H135" s="6">
        <v>0.041666666666666664</v>
      </c>
      <c r="I135" s="7">
        <v>10.0</v>
      </c>
      <c r="J135" s="7">
        <v>20.0</v>
      </c>
      <c r="K135" s="5" t="s">
        <v>207</v>
      </c>
      <c r="L135" s="7">
        <v>6.0</v>
      </c>
      <c r="M135" s="7">
        <v>15.0</v>
      </c>
      <c r="N135" s="5" t="s">
        <v>212</v>
      </c>
      <c r="O135" s="5"/>
      <c r="P135" s="7">
        <v>15.0</v>
      </c>
      <c r="Q135" s="5"/>
      <c r="R135" s="7">
        <v>82.0</v>
      </c>
      <c r="S135" s="7">
        <v>4.0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7">
        <v>5.0</v>
      </c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7">
        <v>9.0</v>
      </c>
      <c r="BH135" s="5"/>
      <c r="BI135" s="7">
        <v>2.0</v>
      </c>
      <c r="BJ135" s="5"/>
      <c r="BK135" s="7">
        <v>9.0</v>
      </c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7">
        <v>56.0</v>
      </c>
      <c r="BZ135" s="7">
        <v>33.0</v>
      </c>
      <c r="CA135" s="5"/>
      <c r="CB135" s="5"/>
      <c r="CC135" s="7">
        <v>7.0</v>
      </c>
      <c r="CD135" s="7">
        <v>1.0</v>
      </c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7">
        <v>1.0</v>
      </c>
      <c r="DI135" s="5"/>
      <c r="DJ135" s="5"/>
      <c r="DK135" s="5"/>
      <c r="DL135" s="7">
        <v>9.0</v>
      </c>
      <c r="DM135" s="7">
        <v>32.0</v>
      </c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7">
        <v>11.0</v>
      </c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7">
        <v>15.0</v>
      </c>
      <c r="EX135" s="5"/>
      <c r="EY135" s="5"/>
      <c r="EZ135" s="5"/>
      <c r="FA135" s="5"/>
      <c r="FB135" s="5"/>
      <c r="FC135" s="7">
        <v>2.0</v>
      </c>
      <c r="FD135" s="5"/>
      <c r="FE135" s="7">
        <v>24.0</v>
      </c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7">
        <v>16.0</v>
      </c>
      <c r="FS135" s="7">
        <v>44.0</v>
      </c>
      <c r="FT135" s="7">
        <v>41.0</v>
      </c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7">
        <v>3.0</v>
      </c>
      <c r="GF135" s="7">
        <v>52.0</v>
      </c>
      <c r="GG135" s="5"/>
      <c r="GH135" s="7">
        <f t="shared" si="86"/>
        <v>22</v>
      </c>
      <c r="GI135" s="7">
        <f t="shared" si="87"/>
        <v>20</v>
      </c>
      <c r="GJ135" s="7">
        <f t="shared" si="88"/>
        <v>16</v>
      </c>
      <c r="GK135" s="7">
        <f t="shared" si="89"/>
        <v>458</v>
      </c>
      <c r="GL135" s="7">
        <f t="shared" si="90"/>
        <v>375</v>
      </c>
      <c r="GM135" s="7">
        <f t="shared" si="91"/>
        <v>-83</v>
      </c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</row>
    <row r="136">
      <c r="A136" s="21">
        <v>39192.0</v>
      </c>
      <c r="B136" s="5" t="s">
        <v>43</v>
      </c>
      <c r="C136" s="16">
        <f t="shared" si="92"/>
        <v>34</v>
      </c>
      <c r="D136" s="7">
        <v>21.2882</v>
      </c>
      <c r="E136" s="7">
        <v>-157.667999</v>
      </c>
      <c r="F136" s="5" t="s">
        <v>180</v>
      </c>
      <c r="G136" s="6">
        <v>0.0</v>
      </c>
      <c r="H136" s="6">
        <v>0.041666666666666664</v>
      </c>
      <c r="I136" s="7">
        <v>3.0</v>
      </c>
      <c r="J136" s="7">
        <v>20.0</v>
      </c>
      <c r="K136" s="5" t="s">
        <v>207</v>
      </c>
      <c r="L136" s="7">
        <v>7.0</v>
      </c>
      <c r="M136" s="7">
        <v>15.0</v>
      </c>
      <c r="N136" s="5" t="s">
        <v>213</v>
      </c>
      <c r="O136" s="5"/>
      <c r="P136" s="7">
        <v>15.0</v>
      </c>
      <c r="Q136" s="5"/>
      <c r="R136" s="7">
        <v>4.0</v>
      </c>
      <c r="S136" s="5"/>
      <c r="T136" s="5"/>
      <c r="U136" s="5"/>
      <c r="V136" s="5"/>
      <c r="W136" s="5"/>
      <c r="X136" s="5"/>
      <c r="Y136" s="5"/>
      <c r="Z136" s="5"/>
      <c r="AA136" s="5"/>
      <c r="AB136" s="7">
        <v>7.0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7">
        <v>10.0</v>
      </c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7">
        <v>12.0</v>
      </c>
      <c r="BC136" s="5"/>
      <c r="BD136" s="5"/>
      <c r="BE136" s="5"/>
      <c r="BF136" s="7">
        <v>1.0</v>
      </c>
      <c r="BG136" s="5"/>
      <c r="BH136" s="7">
        <v>1.0</v>
      </c>
      <c r="BI136" s="5"/>
      <c r="BJ136" s="5"/>
      <c r="BK136" s="7">
        <v>3.0</v>
      </c>
      <c r="BL136" s="5"/>
      <c r="BM136" s="7">
        <v>10.0</v>
      </c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7">
        <v>2.0</v>
      </c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7">
        <v>4.0</v>
      </c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7">
        <v>3.0</v>
      </c>
      <c r="DN136" s="5"/>
      <c r="DO136" s="5"/>
      <c r="DP136" s="5"/>
      <c r="DQ136" s="5"/>
      <c r="DR136" s="5"/>
      <c r="DS136" s="7">
        <v>1.0</v>
      </c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7">
        <v>2.0</v>
      </c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7">
        <v>7.0</v>
      </c>
      <c r="EW136" s="7">
        <v>12.0</v>
      </c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7">
        <v>5.0</v>
      </c>
      <c r="FN136" s="5"/>
      <c r="FO136" s="5"/>
      <c r="FP136" s="5"/>
      <c r="FQ136" s="5"/>
      <c r="FR136" s="5"/>
      <c r="FS136" s="7">
        <v>115.0</v>
      </c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7">
        <f t="shared" si="86"/>
        <v>17</v>
      </c>
      <c r="GI136" s="7">
        <f t="shared" si="87"/>
        <v>14</v>
      </c>
      <c r="GJ136" s="7">
        <f t="shared" si="88"/>
        <v>8</v>
      </c>
      <c r="GK136" s="7">
        <f t="shared" si="89"/>
        <v>199</v>
      </c>
      <c r="GL136" s="7">
        <f t="shared" si="90"/>
        <v>375</v>
      </c>
      <c r="GM136" s="7">
        <f t="shared" si="91"/>
        <v>176</v>
      </c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</row>
    <row r="137">
      <c r="A137" s="21">
        <v>39192.0</v>
      </c>
      <c r="B137" s="5" t="s">
        <v>34</v>
      </c>
      <c r="C137" s="16">
        <f t="shared" si="92"/>
        <v>35</v>
      </c>
      <c r="D137" s="7">
        <v>20.7537</v>
      </c>
      <c r="E137" s="7">
        <v>-156.460907</v>
      </c>
      <c r="F137" s="5" t="s">
        <v>180</v>
      </c>
      <c r="G137" s="6">
        <v>0.0</v>
      </c>
      <c r="H137" s="6">
        <v>0.041666666666666664</v>
      </c>
      <c r="I137" s="7">
        <v>4.0</v>
      </c>
      <c r="J137" s="7">
        <v>9.0</v>
      </c>
      <c r="K137" s="5" t="s">
        <v>8</v>
      </c>
      <c r="L137" s="7">
        <v>10.0</v>
      </c>
      <c r="M137" s="7">
        <v>36.0</v>
      </c>
      <c r="N137" s="5" t="s">
        <v>214</v>
      </c>
      <c r="O137" s="5"/>
      <c r="P137" s="7">
        <v>36.0</v>
      </c>
      <c r="Q137" s="5"/>
      <c r="R137" s="7">
        <v>14.0</v>
      </c>
      <c r="S137" s="5"/>
      <c r="T137" s="5"/>
      <c r="U137" s="5"/>
      <c r="V137" s="5"/>
      <c r="W137" s="5"/>
      <c r="X137" s="5"/>
      <c r="Y137" s="5"/>
      <c r="Z137" s="7">
        <v>2.0</v>
      </c>
      <c r="AA137" s="5"/>
      <c r="AB137" s="5"/>
      <c r="AC137" s="5"/>
      <c r="AD137" s="7">
        <v>5.0</v>
      </c>
      <c r="AE137" s="5"/>
      <c r="AF137" s="5"/>
      <c r="AG137" s="5"/>
      <c r="AH137" s="5"/>
      <c r="AI137" s="5"/>
      <c r="AJ137" s="5"/>
      <c r="AK137" s="5"/>
      <c r="AL137" s="5"/>
      <c r="AM137" s="7">
        <v>9.0</v>
      </c>
      <c r="AN137" s="7">
        <v>2.0</v>
      </c>
      <c r="AO137" s="5"/>
      <c r="AP137" s="7">
        <v>5.0</v>
      </c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7">
        <v>1.0</v>
      </c>
      <c r="BI137" s="5"/>
      <c r="BJ137" s="5"/>
      <c r="BK137" s="7">
        <v>12.0</v>
      </c>
      <c r="BL137" s="5"/>
      <c r="BM137" s="7">
        <v>18.0</v>
      </c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7">
        <v>1.0</v>
      </c>
      <c r="BY137" s="7">
        <v>3.0</v>
      </c>
      <c r="BZ137" s="5"/>
      <c r="CA137" s="5"/>
      <c r="CB137" s="5"/>
      <c r="CC137" s="7">
        <v>1.0</v>
      </c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7">
        <v>1.0</v>
      </c>
      <c r="DG137" s="5"/>
      <c r="DH137" s="7">
        <v>2.0</v>
      </c>
      <c r="DI137" s="5"/>
      <c r="DJ137" s="5"/>
      <c r="DK137" s="5"/>
      <c r="DL137" s="5"/>
      <c r="DM137" s="7">
        <v>1.0</v>
      </c>
      <c r="DN137" s="5"/>
      <c r="DO137" s="5"/>
      <c r="DP137" s="5"/>
      <c r="DQ137" s="5"/>
      <c r="DR137" s="5"/>
      <c r="DS137" s="7">
        <v>27.0</v>
      </c>
      <c r="DT137" s="5"/>
      <c r="DU137" s="5"/>
      <c r="DV137" s="5"/>
      <c r="DW137" s="7">
        <v>3.0</v>
      </c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7">
        <v>1.0</v>
      </c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7">
        <v>5.0</v>
      </c>
      <c r="FC137" s="5"/>
      <c r="FD137" s="5"/>
      <c r="FE137" s="5"/>
      <c r="FF137" s="5"/>
      <c r="FG137" s="5"/>
      <c r="FH137" s="7">
        <v>3.0</v>
      </c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7">
        <v>59.0</v>
      </c>
      <c r="FT137" s="7">
        <v>27.0</v>
      </c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7">
        <f t="shared" si="86"/>
        <v>22</v>
      </c>
      <c r="GI137" s="7">
        <f t="shared" si="87"/>
        <v>16</v>
      </c>
      <c r="GJ137" s="7">
        <f t="shared" si="88"/>
        <v>10</v>
      </c>
      <c r="GK137" s="7">
        <f t="shared" si="89"/>
        <v>202</v>
      </c>
      <c r="GL137" s="7">
        <f t="shared" si="90"/>
        <v>900</v>
      </c>
      <c r="GM137" s="7">
        <f t="shared" si="91"/>
        <v>698</v>
      </c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</row>
    <row r="138">
      <c r="A138" s="21">
        <v>39203.0</v>
      </c>
      <c r="B138" s="5" t="s">
        <v>0</v>
      </c>
      <c r="C138" s="16">
        <f t="shared" si="92"/>
        <v>36</v>
      </c>
      <c r="D138" s="7">
        <v>21.3002</v>
      </c>
      <c r="E138" s="7">
        <v>-157.882599</v>
      </c>
      <c r="F138" s="5" t="s">
        <v>180</v>
      </c>
      <c r="G138" s="6">
        <v>0.0</v>
      </c>
      <c r="H138" s="6">
        <v>0.041666666666666664</v>
      </c>
      <c r="I138" s="7">
        <v>4.0</v>
      </c>
      <c r="J138" s="7">
        <v>30.0</v>
      </c>
      <c r="K138" s="5" t="s">
        <v>6</v>
      </c>
      <c r="L138" s="7">
        <v>10.0</v>
      </c>
      <c r="M138" s="7">
        <v>36.0</v>
      </c>
      <c r="N138" s="5" t="s">
        <v>215</v>
      </c>
      <c r="O138" s="5"/>
      <c r="P138" s="7">
        <v>36.0</v>
      </c>
      <c r="Q138" s="5"/>
      <c r="R138" s="7">
        <v>26.0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7">
        <v>1.0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7">
        <v>6.0</v>
      </c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7">
        <v>4.0</v>
      </c>
      <c r="BC138" s="7">
        <v>1.0</v>
      </c>
      <c r="BD138" s="5"/>
      <c r="BE138" s="5"/>
      <c r="BF138" s="5"/>
      <c r="BG138" s="5"/>
      <c r="BH138" s="7">
        <v>1.0</v>
      </c>
      <c r="BI138" s="5"/>
      <c r="BJ138" s="5"/>
      <c r="BK138" s="5"/>
      <c r="BL138" s="5"/>
      <c r="BM138" s="7">
        <v>5.0</v>
      </c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7">
        <v>1.0</v>
      </c>
      <c r="CD138" s="7">
        <v>2.0</v>
      </c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7">
        <v>1.0</v>
      </c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7">
        <v>7.0</v>
      </c>
      <c r="DT138" s="5"/>
      <c r="DU138" s="5"/>
      <c r="DV138" s="5"/>
      <c r="DW138" s="5"/>
      <c r="DX138" s="5"/>
      <c r="DY138" s="5"/>
      <c r="DZ138" s="7">
        <v>1.0</v>
      </c>
      <c r="EA138" s="5"/>
      <c r="EB138" s="5"/>
      <c r="EC138" s="5"/>
      <c r="ED138" s="5"/>
      <c r="EE138" s="5"/>
      <c r="EF138" s="5"/>
      <c r="EG138" s="5"/>
      <c r="EH138" s="5"/>
      <c r="EI138" s="5"/>
      <c r="EJ138" s="7">
        <v>42.0</v>
      </c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7">
        <v>12.0</v>
      </c>
      <c r="FN138" s="5"/>
      <c r="FO138" s="5"/>
      <c r="FP138" s="5"/>
      <c r="FQ138" s="5"/>
      <c r="FR138" s="5"/>
      <c r="FS138" s="7">
        <v>163.0</v>
      </c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7">
        <v>9.0</v>
      </c>
      <c r="GG138" s="5"/>
      <c r="GH138" s="7">
        <f t="shared" si="86"/>
        <v>16</v>
      </c>
      <c r="GI138" s="7">
        <f t="shared" si="87"/>
        <v>10</v>
      </c>
      <c r="GJ138" s="7">
        <f t="shared" si="88"/>
        <v>8</v>
      </c>
      <c r="GK138" s="7">
        <f t="shared" si="89"/>
        <v>282</v>
      </c>
      <c r="GL138" s="7">
        <f t="shared" si="90"/>
        <v>900</v>
      </c>
      <c r="GM138" s="7">
        <f t="shared" si="91"/>
        <v>618</v>
      </c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</row>
    <row r="139">
      <c r="A139" s="21">
        <v>39203.0</v>
      </c>
      <c r="B139" s="5" t="s">
        <v>34</v>
      </c>
      <c r="C139" s="16">
        <f t="shared" si="92"/>
        <v>37</v>
      </c>
      <c r="D139" s="7">
        <v>20.7537</v>
      </c>
      <c r="E139" s="7">
        <v>-156.460907</v>
      </c>
      <c r="F139" s="5" t="s">
        <v>180</v>
      </c>
      <c r="G139" s="6">
        <v>0.0</v>
      </c>
      <c r="H139" s="6">
        <v>0.041666666666666664</v>
      </c>
      <c r="I139" s="7">
        <v>5.0</v>
      </c>
      <c r="J139" s="7">
        <v>18.0</v>
      </c>
      <c r="K139" s="5" t="s">
        <v>2</v>
      </c>
      <c r="L139" s="7">
        <v>10.0</v>
      </c>
      <c r="M139" s="7">
        <v>43.0</v>
      </c>
      <c r="N139" s="5" t="s">
        <v>216</v>
      </c>
      <c r="O139" s="5"/>
      <c r="P139" s="7">
        <v>43.0</v>
      </c>
      <c r="Q139" s="5"/>
      <c r="R139" s="7">
        <v>18.0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7">
        <v>1.0</v>
      </c>
      <c r="AY139" s="5"/>
      <c r="AZ139" s="5"/>
      <c r="BA139" s="5"/>
      <c r="BB139" s="7">
        <v>1.0</v>
      </c>
      <c r="BC139" s="5"/>
      <c r="BD139" s="5"/>
      <c r="BE139" s="5"/>
      <c r="BF139" s="5"/>
      <c r="BG139" s="5"/>
      <c r="BH139" s="7">
        <v>1.0</v>
      </c>
      <c r="BI139" s="5"/>
      <c r="BJ139" s="5"/>
      <c r="BK139" s="5"/>
      <c r="BL139" s="5"/>
      <c r="BM139" s="7">
        <v>73.0</v>
      </c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7">
        <v>1.0</v>
      </c>
      <c r="BY139" s="5"/>
      <c r="BZ139" s="7">
        <v>1.0</v>
      </c>
      <c r="CA139" s="5"/>
      <c r="CB139" s="5"/>
      <c r="CC139" s="7">
        <v>1.0</v>
      </c>
      <c r="CD139" s="5"/>
      <c r="CE139" s="5"/>
      <c r="CF139" s="5"/>
      <c r="CG139" s="5"/>
      <c r="CH139" s="5"/>
      <c r="CI139" s="5"/>
      <c r="CJ139" s="7">
        <v>1.0</v>
      </c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7">
        <v>1.0</v>
      </c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7">
        <v>17.0</v>
      </c>
      <c r="DG139" s="5"/>
      <c r="DH139" s="5"/>
      <c r="DI139" s="5"/>
      <c r="DJ139" s="5"/>
      <c r="DK139" s="5"/>
      <c r="DL139" s="5"/>
      <c r="DM139" s="7">
        <v>1.0</v>
      </c>
      <c r="DN139" s="5"/>
      <c r="DO139" s="5"/>
      <c r="DP139" s="5"/>
      <c r="DQ139" s="5"/>
      <c r="DR139" s="5"/>
      <c r="DS139" s="5"/>
      <c r="DT139" s="5"/>
      <c r="DU139" s="5"/>
      <c r="DV139" s="5"/>
      <c r="DW139" s="7">
        <v>1.0</v>
      </c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7">
        <v>9.0</v>
      </c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7">
        <v>38.0</v>
      </c>
      <c r="FC139" s="5"/>
      <c r="FD139" s="5"/>
      <c r="FE139" s="5"/>
      <c r="FF139" s="7">
        <v>1.0</v>
      </c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7">
        <v>44.0</v>
      </c>
      <c r="FT139" s="7">
        <v>10.0</v>
      </c>
      <c r="FU139" s="5"/>
      <c r="FV139" s="7">
        <v>2.0</v>
      </c>
      <c r="FW139" s="5"/>
      <c r="FX139" s="5"/>
      <c r="FY139" s="5"/>
      <c r="FZ139" s="5"/>
      <c r="GA139" s="5"/>
      <c r="GB139" s="5"/>
      <c r="GC139" s="5"/>
      <c r="GD139" s="5"/>
      <c r="GE139" s="7">
        <v>5.0</v>
      </c>
      <c r="GF139" s="7">
        <v>3.0</v>
      </c>
      <c r="GG139" s="5"/>
      <c r="GH139" s="7">
        <f t="shared" si="86"/>
        <v>21</v>
      </c>
      <c r="GI139" s="7">
        <f t="shared" si="87"/>
        <v>10</v>
      </c>
      <c r="GJ139" s="7">
        <f t="shared" si="88"/>
        <v>8</v>
      </c>
      <c r="GK139" s="7">
        <f t="shared" si="89"/>
        <v>230</v>
      </c>
      <c r="GL139" s="7">
        <f t="shared" si="90"/>
        <v>1075</v>
      </c>
      <c r="GM139" s="7">
        <f t="shared" si="91"/>
        <v>845</v>
      </c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</row>
    <row r="140">
      <c r="A140" s="21">
        <v>39204.0</v>
      </c>
      <c r="B140" s="5" t="s">
        <v>140</v>
      </c>
      <c r="C140" s="16">
        <f t="shared" si="92"/>
        <v>38</v>
      </c>
      <c r="D140" s="7">
        <v>21.295799</v>
      </c>
      <c r="E140" s="7">
        <v>-158.103699</v>
      </c>
      <c r="F140" s="5" t="s">
        <v>180</v>
      </c>
      <c r="G140" s="6">
        <v>0.0</v>
      </c>
      <c r="H140" s="6">
        <v>0.041666666666666664</v>
      </c>
      <c r="I140" s="7">
        <v>5.0</v>
      </c>
      <c r="J140" s="7">
        <v>30.0</v>
      </c>
      <c r="K140" s="5" t="s">
        <v>201</v>
      </c>
      <c r="L140" s="7">
        <v>7.0</v>
      </c>
      <c r="M140" s="7">
        <v>22.0</v>
      </c>
      <c r="N140" s="5" t="s">
        <v>217</v>
      </c>
      <c r="O140" s="5"/>
      <c r="P140" s="7">
        <v>22.0</v>
      </c>
      <c r="Q140" s="5"/>
      <c r="R140" s="7">
        <v>21.0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7">
        <v>1.0</v>
      </c>
      <c r="AG140" s="5"/>
      <c r="AH140" s="5"/>
      <c r="AI140" s="5"/>
      <c r="AJ140" s="5"/>
      <c r="AK140" s="5"/>
      <c r="AL140" s="5"/>
      <c r="AM140" s="7">
        <v>1.0</v>
      </c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7">
        <v>5.0</v>
      </c>
      <c r="BC140" s="5"/>
      <c r="BD140" s="7">
        <v>2.0</v>
      </c>
      <c r="BE140" s="5"/>
      <c r="BF140" s="5"/>
      <c r="BG140" s="5"/>
      <c r="BH140" s="5"/>
      <c r="BI140" s="5"/>
      <c r="BJ140" s="5"/>
      <c r="BK140" s="5"/>
      <c r="BL140" s="5"/>
      <c r="BM140" s="7">
        <v>13.0</v>
      </c>
      <c r="BN140" s="5"/>
      <c r="BO140" s="5"/>
      <c r="BP140" s="5"/>
      <c r="BQ140" s="5"/>
      <c r="BR140" s="5"/>
      <c r="BS140" s="5"/>
      <c r="BT140" s="5"/>
      <c r="BU140" s="5"/>
      <c r="BV140" s="5"/>
      <c r="BW140" s="7">
        <v>6.0</v>
      </c>
      <c r="BX140" s="7">
        <v>2.0</v>
      </c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7">
        <v>2.0</v>
      </c>
      <c r="CP140" s="5"/>
      <c r="CQ140" s="5"/>
      <c r="CR140" s="5"/>
      <c r="CS140" s="7">
        <v>1.0</v>
      </c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7">
        <v>4.0</v>
      </c>
      <c r="DN140" s="5"/>
      <c r="DO140" s="5"/>
      <c r="DP140" s="5"/>
      <c r="DQ140" s="5"/>
      <c r="DR140" s="5"/>
      <c r="DS140" s="7">
        <v>1.0</v>
      </c>
      <c r="DT140" s="5"/>
      <c r="DU140" s="5"/>
      <c r="DV140" s="5"/>
      <c r="DW140" s="5"/>
      <c r="DX140" s="5"/>
      <c r="DY140" s="5"/>
      <c r="DZ140" s="7">
        <v>2.0</v>
      </c>
      <c r="EA140" s="5"/>
      <c r="EB140" s="5"/>
      <c r="EC140" s="7">
        <v>1.0</v>
      </c>
      <c r="ED140" s="7">
        <v>1.0</v>
      </c>
      <c r="EE140" s="5"/>
      <c r="EF140" s="5"/>
      <c r="EG140" s="5"/>
      <c r="EH140" s="5"/>
      <c r="EI140" s="5"/>
      <c r="EJ140" s="7">
        <v>69.0</v>
      </c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7">
        <v>11.0</v>
      </c>
      <c r="FC140" s="7">
        <v>5.0</v>
      </c>
      <c r="FD140" s="5"/>
      <c r="FE140" s="7">
        <v>1.0</v>
      </c>
      <c r="FF140" s="5"/>
      <c r="FG140" s="5"/>
      <c r="FH140" s="7">
        <v>7.0</v>
      </c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7">
        <v>159.0</v>
      </c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7">
        <v>18.0</v>
      </c>
      <c r="GG140" s="5"/>
      <c r="GH140" s="7">
        <f t="shared" si="86"/>
        <v>22</v>
      </c>
      <c r="GI140" s="7">
        <f t="shared" si="87"/>
        <v>15</v>
      </c>
      <c r="GJ140" s="7">
        <f t="shared" si="88"/>
        <v>10</v>
      </c>
      <c r="GK140" s="7">
        <f t="shared" si="89"/>
        <v>333</v>
      </c>
      <c r="GL140" s="7">
        <f t="shared" si="90"/>
        <v>550</v>
      </c>
      <c r="GM140" s="7">
        <f t="shared" si="91"/>
        <v>217</v>
      </c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</row>
    <row r="141">
      <c r="A141" s="21">
        <v>39206.0</v>
      </c>
      <c r="B141" s="5" t="s">
        <v>0</v>
      </c>
      <c r="C141" s="16">
        <f t="shared" si="92"/>
        <v>39</v>
      </c>
      <c r="D141" s="7">
        <v>21.3002</v>
      </c>
      <c r="E141" s="7">
        <v>-157.882599</v>
      </c>
      <c r="F141" s="5" t="s">
        <v>180</v>
      </c>
      <c r="G141" s="6">
        <v>0.0</v>
      </c>
      <c r="H141" s="6">
        <v>0.041666666666666664</v>
      </c>
      <c r="I141" s="7">
        <v>4.0</v>
      </c>
      <c r="J141" s="7">
        <v>30.0</v>
      </c>
      <c r="K141" s="5" t="s">
        <v>201</v>
      </c>
      <c r="L141" s="7">
        <v>7.0</v>
      </c>
      <c r="M141" s="7">
        <v>20.0</v>
      </c>
      <c r="N141" s="5" t="s">
        <v>218</v>
      </c>
      <c r="O141" s="5"/>
      <c r="P141" s="7">
        <v>20.0</v>
      </c>
      <c r="Q141" s="5"/>
      <c r="R141" s="7">
        <v>5.0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7">
        <v>2.0</v>
      </c>
      <c r="AF141" s="5"/>
      <c r="AG141" s="5"/>
      <c r="AH141" s="5"/>
      <c r="AI141" s="5"/>
      <c r="AJ141" s="5"/>
      <c r="AK141" s="5"/>
      <c r="AL141" s="5"/>
      <c r="AM141" s="7">
        <v>5.0</v>
      </c>
      <c r="AN141" s="7">
        <v>2.0</v>
      </c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7">
        <v>3.0</v>
      </c>
      <c r="BE141" s="5"/>
      <c r="BF141" s="5"/>
      <c r="BG141" s="5"/>
      <c r="BH141" s="7">
        <v>1.0</v>
      </c>
      <c r="BI141" s="5"/>
      <c r="BJ141" s="5"/>
      <c r="BK141" s="5"/>
      <c r="BL141" s="5"/>
      <c r="BM141" s="7">
        <v>20.0</v>
      </c>
      <c r="BN141" s="5"/>
      <c r="BO141" s="5"/>
      <c r="BP141" s="5"/>
      <c r="BQ141" s="5"/>
      <c r="BR141" s="5"/>
      <c r="BS141" s="5"/>
      <c r="BT141" s="5"/>
      <c r="BU141" s="5"/>
      <c r="BV141" s="5"/>
      <c r="BW141" s="7">
        <v>4.0</v>
      </c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7">
        <v>1.0</v>
      </c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7">
        <v>4.0</v>
      </c>
      <c r="DR141" s="5"/>
      <c r="DS141" s="7">
        <v>56.0</v>
      </c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7">
        <v>17.0</v>
      </c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7">
        <v>1.0</v>
      </c>
      <c r="FG141" s="5"/>
      <c r="FH141" s="5"/>
      <c r="FI141" s="5"/>
      <c r="FJ141" s="7">
        <v>1.0</v>
      </c>
      <c r="FK141" s="5"/>
      <c r="FL141" s="5"/>
      <c r="FM141" s="7">
        <v>2.0</v>
      </c>
      <c r="FN141" s="5"/>
      <c r="FO141" s="5"/>
      <c r="FP141" s="5"/>
      <c r="FQ141" s="5"/>
      <c r="FR141" s="5"/>
      <c r="FS141" s="7">
        <v>58.0</v>
      </c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7">
        <f t="shared" si="86"/>
        <v>16</v>
      </c>
      <c r="GI141" s="7">
        <f t="shared" si="87"/>
        <v>12</v>
      </c>
      <c r="GJ141" s="7">
        <f t="shared" si="88"/>
        <v>6</v>
      </c>
      <c r="GK141" s="7">
        <f t="shared" si="89"/>
        <v>182</v>
      </c>
      <c r="GL141" s="7">
        <f t="shared" si="90"/>
        <v>500</v>
      </c>
      <c r="GM141" s="7">
        <f t="shared" si="91"/>
        <v>318</v>
      </c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</row>
    <row r="142">
      <c r="A142" s="21">
        <v>39217.0</v>
      </c>
      <c r="B142" s="5" t="s">
        <v>56</v>
      </c>
      <c r="C142" s="16">
        <f t="shared" si="92"/>
        <v>40</v>
      </c>
      <c r="D142" s="7">
        <v>19.737894</v>
      </c>
      <c r="E142" s="7">
        <v>-155.034058</v>
      </c>
      <c r="F142" s="5" t="s">
        <v>180</v>
      </c>
      <c r="G142" s="6">
        <v>0.0</v>
      </c>
      <c r="H142" s="6">
        <v>0.041666666666666664</v>
      </c>
      <c r="I142" s="7">
        <v>6.0</v>
      </c>
      <c r="J142" s="7">
        <v>18.0</v>
      </c>
      <c r="K142" s="5" t="s">
        <v>6</v>
      </c>
      <c r="L142" s="7">
        <v>7.0</v>
      </c>
      <c r="M142" s="7">
        <v>22.0</v>
      </c>
      <c r="N142" s="5" t="s">
        <v>219</v>
      </c>
      <c r="O142" s="5"/>
      <c r="P142" s="7">
        <v>22.0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7">
        <v>6.0</v>
      </c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7">
        <v>3.0</v>
      </c>
      <c r="BV142" s="5"/>
      <c r="BW142" s="5"/>
      <c r="BX142" s="7">
        <v>1.0</v>
      </c>
      <c r="BY142" s="5"/>
      <c r="BZ142" s="5"/>
      <c r="CA142" s="5"/>
      <c r="CB142" s="5"/>
      <c r="CC142" s="7">
        <v>1.0</v>
      </c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7">
        <v>46.0</v>
      </c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7">
        <v>4.0</v>
      </c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7">
        <v>2.0</v>
      </c>
      <c r="EE142" s="5"/>
      <c r="EF142" s="5"/>
      <c r="EG142" s="5"/>
      <c r="EH142" s="5"/>
      <c r="EI142" s="5"/>
      <c r="EJ142" s="7">
        <v>108.0</v>
      </c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7">
        <v>8.0</v>
      </c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7">
        <v>3.0</v>
      </c>
      <c r="GF142" s="7">
        <v>11.0</v>
      </c>
      <c r="GG142" s="5"/>
      <c r="GH142" s="7">
        <f t="shared" si="86"/>
        <v>11</v>
      </c>
      <c r="GI142" s="7">
        <f t="shared" si="87"/>
        <v>9</v>
      </c>
      <c r="GJ142" s="7">
        <f t="shared" si="88"/>
        <v>5</v>
      </c>
      <c r="GK142" s="7">
        <f t="shared" si="89"/>
        <v>193</v>
      </c>
      <c r="GL142" s="7">
        <f t="shared" si="90"/>
        <v>550</v>
      </c>
      <c r="GM142" s="7">
        <f t="shared" si="91"/>
        <v>357</v>
      </c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</row>
    <row r="143">
      <c r="A143" s="21">
        <v>39218.0</v>
      </c>
      <c r="B143" s="5" t="s">
        <v>0</v>
      </c>
      <c r="C143" s="16">
        <f t="shared" si="92"/>
        <v>41</v>
      </c>
      <c r="D143" s="7">
        <v>21.3002</v>
      </c>
      <c r="E143" s="7">
        <v>-157.882599</v>
      </c>
      <c r="F143" s="5" t="s">
        <v>180</v>
      </c>
      <c r="G143" s="6">
        <v>0.0</v>
      </c>
      <c r="H143" s="6">
        <v>0.041666666666666664</v>
      </c>
      <c r="I143" s="7">
        <v>5.0</v>
      </c>
      <c r="J143" s="7">
        <v>30.0</v>
      </c>
      <c r="K143" s="5" t="s">
        <v>201</v>
      </c>
      <c r="L143" s="7">
        <v>7.0</v>
      </c>
      <c r="M143" s="7">
        <v>15.0</v>
      </c>
      <c r="N143" s="5" t="s">
        <v>220</v>
      </c>
      <c r="O143" s="5"/>
      <c r="P143" s="7">
        <v>15.0</v>
      </c>
      <c r="Q143" s="5"/>
      <c r="R143" s="7">
        <v>6.0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7">
        <v>2.0</v>
      </c>
      <c r="BE143" s="5"/>
      <c r="BF143" s="5"/>
      <c r="BG143" s="5"/>
      <c r="BH143" s="5"/>
      <c r="BI143" s="5"/>
      <c r="BJ143" s="5"/>
      <c r="BK143" s="7">
        <v>1.0</v>
      </c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7">
        <v>1.0</v>
      </c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7">
        <v>1.0</v>
      </c>
      <c r="DR143" s="5"/>
      <c r="DS143" s="7">
        <v>16.0</v>
      </c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7">
        <v>30.0</v>
      </c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7">
        <v>1.0</v>
      </c>
      <c r="FO143" s="5"/>
      <c r="FP143" s="5"/>
      <c r="FQ143" s="5"/>
      <c r="FR143" s="5"/>
      <c r="FS143" s="7">
        <v>96.0</v>
      </c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7">
        <v>1.0</v>
      </c>
      <c r="GF143" s="5"/>
      <c r="GG143" s="5"/>
      <c r="GH143" s="7">
        <f t="shared" si="86"/>
        <v>10</v>
      </c>
      <c r="GI143" s="7">
        <f t="shared" si="87"/>
        <v>5</v>
      </c>
      <c r="GJ143" s="7">
        <f t="shared" si="88"/>
        <v>4</v>
      </c>
      <c r="GK143" s="7">
        <f t="shared" si="89"/>
        <v>155</v>
      </c>
      <c r="GL143" s="7">
        <f t="shared" si="90"/>
        <v>375</v>
      </c>
      <c r="GM143" s="7">
        <f t="shared" si="91"/>
        <v>220</v>
      </c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</row>
    <row r="144">
      <c r="A144" s="21">
        <v>39219.0</v>
      </c>
      <c r="B144" s="5" t="s">
        <v>208</v>
      </c>
      <c r="C144" s="16">
        <f t="shared" si="92"/>
        <v>42</v>
      </c>
      <c r="D144" s="7">
        <v>19.488199</v>
      </c>
      <c r="E144" s="7">
        <v>-154.819305</v>
      </c>
      <c r="F144" s="5" t="s">
        <v>180</v>
      </c>
      <c r="G144" s="6">
        <v>0.0</v>
      </c>
      <c r="H144" s="6">
        <v>0.041666666666666664</v>
      </c>
      <c r="I144" s="7">
        <v>5.0</v>
      </c>
      <c r="J144" s="7">
        <v>20.0</v>
      </c>
      <c r="K144" s="5" t="s">
        <v>2</v>
      </c>
      <c r="L144" s="7">
        <v>10.0</v>
      </c>
      <c r="M144" s="7">
        <v>49.0</v>
      </c>
      <c r="N144" s="2" t="s">
        <v>221</v>
      </c>
      <c r="O144" s="5"/>
      <c r="P144" s="7">
        <v>49.0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7">
        <v>27.0</v>
      </c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7">
        <v>55.0</v>
      </c>
      <c r="BL144" s="5"/>
      <c r="BM144" s="7">
        <v>135.0</v>
      </c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7">
        <v>27.0</v>
      </c>
      <c r="BY144" s="5"/>
      <c r="BZ144" s="5"/>
      <c r="CA144" s="5"/>
      <c r="CB144" s="5"/>
      <c r="CC144" s="7">
        <v>13.0</v>
      </c>
      <c r="CD144" s="7">
        <v>1.0</v>
      </c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7">
        <v>8.0</v>
      </c>
      <c r="DM144" s="7">
        <v>18.0</v>
      </c>
      <c r="DN144" s="5"/>
      <c r="DO144" s="7">
        <v>1.0</v>
      </c>
      <c r="DP144" s="5"/>
      <c r="DQ144" s="7">
        <v>26.0</v>
      </c>
      <c r="DR144" s="5"/>
      <c r="DS144" s="7">
        <v>9.0</v>
      </c>
      <c r="DT144" s="5"/>
      <c r="DU144" s="5"/>
      <c r="DV144" s="5"/>
      <c r="DW144" s="5"/>
      <c r="DX144" s="7">
        <v>23.0</v>
      </c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7">
        <v>1.0</v>
      </c>
      <c r="EJ144" s="7">
        <v>16.0</v>
      </c>
      <c r="EK144" s="5"/>
      <c r="EL144" s="5"/>
      <c r="EM144" s="5"/>
      <c r="EN144" s="5"/>
      <c r="EO144" s="5"/>
      <c r="EP144" s="7">
        <v>5.0</v>
      </c>
      <c r="EQ144" s="5"/>
      <c r="ER144" s="7">
        <v>108.0</v>
      </c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7">
        <v>1.0</v>
      </c>
      <c r="FH144" s="5"/>
      <c r="FI144" s="5"/>
      <c r="FJ144" s="5"/>
      <c r="FK144" s="5"/>
      <c r="FL144" s="5"/>
      <c r="FM144" s="7">
        <v>50.0</v>
      </c>
      <c r="FN144" s="5"/>
      <c r="FO144" s="5"/>
      <c r="FP144" s="5"/>
      <c r="FQ144" s="5"/>
      <c r="FR144" s="5"/>
      <c r="FS144" s="7">
        <v>597.0</v>
      </c>
      <c r="FT144" s="5"/>
      <c r="FU144" s="5"/>
      <c r="FV144" s="7">
        <v>2.0</v>
      </c>
      <c r="FW144" s="5"/>
      <c r="FX144" s="5"/>
      <c r="FY144" s="7">
        <v>2.0</v>
      </c>
      <c r="FZ144" s="5"/>
      <c r="GA144" s="5"/>
      <c r="GB144" s="5"/>
      <c r="GC144" s="5"/>
      <c r="GD144" s="5"/>
      <c r="GE144" s="7">
        <v>3.0</v>
      </c>
      <c r="GF144" s="7">
        <v>1.0</v>
      </c>
      <c r="GG144" s="5"/>
      <c r="GH144" s="7">
        <f t="shared" si="86"/>
        <v>23</v>
      </c>
      <c r="GI144" s="7">
        <f t="shared" si="87"/>
        <v>18</v>
      </c>
      <c r="GJ144" s="7">
        <f t="shared" si="88"/>
        <v>15</v>
      </c>
      <c r="GK144" s="7">
        <f t="shared" si="89"/>
        <v>1129</v>
      </c>
      <c r="GL144" s="7">
        <f t="shared" si="90"/>
        <v>1225</v>
      </c>
      <c r="GM144" s="7">
        <f t="shared" si="91"/>
        <v>96</v>
      </c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</row>
    <row r="145">
      <c r="A145" s="21">
        <v>39220.0</v>
      </c>
      <c r="B145" s="5" t="s">
        <v>140</v>
      </c>
      <c r="C145" s="16">
        <f t="shared" si="92"/>
        <v>43</v>
      </c>
      <c r="D145" s="7">
        <v>21.295799</v>
      </c>
      <c r="E145" s="7">
        <v>-158.103699</v>
      </c>
      <c r="F145" s="5" t="s">
        <v>180</v>
      </c>
      <c r="G145" s="6">
        <v>0.0</v>
      </c>
      <c r="H145" s="6">
        <v>0.041666666666666664</v>
      </c>
      <c r="I145" s="7">
        <v>5.0</v>
      </c>
      <c r="J145" s="7">
        <v>30.0</v>
      </c>
      <c r="K145" s="5" t="s">
        <v>201</v>
      </c>
      <c r="L145" s="7">
        <v>7.0</v>
      </c>
      <c r="M145" s="7">
        <v>28.0</v>
      </c>
      <c r="N145" s="5" t="s">
        <v>222</v>
      </c>
      <c r="O145" s="5"/>
      <c r="P145" s="7">
        <v>28.0</v>
      </c>
      <c r="Q145" s="5"/>
      <c r="R145" s="7">
        <v>24.0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7">
        <v>1.0</v>
      </c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7">
        <v>5.0</v>
      </c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7">
        <v>19.0</v>
      </c>
      <c r="BN145" s="5"/>
      <c r="BO145" s="5"/>
      <c r="BP145" s="5"/>
      <c r="BQ145" s="5"/>
      <c r="BR145" s="5"/>
      <c r="BS145" s="5"/>
      <c r="BT145" s="7">
        <v>2.0</v>
      </c>
      <c r="BU145" s="5"/>
      <c r="BV145" s="5"/>
      <c r="BW145" s="7">
        <v>13.0</v>
      </c>
      <c r="BX145" s="7">
        <v>4.0</v>
      </c>
      <c r="BY145" s="5"/>
      <c r="BZ145" s="5"/>
      <c r="CA145" s="5"/>
      <c r="CB145" s="5"/>
      <c r="CC145" s="7">
        <v>1.0</v>
      </c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7">
        <v>1.0</v>
      </c>
      <c r="DE145" s="7">
        <v>3.0</v>
      </c>
      <c r="DF145" s="5"/>
      <c r="DG145" s="5"/>
      <c r="DH145" s="7">
        <v>2.0</v>
      </c>
      <c r="DI145" s="5"/>
      <c r="DJ145" s="5"/>
      <c r="DK145" s="5"/>
      <c r="DL145" s="7">
        <v>4.0</v>
      </c>
      <c r="DM145" s="7">
        <v>28.0</v>
      </c>
      <c r="DN145" s="5"/>
      <c r="DO145" s="5"/>
      <c r="DP145" s="5"/>
      <c r="DQ145" s="5"/>
      <c r="DR145" s="5"/>
      <c r="DS145" s="7">
        <v>6.0</v>
      </c>
      <c r="DT145" s="5"/>
      <c r="DU145" s="5"/>
      <c r="DV145" s="7">
        <v>3.0</v>
      </c>
      <c r="DW145" s="5"/>
      <c r="DX145" s="5"/>
      <c r="DY145" s="5"/>
      <c r="DZ145" s="5"/>
      <c r="EA145" s="5"/>
      <c r="EB145" s="5"/>
      <c r="EC145" s="7">
        <v>6.0</v>
      </c>
      <c r="ED145" s="5"/>
      <c r="EE145" s="5"/>
      <c r="EF145" s="5"/>
      <c r="EG145" s="5"/>
      <c r="EH145" s="5"/>
      <c r="EI145" s="5"/>
      <c r="EJ145" s="7">
        <v>196.0</v>
      </c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7">
        <v>1.0</v>
      </c>
      <c r="EX145" s="5"/>
      <c r="EY145" s="5"/>
      <c r="EZ145" s="5"/>
      <c r="FA145" s="5"/>
      <c r="FB145" s="7">
        <v>28.0</v>
      </c>
      <c r="FC145" s="7">
        <v>1.0</v>
      </c>
      <c r="FD145" s="5"/>
      <c r="FE145" s="5"/>
      <c r="FF145" s="5"/>
      <c r="FG145" s="5"/>
      <c r="FH145" s="7">
        <v>1.0</v>
      </c>
      <c r="FI145" s="5"/>
      <c r="FJ145" s="5"/>
      <c r="FK145" s="5"/>
      <c r="FL145" s="5"/>
      <c r="FM145" s="7">
        <v>2.0</v>
      </c>
      <c r="FN145" s="5"/>
      <c r="FO145" s="5"/>
      <c r="FP145" s="5"/>
      <c r="FQ145" s="5"/>
      <c r="FR145" s="5"/>
      <c r="FS145" s="7">
        <v>189.0</v>
      </c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7">
        <v>1.0</v>
      </c>
      <c r="GF145" s="7">
        <v>3.0</v>
      </c>
      <c r="GG145" s="5"/>
      <c r="GH145" s="7">
        <f t="shared" si="86"/>
        <v>25</v>
      </c>
      <c r="GI145" s="7">
        <f t="shared" si="87"/>
        <v>18</v>
      </c>
      <c r="GJ145" s="7">
        <f t="shared" si="88"/>
        <v>10</v>
      </c>
      <c r="GK145" s="7">
        <f t="shared" si="89"/>
        <v>544</v>
      </c>
      <c r="GL145" s="7">
        <f t="shared" si="90"/>
        <v>700</v>
      </c>
      <c r="GM145" s="7">
        <f t="shared" si="91"/>
        <v>156</v>
      </c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</row>
    <row r="146">
      <c r="A146" s="21">
        <v>39501.0</v>
      </c>
      <c r="B146" s="5" t="s">
        <v>69</v>
      </c>
      <c r="C146" s="16">
        <f t="shared" si="92"/>
        <v>44</v>
      </c>
      <c r="D146" s="7">
        <v>21.4104</v>
      </c>
      <c r="E146" s="7">
        <v>-158.177704</v>
      </c>
      <c r="F146" s="5" t="s">
        <v>180</v>
      </c>
      <c r="G146" s="6">
        <v>0.0</v>
      </c>
      <c r="H146" s="6">
        <v>0.041666666666666664</v>
      </c>
      <c r="I146" s="7">
        <v>4.0</v>
      </c>
      <c r="J146" s="7">
        <v>21.0</v>
      </c>
      <c r="K146" s="5" t="s">
        <v>2</v>
      </c>
      <c r="L146" s="7">
        <v>11.0</v>
      </c>
      <c r="M146" s="7">
        <v>41.0</v>
      </c>
      <c r="N146" s="5" t="s">
        <v>223</v>
      </c>
      <c r="O146" s="5"/>
      <c r="P146" s="7">
        <v>41.0</v>
      </c>
      <c r="Q146" s="5"/>
      <c r="R146" s="7">
        <v>272.0</v>
      </c>
      <c r="S146" s="5"/>
      <c r="T146" s="5"/>
      <c r="U146" s="5"/>
      <c r="V146" s="5"/>
      <c r="W146" s="5"/>
      <c r="X146" s="5"/>
      <c r="Y146" s="5"/>
      <c r="Z146" s="7">
        <v>1.0</v>
      </c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7">
        <v>3.0</v>
      </c>
      <c r="AN146" s="5"/>
      <c r="AO146" s="5"/>
      <c r="AP146" s="5"/>
      <c r="AQ146" s="5"/>
      <c r="AR146" s="7">
        <v>1.0</v>
      </c>
      <c r="AS146" s="5"/>
      <c r="AT146" s="5"/>
      <c r="AU146" s="5"/>
      <c r="AV146" s="5"/>
      <c r="AW146" s="5"/>
      <c r="AX146" s="7">
        <v>19.0</v>
      </c>
      <c r="AY146" s="5"/>
      <c r="AZ146" s="5"/>
      <c r="BA146" s="5"/>
      <c r="BB146" s="5"/>
      <c r="BC146" s="5"/>
      <c r="BD146" s="5"/>
      <c r="BE146" s="5"/>
      <c r="BF146" s="5"/>
      <c r="BG146" s="5"/>
      <c r="BH146" s="7">
        <v>2.0</v>
      </c>
      <c r="BI146" s="5"/>
      <c r="BJ146" s="5"/>
      <c r="BK146" s="5"/>
      <c r="BL146" s="5"/>
      <c r="BM146" s="7">
        <v>24.0</v>
      </c>
      <c r="BN146" s="5"/>
      <c r="BO146" s="5"/>
      <c r="BP146" s="5"/>
      <c r="BQ146" s="7">
        <v>77.0</v>
      </c>
      <c r="BR146" s="5"/>
      <c r="BS146" s="5"/>
      <c r="BT146" s="5"/>
      <c r="BU146" s="5"/>
      <c r="BV146" s="7">
        <v>11.0</v>
      </c>
      <c r="BW146" s="5"/>
      <c r="BX146" s="5"/>
      <c r="BY146" s="5"/>
      <c r="BZ146" s="7">
        <v>75.0</v>
      </c>
      <c r="CA146" s="5"/>
      <c r="CB146" s="5"/>
      <c r="CC146" s="7">
        <v>37.0</v>
      </c>
      <c r="CD146" s="7">
        <v>28.0</v>
      </c>
      <c r="CE146" s="5"/>
      <c r="CF146" s="5"/>
      <c r="CG146" s="5"/>
      <c r="CH146" s="5"/>
      <c r="CI146" s="5"/>
      <c r="CJ146" s="7">
        <v>2.0</v>
      </c>
      <c r="CK146" s="7">
        <v>24.0</v>
      </c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7">
        <v>14.0</v>
      </c>
      <c r="DE146" s="5"/>
      <c r="DF146" s="7">
        <v>2.0</v>
      </c>
      <c r="DG146" s="5"/>
      <c r="DH146" s="5"/>
      <c r="DI146" s="5"/>
      <c r="DJ146" s="5"/>
      <c r="DK146" s="5"/>
      <c r="DL146" s="5"/>
      <c r="DM146" s="7">
        <v>16.0</v>
      </c>
      <c r="DN146" s="5"/>
      <c r="DO146" s="5"/>
      <c r="DP146" s="5"/>
      <c r="DQ146" s="5"/>
      <c r="DR146" s="5"/>
      <c r="DS146" s="7">
        <v>18.0</v>
      </c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7">
        <v>1.0</v>
      </c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7">
        <v>75.0</v>
      </c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7">
        <v>1.0</v>
      </c>
      <c r="FN146" s="5"/>
      <c r="FO146" s="5"/>
      <c r="FP146" s="5"/>
      <c r="FQ146" s="5"/>
      <c r="FR146" s="5"/>
      <c r="FS146" s="7">
        <v>136.0</v>
      </c>
      <c r="FT146" s="7">
        <v>31.0</v>
      </c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7">
        <f t="shared" si="86"/>
        <v>23</v>
      </c>
      <c r="GI146" s="7">
        <f t="shared" si="87"/>
        <v>19</v>
      </c>
      <c r="GJ146" s="7">
        <f t="shared" si="88"/>
        <v>15</v>
      </c>
      <c r="GK146" s="7">
        <f t="shared" si="89"/>
        <v>870</v>
      </c>
      <c r="GL146" s="7">
        <f t="shared" si="90"/>
        <v>1025</v>
      </c>
      <c r="GM146" s="7">
        <f t="shared" si="91"/>
        <v>155</v>
      </c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</row>
    <row r="147">
      <c r="A147" s="21">
        <v>42420.0</v>
      </c>
      <c r="B147" s="5" t="s">
        <v>0</v>
      </c>
      <c r="C147" s="16">
        <f t="shared" si="92"/>
        <v>45</v>
      </c>
      <c r="D147" s="7">
        <v>21.3002</v>
      </c>
      <c r="E147" s="7">
        <v>-157.882599</v>
      </c>
      <c r="F147" s="5" t="s">
        <v>180</v>
      </c>
      <c r="G147" s="6">
        <v>0.3638888888888889</v>
      </c>
      <c r="H147" s="6">
        <v>0.4305555555555556</v>
      </c>
      <c r="I147" s="7">
        <v>7.0</v>
      </c>
      <c r="J147" s="7">
        <v>25.0</v>
      </c>
      <c r="K147" s="5" t="s">
        <v>8</v>
      </c>
      <c r="L147" s="7">
        <v>13.0</v>
      </c>
      <c r="M147" s="7">
        <v>75.0</v>
      </c>
      <c r="N147" s="30" t="s">
        <v>224</v>
      </c>
      <c r="O147" s="5"/>
      <c r="P147" s="7">
        <v>75.0</v>
      </c>
      <c r="Q147" s="5"/>
      <c r="R147" s="7">
        <v>1.0</v>
      </c>
      <c r="S147" s="7">
        <v>1.0</v>
      </c>
      <c r="T147" s="5"/>
      <c r="U147" s="5"/>
      <c r="V147" s="5"/>
      <c r="W147" s="5"/>
      <c r="X147" s="5"/>
      <c r="Y147" s="5"/>
      <c r="Z147" s="5"/>
      <c r="AA147" s="5"/>
      <c r="AB147" s="7">
        <v>341.0</v>
      </c>
      <c r="AC147" s="7">
        <v>7.0</v>
      </c>
      <c r="AD147" s="5"/>
      <c r="AE147" s="7">
        <v>1.0</v>
      </c>
      <c r="AF147" s="5"/>
      <c r="AG147" s="7">
        <v>13.0</v>
      </c>
      <c r="AH147" s="7">
        <v>3.0</v>
      </c>
      <c r="AI147" s="7">
        <v>8.0</v>
      </c>
      <c r="AJ147" s="5"/>
      <c r="AK147" s="5"/>
      <c r="AL147" s="5"/>
      <c r="AM147" s="7">
        <v>171.0</v>
      </c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7">
        <v>1.0</v>
      </c>
      <c r="AY147" s="5"/>
      <c r="AZ147" s="5"/>
      <c r="BA147" s="5"/>
      <c r="BB147" s="5"/>
      <c r="BC147" s="5"/>
      <c r="BD147" s="5"/>
      <c r="BE147" s="7">
        <v>9.0</v>
      </c>
      <c r="BF147" s="5"/>
      <c r="BG147" s="5"/>
      <c r="BH147" s="5"/>
      <c r="BI147" s="5"/>
      <c r="BJ147" s="5"/>
      <c r="BK147" s="7">
        <v>1.0</v>
      </c>
      <c r="BL147" s="5"/>
      <c r="BM147" s="7">
        <v>113.0</v>
      </c>
      <c r="BN147" s="7">
        <v>35.0</v>
      </c>
      <c r="BO147" s="5"/>
      <c r="BP147" s="5"/>
      <c r="BQ147" s="7">
        <v>10.0</v>
      </c>
      <c r="BR147" s="5"/>
      <c r="BS147" s="5"/>
      <c r="BT147" s="5"/>
      <c r="BU147" s="5"/>
      <c r="BV147" s="7">
        <v>11.0</v>
      </c>
      <c r="BW147" s="5"/>
      <c r="BX147" s="5"/>
      <c r="BY147" s="5"/>
      <c r="BZ147" s="7">
        <v>1.0</v>
      </c>
      <c r="CA147" s="5"/>
      <c r="CB147" s="5"/>
      <c r="CC147" s="7">
        <v>3.0</v>
      </c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7">
        <v>1.0</v>
      </c>
      <c r="CW147" s="7">
        <v>1.0</v>
      </c>
      <c r="CX147" s="7">
        <v>1.0</v>
      </c>
      <c r="CY147" s="5"/>
      <c r="CZ147" s="5"/>
      <c r="DA147" s="5"/>
      <c r="DB147" s="5"/>
      <c r="DC147" s="5"/>
      <c r="DD147" s="5"/>
      <c r="DE147" s="5"/>
      <c r="DF147" s="5"/>
      <c r="DG147" s="7">
        <v>3.0</v>
      </c>
      <c r="DH147" s="5"/>
      <c r="DI147" s="5"/>
      <c r="DJ147" s="5"/>
      <c r="DK147" s="5"/>
      <c r="DL147" s="5"/>
      <c r="DM147" s="5"/>
      <c r="DN147" s="7">
        <v>9.0</v>
      </c>
      <c r="DO147" s="7">
        <v>1.0</v>
      </c>
      <c r="DP147" s="5"/>
      <c r="DQ147" s="7">
        <v>66.0</v>
      </c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7">
        <v>15.0</v>
      </c>
      <c r="ED147" s="5"/>
      <c r="EE147" s="5"/>
      <c r="EF147" s="5"/>
      <c r="EG147" s="5"/>
      <c r="EH147" s="5"/>
      <c r="EI147" s="5"/>
      <c r="EJ147" s="7">
        <v>32.0</v>
      </c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7">
        <v>1.0</v>
      </c>
      <c r="FG147" s="5"/>
      <c r="FH147" s="5"/>
      <c r="FI147" s="5"/>
      <c r="FJ147" s="5"/>
      <c r="FK147" s="5"/>
      <c r="FL147" s="7">
        <v>1.0</v>
      </c>
      <c r="FM147" s="5"/>
      <c r="FN147" s="5"/>
      <c r="FO147" s="5"/>
      <c r="FP147" s="5"/>
      <c r="FQ147" s="7">
        <v>7.0</v>
      </c>
      <c r="FR147" s="5"/>
      <c r="FS147" s="7">
        <v>495.0</v>
      </c>
      <c r="FT147" s="5"/>
      <c r="FU147" s="7">
        <v>8.0</v>
      </c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7">
        <f t="shared" si="86"/>
        <v>32</v>
      </c>
      <c r="GI147" s="7">
        <f t="shared" si="87"/>
        <v>20</v>
      </c>
      <c r="GJ147" s="7">
        <f t="shared" si="88"/>
        <v>17</v>
      </c>
      <c r="GK147" s="7">
        <f t="shared" si="89"/>
        <v>1371</v>
      </c>
      <c r="GL147" s="7">
        <f t="shared" si="90"/>
        <v>1875</v>
      </c>
      <c r="GM147" s="7">
        <f t="shared" si="91"/>
        <v>504</v>
      </c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</row>
    <row r="148">
      <c r="A148" s="21">
        <v>42427.0</v>
      </c>
      <c r="B148" s="5" t="s">
        <v>28</v>
      </c>
      <c r="C148" s="16">
        <f t="shared" si="92"/>
        <v>46</v>
      </c>
      <c r="D148" s="7">
        <v>22.060684</v>
      </c>
      <c r="E148" s="7">
        <v>-159.318512</v>
      </c>
      <c r="F148" s="5" t="s">
        <v>180</v>
      </c>
      <c r="G148" s="6">
        <v>0.4826388888888889</v>
      </c>
      <c r="H148" s="6">
        <v>0.5416666666666666</v>
      </c>
      <c r="I148" s="7">
        <v>3.0</v>
      </c>
      <c r="J148" s="7">
        <v>16.0</v>
      </c>
      <c r="K148" s="5" t="s">
        <v>8</v>
      </c>
      <c r="L148" s="7">
        <v>15.0</v>
      </c>
      <c r="M148" s="7">
        <v>40.0</v>
      </c>
      <c r="N148" s="5" t="s">
        <v>225</v>
      </c>
      <c r="O148" s="5"/>
      <c r="P148" s="7">
        <v>40.0</v>
      </c>
      <c r="Q148" s="5"/>
      <c r="R148" s="7">
        <v>6.0</v>
      </c>
      <c r="S148" s="5"/>
      <c r="T148" s="7">
        <v>1.0</v>
      </c>
      <c r="U148" s="5"/>
      <c r="V148" s="5"/>
      <c r="W148" s="5"/>
      <c r="X148" s="7">
        <v>1.0</v>
      </c>
      <c r="Y148" s="5"/>
      <c r="Z148" s="5"/>
      <c r="AA148" s="5"/>
      <c r="AB148" s="7">
        <v>10.0</v>
      </c>
      <c r="AC148" s="7">
        <v>6.0</v>
      </c>
      <c r="AD148" s="7">
        <v>1.0</v>
      </c>
      <c r="AE148" s="5"/>
      <c r="AF148" s="5"/>
      <c r="AG148" s="7">
        <v>2.0</v>
      </c>
      <c r="AH148" s="5"/>
      <c r="AI148" s="7">
        <v>2.0</v>
      </c>
      <c r="AJ148" s="5"/>
      <c r="AK148" s="5"/>
      <c r="AL148" s="5"/>
      <c r="AM148" s="7">
        <v>26.0</v>
      </c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7">
        <v>8.0</v>
      </c>
      <c r="AY148" s="5"/>
      <c r="AZ148" s="5"/>
      <c r="BA148" s="5"/>
      <c r="BB148" s="7">
        <v>24.0</v>
      </c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7">
        <v>449.0</v>
      </c>
      <c r="BO148" s="5"/>
      <c r="BP148" s="5"/>
      <c r="BQ148" s="5"/>
      <c r="BR148" s="5"/>
      <c r="BS148" s="5"/>
      <c r="BT148" s="5"/>
      <c r="BU148" s="5"/>
      <c r="BV148" s="7">
        <v>7.0</v>
      </c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7">
        <v>7.0</v>
      </c>
      <c r="DH148" s="5"/>
      <c r="DI148" s="5"/>
      <c r="DJ148" s="5"/>
      <c r="DK148" s="5"/>
      <c r="DL148" s="5"/>
      <c r="DM148" s="7">
        <v>3.0</v>
      </c>
      <c r="DN148" s="5"/>
      <c r="DO148" s="7">
        <v>4.0</v>
      </c>
      <c r="DP148" s="5"/>
      <c r="DQ148" s="5"/>
      <c r="DR148" s="5"/>
      <c r="DS148" s="5"/>
      <c r="DT148" s="5"/>
      <c r="DU148" s="5"/>
      <c r="DV148" s="7">
        <v>5.0</v>
      </c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7">
        <v>77.0</v>
      </c>
      <c r="EK148" s="5"/>
      <c r="EL148" s="5"/>
      <c r="EM148" s="5"/>
      <c r="EN148" s="7">
        <v>4.0</v>
      </c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7">
        <v>21.0</v>
      </c>
      <c r="FC148" s="5"/>
      <c r="FD148" s="5"/>
      <c r="FE148" s="5"/>
      <c r="FF148" s="5"/>
      <c r="FG148" s="5"/>
      <c r="FH148" s="5"/>
      <c r="FI148" s="7">
        <v>8.0</v>
      </c>
      <c r="FJ148" s="5"/>
      <c r="FK148" s="5"/>
      <c r="FL148" s="5"/>
      <c r="FM148" s="5"/>
      <c r="FN148" s="5"/>
      <c r="FO148" s="5"/>
      <c r="FP148" s="5"/>
      <c r="FQ148" s="5"/>
      <c r="FR148" s="7">
        <v>35.0</v>
      </c>
      <c r="FS148" s="7">
        <v>12.0</v>
      </c>
      <c r="FT148" s="5"/>
      <c r="FU148" s="5"/>
      <c r="FV148" s="5"/>
      <c r="FW148" s="5"/>
      <c r="FX148" s="5"/>
      <c r="FY148" s="7">
        <v>15.0</v>
      </c>
      <c r="FZ148" s="5"/>
      <c r="GA148" s="5"/>
      <c r="GB148" s="5"/>
      <c r="GC148" s="5"/>
      <c r="GD148" s="5"/>
      <c r="GE148" s="5"/>
      <c r="GF148" s="5"/>
      <c r="GG148" s="5"/>
      <c r="GH148" s="7">
        <f t="shared" si="86"/>
        <v>24</v>
      </c>
      <c r="GI148" s="7">
        <f t="shared" si="87"/>
        <v>21</v>
      </c>
      <c r="GJ148" s="7">
        <f t="shared" si="88"/>
        <v>16</v>
      </c>
      <c r="GK148" s="7">
        <f t="shared" si="89"/>
        <v>734</v>
      </c>
      <c r="GL148" s="7">
        <f t="shared" si="90"/>
        <v>1000</v>
      </c>
      <c r="GM148" s="7">
        <f t="shared" si="91"/>
        <v>266</v>
      </c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</row>
    <row r="149">
      <c r="A149" s="17">
        <v>42428.0</v>
      </c>
      <c r="B149" s="18" t="s">
        <v>21</v>
      </c>
      <c r="C149" s="36"/>
      <c r="D149" s="19">
        <v>21.25544</v>
      </c>
      <c r="E149" s="19">
        <v>-157.810303</v>
      </c>
      <c r="F149" s="37" t="s">
        <v>180</v>
      </c>
      <c r="G149" s="38"/>
      <c r="H149" s="3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</row>
    <row r="150">
      <c r="A150" s="21">
        <v>42428.0</v>
      </c>
      <c r="B150" s="5" t="s">
        <v>28</v>
      </c>
      <c r="C150" s="16">
        <f>C149+1</f>
        <v>1</v>
      </c>
      <c r="D150" s="7">
        <v>22.060684</v>
      </c>
      <c r="E150" s="7">
        <v>-159.318512</v>
      </c>
      <c r="F150" s="5" t="s">
        <v>180</v>
      </c>
      <c r="G150" s="6">
        <v>0.4895833333333333</v>
      </c>
      <c r="H150" s="6">
        <v>0.5625</v>
      </c>
      <c r="I150" s="7">
        <v>3.0</v>
      </c>
      <c r="J150" s="7">
        <v>21.0</v>
      </c>
      <c r="K150" s="5" t="s">
        <v>8</v>
      </c>
      <c r="L150" s="7">
        <v>15.0</v>
      </c>
      <c r="M150" s="7">
        <v>43.0</v>
      </c>
      <c r="N150" s="5" t="s">
        <v>226</v>
      </c>
      <c r="O150" s="5"/>
      <c r="P150" s="7">
        <v>43.0</v>
      </c>
      <c r="Q150" s="5"/>
      <c r="R150" s="7">
        <v>4.0</v>
      </c>
      <c r="S150" s="5"/>
      <c r="T150" s="7">
        <v>26.0</v>
      </c>
      <c r="U150" s="5"/>
      <c r="V150" s="5"/>
      <c r="W150" s="5"/>
      <c r="X150" s="5"/>
      <c r="Y150" s="5"/>
      <c r="Z150" s="5"/>
      <c r="AA150" s="5"/>
      <c r="AB150" s="7">
        <v>6.0</v>
      </c>
      <c r="AC150" s="5"/>
      <c r="AD150" s="7">
        <v>4.0</v>
      </c>
      <c r="AE150" s="5"/>
      <c r="AF150" s="5"/>
      <c r="AG150" s="5"/>
      <c r="AH150" s="5"/>
      <c r="AI150" s="5"/>
      <c r="AJ150" s="5"/>
      <c r="AK150" s="5"/>
      <c r="AL150" s="5"/>
      <c r="AM150" s="7">
        <v>30.0</v>
      </c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7">
        <v>1.0</v>
      </c>
      <c r="AY150" s="5"/>
      <c r="AZ150" s="7">
        <v>2.0</v>
      </c>
      <c r="BA150" s="5"/>
      <c r="BB150" s="7">
        <v>30.0</v>
      </c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7">
        <v>19.0</v>
      </c>
      <c r="BN150" s="7">
        <v>503.0</v>
      </c>
      <c r="BO150" s="5"/>
      <c r="BP150" s="7">
        <v>1.0</v>
      </c>
      <c r="BQ150" s="7">
        <v>1.0</v>
      </c>
      <c r="BR150" s="5"/>
      <c r="BS150" s="5"/>
      <c r="BT150" s="5"/>
      <c r="BU150" s="5"/>
      <c r="BV150" s="7">
        <v>5.0</v>
      </c>
      <c r="BW150" s="5"/>
      <c r="BX150" s="5"/>
      <c r="BY150" s="5"/>
      <c r="BZ150" s="7">
        <v>3.0</v>
      </c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7">
        <v>4.0</v>
      </c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7">
        <v>3.0</v>
      </c>
      <c r="DH150" s="5"/>
      <c r="DI150" s="5"/>
      <c r="DJ150" s="5"/>
      <c r="DK150" s="5"/>
      <c r="DL150" s="5"/>
      <c r="DM150" s="7">
        <v>6.0</v>
      </c>
      <c r="DN150" s="5"/>
      <c r="DO150" s="5"/>
      <c r="DP150" s="5"/>
      <c r="DQ150" s="5"/>
      <c r="DR150" s="5"/>
      <c r="DS150" s="5"/>
      <c r="DT150" s="5"/>
      <c r="DU150" s="5"/>
      <c r="DV150" s="7">
        <v>40.0</v>
      </c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7">
        <v>43.0</v>
      </c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7">
        <v>6.0</v>
      </c>
      <c r="FC150" s="7">
        <v>1.0</v>
      </c>
      <c r="FD150" s="5"/>
      <c r="FE150" s="5"/>
      <c r="FF150" s="5"/>
      <c r="FG150" s="5"/>
      <c r="FH150" s="5"/>
      <c r="FI150" s="7">
        <v>19.0</v>
      </c>
      <c r="FJ150" s="5"/>
      <c r="FK150" s="5"/>
      <c r="FL150" s="5"/>
      <c r="FM150" s="5"/>
      <c r="FN150" s="5"/>
      <c r="FO150" s="5"/>
      <c r="FP150" s="5"/>
      <c r="FQ150" s="5"/>
      <c r="FR150" s="7">
        <v>6.0</v>
      </c>
      <c r="FS150" s="7">
        <v>26.0</v>
      </c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7">
        <f>count(R150:GG150)</f>
        <v>24</v>
      </c>
      <c r="GI150" s="7">
        <f>countif(R150:GG150,"&gt;=2")</f>
        <v>20</v>
      </c>
      <c r="GJ150" s="7">
        <f>countif(R150:GG150,"&gt;=5")</f>
        <v>14</v>
      </c>
      <c r="GK150" s="7">
        <f>sum(R150:GG150)</f>
        <v>789</v>
      </c>
      <c r="GL150" s="7">
        <f>25*P150</f>
        <v>1075</v>
      </c>
      <c r="GM150" s="7">
        <f>GL150-GK150</f>
        <v>286</v>
      </c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</row>
    <row r="151">
      <c r="A151" s="17">
        <v>42435.0</v>
      </c>
      <c r="B151" s="18" t="s">
        <v>0</v>
      </c>
      <c r="C151" s="36"/>
      <c r="D151" s="19">
        <v>21.3002</v>
      </c>
      <c r="E151" s="19">
        <v>-157.882599</v>
      </c>
      <c r="F151" s="37" t="s">
        <v>180</v>
      </c>
      <c r="G151" s="38"/>
      <c r="H151" s="3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</row>
    <row r="152">
      <c r="A152" s="21">
        <v>42443.0</v>
      </c>
      <c r="B152" s="5" t="s">
        <v>34</v>
      </c>
      <c r="C152" s="16">
        <f t="shared" ref="C152:C195" si="93">C151+1</f>
        <v>1</v>
      </c>
      <c r="D152" s="7">
        <v>20.7537</v>
      </c>
      <c r="E152" s="7">
        <v>-156.460907</v>
      </c>
      <c r="F152" s="5" t="s">
        <v>180</v>
      </c>
      <c r="G152" s="6">
        <v>0.5520833333333334</v>
      </c>
      <c r="H152" s="6">
        <v>0.625</v>
      </c>
      <c r="I152" s="7">
        <v>3.0</v>
      </c>
      <c r="J152" s="7">
        <v>15.0</v>
      </c>
      <c r="K152" s="5" t="s">
        <v>174</v>
      </c>
      <c r="L152" s="7">
        <v>10.0</v>
      </c>
      <c r="M152" s="7">
        <v>30.0</v>
      </c>
      <c r="N152" s="5"/>
      <c r="O152" s="5"/>
      <c r="P152" s="7">
        <v>30.0</v>
      </c>
      <c r="Q152" s="5"/>
      <c r="R152" s="7">
        <v>56.0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7">
        <v>4.0</v>
      </c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7">
        <v>49.0</v>
      </c>
      <c r="BN152" s="7">
        <v>242.0</v>
      </c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7">
        <v>1.0</v>
      </c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7">
        <v>4.0</v>
      </c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7">
        <v>64.0</v>
      </c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7">
        <v>2.0</v>
      </c>
      <c r="FQ152" s="7">
        <v>1.0</v>
      </c>
      <c r="FR152" s="5"/>
      <c r="FS152" s="7">
        <v>132.0</v>
      </c>
      <c r="FT152" s="7">
        <v>2.0</v>
      </c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7">
        <f t="shared" ref="GH152:GH168" si="94">count(R152:GG152)</f>
        <v>11</v>
      </c>
      <c r="GI152" s="7">
        <f t="shared" ref="GI152:GI168" si="95">countif(R152:GG152,"&gt;=2")</f>
        <v>9</v>
      </c>
      <c r="GJ152" s="7">
        <f t="shared" ref="GJ152:GJ168" si="96">countif(R152:GG152,"&gt;=5")</f>
        <v>5</v>
      </c>
      <c r="GK152" s="7">
        <f t="shared" ref="GK152:GK168" si="97">sum(R152:GG152)</f>
        <v>557</v>
      </c>
      <c r="GL152" s="7">
        <f t="shared" ref="GL152:GL168" si="98">25*P152</f>
        <v>750</v>
      </c>
      <c r="GM152" s="7">
        <f t="shared" ref="GM152:GM168" si="99">GL152-GK152</f>
        <v>193</v>
      </c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</row>
    <row r="153">
      <c r="A153" s="21">
        <v>42469.0</v>
      </c>
      <c r="B153" s="5" t="s">
        <v>14</v>
      </c>
      <c r="C153" s="16">
        <f t="shared" si="93"/>
        <v>2</v>
      </c>
      <c r="D153" s="7">
        <v>19.738602</v>
      </c>
      <c r="E153" s="7">
        <v>-155.038879</v>
      </c>
      <c r="F153" s="5" t="s">
        <v>180</v>
      </c>
      <c r="G153" s="6">
        <v>0.4076388888888889</v>
      </c>
      <c r="H153" s="6">
        <v>0.4652777777777778</v>
      </c>
      <c r="I153" s="7">
        <v>4.0</v>
      </c>
      <c r="J153" s="7">
        <v>15.0</v>
      </c>
      <c r="K153" s="5" t="s">
        <v>174</v>
      </c>
      <c r="L153" s="7">
        <v>10.0</v>
      </c>
      <c r="M153" s="7">
        <v>20.0</v>
      </c>
      <c r="N153" s="5" t="s">
        <v>227</v>
      </c>
      <c r="O153" s="5" t="s">
        <v>47</v>
      </c>
      <c r="P153" s="7">
        <v>20.0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7">
        <v>1.0</v>
      </c>
      <c r="AC153" s="5"/>
      <c r="AD153" s="5"/>
      <c r="AE153" s="5"/>
      <c r="AF153" s="5"/>
      <c r="AG153" s="5"/>
      <c r="AH153" s="5"/>
      <c r="AI153" s="7">
        <v>6.0</v>
      </c>
      <c r="AJ153" s="5"/>
      <c r="AK153" s="5"/>
      <c r="AL153" s="5"/>
      <c r="AM153" s="7">
        <v>56.0</v>
      </c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7">
        <v>38.0</v>
      </c>
      <c r="BL153" s="5"/>
      <c r="BM153" s="7">
        <v>21.0</v>
      </c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7">
        <v>1.0</v>
      </c>
      <c r="CA153" s="5"/>
      <c r="CB153" s="5"/>
      <c r="CC153" s="5"/>
      <c r="CD153" s="7">
        <v>2.0</v>
      </c>
      <c r="CE153" s="5"/>
      <c r="CF153" s="7">
        <v>3.0</v>
      </c>
      <c r="CG153" s="5"/>
      <c r="CH153" s="5"/>
      <c r="CI153" s="5"/>
      <c r="CJ153" s="5"/>
      <c r="CK153" s="5"/>
      <c r="CL153" s="5"/>
      <c r="CM153" s="5"/>
      <c r="CN153" s="7">
        <v>1.0</v>
      </c>
      <c r="CO153" s="7">
        <v>52.0</v>
      </c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7">
        <v>1.0</v>
      </c>
      <c r="DH153" s="5"/>
      <c r="DI153" s="5"/>
      <c r="DJ153" s="5"/>
      <c r="DK153" s="5"/>
      <c r="DL153" s="5"/>
      <c r="DM153" s="7">
        <v>1.0</v>
      </c>
      <c r="DN153" s="5"/>
      <c r="DO153" s="5"/>
      <c r="DP153" s="5"/>
      <c r="DQ153" s="5"/>
      <c r="DR153" s="5"/>
      <c r="DS153" s="5"/>
      <c r="DT153" s="5"/>
      <c r="DU153" s="5"/>
      <c r="DV153" s="7">
        <v>1.0</v>
      </c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7">
        <v>14.0</v>
      </c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7">
        <v>2.0</v>
      </c>
      <c r="FR153" s="5"/>
      <c r="FS153" s="7">
        <v>219.0</v>
      </c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7">
        <f t="shared" si="94"/>
        <v>16</v>
      </c>
      <c r="GI153" s="7">
        <f t="shared" si="95"/>
        <v>10</v>
      </c>
      <c r="GJ153" s="7">
        <f t="shared" si="96"/>
        <v>7</v>
      </c>
      <c r="GK153" s="7">
        <f t="shared" si="97"/>
        <v>419</v>
      </c>
      <c r="GL153" s="7">
        <f t="shared" si="98"/>
        <v>500</v>
      </c>
      <c r="GM153" s="7">
        <f t="shared" si="99"/>
        <v>81</v>
      </c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</row>
    <row r="154">
      <c r="A154" s="21">
        <v>42470.0</v>
      </c>
      <c r="B154" s="5" t="s">
        <v>14</v>
      </c>
      <c r="C154" s="16">
        <f t="shared" si="93"/>
        <v>3</v>
      </c>
      <c r="D154" s="7">
        <v>19.738602</v>
      </c>
      <c r="E154" s="7">
        <v>-155.038879</v>
      </c>
      <c r="F154" s="5" t="s">
        <v>180</v>
      </c>
      <c r="G154" s="6">
        <v>0.4340277777777778</v>
      </c>
      <c r="H154" s="6">
        <v>0.5277777777777778</v>
      </c>
      <c r="I154" s="7">
        <v>4.0</v>
      </c>
      <c r="J154" s="7">
        <v>22.0</v>
      </c>
      <c r="K154" s="5" t="s">
        <v>8</v>
      </c>
      <c r="L154" s="7">
        <v>11.0</v>
      </c>
      <c r="M154" s="7">
        <v>35.0</v>
      </c>
      <c r="N154" s="5" t="s">
        <v>171</v>
      </c>
      <c r="O154" s="5"/>
      <c r="P154" s="7">
        <v>35.0</v>
      </c>
      <c r="Q154" s="5"/>
      <c r="R154" s="7">
        <v>24.0</v>
      </c>
      <c r="S154" s="5"/>
      <c r="T154" s="7">
        <v>9.0</v>
      </c>
      <c r="U154" s="5"/>
      <c r="V154" s="5"/>
      <c r="W154" s="5"/>
      <c r="X154" s="5"/>
      <c r="Y154" s="5"/>
      <c r="Z154" s="5"/>
      <c r="AA154" s="5"/>
      <c r="AB154" s="7">
        <v>77.0</v>
      </c>
      <c r="AC154" s="5"/>
      <c r="AD154" s="7">
        <v>6.0</v>
      </c>
      <c r="AE154" s="5"/>
      <c r="AF154" s="5"/>
      <c r="AG154" s="5"/>
      <c r="AH154" s="7">
        <v>15.0</v>
      </c>
      <c r="AI154" s="5"/>
      <c r="AJ154" s="5"/>
      <c r="AK154" s="5"/>
      <c r="AL154" s="5"/>
      <c r="AM154" s="7">
        <v>35.0</v>
      </c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7">
        <v>6.0</v>
      </c>
      <c r="BA154" s="5"/>
      <c r="BB154" s="7">
        <v>3.0</v>
      </c>
      <c r="BC154" s="5"/>
      <c r="BD154" s="5"/>
      <c r="BE154" s="5"/>
      <c r="BF154" s="5"/>
      <c r="BG154" s="7">
        <v>1.0</v>
      </c>
      <c r="BH154" s="5"/>
      <c r="BI154" s="5"/>
      <c r="BJ154" s="7">
        <v>1.0</v>
      </c>
      <c r="BK154" s="7">
        <v>5.0</v>
      </c>
      <c r="BL154" s="5"/>
      <c r="BM154" s="7">
        <v>59.0</v>
      </c>
      <c r="BN154" s="7">
        <v>16.0</v>
      </c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7">
        <v>6.0</v>
      </c>
      <c r="CA154" s="5"/>
      <c r="CB154" s="7">
        <v>3.0</v>
      </c>
      <c r="CC154" s="7">
        <v>5.0</v>
      </c>
      <c r="CD154" s="5"/>
      <c r="CE154" s="5"/>
      <c r="CF154" s="5"/>
      <c r="CG154" s="5"/>
      <c r="CH154" s="5"/>
      <c r="CI154" s="5"/>
      <c r="CJ154" s="5"/>
      <c r="CK154" s="5"/>
      <c r="CL154" s="7">
        <v>1.0</v>
      </c>
      <c r="CM154" s="5"/>
      <c r="CN154" s="5"/>
      <c r="CO154" s="7">
        <v>98.0</v>
      </c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7">
        <v>6.0</v>
      </c>
      <c r="DH154" s="7">
        <v>5.0</v>
      </c>
      <c r="DI154" s="5"/>
      <c r="DJ154" s="5"/>
      <c r="DK154" s="5"/>
      <c r="DL154" s="5"/>
      <c r="DM154" s="7">
        <v>3.0</v>
      </c>
      <c r="DN154" s="5"/>
      <c r="DO154" s="5"/>
      <c r="DP154" s="5"/>
      <c r="DQ154" s="7">
        <v>1.0</v>
      </c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7">
        <v>2.0</v>
      </c>
      <c r="EE154" s="5"/>
      <c r="EF154" s="5"/>
      <c r="EG154" s="5"/>
      <c r="EH154" s="5"/>
      <c r="EI154" s="5"/>
      <c r="EJ154" s="7">
        <v>13.0</v>
      </c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7">
        <v>5.0</v>
      </c>
      <c r="EY154" s="5"/>
      <c r="EZ154" s="5"/>
      <c r="FA154" s="5"/>
      <c r="FB154" s="7">
        <v>9.0</v>
      </c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7">
        <v>2.0</v>
      </c>
      <c r="FQ154" s="7">
        <v>17.0</v>
      </c>
      <c r="FR154" s="5"/>
      <c r="FS154" s="7">
        <v>161.0</v>
      </c>
      <c r="FT154" s="7">
        <v>7.0</v>
      </c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7">
        <f t="shared" si="94"/>
        <v>30</v>
      </c>
      <c r="GI154" s="7">
        <f t="shared" si="95"/>
        <v>26</v>
      </c>
      <c r="GJ154" s="7">
        <f t="shared" si="96"/>
        <v>21</v>
      </c>
      <c r="GK154" s="7">
        <f t="shared" si="97"/>
        <v>601</v>
      </c>
      <c r="GL154" s="7">
        <f t="shared" si="98"/>
        <v>875</v>
      </c>
      <c r="GM154" s="7">
        <f t="shared" si="99"/>
        <v>274</v>
      </c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</row>
    <row r="155">
      <c r="A155" s="21">
        <v>42510.0</v>
      </c>
      <c r="B155" s="5" t="s">
        <v>228</v>
      </c>
      <c r="C155" s="16">
        <f t="shared" si="93"/>
        <v>4</v>
      </c>
      <c r="D155" s="7">
        <v>19.457222</v>
      </c>
      <c r="E155" s="7">
        <v>-155.925003</v>
      </c>
      <c r="F155" s="5" t="s">
        <v>180</v>
      </c>
      <c r="G155" s="6">
        <v>0.3194444444444444</v>
      </c>
      <c r="H155" s="6">
        <v>0.3854166666666667</v>
      </c>
      <c r="I155" s="7">
        <v>4.0</v>
      </c>
      <c r="J155" s="7">
        <v>30.0</v>
      </c>
      <c r="K155" s="5" t="s">
        <v>8</v>
      </c>
      <c r="L155" s="7">
        <v>14.0</v>
      </c>
      <c r="M155" s="7">
        <v>41.0</v>
      </c>
      <c r="N155" s="5" t="s">
        <v>229</v>
      </c>
      <c r="O155" s="5"/>
      <c r="P155" s="7">
        <v>41.0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7">
        <v>55.0</v>
      </c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7">
        <v>102.0</v>
      </c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7">
        <v>4.0</v>
      </c>
      <c r="BC155" s="5"/>
      <c r="BD155" s="5"/>
      <c r="BE155" s="5"/>
      <c r="BF155" s="5"/>
      <c r="BG155" s="7">
        <v>4.0</v>
      </c>
      <c r="BH155" s="5"/>
      <c r="BI155" s="5"/>
      <c r="BJ155" s="5"/>
      <c r="BK155" s="5"/>
      <c r="BL155" s="5"/>
      <c r="BM155" s="7">
        <v>60.0</v>
      </c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7">
        <v>2.0</v>
      </c>
      <c r="CC155" s="5"/>
      <c r="CD155" s="5"/>
      <c r="CE155" s="5"/>
      <c r="CF155" s="5"/>
      <c r="CG155" s="5"/>
      <c r="CH155" s="7">
        <v>1.0</v>
      </c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7">
        <v>4.0</v>
      </c>
      <c r="DN155" s="5"/>
      <c r="DO155" s="5"/>
      <c r="DP155" s="5"/>
      <c r="DQ155" s="5"/>
      <c r="DR155" s="5"/>
      <c r="DS155" s="5"/>
      <c r="DT155" s="5"/>
      <c r="DU155" s="5"/>
      <c r="DV155" s="7">
        <v>36.0</v>
      </c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7">
        <v>13.0</v>
      </c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7">
        <v>37.0</v>
      </c>
      <c r="FC155" s="7">
        <v>1.0</v>
      </c>
      <c r="FD155" s="5"/>
      <c r="FE155" s="5"/>
      <c r="FF155" s="7">
        <v>70.0</v>
      </c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7">
        <v>13.0</v>
      </c>
      <c r="FR155" s="7">
        <v>109.0</v>
      </c>
      <c r="FS155" s="7">
        <v>265.0</v>
      </c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7">
        <f t="shared" si="94"/>
        <v>16</v>
      </c>
      <c r="GI155" s="7">
        <f t="shared" si="95"/>
        <v>14</v>
      </c>
      <c r="GJ155" s="7">
        <f t="shared" si="96"/>
        <v>10</v>
      </c>
      <c r="GK155" s="7">
        <f t="shared" si="97"/>
        <v>776</v>
      </c>
      <c r="GL155" s="7">
        <f t="shared" si="98"/>
        <v>1025</v>
      </c>
      <c r="GM155" s="7">
        <f t="shared" si="99"/>
        <v>249</v>
      </c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</row>
    <row r="156">
      <c r="A156" s="21">
        <v>42778.0</v>
      </c>
      <c r="B156" s="5" t="s">
        <v>21</v>
      </c>
      <c r="C156" s="16">
        <f t="shared" si="93"/>
        <v>5</v>
      </c>
      <c r="D156" s="7">
        <v>21.25544</v>
      </c>
      <c r="E156" s="7">
        <v>-157.810303</v>
      </c>
      <c r="F156" s="5" t="s">
        <v>180</v>
      </c>
      <c r="G156" s="6">
        <v>0.4479166666666667</v>
      </c>
      <c r="H156" s="6">
        <v>0.4895833333333333</v>
      </c>
      <c r="I156" s="7">
        <v>9.0</v>
      </c>
      <c r="J156" s="7">
        <v>12.0</v>
      </c>
      <c r="K156" s="5" t="s">
        <v>16</v>
      </c>
      <c r="L156" s="7">
        <v>7.0</v>
      </c>
      <c r="M156" s="7">
        <v>47.0</v>
      </c>
      <c r="N156" s="5" t="s">
        <v>230</v>
      </c>
      <c r="O156" s="5"/>
      <c r="P156" s="7">
        <v>47.0</v>
      </c>
      <c r="Q156" s="5"/>
      <c r="R156" s="7">
        <v>2.0</v>
      </c>
      <c r="S156" s="5"/>
      <c r="T156" s="5"/>
      <c r="U156" s="5"/>
      <c r="V156" s="5"/>
      <c r="W156" s="5"/>
      <c r="X156" s="5"/>
      <c r="Y156" s="5"/>
      <c r="Z156" s="5"/>
      <c r="AA156" s="5"/>
      <c r="AB156" s="7">
        <v>4.0</v>
      </c>
      <c r="AC156" s="7">
        <v>1.0</v>
      </c>
      <c r="AD156" s="5"/>
      <c r="AE156" s="5"/>
      <c r="AF156" s="5"/>
      <c r="AG156" s="5"/>
      <c r="AH156" s="5"/>
      <c r="AI156" s="7">
        <v>14.0</v>
      </c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7">
        <v>1.0</v>
      </c>
      <c r="BA156" s="5"/>
      <c r="BB156" s="7">
        <v>22.0</v>
      </c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7">
        <v>31.0</v>
      </c>
      <c r="BN156" s="7">
        <v>18.0</v>
      </c>
      <c r="BO156" s="5"/>
      <c r="BP156" s="5"/>
      <c r="BQ156" s="7">
        <v>23.0</v>
      </c>
      <c r="BR156" s="5"/>
      <c r="BS156" s="5"/>
      <c r="BT156" s="5"/>
      <c r="BU156" s="5"/>
      <c r="BV156" s="7">
        <v>11.0</v>
      </c>
      <c r="BW156" s="5"/>
      <c r="BX156" s="5"/>
      <c r="BY156" s="5"/>
      <c r="BZ156" s="7">
        <v>19.0</v>
      </c>
      <c r="CA156" s="5"/>
      <c r="CB156" s="5"/>
      <c r="CC156" s="5"/>
      <c r="CD156" s="5"/>
      <c r="CE156" s="5"/>
      <c r="CF156" s="5"/>
      <c r="CG156" s="5"/>
      <c r="CH156" s="7">
        <v>7.0</v>
      </c>
      <c r="CI156" s="5"/>
      <c r="CJ156" s="5"/>
      <c r="CK156" s="7">
        <v>1.0</v>
      </c>
      <c r="CL156" s="5"/>
      <c r="CM156" s="5"/>
      <c r="CN156" s="5"/>
      <c r="CO156" s="7">
        <v>3.0</v>
      </c>
      <c r="CP156" s="5"/>
      <c r="CQ156" s="5"/>
      <c r="CR156" s="5"/>
      <c r="CS156" s="7">
        <v>9.0</v>
      </c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7">
        <v>1.0</v>
      </c>
      <c r="DH156" s="5"/>
      <c r="DI156" s="5"/>
      <c r="DJ156" s="7">
        <v>21.0</v>
      </c>
      <c r="DK156" s="5"/>
      <c r="DL156" s="7">
        <v>24.0</v>
      </c>
      <c r="DM156" s="7">
        <v>33.0</v>
      </c>
      <c r="DN156" s="7">
        <v>2.0</v>
      </c>
      <c r="DO156" s="7">
        <v>1.0</v>
      </c>
      <c r="DP156" s="5"/>
      <c r="DQ156" s="5"/>
      <c r="DR156" s="5"/>
      <c r="DS156" s="7">
        <v>41.0</v>
      </c>
      <c r="DT156" s="5"/>
      <c r="DU156" s="5"/>
      <c r="DV156" s="7">
        <v>36.0</v>
      </c>
      <c r="DW156" s="5"/>
      <c r="DX156" s="5"/>
      <c r="DY156" s="5"/>
      <c r="DZ156" s="7">
        <v>1.0</v>
      </c>
      <c r="EA156" s="5"/>
      <c r="EB156" s="5"/>
      <c r="EC156" s="7">
        <v>2.0</v>
      </c>
      <c r="ED156" s="5"/>
      <c r="EE156" s="5"/>
      <c r="EF156" s="7">
        <v>1.0</v>
      </c>
      <c r="EG156" s="5"/>
      <c r="EH156" s="5"/>
      <c r="EI156" s="5"/>
      <c r="EJ156" s="7">
        <v>137.0</v>
      </c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7">
        <v>15.0</v>
      </c>
      <c r="FA156" s="7">
        <v>5.0</v>
      </c>
      <c r="FB156" s="7">
        <v>22.0</v>
      </c>
      <c r="FC156" s="7">
        <v>4.0</v>
      </c>
      <c r="FD156" s="5"/>
      <c r="FE156" s="5"/>
      <c r="FF156" s="5"/>
      <c r="FG156" s="5"/>
      <c r="FH156" s="5"/>
      <c r="FI156" s="7">
        <v>2.0</v>
      </c>
      <c r="FJ156" s="5"/>
      <c r="FK156" s="5"/>
      <c r="FL156" s="5"/>
      <c r="FM156" s="7">
        <v>4.0</v>
      </c>
      <c r="FN156" s="5"/>
      <c r="FO156" s="5"/>
      <c r="FP156" s="5"/>
      <c r="FQ156" s="5"/>
      <c r="FR156" s="7">
        <v>46.0</v>
      </c>
      <c r="FS156" s="7">
        <v>328.0</v>
      </c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7">
        <v>2.0</v>
      </c>
      <c r="GG156" s="5"/>
      <c r="GH156" s="7">
        <f t="shared" si="94"/>
        <v>36</v>
      </c>
      <c r="GI156" s="7">
        <f t="shared" si="95"/>
        <v>29</v>
      </c>
      <c r="GJ156" s="7">
        <f t="shared" si="96"/>
        <v>20</v>
      </c>
      <c r="GK156" s="7">
        <f t="shared" si="97"/>
        <v>894</v>
      </c>
      <c r="GL156" s="7">
        <f t="shared" si="98"/>
        <v>1175</v>
      </c>
      <c r="GM156" s="7">
        <f t="shared" si="99"/>
        <v>281</v>
      </c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</row>
    <row r="157">
      <c r="A157" s="21">
        <v>42791.0</v>
      </c>
      <c r="B157" s="5" t="s">
        <v>37</v>
      </c>
      <c r="C157" s="16">
        <f t="shared" si="93"/>
        <v>6</v>
      </c>
      <c r="D157" s="7">
        <v>21.310612</v>
      </c>
      <c r="E157" s="7">
        <v>-158.00441</v>
      </c>
      <c r="F157" s="5" t="s">
        <v>180</v>
      </c>
      <c r="G157" s="6">
        <v>0.4131944444444444</v>
      </c>
      <c r="H157" s="6">
        <v>0.4791666666666667</v>
      </c>
      <c r="I157" s="7">
        <v>9.0</v>
      </c>
      <c r="J157" s="7">
        <v>14.0</v>
      </c>
      <c r="K157" s="5" t="s">
        <v>16</v>
      </c>
      <c r="L157" s="7">
        <v>8.0</v>
      </c>
      <c r="M157" s="7">
        <v>54.0</v>
      </c>
      <c r="N157" s="5" t="s">
        <v>231</v>
      </c>
      <c r="O157" s="5"/>
      <c r="P157" s="7">
        <v>54.0</v>
      </c>
      <c r="Q157" s="5"/>
      <c r="R157" s="7">
        <v>147.0</v>
      </c>
      <c r="S157" s="5"/>
      <c r="T157" s="7">
        <v>3.0</v>
      </c>
      <c r="U157" s="5"/>
      <c r="V157" s="7">
        <v>1.0</v>
      </c>
      <c r="W157" s="5"/>
      <c r="X157" s="5"/>
      <c r="Y157" s="5"/>
      <c r="Z157" s="5"/>
      <c r="AA157" s="5"/>
      <c r="AB157" s="7">
        <v>2.0</v>
      </c>
      <c r="AC157" s="5"/>
      <c r="AD157" s="5"/>
      <c r="AE157" s="7">
        <v>19.0</v>
      </c>
      <c r="AF157" s="5"/>
      <c r="AG157" s="5"/>
      <c r="AH157" s="5"/>
      <c r="AI157" s="7">
        <v>7.0</v>
      </c>
      <c r="AJ157" s="5"/>
      <c r="AK157" s="5"/>
      <c r="AL157" s="5"/>
      <c r="AM157" s="5"/>
      <c r="AN157" s="5"/>
      <c r="AO157" s="5"/>
      <c r="AP157" s="5"/>
      <c r="AQ157" s="5"/>
      <c r="AR157" s="7">
        <v>6.0</v>
      </c>
      <c r="AS157" s="7">
        <v>3.0</v>
      </c>
      <c r="AT157" s="5"/>
      <c r="AU157" s="5"/>
      <c r="AV157" s="5"/>
      <c r="AW157" s="5"/>
      <c r="AX157" s="5"/>
      <c r="AY157" s="5"/>
      <c r="AZ157" s="5"/>
      <c r="BA157" s="5"/>
      <c r="BB157" s="7">
        <v>9.0</v>
      </c>
      <c r="BC157" s="7">
        <v>4.0</v>
      </c>
      <c r="BD157" s="5"/>
      <c r="BE157" s="7">
        <v>25.0</v>
      </c>
      <c r="BF157" s="5"/>
      <c r="BG157" s="5"/>
      <c r="BH157" s="5"/>
      <c r="BI157" s="5"/>
      <c r="BJ157" s="5"/>
      <c r="BK157" s="7">
        <v>1.0</v>
      </c>
      <c r="BL157" s="5"/>
      <c r="BM157" s="7">
        <v>62.0</v>
      </c>
      <c r="BN157" s="7">
        <v>10.0</v>
      </c>
      <c r="BO157" s="5"/>
      <c r="BP157" s="5"/>
      <c r="BQ157" s="7">
        <v>6.0</v>
      </c>
      <c r="BR157" s="5"/>
      <c r="BS157" s="5"/>
      <c r="BT157" s="5"/>
      <c r="BU157" s="7">
        <v>8.0</v>
      </c>
      <c r="BV157" s="7">
        <v>31.0</v>
      </c>
      <c r="BW157" s="5"/>
      <c r="BX157" s="5"/>
      <c r="BY157" s="7">
        <v>2.0</v>
      </c>
      <c r="BZ157" s="7">
        <v>32.0</v>
      </c>
      <c r="CA157" s="5"/>
      <c r="CB157" s="5"/>
      <c r="CC157" s="5"/>
      <c r="CD157" s="5"/>
      <c r="CE157" s="5"/>
      <c r="CF157" s="5"/>
      <c r="CG157" s="5"/>
      <c r="CH157" s="7">
        <v>4.0</v>
      </c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7">
        <v>6.0</v>
      </c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7">
        <v>65.0</v>
      </c>
      <c r="DH157" s="5"/>
      <c r="DI157" s="5"/>
      <c r="DJ157" s="7">
        <v>11.0</v>
      </c>
      <c r="DK157" s="5"/>
      <c r="DL157" s="5"/>
      <c r="DM157" s="7">
        <v>40.0</v>
      </c>
      <c r="DN157" s="5"/>
      <c r="DO157" s="7">
        <v>7.0</v>
      </c>
      <c r="DP157" s="5"/>
      <c r="DQ157" s="7">
        <v>2.0</v>
      </c>
      <c r="DR157" s="5"/>
      <c r="DS157" s="5"/>
      <c r="DT157" s="5"/>
      <c r="DU157" s="5"/>
      <c r="DV157" s="7">
        <v>30.0</v>
      </c>
      <c r="DW157" s="5"/>
      <c r="DX157" s="5"/>
      <c r="DY157" s="5"/>
      <c r="DZ157" s="5"/>
      <c r="EA157" s="5"/>
      <c r="EB157" s="5"/>
      <c r="EC157" s="7">
        <v>1.0</v>
      </c>
      <c r="ED157" s="5"/>
      <c r="EE157" s="5"/>
      <c r="EF157" s="5"/>
      <c r="EG157" s="5"/>
      <c r="EH157" s="5"/>
      <c r="EI157" s="5"/>
      <c r="EJ157" s="7">
        <v>293.0</v>
      </c>
      <c r="EK157" s="5"/>
      <c r="EL157" s="5"/>
      <c r="EM157" s="5"/>
      <c r="EN157" s="5"/>
      <c r="EO157" s="7">
        <v>4.0</v>
      </c>
      <c r="EP157" s="5"/>
      <c r="EQ157" s="5"/>
      <c r="ER157" s="5"/>
      <c r="ES157" s="5"/>
      <c r="ET157" s="5"/>
      <c r="EU157" s="5"/>
      <c r="EV157" s="5"/>
      <c r="EW157" s="5"/>
      <c r="EX157" s="5"/>
      <c r="EY157" s="7">
        <v>1.0</v>
      </c>
      <c r="EZ157" s="5"/>
      <c r="FA157" s="5"/>
      <c r="FB157" s="7">
        <v>5.0</v>
      </c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7">
        <v>1.0</v>
      </c>
      <c r="FR157" s="5"/>
      <c r="FS157" s="7">
        <v>288.0</v>
      </c>
      <c r="FT157" s="7">
        <v>1.0</v>
      </c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7">
        <v>8.0</v>
      </c>
      <c r="GG157" s="5"/>
      <c r="GH157" s="7">
        <f t="shared" si="94"/>
        <v>36</v>
      </c>
      <c r="GI157" s="7">
        <f t="shared" si="95"/>
        <v>30</v>
      </c>
      <c r="GJ157" s="7">
        <f t="shared" si="96"/>
        <v>22</v>
      </c>
      <c r="GK157" s="7">
        <f t="shared" si="97"/>
        <v>1145</v>
      </c>
      <c r="GL157" s="7">
        <f t="shared" si="98"/>
        <v>1350</v>
      </c>
      <c r="GM157" s="7">
        <f t="shared" si="99"/>
        <v>205</v>
      </c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</row>
    <row r="158">
      <c r="A158" s="21">
        <v>42798.0</v>
      </c>
      <c r="B158" s="5" t="s">
        <v>34</v>
      </c>
      <c r="C158" s="16">
        <f t="shared" si="93"/>
        <v>7</v>
      </c>
      <c r="D158" s="7">
        <v>20.7537</v>
      </c>
      <c r="E158" s="7">
        <v>-156.460907</v>
      </c>
      <c r="F158" s="5" t="s">
        <v>180</v>
      </c>
      <c r="G158" s="6">
        <v>0.5902777777777778</v>
      </c>
      <c r="H158" s="6">
        <v>0.6770833333333334</v>
      </c>
      <c r="I158" s="7">
        <v>3.0</v>
      </c>
      <c r="J158" s="7">
        <v>21.0</v>
      </c>
      <c r="K158" s="5" t="s">
        <v>16</v>
      </c>
      <c r="L158" s="7">
        <v>16.0</v>
      </c>
      <c r="M158" s="7">
        <v>43.0</v>
      </c>
      <c r="N158" s="5" t="s">
        <v>232</v>
      </c>
      <c r="O158" s="5"/>
      <c r="P158" s="7">
        <v>43.0</v>
      </c>
      <c r="Q158" s="5"/>
      <c r="R158" s="7">
        <v>192.0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7">
        <v>21.0</v>
      </c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7">
        <v>299.0</v>
      </c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7">
        <v>6.0</v>
      </c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7">
        <v>13.0</v>
      </c>
      <c r="DH158" s="5"/>
      <c r="DI158" s="5"/>
      <c r="DJ158" s="5"/>
      <c r="DK158" s="5"/>
      <c r="DL158" s="5"/>
      <c r="DM158" s="5"/>
      <c r="DN158" s="5"/>
      <c r="DO158" s="5"/>
      <c r="DP158" s="7">
        <v>1.0</v>
      </c>
      <c r="DQ158" s="5"/>
      <c r="DR158" s="5"/>
      <c r="DS158" s="5"/>
      <c r="DT158" s="5"/>
      <c r="DU158" s="5"/>
      <c r="DV158" s="7">
        <v>2.0</v>
      </c>
      <c r="DW158" s="5"/>
      <c r="DX158" s="5"/>
      <c r="DY158" s="5"/>
      <c r="DZ158" s="5"/>
      <c r="EA158" s="5"/>
      <c r="EB158" s="5"/>
      <c r="EC158" s="5"/>
      <c r="ED158" s="7">
        <v>1.0</v>
      </c>
      <c r="EE158" s="5"/>
      <c r="EF158" s="5"/>
      <c r="EG158" s="7">
        <v>1.0</v>
      </c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7">
        <v>60.0</v>
      </c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7">
        <v>1.0</v>
      </c>
      <c r="FR158" s="5"/>
      <c r="FS158" s="7">
        <v>58.0</v>
      </c>
      <c r="FT158" s="7">
        <v>6.0</v>
      </c>
      <c r="FU158" s="5"/>
      <c r="FV158" s="5"/>
      <c r="FW158" s="5"/>
      <c r="FX158" s="5"/>
      <c r="FY158" s="5"/>
      <c r="FZ158" s="5"/>
      <c r="GA158" s="5"/>
      <c r="GB158" s="5"/>
      <c r="GC158" s="5"/>
      <c r="GD158" s="7">
        <v>1.0</v>
      </c>
      <c r="GE158" s="5"/>
      <c r="GF158" s="7">
        <v>1.0</v>
      </c>
      <c r="GG158" s="5"/>
      <c r="GH158" s="7">
        <f t="shared" si="94"/>
        <v>15</v>
      </c>
      <c r="GI158" s="7">
        <f t="shared" si="95"/>
        <v>9</v>
      </c>
      <c r="GJ158" s="7">
        <f t="shared" si="96"/>
        <v>8</v>
      </c>
      <c r="GK158" s="7">
        <f t="shared" si="97"/>
        <v>663</v>
      </c>
      <c r="GL158" s="7">
        <f t="shared" si="98"/>
        <v>1075</v>
      </c>
      <c r="GM158" s="7">
        <f t="shared" si="99"/>
        <v>412</v>
      </c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</row>
    <row r="159">
      <c r="A159" s="21">
        <v>42806.0</v>
      </c>
      <c r="B159" s="5" t="s">
        <v>14</v>
      </c>
      <c r="C159" s="16">
        <f t="shared" si="93"/>
        <v>8</v>
      </c>
      <c r="D159" s="7">
        <v>19.738602</v>
      </c>
      <c r="E159" s="7">
        <v>-155.038879</v>
      </c>
      <c r="F159" s="5" t="s">
        <v>180</v>
      </c>
      <c r="G159" s="6">
        <v>0.3993055555555556</v>
      </c>
      <c r="H159" s="6">
        <v>0.43333333333333335</v>
      </c>
      <c r="I159" s="7">
        <v>6.0</v>
      </c>
      <c r="J159" s="7">
        <v>12.0</v>
      </c>
      <c r="K159" s="5" t="s">
        <v>8</v>
      </c>
      <c r="L159" s="7">
        <v>7.0</v>
      </c>
      <c r="M159" s="7">
        <v>32.0</v>
      </c>
      <c r="N159" s="5" t="s">
        <v>233</v>
      </c>
      <c r="O159" s="5"/>
      <c r="P159" s="7">
        <v>32.0</v>
      </c>
      <c r="Q159" s="5"/>
      <c r="R159" s="7">
        <v>1.0</v>
      </c>
      <c r="S159" s="5"/>
      <c r="T159" s="5"/>
      <c r="U159" s="5"/>
      <c r="V159" s="5"/>
      <c r="W159" s="5"/>
      <c r="X159" s="5"/>
      <c r="Y159" s="5"/>
      <c r="Z159" s="5"/>
      <c r="AA159" s="5"/>
      <c r="AB159" s="7">
        <v>1.0</v>
      </c>
      <c r="AC159" s="5"/>
      <c r="AD159" s="5"/>
      <c r="AE159" s="5"/>
      <c r="AF159" s="5"/>
      <c r="AG159" s="7">
        <v>5.0</v>
      </c>
      <c r="AH159" s="5"/>
      <c r="AI159" s="5"/>
      <c r="AJ159" s="5"/>
      <c r="AK159" s="5"/>
      <c r="AL159" s="5"/>
      <c r="AM159" s="7">
        <v>1.0</v>
      </c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7">
        <v>2.0</v>
      </c>
      <c r="BL159" s="5"/>
      <c r="BM159" s="7">
        <v>26.0</v>
      </c>
      <c r="BN159" s="5"/>
      <c r="BO159" s="5"/>
      <c r="BP159" s="5"/>
      <c r="BQ159" s="5"/>
      <c r="BR159" s="7">
        <v>3.0</v>
      </c>
      <c r="BS159" s="5"/>
      <c r="BT159" s="5"/>
      <c r="BU159" s="5"/>
      <c r="BV159" s="5"/>
      <c r="BW159" s="7">
        <v>2.0</v>
      </c>
      <c r="BX159" s="5"/>
      <c r="BY159" s="5"/>
      <c r="BZ159" s="5"/>
      <c r="CA159" s="5"/>
      <c r="CB159" s="5"/>
      <c r="CC159" s="7">
        <v>12.0</v>
      </c>
      <c r="CD159" s="5"/>
      <c r="CE159" s="5"/>
      <c r="CF159" s="5"/>
      <c r="CG159" s="5"/>
      <c r="CH159" s="7">
        <v>8.0</v>
      </c>
      <c r="CI159" s="5"/>
      <c r="CJ159" s="5"/>
      <c r="CK159" s="5"/>
      <c r="CL159" s="5"/>
      <c r="CM159" s="5"/>
      <c r="CN159" s="5"/>
      <c r="CO159" s="7">
        <v>62.0</v>
      </c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7">
        <v>25.0</v>
      </c>
      <c r="DH159" s="5"/>
      <c r="DI159" s="7">
        <v>2.0</v>
      </c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7">
        <v>5.0</v>
      </c>
      <c r="EK159" s="5"/>
      <c r="EL159" s="5"/>
      <c r="EM159" s="5"/>
      <c r="EN159" s="5"/>
      <c r="EO159" s="5"/>
      <c r="EP159" s="7">
        <v>2.0</v>
      </c>
      <c r="EQ159" s="5"/>
      <c r="ER159" s="7">
        <v>13.0</v>
      </c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7">
        <v>26.0</v>
      </c>
      <c r="FN159" s="5"/>
      <c r="FO159" s="5"/>
      <c r="FP159" s="5"/>
      <c r="FQ159" s="5"/>
      <c r="FR159" s="5"/>
      <c r="FS159" s="7">
        <v>350.0</v>
      </c>
      <c r="FT159" s="7">
        <v>3.0</v>
      </c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7">
        <f t="shared" si="94"/>
        <v>19</v>
      </c>
      <c r="GI159" s="7">
        <f t="shared" si="95"/>
        <v>16</v>
      </c>
      <c r="GJ159" s="7">
        <f t="shared" si="96"/>
        <v>10</v>
      </c>
      <c r="GK159" s="7">
        <f t="shared" si="97"/>
        <v>549</v>
      </c>
      <c r="GL159" s="7">
        <f t="shared" si="98"/>
        <v>800</v>
      </c>
      <c r="GM159" s="7">
        <f t="shared" si="99"/>
        <v>251</v>
      </c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</row>
    <row r="160">
      <c r="A160" s="21">
        <v>42826.0</v>
      </c>
      <c r="B160" s="5" t="s">
        <v>170</v>
      </c>
      <c r="C160" s="16">
        <f t="shared" si="93"/>
        <v>9</v>
      </c>
      <c r="D160" s="7">
        <v>20.99424</v>
      </c>
      <c r="E160" s="7">
        <v>-156.668259</v>
      </c>
      <c r="F160" s="5" t="s">
        <v>180</v>
      </c>
      <c r="G160" s="6">
        <v>0.4708333333333333</v>
      </c>
      <c r="H160" s="6">
        <v>0.5041666666666667</v>
      </c>
      <c r="I160" s="7">
        <v>3.0</v>
      </c>
      <c r="J160" s="7">
        <v>25.0</v>
      </c>
      <c r="K160" s="5" t="s">
        <v>8</v>
      </c>
      <c r="L160" s="7">
        <v>11.0</v>
      </c>
      <c r="M160" s="7">
        <v>20.0</v>
      </c>
      <c r="N160" s="5" t="s">
        <v>234</v>
      </c>
      <c r="O160" s="5"/>
      <c r="P160" s="7">
        <v>20.0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7">
        <v>12.0</v>
      </c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7">
        <v>30.0</v>
      </c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7">
        <v>1.0</v>
      </c>
      <c r="BL160" s="5"/>
      <c r="BM160" s="7">
        <v>51.0</v>
      </c>
      <c r="BN160" s="5"/>
      <c r="BO160" s="5"/>
      <c r="BP160" s="5"/>
      <c r="BQ160" s="7">
        <v>5.0</v>
      </c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7">
        <v>9.0</v>
      </c>
      <c r="CD160" s="7">
        <v>1.0</v>
      </c>
      <c r="CE160" s="5"/>
      <c r="CF160" s="5"/>
      <c r="CG160" s="5"/>
      <c r="CH160" s="5"/>
      <c r="CI160" s="5"/>
      <c r="CJ160" s="5"/>
      <c r="CK160" s="7">
        <v>12.0</v>
      </c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7">
        <v>22.0</v>
      </c>
      <c r="DI160" s="5"/>
      <c r="DJ160" s="5"/>
      <c r="DK160" s="5"/>
      <c r="DL160" s="5"/>
      <c r="DM160" s="5"/>
      <c r="DN160" s="5"/>
      <c r="DO160" s="5"/>
      <c r="DP160" s="7">
        <v>2.0</v>
      </c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7">
        <v>7.0</v>
      </c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7">
        <v>11.0</v>
      </c>
      <c r="EW160" s="5"/>
      <c r="EX160" s="5"/>
      <c r="EY160" s="5"/>
      <c r="EZ160" s="5"/>
      <c r="FA160" s="5"/>
      <c r="FB160" s="5"/>
      <c r="FC160" s="7">
        <v>2.0</v>
      </c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7">
        <v>24.0</v>
      </c>
      <c r="FT160" s="5"/>
      <c r="FU160" s="5"/>
      <c r="FV160" s="5"/>
      <c r="FW160" s="5"/>
      <c r="FX160" s="5"/>
      <c r="FY160" s="5"/>
      <c r="FZ160" s="7">
        <v>1.0</v>
      </c>
      <c r="GA160" s="5"/>
      <c r="GB160" s="5"/>
      <c r="GC160" s="5"/>
      <c r="GD160" s="5"/>
      <c r="GE160" s="5"/>
      <c r="GF160" s="5"/>
      <c r="GG160" s="5"/>
      <c r="GH160" s="7">
        <f t="shared" si="94"/>
        <v>15</v>
      </c>
      <c r="GI160" s="7">
        <f t="shared" si="95"/>
        <v>12</v>
      </c>
      <c r="GJ160" s="7">
        <f t="shared" si="96"/>
        <v>10</v>
      </c>
      <c r="GK160" s="7">
        <f t="shared" si="97"/>
        <v>190</v>
      </c>
      <c r="GL160" s="7">
        <f t="shared" si="98"/>
        <v>500</v>
      </c>
      <c r="GM160" s="7">
        <f t="shared" si="99"/>
        <v>310</v>
      </c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</row>
    <row r="161">
      <c r="A161" s="21">
        <v>42827.0</v>
      </c>
      <c r="B161" s="5" t="s">
        <v>99</v>
      </c>
      <c r="C161" s="16">
        <f t="shared" si="93"/>
        <v>10</v>
      </c>
      <c r="D161" s="7">
        <v>19.643276</v>
      </c>
      <c r="E161" s="7">
        <v>-156.010193</v>
      </c>
      <c r="F161" s="5" t="s">
        <v>180</v>
      </c>
      <c r="G161" s="6">
        <v>0.48680555555555555</v>
      </c>
      <c r="H161" s="6">
        <v>0.525</v>
      </c>
      <c r="I161" s="7">
        <v>3.0</v>
      </c>
      <c r="J161" s="7">
        <v>40.0</v>
      </c>
      <c r="K161" s="5" t="s">
        <v>8</v>
      </c>
      <c r="L161" s="7">
        <v>10.0</v>
      </c>
      <c r="M161" s="7">
        <v>28.0</v>
      </c>
      <c r="N161" s="5" t="s">
        <v>235</v>
      </c>
      <c r="O161" s="5"/>
      <c r="P161" s="7">
        <v>28.0</v>
      </c>
      <c r="Q161" s="5"/>
      <c r="R161" s="5"/>
      <c r="S161" s="5"/>
      <c r="T161" s="7">
        <v>1.0</v>
      </c>
      <c r="U161" s="5"/>
      <c r="V161" s="5"/>
      <c r="W161" s="5"/>
      <c r="X161" s="5"/>
      <c r="Y161" s="5"/>
      <c r="Z161" s="5"/>
      <c r="AA161" s="5"/>
      <c r="AB161" s="5"/>
      <c r="AC161" s="5"/>
      <c r="AD161" s="7">
        <v>2.0</v>
      </c>
      <c r="AE161" s="5"/>
      <c r="AF161" s="5"/>
      <c r="AG161" s="5"/>
      <c r="AH161" s="5"/>
      <c r="AI161" s="5"/>
      <c r="AJ161" s="5"/>
      <c r="AK161" s="5"/>
      <c r="AL161" s="5"/>
      <c r="AM161" s="7">
        <v>126.0</v>
      </c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7">
        <v>1.0</v>
      </c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7">
        <v>2.0</v>
      </c>
      <c r="CA161" s="5"/>
      <c r="CB161" s="5"/>
      <c r="CC161" s="7">
        <v>2.0</v>
      </c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7">
        <v>7.0</v>
      </c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7">
        <v>3.0</v>
      </c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7">
        <v>6.0</v>
      </c>
      <c r="FG161" s="5"/>
      <c r="FH161" s="5"/>
      <c r="FI161" s="5"/>
      <c r="FJ161" s="5"/>
      <c r="FK161" s="5"/>
      <c r="FL161" s="5"/>
      <c r="FM161" s="7">
        <v>12.0</v>
      </c>
      <c r="FN161" s="5"/>
      <c r="FO161" s="5"/>
      <c r="FP161" s="5"/>
      <c r="FQ161" s="5"/>
      <c r="FR161" s="7">
        <v>156.0</v>
      </c>
      <c r="FS161" s="7">
        <v>283.0</v>
      </c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7">
        <f t="shared" si="94"/>
        <v>12</v>
      </c>
      <c r="GI161" s="7">
        <f t="shared" si="95"/>
        <v>10</v>
      </c>
      <c r="GJ161" s="7">
        <f t="shared" si="96"/>
        <v>6</v>
      </c>
      <c r="GK161" s="7">
        <f t="shared" si="97"/>
        <v>601</v>
      </c>
      <c r="GL161" s="7">
        <f t="shared" si="98"/>
        <v>700</v>
      </c>
      <c r="GM161" s="7">
        <f t="shared" si="99"/>
        <v>99</v>
      </c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</row>
    <row r="162">
      <c r="A162" s="21">
        <v>42831.0</v>
      </c>
      <c r="B162" s="5" t="s">
        <v>21</v>
      </c>
      <c r="C162" s="16">
        <f t="shared" si="93"/>
        <v>11</v>
      </c>
      <c r="D162" s="7">
        <v>21.25544</v>
      </c>
      <c r="E162" s="7">
        <v>-157.810303</v>
      </c>
      <c r="F162" s="5" t="s">
        <v>180</v>
      </c>
      <c r="G162" s="6">
        <v>0.0</v>
      </c>
      <c r="H162" s="6">
        <v>0.041666666666666664</v>
      </c>
      <c r="I162" s="7">
        <v>6.0</v>
      </c>
      <c r="J162" s="7">
        <v>11.0</v>
      </c>
      <c r="K162" s="5" t="s">
        <v>8</v>
      </c>
      <c r="L162" s="7">
        <v>12.0</v>
      </c>
      <c r="M162" s="7">
        <v>55.0</v>
      </c>
      <c r="N162" s="5" t="s">
        <v>236</v>
      </c>
      <c r="O162" s="5"/>
      <c r="P162" s="7">
        <v>55.0</v>
      </c>
      <c r="Q162" s="5"/>
      <c r="R162" s="7">
        <v>4.0</v>
      </c>
      <c r="S162" s="5"/>
      <c r="T162" s="5"/>
      <c r="U162" s="5"/>
      <c r="V162" s="5"/>
      <c r="W162" s="5"/>
      <c r="X162" s="5"/>
      <c r="Y162" s="5"/>
      <c r="Z162" s="5"/>
      <c r="AA162" s="5"/>
      <c r="AB162" s="7">
        <v>3.0</v>
      </c>
      <c r="AC162" s="5"/>
      <c r="AD162" s="7">
        <v>2.0</v>
      </c>
      <c r="AE162" s="5"/>
      <c r="AF162" s="7">
        <v>5.0</v>
      </c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7">
        <v>1.0</v>
      </c>
      <c r="BI162" s="5"/>
      <c r="BJ162" s="5"/>
      <c r="BK162" s="5"/>
      <c r="BL162" s="5"/>
      <c r="BM162" s="7">
        <v>4.0</v>
      </c>
      <c r="BN162" s="5"/>
      <c r="BO162" s="5"/>
      <c r="BP162" s="5"/>
      <c r="BQ162" s="5"/>
      <c r="BR162" s="5"/>
      <c r="BS162" s="5"/>
      <c r="BT162" s="5"/>
      <c r="BU162" s="5"/>
      <c r="BV162" s="5"/>
      <c r="BW162" s="7">
        <v>54.0</v>
      </c>
      <c r="BX162" s="5"/>
      <c r="BY162" s="5"/>
      <c r="BZ162" s="7">
        <v>49.0</v>
      </c>
      <c r="CA162" s="5"/>
      <c r="CB162" s="7">
        <v>1.0</v>
      </c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7">
        <v>21.0</v>
      </c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7">
        <v>120.0</v>
      </c>
      <c r="DN162" s="5"/>
      <c r="DO162" s="5"/>
      <c r="DP162" s="5"/>
      <c r="DQ162" s="5"/>
      <c r="DR162" s="5"/>
      <c r="DS162" s="5"/>
      <c r="DT162" s="7">
        <v>1.0</v>
      </c>
      <c r="DU162" s="5"/>
      <c r="DV162" s="5"/>
      <c r="DW162" s="5"/>
      <c r="DX162" s="5"/>
      <c r="DY162" s="5"/>
      <c r="DZ162" s="5"/>
      <c r="EA162" s="5"/>
      <c r="EB162" s="5"/>
      <c r="EC162" s="5"/>
      <c r="ED162" s="7">
        <v>2.0</v>
      </c>
      <c r="EE162" s="5"/>
      <c r="EF162" s="5"/>
      <c r="EG162" s="5"/>
      <c r="EH162" s="5"/>
      <c r="EI162" s="5"/>
      <c r="EJ162" s="7">
        <v>319.0</v>
      </c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7">
        <v>187.0</v>
      </c>
      <c r="FC162" s="7">
        <v>2.0</v>
      </c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7">
        <v>74.0</v>
      </c>
      <c r="FT162" s="5"/>
      <c r="FU162" s="7">
        <v>7.0</v>
      </c>
      <c r="FV162" s="5"/>
      <c r="FW162" s="5"/>
      <c r="FX162" s="5"/>
      <c r="FY162" s="5"/>
      <c r="FZ162" s="5"/>
      <c r="GA162" s="5"/>
      <c r="GB162" s="5"/>
      <c r="GC162" s="5"/>
      <c r="GD162" s="5"/>
      <c r="GE162" s="7">
        <v>1.0</v>
      </c>
      <c r="GF162" s="7">
        <v>27.0</v>
      </c>
      <c r="GG162" s="5"/>
      <c r="GH162" s="7">
        <f t="shared" si="94"/>
        <v>20</v>
      </c>
      <c r="GI162" s="7">
        <f t="shared" si="95"/>
        <v>16</v>
      </c>
      <c r="GJ162" s="7">
        <f t="shared" si="96"/>
        <v>10</v>
      </c>
      <c r="GK162" s="7">
        <f t="shared" si="97"/>
        <v>884</v>
      </c>
      <c r="GL162" s="7">
        <f t="shared" si="98"/>
        <v>1375</v>
      </c>
      <c r="GM162" s="7">
        <f t="shared" si="99"/>
        <v>491</v>
      </c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</row>
    <row r="163">
      <c r="A163" s="21">
        <v>42908.0</v>
      </c>
      <c r="B163" s="5" t="s">
        <v>43</v>
      </c>
      <c r="C163" s="16">
        <f t="shared" si="93"/>
        <v>12</v>
      </c>
      <c r="D163" s="7">
        <v>21.2882</v>
      </c>
      <c r="E163" s="7">
        <v>-157.667999</v>
      </c>
      <c r="F163" s="5" t="s">
        <v>180</v>
      </c>
      <c r="G163" s="6">
        <v>0.3194444444444444</v>
      </c>
      <c r="H163" s="6">
        <v>0.3958333333333333</v>
      </c>
      <c r="I163" s="7">
        <v>3.0</v>
      </c>
      <c r="J163" s="7">
        <v>20.0</v>
      </c>
      <c r="K163" s="5" t="s">
        <v>2</v>
      </c>
      <c r="L163" s="7">
        <v>10.0</v>
      </c>
      <c r="M163" s="7">
        <v>26.0</v>
      </c>
      <c r="N163" s="5" t="s">
        <v>237</v>
      </c>
      <c r="O163" s="5"/>
      <c r="P163" s="7">
        <v>26.0</v>
      </c>
      <c r="Q163" s="5"/>
      <c r="R163" s="5"/>
      <c r="S163" s="5"/>
      <c r="T163" s="5"/>
      <c r="U163" s="7">
        <v>1.0</v>
      </c>
      <c r="V163" s="5"/>
      <c r="W163" s="5"/>
      <c r="X163" s="7">
        <v>1.0</v>
      </c>
      <c r="Y163" s="5"/>
      <c r="Z163" s="5"/>
      <c r="AA163" s="5"/>
      <c r="AB163" s="7">
        <v>111.0</v>
      </c>
      <c r="AC163" s="5"/>
      <c r="AD163" s="5"/>
      <c r="AE163" s="5"/>
      <c r="AF163" s="5"/>
      <c r="AG163" s="5"/>
      <c r="AH163" s="7">
        <v>3.0</v>
      </c>
      <c r="AI163" s="5"/>
      <c r="AJ163" s="5"/>
      <c r="AK163" s="5"/>
      <c r="AL163" s="5"/>
      <c r="AM163" s="7">
        <v>4.0</v>
      </c>
      <c r="AN163" s="5"/>
      <c r="AO163" s="5"/>
      <c r="AP163" s="5"/>
      <c r="AQ163" s="5"/>
      <c r="AR163" s="5"/>
      <c r="AS163" s="5"/>
      <c r="AT163" s="5"/>
      <c r="AU163" s="5"/>
      <c r="AV163" s="5"/>
      <c r="AW163" s="7">
        <v>10.0</v>
      </c>
      <c r="AX163" s="5"/>
      <c r="AY163" s="5"/>
      <c r="AZ163" s="5"/>
      <c r="BA163" s="5"/>
      <c r="BB163" s="7">
        <v>1.0</v>
      </c>
      <c r="BC163" s="5"/>
      <c r="BD163" s="7">
        <v>3.0</v>
      </c>
      <c r="BE163" s="5"/>
      <c r="BF163" s="7">
        <v>9.0</v>
      </c>
      <c r="BG163" s="5"/>
      <c r="BH163" s="5"/>
      <c r="BI163" s="5"/>
      <c r="BJ163" s="5"/>
      <c r="BK163" s="7">
        <v>16.0</v>
      </c>
      <c r="BL163" s="5"/>
      <c r="BM163" s="7">
        <v>7.0</v>
      </c>
      <c r="BN163" s="7">
        <v>18.0</v>
      </c>
      <c r="BO163" s="5"/>
      <c r="BP163" s="5"/>
      <c r="BQ163" s="7">
        <v>4.0</v>
      </c>
      <c r="BR163" s="5"/>
      <c r="BS163" s="5"/>
      <c r="BT163" s="5"/>
      <c r="BU163" s="5"/>
      <c r="BV163" s="5"/>
      <c r="BW163" s="5"/>
      <c r="BX163" s="5"/>
      <c r="BY163" s="5"/>
      <c r="BZ163" s="7">
        <v>22.0</v>
      </c>
      <c r="CA163" s="5"/>
      <c r="CB163" s="5"/>
      <c r="CC163" s="7">
        <v>1.0</v>
      </c>
      <c r="CD163" s="5"/>
      <c r="CE163" s="5"/>
      <c r="CF163" s="5"/>
      <c r="CG163" s="5"/>
      <c r="CH163" s="7">
        <v>4.0</v>
      </c>
      <c r="CI163" s="5"/>
      <c r="CJ163" s="5"/>
      <c r="CK163" s="7">
        <v>42.0</v>
      </c>
      <c r="CL163" s="7">
        <v>3.0</v>
      </c>
      <c r="CM163" s="5"/>
      <c r="CN163" s="5"/>
      <c r="CO163" s="5"/>
      <c r="CP163" s="5"/>
      <c r="CQ163" s="5"/>
      <c r="CR163" s="7">
        <v>3.0</v>
      </c>
      <c r="CS163" s="5"/>
      <c r="CT163" s="5"/>
      <c r="CU163" s="7">
        <v>2.0</v>
      </c>
      <c r="CV163" s="5"/>
      <c r="CW163" s="5"/>
      <c r="CX163" s="5"/>
      <c r="CY163" s="5"/>
      <c r="CZ163" s="5"/>
      <c r="DA163" s="5"/>
      <c r="DB163" s="5"/>
      <c r="DC163" s="5"/>
      <c r="DD163" s="5"/>
      <c r="DE163" s="7">
        <v>2.0</v>
      </c>
      <c r="DF163" s="5"/>
      <c r="DG163" s="7">
        <v>1.0</v>
      </c>
      <c r="DH163" s="5"/>
      <c r="DI163" s="5"/>
      <c r="DJ163" s="5"/>
      <c r="DK163" s="5"/>
      <c r="DL163" s="5"/>
      <c r="DM163" s="7">
        <v>8.0</v>
      </c>
      <c r="DN163" s="7">
        <v>3.0</v>
      </c>
      <c r="DO163" s="7">
        <v>3.0</v>
      </c>
      <c r="DP163" s="5"/>
      <c r="DQ163" s="5"/>
      <c r="DR163" s="5"/>
      <c r="DS163" s="5"/>
      <c r="DT163" s="5"/>
      <c r="DU163" s="5"/>
      <c r="DV163" s="7">
        <v>27.0</v>
      </c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7">
        <v>1.0</v>
      </c>
      <c r="EK163" s="7">
        <v>3.0</v>
      </c>
      <c r="EL163" s="5"/>
      <c r="EM163" s="7">
        <v>1.0</v>
      </c>
      <c r="EN163" s="5"/>
      <c r="EO163" s="5"/>
      <c r="EP163" s="5"/>
      <c r="EQ163" s="5"/>
      <c r="ER163" s="5"/>
      <c r="ES163" s="5"/>
      <c r="ET163" s="5"/>
      <c r="EU163" s="5"/>
      <c r="EV163" s="7">
        <v>52.0</v>
      </c>
      <c r="EW163" s="5"/>
      <c r="EX163" s="5"/>
      <c r="EY163" s="5"/>
      <c r="EZ163" s="5"/>
      <c r="FA163" s="5"/>
      <c r="FB163" s="5"/>
      <c r="FC163" s="5"/>
      <c r="FD163" s="5"/>
      <c r="FE163" s="7">
        <v>1.0</v>
      </c>
      <c r="FF163" s="7">
        <v>3.0</v>
      </c>
      <c r="FG163" s="5"/>
      <c r="FH163" s="5"/>
      <c r="FI163" s="5"/>
      <c r="FJ163" s="5"/>
      <c r="FK163" s="5"/>
      <c r="FL163" s="5"/>
      <c r="FM163" s="7">
        <v>7.0</v>
      </c>
      <c r="FN163" s="5"/>
      <c r="FO163" s="5"/>
      <c r="FP163" s="5"/>
      <c r="FQ163" s="5"/>
      <c r="FR163" s="7">
        <v>3.0</v>
      </c>
      <c r="FS163" s="7">
        <v>218.0</v>
      </c>
      <c r="FT163" s="5"/>
      <c r="FU163" s="5"/>
      <c r="FV163" s="5"/>
      <c r="FW163" s="5"/>
      <c r="FX163" s="5"/>
      <c r="FY163" s="7">
        <v>1.0</v>
      </c>
      <c r="FZ163" s="5"/>
      <c r="GA163" s="5"/>
      <c r="GB163" s="5"/>
      <c r="GC163" s="5"/>
      <c r="GD163" s="5"/>
      <c r="GE163" s="7">
        <v>6.0</v>
      </c>
      <c r="GF163" s="5"/>
      <c r="GG163" s="5"/>
      <c r="GH163" s="7">
        <f t="shared" si="94"/>
        <v>37</v>
      </c>
      <c r="GI163" s="7">
        <f t="shared" si="95"/>
        <v>28</v>
      </c>
      <c r="GJ163" s="7">
        <f t="shared" si="96"/>
        <v>14</v>
      </c>
      <c r="GK163" s="7">
        <f t="shared" si="97"/>
        <v>605</v>
      </c>
      <c r="GL163" s="7">
        <f t="shared" si="98"/>
        <v>650</v>
      </c>
      <c r="GM163" s="7">
        <f t="shared" si="99"/>
        <v>45</v>
      </c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</row>
    <row r="164">
      <c r="A164" s="21">
        <v>42910.0</v>
      </c>
      <c r="B164" s="5" t="s">
        <v>140</v>
      </c>
      <c r="C164" s="16">
        <f t="shared" si="93"/>
        <v>13</v>
      </c>
      <c r="D164" s="7">
        <v>21.295799</v>
      </c>
      <c r="E164" s="7">
        <v>-158.103699</v>
      </c>
      <c r="F164" s="5" t="s">
        <v>180</v>
      </c>
      <c r="G164" s="6">
        <v>0.3472222222222222</v>
      </c>
      <c r="H164" s="6">
        <v>0.4583333333333333</v>
      </c>
      <c r="I164" s="7">
        <v>4.0</v>
      </c>
      <c r="J164" s="7">
        <v>24.0</v>
      </c>
      <c r="K164" s="5" t="s">
        <v>6</v>
      </c>
      <c r="L164" s="7">
        <v>8.0</v>
      </c>
      <c r="M164" s="7">
        <v>27.0</v>
      </c>
      <c r="N164" s="5" t="s">
        <v>238</v>
      </c>
      <c r="O164" s="5"/>
      <c r="P164" s="7">
        <v>27.0</v>
      </c>
      <c r="Q164" s="5"/>
      <c r="R164" s="7">
        <v>6.0</v>
      </c>
      <c r="S164" s="5"/>
      <c r="T164" s="5"/>
      <c r="U164" s="5"/>
      <c r="V164" s="5"/>
      <c r="W164" s="5"/>
      <c r="X164" s="7">
        <v>3.0</v>
      </c>
      <c r="Y164" s="5"/>
      <c r="Z164" s="5"/>
      <c r="AA164" s="5"/>
      <c r="AB164" s="7">
        <v>27.0</v>
      </c>
      <c r="AC164" s="5"/>
      <c r="AD164" s="5"/>
      <c r="AE164" s="7">
        <v>1.0</v>
      </c>
      <c r="AF164" s="5"/>
      <c r="AG164" s="5"/>
      <c r="AH164" s="5"/>
      <c r="AI164" s="7">
        <v>8.0</v>
      </c>
      <c r="AJ164" s="5"/>
      <c r="AK164" s="5"/>
      <c r="AL164" s="5"/>
      <c r="AM164" s="7">
        <v>10.0</v>
      </c>
      <c r="AN164" s="5"/>
      <c r="AO164" s="5"/>
      <c r="AP164" s="5"/>
      <c r="AQ164" s="5"/>
      <c r="AR164" s="5"/>
      <c r="AS164" s="5"/>
      <c r="AT164" s="5"/>
      <c r="AU164" s="5"/>
      <c r="AV164" s="5"/>
      <c r="AW164" s="7">
        <v>3.0</v>
      </c>
      <c r="AX164" s="5"/>
      <c r="AY164" s="5"/>
      <c r="AZ164" s="5"/>
      <c r="BA164" s="7">
        <v>7.0</v>
      </c>
      <c r="BB164" s="7">
        <v>42.0</v>
      </c>
      <c r="BC164" s="7">
        <v>3.0</v>
      </c>
      <c r="BD164" s="7">
        <v>5.0</v>
      </c>
      <c r="BE164" s="7">
        <v>2.0</v>
      </c>
      <c r="BF164" s="5"/>
      <c r="BG164" s="5"/>
      <c r="BH164" s="7">
        <v>2.0</v>
      </c>
      <c r="BI164" s="5"/>
      <c r="BJ164" s="5"/>
      <c r="BK164" s="5"/>
      <c r="BL164" s="5"/>
      <c r="BM164" s="7">
        <v>7.0</v>
      </c>
      <c r="BN164" s="7">
        <v>4.0</v>
      </c>
      <c r="BO164" s="5"/>
      <c r="BP164" s="5"/>
      <c r="BQ164" s="7">
        <v>6.0</v>
      </c>
      <c r="BR164" s="5"/>
      <c r="BS164" s="5"/>
      <c r="BT164" s="5"/>
      <c r="BU164" s="5"/>
      <c r="BV164" s="7">
        <v>8.0</v>
      </c>
      <c r="BW164" s="7">
        <v>10.0</v>
      </c>
      <c r="BX164" s="7">
        <v>3.0</v>
      </c>
      <c r="BY164" s="7">
        <v>4.0</v>
      </c>
      <c r="BZ164" s="7">
        <v>34.0</v>
      </c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7">
        <v>6.0</v>
      </c>
      <c r="CS164" s="7">
        <v>29.0</v>
      </c>
      <c r="CT164" s="5"/>
      <c r="CU164" s="5"/>
      <c r="CV164" s="5"/>
      <c r="CW164" s="5"/>
      <c r="CX164" s="5"/>
      <c r="CY164" s="5"/>
      <c r="CZ164" s="5"/>
      <c r="DA164" s="7">
        <v>1.0</v>
      </c>
      <c r="DB164" s="5"/>
      <c r="DC164" s="5"/>
      <c r="DD164" s="7">
        <v>4.0</v>
      </c>
      <c r="DE164" s="7">
        <v>6.0</v>
      </c>
      <c r="DF164" s="5"/>
      <c r="DG164" s="7">
        <v>20.0</v>
      </c>
      <c r="DH164" s="5"/>
      <c r="DI164" s="5"/>
      <c r="DJ164" s="7">
        <v>1.0</v>
      </c>
      <c r="DK164" s="7">
        <v>6.0</v>
      </c>
      <c r="DL164" s="7">
        <v>28.0</v>
      </c>
      <c r="DM164" s="7">
        <v>105.0</v>
      </c>
      <c r="DN164" s="5"/>
      <c r="DO164" s="7">
        <v>2.0</v>
      </c>
      <c r="DP164" s="5"/>
      <c r="DQ164" s="7">
        <v>5.0</v>
      </c>
      <c r="DR164" s="5"/>
      <c r="DS164" s="7">
        <v>1.0</v>
      </c>
      <c r="DT164" s="5"/>
      <c r="DU164" s="5"/>
      <c r="DV164" s="7">
        <v>2.0</v>
      </c>
      <c r="DW164" s="5"/>
      <c r="DX164" s="5"/>
      <c r="DY164" s="5"/>
      <c r="DZ164" s="5"/>
      <c r="EA164" s="5"/>
      <c r="EB164" s="5"/>
      <c r="EC164" s="7">
        <v>3.0</v>
      </c>
      <c r="ED164" s="5"/>
      <c r="EE164" s="5"/>
      <c r="EF164" s="5"/>
      <c r="EG164" s="5"/>
      <c r="EH164" s="5"/>
      <c r="EI164" s="5"/>
      <c r="EJ164" s="7">
        <v>61.0</v>
      </c>
      <c r="EK164" s="7">
        <v>23.0</v>
      </c>
      <c r="EL164" s="7">
        <v>4.0</v>
      </c>
      <c r="EM164" s="5"/>
      <c r="EN164" s="5"/>
      <c r="EO164" s="5"/>
      <c r="EP164" s="5"/>
      <c r="EQ164" s="5"/>
      <c r="ER164" s="5"/>
      <c r="ES164" s="5"/>
      <c r="ET164" s="7">
        <v>2.0</v>
      </c>
      <c r="EU164" s="5"/>
      <c r="EV164" s="5"/>
      <c r="EW164" s="5"/>
      <c r="EX164" s="5"/>
      <c r="EY164" s="5"/>
      <c r="EZ164" s="5"/>
      <c r="FA164" s="7">
        <v>9.0</v>
      </c>
      <c r="FB164" s="7">
        <v>38.0</v>
      </c>
      <c r="FC164" s="5"/>
      <c r="FD164" s="5"/>
      <c r="FE164" s="7">
        <v>1.0</v>
      </c>
      <c r="FF164" s="7">
        <v>21.0</v>
      </c>
      <c r="FG164" s="5"/>
      <c r="FH164" s="5"/>
      <c r="FI164" s="7">
        <v>9.0</v>
      </c>
      <c r="FJ164" s="5"/>
      <c r="FK164" s="5"/>
      <c r="FL164" s="5"/>
      <c r="FM164" s="7">
        <v>3.0</v>
      </c>
      <c r="FN164" s="5"/>
      <c r="FO164" s="5"/>
      <c r="FP164" s="5"/>
      <c r="FQ164" s="5"/>
      <c r="FR164" s="7">
        <v>2.0</v>
      </c>
      <c r="FS164" s="7">
        <v>18.0</v>
      </c>
      <c r="FT164" s="5"/>
      <c r="FU164" s="5"/>
      <c r="FV164" s="5"/>
      <c r="FW164" s="5"/>
      <c r="FX164" s="5"/>
      <c r="FY164" s="7">
        <v>7.0</v>
      </c>
      <c r="FZ164" s="5"/>
      <c r="GA164" s="5"/>
      <c r="GB164" s="5"/>
      <c r="GC164" s="5"/>
      <c r="GD164" s="5"/>
      <c r="GE164" s="5"/>
      <c r="GF164" s="5"/>
      <c r="GG164" s="5"/>
      <c r="GH164" s="7">
        <f t="shared" si="94"/>
        <v>49</v>
      </c>
      <c r="GI164" s="7">
        <f t="shared" si="95"/>
        <v>44</v>
      </c>
      <c r="GJ164" s="7">
        <f t="shared" si="96"/>
        <v>28</v>
      </c>
      <c r="GK164" s="7">
        <f t="shared" si="97"/>
        <v>612</v>
      </c>
      <c r="GL164" s="7">
        <f t="shared" si="98"/>
        <v>675</v>
      </c>
      <c r="GM164" s="7">
        <f t="shared" si="99"/>
        <v>63</v>
      </c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</row>
    <row r="165">
      <c r="A165" s="21">
        <v>42911.0</v>
      </c>
      <c r="B165" s="5" t="s">
        <v>69</v>
      </c>
      <c r="C165" s="16">
        <f t="shared" si="93"/>
        <v>14</v>
      </c>
      <c r="D165" s="7">
        <v>21.4104</v>
      </c>
      <c r="E165" s="7">
        <v>-158.177704</v>
      </c>
      <c r="F165" s="5" t="s">
        <v>180</v>
      </c>
      <c r="G165" s="6">
        <v>0.375</v>
      </c>
      <c r="H165" s="6">
        <v>0.4583333333333333</v>
      </c>
      <c r="I165" s="7">
        <v>3.0</v>
      </c>
      <c r="J165" s="7">
        <v>33.0</v>
      </c>
      <c r="K165" s="5" t="s">
        <v>6</v>
      </c>
      <c r="L165" s="7">
        <v>12.0</v>
      </c>
      <c r="M165" s="7">
        <v>26.0</v>
      </c>
      <c r="N165" s="5" t="s">
        <v>239</v>
      </c>
      <c r="O165" s="5"/>
      <c r="P165" s="7">
        <v>26.0</v>
      </c>
      <c r="Q165" s="5"/>
      <c r="R165" s="7">
        <v>159.0</v>
      </c>
      <c r="S165" s="5"/>
      <c r="T165" s="5"/>
      <c r="U165" s="5"/>
      <c r="V165" s="5"/>
      <c r="W165" s="5"/>
      <c r="X165" s="5"/>
      <c r="Y165" s="5"/>
      <c r="Z165" s="5"/>
      <c r="AA165" s="5"/>
      <c r="AB165" s="7">
        <v>5.0</v>
      </c>
      <c r="AC165" s="5"/>
      <c r="AD165" s="7">
        <v>7.0</v>
      </c>
      <c r="AE165" s="5"/>
      <c r="AF165" s="5"/>
      <c r="AG165" s="5"/>
      <c r="AH165" s="5"/>
      <c r="AI165" s="5"/>
      <c r="AJ165" s="5"/>
      <c r="AK165" s="5"/>
      <c r="AL165" s="5"/>
      <c r="AM165" s="7">
        <v>1.0</v>
      </c>
      <c r="AN165" s="5"/>
      <c r="AO165" s="5"/>
      <c r="AP165" s="5"/>
      <c r="AQ165" s="5"/>
      <c r="AR165" s="5"/>
      <c r="AS165" s="5"/>
      <c r="AT165" s="5"/>
      <c r="AU165" s="5"/>
      <c r="AV165" s="5"/>
      <c r="AW165" s="7">
        <v>2.0</v>
      </c>
      <c r="AX165" s="5"/>
      <c r="AY165" s="7">
        <v>1.0</v>
      </c>
      <c r="AZ165" s="5"/>
      <c r="BA165" s="5"/>
      <c r="BB165" s="7">
        <v>5.0</v>
      </c>
      <c r="BC165" s="5"/>
      <c r="BD165" s="5"/>
      <c r="BE165" s="5"/>
      <c r="BF165" s="5"/>
      <c r="BG165" s="5"/>
      <c r="BH165" s="5"/>
      <c r="BI165" s="5"/>
      <c r="BJ165" s="5"/>
      <c r="BK165" s="7">
        <v>2.0</v>
      </c>
      <c r="BL165" s="5"/>
      <c r="BM165" s="7">
        <v>8.0</v>
      </c>
      <c r="BN165" s="7">
        <v>7.0</v>
      </c>
      <c r="BO165" s="5"/>
      <c r="BP165" s="5"/>
      <c r="BQ165" s="7">
        <v>6.0</v>
      </c>
      <c r="BR165" s="5"/>
      <c r="BS165" s="5"/>
      <c r="BT165" s="5"/>
      <c r="BU165" s="5"/>
      <c r="BV165" s="5"/>
      <c r="BW165" s="5"/>
      <c r="BX165" s="5"/>
      <c r="BY165" s="5"/>
      <c r="BZ165" s="7">
        <v>42.0</v>
      </c>
      <c r="CA165" s="5"/>
      <c r="CB165" s="5"/>
      <c r="CC165" s="7">
        <v>2.0</v>
      </c>
      <c r="CD165" s="7">
        <v>1.0</v>
      </c>
      <c r="CE165" s="5"/>
      <c r="CF165" s="5"/>
      <c r="CG165" s="5"/>
      <c r="CH165" s="5"/>
      <c r="CI165" s="5"/>
      <c r="CJ165" s="7">
        <v>10.0</v>
      </c>
      <c r="CK165" s="7">
        <v>64.0</v>
      </c>
      <c r="CL165" s="7">
        <v>11.0</v>
      </c>
      <c r="CM165" s="5"/>
      <c r="CN165" s="7">
        <v>6.0</v>
      </c>
      <c r="CO165" s="7">
        <v>29.0</v>
      </c>
      <c r="CP165" s="5"/>
      <c r="CQ165" s="7">
        <v>1.0</v>
      </c>
      <c r="CR165" s="5"/>
      <c r="CS165" s="5"/>
      <c r="CT165" s="5"/>
      <c r="CU165" s="5"/>
      <c r="CV165" s="5"/>
      <c r="CW165" s="5"/>
      <c r="CX165" s="5"/>
      <c r="CY165" s="5"/>
      <c r="CZ165" s="5"/>
      <c r="DA165" s="7">
        <v>1.0</v>
      </c>
      <c r="DB165" s="5"/>
      <c r="DC165" s="5"/>
      <c r="DD165" s="5"/>
      <c r="DE165" s="7">
        <v>1.0</v>
      </c>
      <c r="DF165" s="7">
        <v>8.0</v>
      </c>
      <c r="DG165" s="7">
        <v>30.0</v>
      </c>
      <c r="DH165" s="5"/>
      <c r="DI165" s="5"/>
      <c r="DJ165" s="5"/>
      <c r="DK165" s="5"/>
      <c r="DL165" s="5"/>
      <c r="DM165" s="7">
        <v>34.0</v>
      </c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7">
        <v>1.0</v>
      </c>
      <c r="EL165" s="7">
        <v>1.0</v>
      </c>
      <c r="EM165" s="5"/>
      <c r="EN165" s="5"/>
      <c r="EO165" s="5"/>
      <c r="EP165" s="5"/>
      <c r="EQ165" s="5"/>
      <c r="ER165" s="5"/>
      <c r="ES165" s="5"/>
      <c r="ET165" s="5"/>
      <c r="EU165" s="5"/>
      <c r="EV165" s="7">
        <v>25.0</v>
      </c>
      <c r="EW165" s="5"/>
      <c r="EX165" s="7">
        <v>150.0</v>
      </c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7">
        <v>1.0</v>
      </c>
      <c r="FM165" s="5"/>
      <c r="FN165" s="5"/>
      <c r="FO165" s="5"/>
      <c r="FP165" s="5"/>
      <c r="FQ165" s="5"/>
      <c r="FR165" s="5"/>
      <c r="FS165" s="7">
        <v>13.0</v>
      </c>
      <c r="FT165" s="7">
        <v>2.0</v>
      </c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7">
        <f t="shared" si="94"/>
        <v>32</v>
      </c>
      <c r="GI165" s="7">
        <f t="shared" si="95"/>
        <v>23</v>
      </c>
      <c r="GJ165" s="7">
        <f t="shared" si="96"/>
        <v>19</v>
      </c>
      <c r="GK165" s="7">
        <f t="shared" si="97"/>
        <v>636</v>
      </c>
      <c r="GL165" s="7">
        <f t="shared" si="98"/>
        <v>650</v>
      </c>
      <c r="GM165" s="7">
        <f t="shared" si="99"/>
        <v>14</v>
      </c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</row>
    <row r="166">
      <c r="A166" s="21">
        <v>43134.0</v>
      </c>
      <c r="B166" s="5" t="s">
        <v>21</v>
      </c>
      <c r="C166" s="16">
        <f t="shared" si="93"/>
        <v>15</v>
      </c>
      <c r="D166" s="7">
        <v>21.25544</v>
      </c>
      <c r="E166" s="7">
        <v>-157.810303</v>
      </c>
      <c r="F166" s="5" t="s">
        <v>180</v>
      </c>
      <c r="G166" s="6">
        <v>0.4895833333333333</v>
      </c>
      <c r="H166" s="6">
        <v>0.5625</v>
      </c>
      <c r="I166" s="7">
        <v>3.0</v>
      </c>
      <c r="J166" s="7">
        <v>13.0</v>
      </c>
      <c r="K166" s="5" t="s">
        <v>8</v>
      </c>
      <c r="L166" s="7">
        <v>13.0</v>
      </c>
      <c r="M166" s="7">
        <v>35.0</v>
      </c>
      <c r="N166" s="5" t="s">
        <v>240</v>
      </c>
      <c r="O166" s="5"/>
      <c r="P166" s="7">
        <v>35.0</v>
      </c>
      <c r="Q166" s="5"/>
      <c r="R166" s="7">
        <v>11.0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7">
        <v>1.0</v>
      </c>
      <c r="AF166" s="7">
        <v>1.0</v>
      </c>
      <c r="AG166" s="5"/>
      <c r="AH166" s="5"/>
      <c r="AI166" s="7">
        <v>4.0</v>
      </c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7">
        <v>3.0</v>
      </c>
      <c r="BF166" s="5"/>
      <c r="BG166" s="5"/>
      <c r="BH166" s="5"/>
      <c r="BI166" s="5"/>
      <c r="BJ166" s="5"/>
      <c r="BK166" s="5"/>
      <c r="BL166" s="5"/>
      <c r="BM166" s="7">
        <v>29.0</v>
      </c>
      <c r="BN166" s="5"/>
      <c r="BO166" s="5"/>
      <c r="BP166" s="5"/>
      <c r="BQ166" s="7">
        <v>8.0</v>
      </c>
      <c r="BR166" s="5"/>
      <c r="BS166" s="5"/>
      <c r="BT166" s="5"/>
      <c r="BU166" s="5"/>
      <c r="BV166" s="7">
        <v>6.0</v>
      </c>
      <c r="BW166" s="5"/>
      <c r="BX166" s="5"/>
      <c r="BY166" s="7">
        <v>10.0</v>
      </c>
      <c r="BZ166" s="7">
        <v>6.0</v>
      </c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7">
        <v>4.0</v>
      </c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7">
        <v>1.0</v>
      </c>
      <c r="DH166" s="5"/>
      <c r="DI166" s="5"/>
      <c r="DJ166" s="5"/>
      <c r="DK166" s="5"/>
      <c r="DL166" s="5"/>
      <c r="DM166" s="7">
        <v>58.0</v>
      </c>
      <c r="DN166" s="5"/>
      <c r="DO166" s="5"/>
      <c r="DP166" s="5"/>
      <c r="DQ166" s="5"/>
      <c r="DR166" s="5"/>
      <c r="DS166" s="7">
        <v>28.0</v>
      </c>
      <c r="DT166" s="5"/>
      <c r="DU166" s="5"/>
      <c r="DV166" s="7">
        <v>9.0</v>
      </c>
      <c r="DW166" s="5"/>
      <c r="DX166" s="5"/>
      <c r="DY166" s="5"/>
      <c r="DZ166" s="5"/>
      <c r="EA166" s="7">
        <v>1.0</v>
      </c>
      <c r="EB166" s="5"/>
      <c r="EC166" s="7">
        <v>3.0</v>
      </c>
      <c r="ED166" s="5"/>
      <c r="EE166" s="5"/>
      <c r="EF166" s="5"/>
      <c r="EG166" s="5"/>
      <c r="EH166" s="5"/>
      <c r="EI166" s="5"/>
      <c r="EJ166" s="7">
        <v>145.0</v>
      </c>
      <c r="EK166" s="5"/>
      <c r="EL166" s="5"/>
      <c r="EM166" s="5"/>
      <c r="EN166" s="7">
        <v>4.0</v>
      </c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7">
        <v>47.0</v>
      </c>
      <c r="FC166" s="7">
        <v>2.0</v>
      </c>
      <c r="FD166" s="5"/>
      <c r="FE166" s="5"/>
      <c r="FF166" s="5"/>
      <c r="FG166" s="5"/>
      <c r="FH166" s="5"/>
      <c r="FI166" s="7">
        <v>5.0</v>
      </c>
      <c r="FJ166" s="5"/>
      <c r="FK166" s="5"/>
      <c r="FL166" s="5"/>
      <c r="FM166" s="5"/>
      <c r="FN166" s="5"/>
      <c r="FO166" s="5"/>
      <c r="FP166" s="5"/>
      <c r="FQ166" s="5"/>
      <c r="FR166" s="7">
        <v>84.0</v>
      </c>
      <c r="FS166" s="7">
        <v>139.0</v>
      </c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7">
        <v>1.0</v>
      </c>
      <c r="GH166" s="7">
        <f t="shared" si="94"/>
        <v>25</v>
      </c>
      <c r="GI166" s="7">
        <f t="shared" si="95"/>
        <v>20</v>
      </c>
      <c r="GJ166" s="7">
        <f t="shared" si="96"/>
        <v>14</v>
      </c>
      <c r="GK166" s="7">
        <f t="shared" si="97"/>
        <v>610</v>
      </c>
      <c r="GL166" s="7">
        <f t="shared" si="98"/>
        <v>875</v>
      </c>
      <c r="GM166" s="7">
        <f t="shared" si="99"/>
        <v>265</v>
      </c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</row>
    <row r="167">
      <c r="A167" s="21">
        <v>43148.0</v>
      </c>
      <c r="B167" s="5" t="s">
        <v>37</v>
      </c>
      <c r="C167" s="16">
        <f t="shared" si="93"/>
        <v>16</v>
      </c>
      <c r="D167" s="7">
        <v>21.310612</v>
      </c>
      <c r="E167" s="7">
        <v>-158.00441</v>
      </c>
      <c r="F167" s="5" t="s">
        <v>180</v>
      </c>
      <c r="G167" s="6">
        <v>0.4986111111111111</v>
      </c>
      <c r="H167" s="6">
        <v>0.56875</v>
      </c>
      <c r="I167" s="7">
        <v>3.0</v>
      </c>
      <c r="J167" s="7">
        <v>11.0</v>
      </c>
      <c r="K167" s="5" t="s">
        <v>8</v>
      </c>
      <c r="L167" s="7">
        <v>11.0</v>
      </c>
      <c r="M167" s="7">
        <v>29.0</v>
      </c>
      <c r="N167" s="5" t="s">
        <v>241</v>
      </c>
      <c r="O167" s="5"/>
      <c r="P167" s="7">
        <v>29.0</v>
      </c>
      <c r="Q167" s="5"/>
      <c r="R167" s="7">
        <v>7.0</v>
      </c>
      <c r="S167" s="5"/>
      <c r="T167" s="5"/>
      <c r="U167" s="5"/>
      <c r="V167" s="5"/>
      <c r="W167" s="5"/>
      <c r="X167" s="5"/>
      <c r="Y167" s="5"/>
      <c r="Z167" s="5"/>
      <c r="AA167" s="5"/>
      <c r="AB167" s="7">
        <v>1.0</v>
      </c>
      <c r="AC167" s="5"/>
      <c r="AD167" s="5"/>
      <c r="AE167" s="7">
        <v>19.0</v>
      </c>
      <c r="AF167" s="5"/>
      <c r="AG167" s="5"/>
      <c r="AH167" s="5"/>
      <c r="AI167" s="7">
        <v>13.0</v>
      </c>
      <c r="AJ167" s="5"/>
      <c r="AK167" s="5"/>
      <c r="AL167" s="5"/>
      <c r="AM167" s="7">
        <v>7.0</v>
      </c>
      <c r="AN167" s="5"/>
      <c r="AO167" s="5"/>
      <c r="AP167" s="5"/>
      <c r="AQ167" s="5"/>
      <c r="AR167" s="7">
        <v>2.0</v>
      </c>
      <c r="AS167" s="7">
        <v>4.0</v>
      </c>
      <c r="AT167" s="5"/>
      <c r="AU167" s="5"/>
      <c r="AV167" s="5"/>
      <c r="AW167" s="5"/>
      <c r="AX167" s="5"/>
      <c r="AY167" s="5"/>
      <c r="AZ167" s="5"/>
      <c r="BA167" s="5"/>
      <c r="BB167" s="7">
        <v>5.0</v>
      </c>
      <c r="BC167" s="7">
        <v>2.0</v>
      </c>
      <c r="BD167" s="5"/>
      <c r="BE167" s="7">
        <v>1.0</v>
      </c>
      <c r="BF167" s="5"/>
      <c r="BG167" s="5"/>
      <c r="BH167" s="5"/>
      <c r="BI167" s="5"/>
      <c r="BJ167" s="5"/>
      <c r="BK167" s="5"/>
      <c r="BL167" s="5"/>
      <c r="BM167" s="7">
        <v>30.0</v>
      </c>
      <c r="BN167" s="5"/>
      <c r="BO167" s="5"/>
      <c r="BP167" s="5"/>
      <c r="BQ167" s="7">
        <v>6.0</v>
      </c>
      <c r="BR167" s="5"/>
      <c r="BS167" s="5"/>
      <c r="BT167" s="5"/>
      <c r="BU167" s="7">
        <v>4.0</v>
      </c>
      <c r="BV167" s="7">
        <v>10.0</v>
      </c>
      <c r="BW167" s="7">
        <v>8.0</v>
      </c>
      <c r="BX167" s="7">
        <v>7.0</v>
      </c>
      <c r="BY167" s="7">
        <v>13.0</v>
      </c>
      <c r="BZ167" s="7">
        <v>36.0</v>
      </c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7">
        <v>5.0</v>
      </c>
      <c r="CS167" s="7">
        <v>2.0</v>
      </c>
      <c r="CT167" s="7">
        <v>3.0</v>
      </c>
      <c r="CU167" s="5"/>
      <c r="CV167" s="7">
        <v>1.0</v>
      </c>
      <c r="CW167" s="5"/>
      <c r="CX167" s="5"/>
      <c r="CY167" s="5"/>
      <c r="CZ167" s="5"/>
      <c r="DA167" s="5"/>
      <c r="DB167" s="5"/>
      <c r="DC167" s="5"/>
      <c r="DD167" s="7">
        <v>5.0</v>
      </c>
      <c r="DE167" s="5"/>
      <c r="DF167" s="5"/>
      <c r="DG167" s="7">
        <v>1.0</v>
      </c>
      <c r="DH167" s="5"/>
      <c r="DI167" s="5"/>
      <c r="DJ167" s="5"/>
      <c r="DK167" s="5"/>
      <c r="DL167" s="7">
        <v>2.0</v>
      </c>
      <c r="DM167" s="7">
        <v>7.0</v>
      </c>
      <c r="DN167" s="5"/>
      <c r="DO167" s="7">
        <v>6.0</v>
      </c>
      <c r="DP167" s="5"/>
      <c r="DQ167" s="5"/>
      <c r="DR167" s="5"/>
      <c r="DS167" s="5"/>
      <c r="DT167" s="5"/>
      <c r="DU167" s="5"/>
      <c r="DV167" s="7">
        <v>18.0</v>
      </c>
      <c r="DW167" s="5"/>
      <c r="DX167" s="5"/>
      <c r="DY167" s="5"/>
      <c r="DZ167" s="5"/>
      <c r="EA167" s="5"/>
      <c r="EB167" s="5"/>
      <c r="EC167" s="7">
        <v>4.0</v>
      </c>
      <c r="ED167" s="5"/>
      <c r="EE167" s="5"/>
      <c r="EF167" s="5"/>
      <c r="EG167" s="5"/>
      <c r="EH167" s="5"/>
      <c r="EI167" s="5"/>
      <c r="EJ167" s="7">
        <v>161.0</v>
      </c>
      <c r="EK167" s="5"/>
      <c r="EL167" s="5"/>
      <c r="EM167" s="5"/>
      <c r="EN167" s="5"/>
      <c r="EO167" s="7">
        <v>8.0</v>
      </c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7">
        <v>154.0</v>
      </c>
      <c r="FT167" s="5"/>
      <c r="FU167" s="5"/>
      <c r="FV167" s="5"/>
      <c r="FW167" s="7">
        <v>1.0</v>
      </c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7">
        <f t="shared" si="94"/>
        <v>33</v>
      </c>
      <c r="GI167" s="7">
        <f t="shared" si="95"/>
        <v>28</v>
      </c>
      <c r="GJ167" s="7">
        <f t="shared" si="96"/>
        <v>20</v>
      </c>
      <c r="GK167" s="7">
        <f t="shared" si="97"/>
        <v>553</v>
      </c>
      <c r="GL167" s="7">
        <f t="shared" si="98"/>
        <v>725</v>
      </c>
      <c r="GM167" s="7">
        <f t="shared" si="99"/>
        <v>172</v>
      </c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</row>
    <row r="168">
      <c r="A168" s="21">
        <v>43163.0</v>
      </c>
      <c r="B168" s="2" t="s">
        <v>14</v>
      </c>
      <c r="C168" s="16">
        <f t="shared" si="93"/>
        <v>17</v>
      </c>
      <c r="D168" s="7">
        <v>19.738602</v>
      </c>
      <c r="E168" s="7">
        <v>-155.038879</v>
      </c>
      <c r="F168" s="5" t="s">
        <v>180</v>
      </c>
      <c r="G168" s="6">
        <v>0.4270833333333333</v>
      </c>
      <c r="H168" s="6">
        <v>0.53125</v>
      </c>
      <c r="I168" s="7">
        <v>3.0</v>
      </c>
      <c r="J168" s="7">
        <v>21.0</v>
      </c>
      <c r="K168" s="5" t="s">
        <v>242</v>
      </c>
      <c r="L168" s="7">
        <v>14.0</v>
      </c>
      <c r="M168" s="7">
        <v>25.0</v>
      </c>
      <c r="N168" s="5" t="s">
        <v>243</v>
      </c>
      <c r="O168" s="5"/>
      <c r="P168" s="7">
        <v>25.0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7">
        <v>1.0</v>
      </c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7">
        <v>2.0</v>
      </c>
      <c r="BL168" s="5"/>
      <c r="BM168" s="7">
        <v>79.0</v>
      </c>
      <c r="BN168" s="5"/>
      <c r="BO168" s="5"/>
      <c r="BP168" s="5"/>
      <c r="BQ168" s="5"/>
      <c r="BR168" s="5"/>
      <c r="BS168" s="5"/>
      <c r="BT168" s="5"/>
      <c r="BU168" s="5"/>
      <c r="BV168" s="7">
        <v>2.0</v>
      </c>
      <c r="BW168" s="5"/>
      <c r="BX168" s="5"/>
      <c r="BY168" s="5"/>
      <c r="BZ168" s="5"/>
      <c r="CA168" s="5"/>
      <c r="CB168" s="5"/>
      <c r="CC168" s="7">
        <v>9.0</v>
      </c>
      <c r="CD168" s="7">
        <v>2.0</v>
      </c>
      <c r="CE168" s="7">
        <v>2.0</v>
      </c>
      <c r="CF168" s="7">
        <v>1.0</v>
      </c>
      <c r="CG168" s="5"/>
      <c r="CH168" s="5"/>
      <c r="CI168" s="7">
        <v>1.0</v>
      </c>
      <c r="CJ168" s="5"/>
      <c r="CK168" s="5"/>
      <c r="CL168" s="5"/>
      <c r="CM168" s="5"/>
      <c r="CN168" s="5"/>
      <c r="CO168" s="7">
        <v>8.0</v>
      </c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7">
        <v>6.0</v>
      </c>
      <c r="DY168" s="5"/>
      <c r="DZ168" s="5"/>
      <c r="EA168" s="5"/>
      <c r="EB168" s="5"/>
      <c r="EC168" s="5"/>
      <c r="ED168" s="5"/>
      <c r="EE168" s="5"/>
      <c r="EF168" s="7">
        <v>2.0</v>
      </c>
      <c r="EG168" s="5"/>
      <c r="EH168" s="5"/>
      <c r="EI168" s="5"/>
      <c r="EJ168" s="5"/>
      <c r="EK168" s="5"/>
      <c r="EL168" s="5"/>
      <c r="EM168" s="5"/>
      <c r="EN168" s="5"/>
      <c r="EO168" s="5"/>
      <c r="EP168" s="7">
        <v>1.0</v>
      </c>
      <c r="EQ168" s="5"/>
      <c r="ER168" s="5"/>
      <c r="ES168" s="7">
        <v>5.0</v>
      </c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7">
        <v>1.0</v>
      </c>
      <c r="FH168" s="5"/>
      <c r="FI168" s="5"/>
      <c r="FJ168" s="5"/>
      <c r="FK168" s="5"/>
      <c r="FL168" s="5"/>
      <c r="FM168" s="7">
        <v>65.0</v>
      </c>
      <c r="FN168" s="5"/>
      <c r="FO168" s="5"/>
      <c r="FP168" s="5"/>
      <c r="FQ168" s="5"/>
      <c r="FR168" s="5"/>
      <c r="FS168" s="7">
        <v>236.0</v>
      </c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7">
        <f t="shared" si="94"/>
        <v>17</v>
      </c>
      <c r="GI168" s="7">
        <f t="shared" si="95"/>
        <v>12</v>
      </c>
      <c r="GJ168" s="7">
        <f t="shared" si="96"/>
        <v>7</v>
      </c>
      <c r="GK168" s="7">
        <f t="shared" si="97"/>
        <v>423</v>
      </c>
      <c r="GL168" s="7">
        <f t="shared" si="98"/>
        <v>625</v>
      </c>
      <c r="GM168" s="7">
        <f t="shared" si="99"/>
        <v>202</v>
      </c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</row>
    <row r="169">
      <c r="A169" s="15">
        <v>42866.0</v>
      </c>
      <c r="B169" s="12" t="s">
        <v>140</v>
      </c>
      <c r="C169" s="16">
        <f t="shared" si="93"/>
        <v>18</v>
      </c>
      <c r="D169" s="13">
        <v>21.295799</v>
      </c>
      <c r="E169" s="13">
        <v>-158.103699</v>
      </c>
      <c r="F169" s="12" t="s">
        <v>244</v>
      </c>
      <c r="G169" s="14">
        <v>0.4</v>
      </c>
      <c r="H169" s="14">
        <v>0.4583333333333333</v>
      </c>
      <c r="I169" s="13">
        <v>7.0</v>
      </c>
      <c r="J169" s="13">
        <v>10.0</v>
      </c>
      <c r="K169" s="12" t="s">
        <v>242</v>
      </c>
      <c r="L169" s="13">
        <v>1.0</v>
      </c>
      <c r="M169" s="13">
        <v>6.0</v>
      </c>
      <c r="N169" s="12" t="s">
        <v>245</v>
      </c>
      <c r="O169" s="12"/>
      <c r="P169" s="12"/>
      <c r="Q169" s="12"/>
      <c r="R169" s="13">
        <v>1.0</v>
      </c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3">
        <v>1.0</v>
      </c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3">
        <v>1.0</v>
      </c>
      <c r="BW169" s="12"/>
      <c r="BX169" s="12"/>
      <c r="BY169" s="12"/>
      <c r="BZ169" s="13">
        <v>3.0</v>
      </c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3">
        <v>2.0</v>
      </c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3">
        <v>13.0</v>
      </c>
      <c r="DN169" s="12"/>
      <c r="DO169" s="12"/>
      <c r="DP169" s="12"/>
      <c r="DQ169" s="12"/>
      <c r="DR169" s="12"/>
      <c r="DS169" s="13">
        <v>2.0</v>
      </c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3">
        <v>58.0</v>
      </c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3">
        <v>10.0</v>
      </c>
      <c r="FC169" s="12"/>
      <c r="FD169" s="12"/>
      <c r="FE169" s="12"/>
      <c r="FF169" s="13">
        <v>1.0</v>
      </c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3">
        <v>7.0</v>
      </c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</row>
    <row r="170">
      <c r="A170" s="15">
        <v>42853.0</v>
      </c>
      <c r="B170" s="12" t="s">
        <v>14</v>
      </c>
      <c r="C170" s="16">
        <f t="shared" si="93"/>
        <v>19</v>
      </c>
      <c r="D170" s="13">
        <v>19.738602</v>
      </c>
      <c r="E170" s="13">
        <v>-155.038879</v>
      </c>
      <c r="F170" s="12" t="s">
        <v>246</v>
      </c>
      <c r="G170" s="14">
        <v>0.3888888888888889</v>
      </c>
      <c r="H170" s="14">
        <v>0.4479166666666667</v>
      </c>
      <c r="I170" s="13">
        <v>4.0</v>
      </c>
      <c r="J170" s="13">
        <v>8.0</v>
      </c>
      <c r="K170" s="12" t="s">
        <v>128</v>
      </c>
      <c r="L170" s="13">
        <v>8.0</v>
      </c>
      <c r="M170" s="13">
        <v>29.0</v>
      </c>
      <c r="N170" s="9" t="s">
        <v>247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3">
        <v>3.0</v>
      </c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3">
        <v>39.0</v>
      </c>
      <c r="BL170" s="12"/>
      <c r="BM170" s="13">
        <v>26.0</v>
      </c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3">
        <v>23.0</v>
      </c>
      <c r="CD170" s="13">
        <v>12.0</v>
      </c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3">
        <v>66.0</v>
      </c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3">
        <v>1.0</v>
      </c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3">
        <v>35.0</v>
      </c>
      <c r="FN170" s="12"/>
      <c r="FO170" s="12"/>
      <c r="FP170" s="12"/>
      <c r="FQ170" s="12"/>
      <c r="FR170" s="12"/>
      <c r="FS170" s="13">
        <v>419.0</v>
      </c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</row>
    <row r="171">
      <c r="A171" s="21">
        <v>42468.0</v>
      </c>
      <c r="B171" s="5" t="s">
        <v>208</v>
      </c>
      <c r="C171" s="16">
        <f t="shared" si="93"/>
        <v>20</v>
      </c>
      <c r="D171" s="7">
        <v>19.488199</v>
      </c>
      <c r="E171" s="7">
        <v>-154.819305</v>
      </c>
      <c r="F171" s="5" t="s">
        <v>248</v>
      </c>
      <c r="G171" s="6">
        <v>0.3972222222222222</v>
      </c>
      <c r="H171" s="6">
        <v>0.4479166666666667</v>
      </c>
      <c r="I171" s="7">
        <v>5.0</v>
      </c>
      <c r="J171" s="7">
        <v>21.0</v>
      </c>
      <c r="K171" s="5" t="s">
        <v>8</v>
      </c>
      <c r="L171" s="7">
        <v>5.0</v>
      </c>
      <c r="M171" s="7">
        <v>23.0</v>
      </c>
      <c r="N171" s="5" t="s">
        <v>249</v>
      </c>
      <c r="O171" s="5"/>
      <c r="P171" s="7">
        <v>23.0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7">
        <v>315.0</v>
      </c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7">
        <v>1.0</v>
      </c>
      <c r="BK171" s="5"/>
      <c r="BL171" s="5"/>
      <c r="BM171" s="7">
        <v>102.0</v>
      </c>
      <c r="BN171" s="7">
        <v>3.0</v>
      </c>
      <c r="BO171" s="5"/>
      <c r="BP171" s="5"/>
      <c r="BQ171" s="7">
        <v>4.0</v>
      </c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7">
        <v>1.0</v>
      </c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7">
        <v>27.0</v>
      </c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7">
        <v>1.0</v>
      </c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7">
        <v>109.0</v>
      </c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7">
        <f t="shared" ref="GH171:GH172" si="100">count(R171:GG171)</f>
        <v>9</v>
      </c>
      <c r="GI171" s="7">
        <f t="shared" ref="GI171:GI172" si="101">countif(R171:GG171,"&gt;=2")</f>
        <v>6</v>
      </c>
      <c r="GJ171" s="7">
        <f t="shared" ref="GJ171:GJ172" si="102">countif(R171:GG171,"&gt;=5")</f>
        <v>4</v>
      </c>
      <c r="GK171" s="7">
        <f t="shared" ref="GK171:GK172" si="103">sum(R171:GG171)</f>
        <v>563</v>
      </c>
      <c r="GL171" s="7">
        <f t="shared" ref="GL171:GL172" si="104">25*P171</f>
        <v>575</v>
      </c>
      <c r="GM171" s="7">
        <f t="shared" ref="GM171:GM172" si="105">GL171-GK171</f>
        <v>12</v>
      </c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</row>
    <row r="172">
      <c r="A172" s="21">
        <v>42879.0</v>
      </c>
      <c r="B172" s="5" t="s">
        <v>208</v>
      </c>
      <c r="C172" s="16">
        <f t="shared" si="93"/>
        <v>21</v>
      </c>
      <c r="D172" s="7">
        <v>19.488199</v>
      </c>
      <c r="E172" s="7">
        <v>-154.819305</v>
      </c>
      <c r="F172" s="5" t="s">
        <v>248</v>
      </c>
      <c r="G172" s="6">
        <v>0.3854166666666667</v>
      </c>
      <c r="H172" s="6">
        <v>0.46875</v>
      </c>
      <c r="I172" s="7">
        <v>5.0</v>
      </c>
      <c r="J172" s="7">
        <v>20.0</v>
      </c>
      <c r="K172" s="5" t="s">
        <v>8</v>
      </c>
      <c r="L172" s="7">
        <v>5.0</v>
      </c>
      <c r="M172" s="7">
        <v>25.0</v>
      </c>
      <c r="N172" s="5"/>
      <c r="O172" s="5"/>
      <c r="P172" s="7">
        <v>25.0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7">
        <v>3.0</v>
      </c>
      <c r="AG172" s="5"/>
      <c r="AH172" s="5"/>
      <c r="AI172" s="7">
        <v>1.0</v>
      </c>
      <c r="AJ172" s="5"/>
      <c r="AK172" s="5"/>
      <c r="AL172" s="5"/>
      <c r="AM172" s="7">
        <v>22.0</v>
      </c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7">
        <v>22.0</v>
      </c>
      <c r="BN172" s="7">
        <v>3.0</v>
      </c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7">
        <v>3.0</v>
      </c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7">
        <v>2.0</v>
      </c>
      <c r="EL172" s="5"/>
      <c r="EM172" s="5"/>
      <c r="EN172" s="5"/>
      <c r="EO172" s="5"/>
      <c r="EP172" s="7">
        <v>2.0</v>
      </c>
      <c r="EQ172" s="5"/>
      <c r="ER172" s="7">
        <v>4.0</v>
      </c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7">
        <v>1.0</v>
      </c>
      <c r="FG172" s="5"/>
      <c r="FH172" s="5"/>
      <c r="FI172" s="7">
        <v>1.0</v>
      </c>
      <c r="FJ172" s="5"/>
      <c r="FK172" s="5"/>
      <c r="FL172" s="5"/>
      <c r="FM172" s="7">
        <v>15.0</v>
      </c>
      <c r="FN172" s="5"/>
      <c r="FO172" s="5"/>
      <c r="FP172" s="5"/>
      <c r="FQ172" s="5"/>
      <c r="FR172" s="5"/>
      <c r="FS172" s="7">
        <v>514.0</v>
      </c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7">
        <f t="shared" si="100"/>
        <v>13</v>
      </c>
      <c r="GI172" s="7">
        <f t="shared" si="101"/>
        <v>10</v>
      </c>
      <c r="GJ172" s="7">
        <f t="shared" si="102"/>
        <v>4</v>
      </c>
      <c r="GK172" s="7">
        <f t="shared" si="103"/>
        <v>593</v>
      </c>
      <c r="GL172" s="7">
        <f t="shared" si="104"/>
        <v>625</v>
      </c>
      <c r="GM172" s="7">
        <f t="shared" si="105"/>
        <v>32</v>
      </c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</row>
    <row r="173">
      <c r="A173" s="17">
        <v>42468.0</v>
      </c>
      <c r="B173" s="18" t="s">
        <v>179</v>
      </c>
      <c r="C173" s="16">
        <f t="shared" si="93"/>
        <v>22</v>
      </c>
      <c r="D173" s="19">
        <v>21.559278</v>
      </c>
      <c r="E173" s="19">
        <v>-157.871902</v>
      </c>
      <c r="F173" s="18" t="s">
        <v>250</v>
      </c>
      <c r="G173" s="20">
        <v>0.3645833333333333</v>
      </c>
      <c r="H173" s="20">
        <v>0.40625</v>
      </c>
      <c r="I173" s="19">
        <v>5.0</v>
      </c>
      <c r="J173" s="19">
        <v>9.0</v>
      </c>
      <c r="K173" s="18" t="s">
        <v>51</v>
      </c>
      <c r="L173" s="19">
        <v>5.0</v>
      </c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</row>
    <row r="174">
      <c r="A174" s="21">
        <v>42804.0</v>
      </c>
      <c r="B174" s="5" t="s">
        <v>21</v>
      </c>
      <c r="C174" s="16">
        <f t="shared" si="93"/>
        <v>23</v>
      </c>
      <c r="D174" s="7">
        <v>21.25544</v>
      </c>
      <c r="E174" s="7">
        <v>-157.810303</v>
      </c>
      <c r="F174" s="5" t="s">
        <v>250</v>
      </c>
      <c r="G174" s="6">
        <v>0.4166666666666667</v>
      </c>
      <c r="H174" s="6">
        <v>0.4583333333333333</v>
      </c>
      <c r="I174" s="7">
        <v>6.0</v>
      </c>
      <c r="J174" s="7">
        <v>5.0</v>
      </c>
      <c r="K174" s="5" t="s">
        <v>16</v>
      </c>
      <c r="L174" s="7">
        <v>5.0</v>
      </c>
      <c r="M174" s="7">
        <v>24.0</v>
      </c>
      <c r="N174" s="5" t="s">
        <v>251</v>
      </c>
      <c r="O174" s="5" t="s">
        <v>149</v>
      </c>
      <c r="P174" s="7">
        <v>24.0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7">
        <v>5.0</v>
      </c>
      <c r="BZ174" s="7">
        <v>7.0</v>
      </c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7">
        <v>4.0</v>
      </c>
      <c r="CT174" s="5"/>
      <c r="CU174" s="5"/>
      <c r="CV174" s="5"/>
      <c r="CW174" s="5"/>
      <c r="CX174" s="5"/>
      <c r="CY174" s="5"/>
      <c r="CZ174" s="5"/>
      <c r="DA174" s="5"/>
      <c r="DB174" s="5"/>
      <c r="DC174" s="7">
        <v>2.0</v>
      </c>
      <c r="DD174" s="5"/>
      <c r="DE174" s="5"/>
      <c r="DF174" s="5"/>
      <c r="DG174" s="5"/>
      <c r="DH174" s="5"/>
      <c r="DI174" s="5"/>
      <c r="DJ174" s="7">
        <v>5.0</v>
      </c>
      <c r="DK174" s="5"/>
      <c r="DL174" s="7">
        <v>17.0</v>
      </c>
      <c r="DM174" s="7">
        <v>1.0</v>
      </c>
      <c r="DN174" s="5"/>
      <c r="DO174" s="5"/>
      <c r="DP174" s="5"/>
      <c r="DQ174" s="5"/>
      <c r="DR174" s="5"/>
      <c r="DS174" s="7">
        <v>2.0</v>
      </c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7">
        <v>273.0</v>
      </c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7">
        <v>3.0</v>
      </c>
      <c r="FC174" s="5"/>
      <c r="FD174" s="5"/>
      <c r="FE174" s="5"/>
      <c r="FF174" s="5"/>
      <c r="FG174" s="5"/>
      <c r="FH174" s="5"/>
      <c r="FI174" s="7">
        <v>3.0</v>
      </c>
      <c r="FJ174" s="5"/>
      <c r="FK174" s="5"/>
      <c r="FL174" s="5"/>
      <c r="FM174" s="5"/>
      <c r="FN174" s="5"/>
      <c r="FO174" s="5"/>
      <c r="FP174" s="5"/>
      <c r="FQ174" s="5"/>
      <c r="FR174" s="7">
        <v>63.0</v>
      </c>
      <c r="FS174" s="7">
        <v>119.0</v>
      </c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7">
        <f t="shared" ref="GH174:GH178" si="106">count(R174:GG174)</f>
        <v>13</v>
      </c>
      <c r="GI174" s="7">
        <f t="shared" ref="GI174:GI178" si="107">countif(R174:GG174,"&gt;=2")</f>
        <v>12</v>
      </c>
      <c r="GJ174" s="7">
        <f t="shared" ref="GJ174:GJ178" si="108">countif(R174:GG174,"&gt;=5")</f>
        <v>7</v>
      </c>
      <c r="GK174" s="7">
        <f t="shared" ref="GK174:GK178" si="109">sum(R174:GG174)</f>
        <v>504</v>
      </c>
      <c r="GL174" s="7">
        <f t="shared" ref="GL174:GL178" si="110">25*P174</f>
        <v>600</v>
      </c>
      <c r="GM174" s="7">
        <f t="shared" ref="GM174:GM178" si="111">GL174-GK174</f>
        <v>96</v>
      </c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</row>
    <row r="175">
      <c r="A175" s="21">
        <v>43238.0</v>
      </c>
      <c r="B175" s="5" t="s">
        <v>21</v>
      </c>
      <c r="C175" s="16">
        <f t="shared" si="93"/>
        <v>24</v>
      </c>
      <c r="D175" s="7">
        <v>21.25544</v>
      </c>
      <c r="E175" s="7">
        <v>-157.810303</v>
      </c>
      <c r="F175" s="5" t="s">
        <v>250</v>
      </c>
      <c r="G175" s="6">
        <v>0.4270833333333333</v>
      </c>
      <c r="H175" s="6">
        <v>0.4673611111111111</v>
      </c>
      <c r="I175" s="7">
        <v>5.0</v>
      </c>
      <c r="J175" s="7">
        <v>10.0</v>
      </c>
      <c r="K175" s="5" t="s">
        <v>16</v>
      </c>
      <c r="L175" s="7">
        <v>5.0</v>
      </c>
      <c r="M175" s="7">
        <v>25.0</v>
      </c>
      <c r="N175" s="5"/>
      <c r="O175" s="5"/>
      <c r="P175" s="7">
        <v>25.0</v>
      </c>
      <c r="Q175" s="5"/>
      <c r="R175" s="7">
        <v>5.0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7">
        <v>18.0</v>
      </c>
      <c r="AJ175" s="5"/>
      <c r="AK175" s="5"/>
      <c r="AL175" s="7">
        <v>1.0</v>
      </c>
      <c r="AM175" s="5"/>
      <c r="AN175" s="5"/>
      <c r="AO175" s="5"/>
      <c r="AP175" s="7">
        <v>1.0</v>
      </c>
      <c r="AQ175" s="5"/>
      <c r="AR175" s="5"/>
      <c r="AS175" s="5"/>
      <c r="AT175" s="5"/>
      <c r="AU175" s="5"/>
      <c r="AV175" s="5"/>
      <c r="AW175" s="5"/>
      <c r="AX175" s="5"/>
      <c r="AY175" s="5"/>
      <c r="AZ175" s="7">
        <v>1.0</v>
      </c>
      <c r="BA175" s="5"/>
      <c r="BB175" s="5"/>
      <c r="BC175" s="7">
        <v>1.0</v>
      </c>
      <c r="BD175" s="5"/>
      <c r="BE175" s="5"/>
      <c r="BF175" s="5"/>
      <c r="BG175" s="5"/>
      <c r="BH175" s="5"/>
      <c r="BI175" s="5"/>
      <c r="BJ175" s="5"/>
      <c r="BK175" s="5"/>
      <c r="BL175" s="7">
        <v>1.0</v>
      </c>
      <c r="BM175" s="7">
        <v>8.0</v>
      </c>
      <c r="BN175" s="5"/>
      <c r="BO175" s="5"/>
      <c r="BP175" s="5"/>
      <c r="BQ175" s="7">
        <v>14.0</v>
      </c>
      <c r="BR175" s="5"/>
      <c r="BS175" s="5"/>
      <c r="BT175" s="5"/>
      <c r="BU175" s="5"/>
      <c r="BV175" s="5"/>
      <c r="BW175" s="7">
        <v>3.0</v>
      </c>
      <c r="BX175" s="7">
        <v>1.0</v>
      </c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7">
        <v>1.0</v>
      </c>
      <c r="CJ175" s="5"/>
      <c r="CK175" s="7">
        <v>1.0</v>
      </c>
      <c r="CL175" s="5"/>
      <c r="CM175" s="5"/>
      <c r="CN175" s="5"/>
      <c r="CO175" s="5"/>
      <c r="CP175" s="5"/>
      <c r="CQ175" s="5"/>
      <c r="CR175" s="5"/>
      <c r="CS175" s="7">
        <v>1.0</v>
      </c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7">
        <v>8.0</v>
      </c>
      <c r="DE175" s="5"/>
      <c r="DF175" s="5"/>
      <c r="DG175" s="7">
        <v>2.0</v>
      </c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7">
        <v>7.0</v>
      </c>
      <c r="DT175" s="5"/>
      <c r="DU175" s="5"/>
      <c r="DV175" s="7">
        <v>5.0</v>
      </c>
      <c r="DW175" s="5"/>
      <c r="DX175" s="5"/>
      <c r="DY175" s="5"/>
      <c r="DZ175" s="7">
        <v>1.0</v>
      </c>
      <c r="EA175" s="5"/>
      <c r="EB175" s="5"/>
      <c r="EC175" s="7">
        <v>1.0</v>
      </c>
      <c r="ED175" s="5"/>
      <c r="EE175" s="5"/>
      <c r="EF175" s="5"/>
      <c r="EG175" s="5"/>
      <c r="EH175" s="5"/>
      <c r="EI175" s="5"/>
      <c r="EJ175" s="7">
        <v>156.0</v>
      </c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7">
        <v>2.0</v>
      </c>
      <c r="EY175" s="5"/>
      <c r="EZ175" s="5"/>
      <c r="FA175" s="5"/>
      <c r="FB175" s="7">
        <v>1.0</v>
      </c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7">
        <v>5.0</v>
      </c>
      <c r="FN175" s="5"/>
      <c r="FO175" s="5"/>
      <c r="FP175" s="5"/>
      <c r="FQ175" s="5"/>
      <c r="FR175" s="5"/>
      <c r="FS175" s="7">
        <v>320.0</v>
      </c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7">
        <f t="shared" si="106"/>
        <v>25</v>
      </c>
      <c r="GI175" s="7">
        <f t="shared" si="107"/>
        <v>13</v>
      </c>
      <c r="GJ175" s="7">
        <f t="shared" si="108"/>
        <v>10</v>
      </c>
      <c r="GK175" s="7">
        <f t="shared" si="109"/>
        <v>565</v>
      </c>
      <c r="GL175" s="7">
        <f t="shared" si="110"/>
        <v>625</v>
      </c>
      <c r="GM175" s="7">
        <f t="shared" si="111"/>
        <v>60</v>
      </c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</row>
    <row r="176">
      <c r="A176" s="21">
        <v>43571.0</v>
      </c>
      <c r="B176" s="5" t="s">
        <v>21</v>
      </c>
      <c r="C176" s="16">
        <f t="shared" si="93"/>
        <v>25</v>
      </c>
      <c r="D176" s="7">
        <v>21.25544</v>
      </c>
      <c r="E176" s="7">
        <v>-157.810303</v>
      </c>
      <c r="F176" s="5" t="s">
        <v>252</v>
      </c>
      <c r="G176" s="6">
        <v>0.3576388888888889</v>
      </c>
      <c r="H176" s="6">
        <v>0.4166666666666667</v>
      </c>
      <c r="I176" s="7">
        <v>6.0</v>
      </c>
      <c r="J176" s="7">
        <v>12.5</v>
      </c>
      <c r="K176" s="5" t="s">
        <v>16</v>
      </c>
      <c r="L176" s="7">
        <v>5.0</v>
      </c>
      <c r="M176" s="7">
        <v>28.0</v>
      </c>
      <c r="N176" s="5" t="s">
        <v>253</v>
      </c>
      <c r="O176" s="5"/>
      <c r="P176" s="7">
        <v>28.0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7">
        <v>5.0</v>
      </c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7">
        <v>28.0</v>
      </c>
      <c r="BN176" s="5"/>
      <c r="BO176" s="5"/>
      <c r="BP176" s="5"/>
      <c r="BQ176" s="5"/>
      <c r="BR176" s="5"/>
      <c r="BS176" s="5"/>
      <c r="BT176" s="5"/>
      <c r="BU176" s="5"/>
      <c r="BV176" s="7">
        <v>3.0</v>
      </c>
      <c r="BW176" s="7">
        <v>9.0</v>
      </c>
      <c r="BX176" s="5"/>
      <c r="BY176" s="7">
        <v>11.0</v>
      </c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7">
        <v>1.0</v>
      </c>
      <c r="DD176" s="5"/>
      <c r="DE176" s="5"/>
      <c r="DF176" s="5"/>
      <c r="DG176" s="5"/>
      <c r="DH176" s="5"/>
      <c r="DI176" s="5"/>
      <c r="DJ176" s="5"/>
      <c r="DK176" s="5"/>
      <c r="DL176" s="7">
        <v>55.0</v>
      </c>
      <c r="DM176" s="7">
        <v>2.0</v>
      </c>
      <c r="DN176" s="5"/>
      <c r="DO176" s="5"/>
      <c r="DP176" s="5"/>
      <c r="DQ176" s="5"/>
      <c r="DR176" s="5"/>
      <c r="DS176" s="7">
        <v>27.0</v>
      </c>
      <c r="DT176" s="5"/>
      <c r="DU176" s="5"/>
      <c r="DV176" s="7">
        <v>22.0</v>
      </c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7">
        <v>95.0</v>
      </c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7">
        <v>18.0</v>
      </c>
      <c r="FA176" s="7">
        <v>1.0</v>
      </c>
      <c r="FB176" s="7">
        <v>3.0</v>
      </c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7">
        <v>98.0</v>
      </c>
      <c r="FS176" s="7">
        <v>85.0</v>
      </c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7">
        <f t="shared" si="106"/>
        <v>16</v>
      </c>
      <c r="GI176" s="7">
        <f t="shared" si="107"/>
        <v>14</v>
      </c>
      <c r="GJ176" s="7">
        <f t="shared" si="108"/>
        <v>11</v>
      </c>
      <c r="GK176" s="7">
        <f t="shared" si="109"/>
        <v>463</v>
      </c>
      <c r="GL176" s="7">
        <f t="shared" si="110"/>
        <v>700</v>
      </c>
      <c r="GM176" s="7">
        <f t="shared" si="111"/>
        <v>237</v>
      </c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</row>
    <row r="177">
      <c r="A177" s="21">
        <v>43572.0</v>
      </c>
      <c r="B177" s="5" t="s">
        <v>21</v>
      </c>
      <c r="C177" s="16">
        <f t="shared" si="93"/>
        <v>26</v>
      </c>
      <c r="D177" s="7">
        <v>21.25544</v>
      </c>
      <c r="E177" s="7">
        <v>-157.810303</v>
      </c>
      <c r="F177" s="5" t="s">
        <v>252</v>
      </c>
      <c r="G177" s="6">
        <v>0.3611111111111111</v>
      </c>
      <c r="H177" s="6">
        <v>0.4166666666666667</v>
      </c>
      <c r="I177" s="7">
        <v>5.0</v>
      </c>
      <c r="J177" s="7">
        <v>11.0</v>
      </c>
      <c r="K177" s="5" t="s">
        <v>16</v>
      </c>
      <c r="L177" s="7">
        <v>10.0</v>
      </c>
      <c r="M177" s="7">
        <v>46.0</v>
      </c>
      <c r="N177" s="5" t="s">
        <v>254</v>
      </c>
      <c r="O177" s="5"/>
      <c r="P177" s="7">
        <v>46.0</v>
      </c>
      <c r="Q177" s="5"/>
      <c r="R177" s="5"/>
      <c r="S177" s="5"/>
      <c r="T177" s="7">
        <v>1.0</v>
      </c>
      <c r="U177" s="5"/>
      <c r="V177" s="5"/>
      <c r="W177" s="5"/>
      <c r="X177" s="5"/>
      <c r="Y177" s="5"/>
      <c r="Z177" s="5"/>
      <c r="AA177" s="5"/>
      <c r="AB177" s="7">
        <v>5.0</v>
      </c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7">
        <v>1.0</v>
      </c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7">
        <v>1.0</v>
      </c>
      <c r="BD177" s="5"/>
      <c r="BE177" s="5"/>
      <c r="BF177" s="5"/>
      <c r="BG177" s="5"/>
      <c r="BH177" s="5"/>
      <c r="BI177" s="5"/>
      <c r="BJ177" s="5"/>
      <c r="BK177" s="5"/>
      <c r="BL177" s="5"/>
      <c r="BM177" s="7">
        <v>92.0</v>
      </c>
      <c r="BN177" s="5"/>
      <c r="BO177" s="5"/>
      <c r="BP177" s="5"/>
      <c r="BQ177" s="5"/>
      <c r="BR177" s="5"/>
      <c r="BS177" s="5"/>
      <c r="BT177" s="5"/>
      <c r="BU177" s="7">
        <v>14.0</v>
      </c>
      <c r="BV177" s="7">
        <v>4.0</v>
      </c>
      <c r="BW177" s="7">
        <v>9.0</v>
      </c>
      <c r="BX177" s="7">
        <v>6.0</v>
      </c>
      <c r="BY177" s="5"/>
      <c r="BZ177" s="7">
        <v>44.0</v>
      </c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7">
        <v>1.0</v>
      </c>
      <c r="DD177" s="5"/>
      <c r="DE177" s="7">
        <v>8.0</v>
      </c>
      <c r="DF177" s="5"/>
      <c r="DG177" s="5"/>
      <c r="DH177" s="5"/>
      <c r="DI177" s="5"/>
      <c r="DJ177" s="7">
        <v>5.0</v>
      </c>
      <c r="DK177" s="5"/>
      <c r="DL177" s="7">
        <v>4.0</v>
      </c>
      <c r="DM177" s="5"/>
      <c r="DN177" s="5"/>
      <c r="DO177" s="5"/>
      <c r="DP177" s="5"/>
      <c r="DQ177" s="5"/>
      <c r="DR177" s="5"/>
      <c r="DS177" s="7">
        <v>68.0</v>
      </c>
      <c r="DT177" s="5"/>
      <c r="DU177" s="5"/>
      <c r="DV177" s="7">
        <v>3.0</v>
      </c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7">
        <v>471.0</v>
      </c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7">
        <v>16.0</v>
      </c>
      <c r="FA177" s="7">
        <v>5.0</v>
      </c>
      <c r="FB177" s="5"/>
      <c r="FC177" s="5"/>
      <c r="FD177" s="5"/>
      <c r="FE177" s="5"/>
      <c r="FF177" s="7">
        <v>7.0</v>
      </c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7">
        <v>59.0</v>
      </c>
      <c r="FS177" s="7">
        <v>119.0</v>
      </c>
      <c r="FT177" s="5"/>
      <c r="FU177" s="5"/>
      <c r="FV177" s="5"/>
      <c r="FW177" s="7">
        <v>20.0</v>
      </c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7">
        <f t="shared" si="106"/>
        <v>23</v>
      </c>
      <c r="GI177" s="7">
        <f t="shared" si="107"/>
        <v>19</v>
      </c>
      <c r="GJ177" s="7">
        <f t="shared" si="108"/>
        <v>16</v>
      </c>
      <c r="GK177" s="7">
        <f t="shared" si="109"/>
        <v>963</v>
      </c>
      <c r="GL177" s="7">
        <f t="shared" si="110"/>
        <v>1150</v>
      </c>
      <c r="GM177" s="7">
        <f t="shared" si="111"/>
        <v>187</v>
      </c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</row>
    <row r="178">
      <c r="A178" s="21">
        <v>43573.0</v>
      </c>
      <c r="B178" s="5" t="s">
        <v>21</v>
      </c>
      <c r="C178" s="16">
        <f t="shared" si="93"/>
        <v>27</v>
      </c>
      <c r="D178" s="7">
        <v>21.25544</v>
      </c>
      <c r="E178" s="7">
        <v>-157.810303</v>
      </c>
      <c r="F178" s="5" t="s">
        <v>252</v>
      </c>
      <c r="G178" s="6">
        <v>0.375</v>
      </c>
      <c r="H178" s="6">
        <v>0.4305555555555556</v>
      </c>
      <c r="I178" s="7">
        <v>5.0</v>
      </c>
      <c r="J178" s="7">
        <v>10.5</v>
      </c>
      <c r="K178" s="5" t="s">
        <v>16</v>
      </c>
      <c r="L178" s="7">
        <v>10.0</v>
      </c>
      <c r="M178" s="7">
        <v>46.0</v>
      </c>
      <c r="N178" s="5" t="s">
        <v>255</v>
      </c>
      <c r="O178" s="5"/>
      <c r="P178" s="7">
        <v>46.0</v>
      </c>
      <c r="Q178" s="5"/>
      <c r="R178" s="7">
        <v>1.0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7">
        <v>1.0</v>
      </c>
      <c r="AN178" s="5"/>
      <c r="AO178" s="5"/>
      <c r="AP178" s="5"/>
      <c r="AQ178" s="5"/>
      <c r="AR178" s="5"/>
      <c r="AS178" s="5"/>
      <c r="AT178" s="7">
        <v>1.0</v>
      </c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7">
        <v>63.0</v>
      </c>
      <c r="BN178" s="5"/>
      <c r="BO178" s="5"/>
      <c r="BP178" s="5"/>
      <c r="BQ178" s="5"/>
      <c r="BR178" s="5"/>
      <c r="BS178" s="5"/>
      <c r="BT178" s="5"/>
      <c r="BU178" s="7">
        <v>2.0</v>
      </c>
      <c r="BV178" s="7">
        <v>19.0</v>
      </c>
      <c r="BW178" s="7">
        <v>4.0</v>
      </c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7">
        <v>2.0</v>
      </c>
      <c r="DD178" s="5"/>
      <c r="DE178" s="5"/>
      <c r="DF178" s="5"/>
      <c r="DG178" s="7">
        <v>2.0</v>
      </c>
      <c r="DH178" s="5"/>
      <c r="DI178" s="5"/>
      <c r="DJ178" s="7">
        <v>1.0</v>
      </c>
      <c r="DK178" s="5"/>
      <c r="DL178" s="7">
        <v>8.0</v>
      </c>
      <c r="DM178" s="7">
        <v>24.0</v>
      </c>
      <c r="DN178" s="5"/>
      <c r="DO178" s="5"/>
      <c r="DP178" s="5"/>
      <c r="DQ178" s="5"/>
      <c r="DR178" s="5"/>
      <c r="DS178" s="7">
        <v>91.0</v>
      </c>
      <c r="DT178" s="5"/>
      <c r="DU178" s="5"/>
      <c r="DV178" s="7">
        <v>12.0</v>
      </c>
      <c r="DW178" s="5"/>
      <c r="DX178" s="5"/>
      <c r="DY178" s="5"/>
      <c r="DZ178" s="5"/>
      <c r="EA178" s="5"/>
      <c r="EB178" s="5"/>
      <c r="EC178" s="7">
        <v>1.0</v>
      </c>
      <c r="ED178" s="5"/>
      <c r="EE178" s="5"/>
      <c r="EF178" s="5"/>
      <c r="EG178" s="5"/>
      <c r="EH178" s="5"/>
      <c r="EI178" s="5"/>
      <c r="EJ178" s="7">
        <v>318.0</v>
      </c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7">
        <v>18.0</v>
      </c>
      <c r="FA178" s="7">
        <v>15.0</v>
      </c>
      <c r="FB178" s="7">
        <v>51.0</v>
      </c>
      <c r="FC178" s="5"/>
      <c r="FD178" s="5"/>
      <c r="FE178" s="5"/>
      <c r="FF178" s="5"/>
      <c r="FG178" s="5"/>
      <c r="FH178" s="5"/>
      <c r="FI178" s="7">
        <v>1.0</v>
      </c>
      <c r="FJ178" s="5"/>
      <c r="FK178" s="5"/>
      <c r="FL178" s="5"/>
      <c r="FM178" s="5"/>
      <c r="FN178" s="5"/>
      <c r="FO178" s="5"/>
      <c r="FP178" s="5"/>
      <c r="FQ178" s="7">
        <v>20.0</v>
      </c>
      <c r="FR178" s="7">
        <v>132.0</v>
      </c>
      <c r="FS178" s="7">
        <v>46.0</v>
      </c>
      <c r="FT178" s="5"/>
      <c r="FU178" s="5"/>
      <c r="FV178" s="5"/>
      <c r="FW178" s="7">
        <v>1.0</v>
      </c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7">
        <f t="shared" si="106"/>
        <v>24</v>
      </c>
      <c r="GI178" s="7">
        <f t="shared" si="107"/>
        <v>17</v>
      </c>
      <c r="GJ178" s="7">
        <f t="shared" si="108"/>
        <v>13</v>
      </c>
      <c r="GK178" s="7">
        <f t="shared" si="109"/>
        <v>834</v>
      </c>
      <c r="GL178" s="7">
        <f t="shared" si="110"/>
        <v>1150</v>
      </c>
      <c r="GM178" s="7">
        <f t="shared" si="111"/>
        <v>316</v>
      </c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</row>
    <row r="179">
      <c r="A179" s="15">
        <v>42508.0</v>
      </c>
      <c r="B179" s="12" t="s">
        <v>256</v>
      </c>
      <c r="C179" s="16">
        <f t="shared" si="93"/>
        <v>28</v>
      </c>
      <c r="D179" s="13">
        <v>20.705</v>
      </c>
      <c r="E179" s="13">
        <v>-156.446945</v>
      </c>
      <c r="F179" s="12" t="s">
        <v>257</v>
      </c>
      <c r="G179" s="14">
        <v>0.37222222222222223</v>
      </c>
      <c r="H179" s="14">
        <v>0.4166666666666667</v>
      </c>
      <c r="I179" s="13">
        <v>9.0</v>
      </c>
      <c r="J179" s="13">
        <v>13.0</v>
      </c>
      <c r="K179" s="12" t="s">
        <v>2</v>
      </c>
      <c r="L179" s="13">
        <v>9.0</v>
      </c>
      <c r="M179" s="13">
        <v>8.0</v>
      </c>
      <c r="N179" s="12" t="s">
        <v>258</v>
      </c>
      <c r="O179" s="12"/>
      <c r="P179" s="12"/>
      <c r="Q179" s="12"/>
      <c r="R179" s="13">
        <v>1.0</v>
      </c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3">
        <v>13.0</v>
      </c>
      <c r="BC179" s="12"/>
      <c r="BD179" s="12"/>
      <c r="BE179" s="12"/>
      <c r="BF179" s="12"/>
      <c r="BG179" s="12"/>
      <c r="BH179" s="12"/>
      <c r="BI179" s="12"/>
      <c r="BJ179" s="12"/>
      <c r="BK179" s="13">
        <v>2.0</v>
      </c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3">
        <v>5.0</v>
      </c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3">
        <v>1.0</v>
      </c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3">
        <v>21.0</v>
      </c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</row>
    <row r="180">
      <c r="A180" s="15">
        <v>42866.0</v>
      </c>
      <c r="B180" s="12" t="s">
        <v>256</v>
      </c>
      <c r="C180" s="16">
        <f t="shared" si="93"/>
        <v>29</v>
      </c>
      <c r="D180" s="13">
        <v>20.705</v>
      </c>
      <c r="E180" s="13">
        <v>-156.446945</v>
      </c>
      <c r="F180" s="12" t="s">
        <v>257</v>
      </c>
      <c r="G180" s="14">
        <v>0.3645833333333333</v>
      </c>
      <c r="H180" s="14">
        <v>0.4479166666666667</v>
      </c>
      <c r="I180" s="13">
        <v>11.0</v>
      </c>
      <c r="J180" s="13">
        <v>20.0</v>
      </c>
      <c r="K180" s="12" t="s">
        <v>6</v>
      </c>
      <c r="L180" s="13">
        <v>7.0</v>
      </c>
      <c r="M180" s="13">
        <v>7.0</v>
      </c>
      <c r="N180" s="39" t="s">
        <v>259</v>
      </c>
      <c r="O180" s="12"/>
      <c r="P180" s="12"/>
      <c r="Q180" s="12"/>
      <c r="R180" s="13">
        <v>7.0</v>
      </c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3">
        <v>2.0</v>
      </c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3">
        <v>24.0</v>
      </c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3">
        <v>4.0</v>
      </c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3">
        <v>3.0</v>
      </c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3">
        <v>10.0</v>
      </c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</row>
    <row r="181">
      <c r="A181" s="15">
        <v>43217.0</v>
      </c>
      <c r="B181" s="12" t="s">
        <v>256</v>
      </c>
      <c r="C181" s="16">
        <f t="shared" si="93"/>
        <v>30</v>
      </c>
      <c r="D181" s="13">
        <v>20.705</v>
      </c>
      <c r="E181" s="13">
        <v>-156.446945</v>
      </c>
      <c r="F181" s="12" t="s">
        <v>257</v>
      </c>
      <c r="G181" s="14">
        <v>0.4284722222222222</v>
      </c>
      <c r="H181" s="14">
        <v>0.4736111111111111</v>
      </c>
      <c r="I181" s="13">
        <v>7.0</v>
      </c>
      <c r="J181" s="13">
        <v>16.0</v>
      </c>
      <c r="K181" s="12" t="s">
        <v>8</v>
      </c>
      <c r="L181" s="13">
        <v>7.0</v>
      </c>
      <c r="M181" s="13">
        <v>17.0</v>
      </c>
      <c r="N181" s="12" t="s">
        <v>260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3">
        <v>2.0</v>
      </c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3">
        <v>2.0</v>
      </c>
      <c r="CF181" s="12"/>
      <c r="CG181" s="12"/>
      <c r="CH181" s="12"/>
      <c r="CI181" s="12"/>
      <c r="CJ181" s="13">
        <v>9.0</v>
      </c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3">
        <v>1.0</v>
      </c>
      <c r="EW181" s="13">
        <v>5.0</v>
      </c>
      <c r="EX181" s="13">
        <v>17.0</v>
      </c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3">
        <v>226.0</v>
      </c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</row>
    <row r="182">
      <c r="A182" s="15">
        <v>43602.0</v>
      </c>
      <c r="B182" s="12" t="s">
        <v>256</v>
      </c>
      <c r="C182" s="16">
        <f t="shared" si="93"/>
        <v>31</v>
      </c>
      <c r="D182" s="13">
        <v>20.705</v>
      </c>
      <c r="E182" s="13">
        <v>-156.446945</v>
      </c>
      <c r="F182" s="12" t="s">
        <v>257</v>
      </c>
      <c r="G182" s="14">
        <v>0.3888888888888889</v>
      </c>
      <c r="H182" s="14">
        <v>0.4583333333333333</v>
      </c>
      <c r="I182" s="13">
        <v>8.0</v>
      </c>
      <c r="J182" s="13">
        <v>16.0</v>
      </c>
      <c r="K182" s="12" t="s">
        <v>8</v>
      </c>
      <c r="L182" s="13">
        <v>8.0</v>
      </c>
      <c r="M182" s="13">
        <v>35.0</v>
      </c>
      <c r="N182" s="12" t="s">
        <v>261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3">
        <v>24.0</v>
      </c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3">
        <v>3.0</v>
      </c>
      <c r="AY182" s="12"/>
      <c r="AZ182" s="12"/>
      <c r="BA182" s="12"/>
      <c r="BB182" s="12"/>
      <c r="BC182" s="13">
        <v>33.0</v>
      </c>
      <c r="BD182" s="12"/>
      <c r="BE182" s="12"/>
      <c r="BF182" s="13">
        <v>6.0</v>
      </c>
      <c r="BG182" s="12"/>
      <c r="BH182" s="12"/>
      <c r="BI182" s="12"/>
      <c r="BJ182" s="12"/>
      <c r="BK182" s="12"/>
      <c r="BL182" s="12"/>
      <c r="BM182" s="13">
        <v>21.0</v>
      </c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3">
        <v>11.0</v>
      </c>
      <c r="DI182" s="12"/>
      <c r="DJ182" s="12"/>
      <c r="DK182" s="12"/>
      <c r="DL182" s="12"/>
      <c r="DM182" s="12"/>
      <c r="DN182" s="12"/>
      <c r="DO182" s="12"/>
      <c r="DP182" s="13">
        <v>1.0</v>
      </c>
      <c r="DQ182" s="12"/>
      <c r="DR182" s="12"/>
      <c r="DS182" s="13">
        <v>6.0</v>
      </c>
      <c r="DT182" s="12"/>
      <c r="DU182" s="12"/>
      <c r="DV182" s="12"/>
      <c r="DW182" s="12"/>
      <c r="DX182" s="12"/>
      <c r="DY182" s="12"/>
      <c r="DZ182" s="13">
        <v>2.0</v>
      </c>
      <c r="EA182" s="12"/>
      <c r="EB182" s="12"/>
      <c r="EC182" s="12"/>
      <c r="ED182" s="12"/>
      <c r="EE182" s="12"/>
      <c r="EF182" s="12"/>
      <c r="EG182" s="12"/>
      <c r="EH182" s="12"/>
      <c r="EI182" s="12"/>
      <c r="EJ182" s="13">
        <v>8.0</v>
      </c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3">
        <v>9.0</v>
      </c>
      <c r="FD182" s="12"/>
      <c r="FE182" s="12"/>
      <c r="FF182" s="13">
        <v>3.0</v>
      </c>
      <c r="FG182" s="12"/>
      <c r="FH182" s="12"/>
      <c r="FI182" s="13">
        <v>1.0</v>
      </c>
      <c r="FJ182" s="12"/>
      <c r="FK182" s="12"/>
      <c r="FL182" s="12"/>
      <c r="FM182" s="12"/>
      <c r="FN182" s="12"/>
      <c r="FO182" s="12"/>
      <c r="FP182" s="12"/>
      <c r="FQ182" s="12"/>
      <c r="FR182" s="12"/>
      <c r="FS182" s="13">
        <v>58.0</v>
      </c>
      <c r="FT182" s="12"/>
      <c r="FU182" s="12"/>
      <c r="FV182" s="12"/>
      <c r="FW182" s="13">
        <v>9.0</v>
      </c>
      <c r="FX182" s="12"/>
      <c r="FY182" s="12"/>
      <c r="FZ182" s="12"/>
      <c r="GA182" s="13">
        <v>12.0</v>
      </c>
      <c r="GB182" s="12"/>
      <c r="GC182" s="12"/>
      <c r="GD182" s="13">
        <v>61.0</v>
      </c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</row>
    <row r="183">
      <c r="A183" s="21">
        <v>42837.0</v>
      </c>
      <c r="B183" s="5" t="s">
        <v>262</v>
      </c>
      <c r="C183" s="16">
        <f t="shared" si="93"/>
        <v>32</v>
      </c>
      <c r="D183" s="7">
        <v>21.2843</v>
      </c>
      <c r="E183" s="7">
        <v>-157.675293</v>
      </c>
      <c r="F183" s="5" t="s">
        <v>263</v>
      </c>
      <c r="G183" s="6">
        <v>0.39791666666666664</v>
      </c>
      <c r="H183" s="6">
        <v>0.4409722222222222</v>
      </c>
      <c r="I183" s="7">
        <v>7.0</v>
      </c>
      <c r="J183" s="7">
        <v>25.0</v>
      </c>
      <c r="K183" s="5" t="s">
        <v>8</v>
      </c>
      <c r="L183" s="7">
        <v>4.0</v>
      </c>
      <c r="M183" s="7">
        <v>23.0</v>
      </c>
      <c r="N183" s="5" t="s">
        <v>264</v>
      </c>
      <c r="O183" s="5"/>
      <c r="P183" s="7">
        <v>23.0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7">
        <v>5.0</v>
      </c>
      <c r="AC183" s="7">
        <v>1.0</v>
      </c>
      <c r="AD183" s="7">
        <v>6.0</v>
      </c>
      <c r="AE183" s="5"/>
      <c r="AF183" s="5"/>
      <c r="AG183" s="7">
        <v>11.0</v>
      </c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7">
        <v>2.0</v>
      </c>
      <c r="BL183" s="5"/>
      <c r="BM183" s="7">
        <v>22.0</v>
      </c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7">
        <v>2.0</v>
      </c>
      <c r="CA183" s="5"/>
      <c r="CB183" s="5"/>
      <c r="CC183" s="5"/>
      <c r="CD183" s="5"/>
      <c r="CE183" s="5"/>
      <c r="CF183" s="5"/>
      <c r="CG183" s="5"/>
      <c r="CH183" s="7">
        <v>24.0</v>
      </c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7">
        <v>18.0</v>
      </c>
      <c r="EK183" s="7">
        <v>1.0</v>
      </c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7">
        <v>4.0</v>
      </c>
      <c r="FC183" s="5"/>
      <c r="FD183" s="5"/>
      <c r="FE183" s="5"/>
      <c r="FF183" s="7">
        <v>16.0</v>
      </c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7">
        <v>3.0</v>
      </c>
      <c r="FS183" s="7">
        <v>157.0</v>
      </c>
      <c r="FT183" s="5"/>
      <c r="FU183" s="7">
        <v>3.0</v>
      </c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7">
        <f>count(R183:GG183)</f>
        <v>15</v>
      </c>
      <c r="GI183" s="7">
        <f>countif(R183:GG183,"&gt;=2")</f>
        <v>13</v>
      </c>
      <c r="GJ183" s="7">
        <f>countif(R183:GG183,"&gt;=5")</f>
        <v>8</v>
      </c>
      <c r="GK183" s="7">
        <f>sum(R183:GG183)</f>
        <v>275</v>
      </c>
      <c r="GL183" s="7">
        <f>25*P183</f>
        <v>575</v>
      </c>
      <c r="GM183" s="7">
        <f>GL183-GK183</f>
        <v>300</v>
      </c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</row>
    <row r="184">
      <c r="A184" s="15">
        <v>43593.0</v>
      </c>
      <c r="B184" s="12" t="s">
        <v>262</v>
      </c>
      <c r="C184" s="16">
        <f t="shared" si="93"/>
        <v>33</v>
      </c>
      <c r="D184" s="13">
        <v>21.2843</v>
      </c>
      <c r="E184" s="13">
        <v>-157.675293</v>
      </c>
      <c r="F184" s="12" t="s">
        <v>263</v>
      </c>
      <c r="G184" s="14">
        <v>0.38472222222222224</v>
      </c>
      <c r="H184" s="14">
        <v>0.42986111111111114</v>
      </c>
      <c r="I184" s="13">
        <v>7.0</v>
      </c>
      <c r="J184" s="13">
        <v>28.0</v>
      </c>
      <c r="K184" s="12" t="s">
        <v>2</v>
      </c>
      <c r="L184" s="13">
        <v>4.0</v>
      </c>
      <c r="M184" s="13">
        <v>5.0</v>
      </c>
      <c r="N184" s="12" t="s">
        <v>265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3">
        <v>2.0</v>
      </c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3">
        <v>2.0</v>
      </c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3">
        <v>1.0</v>
      </c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3">
        <v>2.0</v>
      </c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3">
        <v>3.0</v>
      </c>
      <c r="FS184" s="13">
        <v>3.0</v>
      </c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</row>
    <row r="185">
      <c r="A185" s="21">
        <v>43212.0</v>
      </c>
      <c r="B185" s="5" t="s">
        <v>14</v>
      </c>
      <c r="C185" s="16">
        <f t="shared" si="93"/>
        <v>34</v>
      </c>
      <c r="D185" s="7">
        <v>19.738602</v>
      </c>
      <c r="E185" s="7">
        <v>-155.038879</v>
      </c>
      <c r="F185" s="5" t="s">
        <v>266</v>
      </c>
      <c r="G185" s="6">
        <v>0.5541666666666667</v>
      </c>
      <c r="H185" s="6">
        <v>0.6458333333333334</v>
      </c>
      <c r="I185" s="7">
        <v>3.0</v>
      </c>
      <c r="J185" s="7">
        <v>18.0</v>
      </c>
      <c r="K185" s="5" t="s">
        <v>242</v>
      </c>
      <c r="L185" s="7">
        <v>10.0</v>
      </c>
      <c r="M185" s="7">
        <v>23.0</v>
      </c>
      <c r="N185" s="5" t="s">
        <v>267</v>
      </c>
      <c r="O185" s="5"/>
      <c r="P185" s="7">
        <v>23.0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7">
        <v>10.0</v>
      </c>
      <c r="BL185" s="5"/>
      <c r="BM185" s="7">
        <v>1.0</v>
      </c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7">
        <v>11.0</v>
      </c>
      <c r="CD185" s="7">
        <v>13.0</v>
      </c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7">
        <v>2.0</v>
      </c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7">
        <v>24.0</v>
      </c>
      <c r="FN185" s="5"/>
      <c r="FO185" s="5"/>
      <c r="FP185" s="7">
        <v>1.0</v>
      </c>
      <c r="FQ185" s="5"/>
      <c r="FR185" s="5"/>
      <c r="FS185" s="7">
        <v>363.0</v>
      </c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7">
        <f t="shared" ref="GH185:GH186" si="112">count(R185:GG185)</f>
        <v>8</v>
      </c>
      <c r="GI185" s="7">
        <f t="shared" ref="GI185:GI186" si="113">countif(R185:GG185,"&gt;=2")</f>
        <v>6</v>
      </c>
      <c r="GJ185" s="7">
        <f t="shared" ref="GJ185:GJ186" si="114">countif(R185:GG185,"&gt;=5")</f>
        <v>5</v>
      </c>
      <c r="GK185" s="7">
        <f t="shared" ref="GK185:GK186" si="115">sum(R185:GG185)</f>
        <v>425</v>
      </c>
      <c r="GL185" s="7">
        <f t="shared" ref="GL185:GL186" si="116">25*P185</f>
        <v>575</v>
      </c>
      <c r="GM185" s="7">
        <f t="shared" ref="GM185:GM186" si="117">GL185-GK185</f>
        <v>150</v>
      </c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</row>
    <row r="186">
      <c r="A186" s="21">
        <v>43485.0</v>
      </c>
      <c r="B186" s="5" t="s">
        <v>21</v>
      </c>
      <c r="C186" s="16">
        <f t="shared" si="93"/>
        <v>35</v>
      </c>
      <c r="D186" s="7">
        <v>21.25544</v>
      </c>
      <c r="E186" s="7">
        <v>-157.8103</v>
      </c>
      <c r="F186" s="5" t="s">
        <v>266</v>
      </c>
      <c r="G186" s="6">
        <v>0.40625</v>
      </c>
      <c r="H186" s="6">
        <v>0.4479166666666667</v>
      </c>
      <c r="I186" s="7">
        <v>6.0</v>
      </c>
      <c r="J186" s="7">
        <v>10.0</v>
      </c>
      <c r="K186" s="5" t="s">
        <v>16</v>
      </c>
      <c r="L186" s="7">
        <v>10.0</v>
      </c>
      <c r="M186" s="7">
        <v>52.0</v>
      </c>
      <c r="N186" s="5" t="s">
        <v>268</v>
      </c>
      <c r="O186" s="5"/>
      <c r="P186" s="7">
        <v>52.0</v>
      </c>
      <c r="Q186" s="5"/>
      <c r="R186" s="7">
        <v>3.0</v>
      </c>
      <c r="S186" s="5"/>
      <c r="T186" s="7">
        <v>3.0</v>
      </c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7">
        <v>1.0</v>
      </c>
      <c r="AG186" s="5"/>
      <c r="AH186" s="5"/>
      <c r="AI186" s="7">
        <v>6.0</v>
      </c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7">
        <v>17.0</v>
      </c>
      <c r="BN186" s="5"/>
      <c r="BO186" s="5"/>
      <c r="BP186" s="5"/>
      <c r="BQ186" s="7">
        <v>15.0</v>
      </c>
      <c r="BR186" s="5"/>
      <c r="BS186" s="5"/>
      <c r="BT186" s="5"/>
      <c r="BU186" s="5"/>
      <c r="BV186" s="7">
        <v>1.0</v>
      </c>
      <c r="BW186" s="5"/>
      <c r="BX186" s="5"/>
      <c r="BY186" s="5"/>
      <c r="BZ186" s="7">
        <v>3.0</v>
      </c>
      <c r="CA186" s="5"/>
      <c r="CB186" s="7">
        <v>4.0</v>
      </c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7">
        <v>4.0</v>
      </c>
      <c r="CT186" s="5"/>
      <c r="CU186" s="5"/>
      <c r="CV186" s="5"/>
      <c r="CW186" s="5"/>
      <c r="CX186" s="5"/>
      <c r="CY186" s="5"/>
      <c r="CZ186" s="5"/>
      <c r="DA186" s="5"/>
      <c r="DB186" s="5"/>
      <c r="DC186" s="7">
        <v>1.0</v>
      </c>
      <c r="DD186" s="5"/>
      <c r="DE186" s="5"/>
      <c r="DF186" s="5"/>
      <c r="DG186" s="7">
        <v>6.0</v>
      </c>
      <c r="DH186" s="5"/>
      <c r="DI186" s="5"/>
      <c r="DJ186" s="5"/>
      <c r="DK186" s="5"/>
      <c r="DL186" s="5"/>
      <c r="DM186" s="7">
        <v>30.0</v>
      </c>
      <c r="DN186" s="7">
        <v>3.0</v>
      </c>
      <c r="DO186" s="5"/>
      <c r="DP186" s="7">
        <v>2.0</v>
      </c>
      <c r="DQ186" s="5"/>
      <c r="DR186" s="5"/>
      <c r="DS186" s="7">
        <v>53.0</v>
      </c>
      <c r="DT186" s="5"/>
      <c r="DU186" s="5"/>
      <c r="DV186" s="7">
        <v>1.0</v>
      </c>
      <c r="DW186" s="5"/>
      <c r="DX186" s="5"/>
      <c r="DY186" s="5"/>
      <c r="DZ186" s="5"/>
      <c r="EA186" s="7">
        <v>1.0</v>
      </c>
      <c r="EB186" s="5"/>
      <c r="EC186" s="5"/>
      <c r="ED186" s="5"/>
      <c r="EE186" s="5"/>
      <c r="EF186" s="5"/>
      <c r="EG186" s="5"/>
      <c r="EH186" s="5"/>
      <c r="EI186" s="5"/>
      <c r="EJ186" s="7">
        <v>201.0</v>
      </c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7">
        <v>192.0</v>
      </c>
      <c r="FC186" s="7">
        <v>3.0</v>
      </c>
      <c r="FD186" s="5"/>
      <c r="FE186" s="5"/>
      <c r="FF186" s="5"/>
      <c r="FG186" s="5"/>
      <c r="FH186" s="7">
        <v>1.0</v>
      </c>
      <c r="FI186" s="7">
        <v>4.0</v>
      </c>
      <c r="FJ186" s="5"/>
      <c r="FK186" s="5"/>
      <c r="FL186" s="5"/>
      <c r="FM186" s="7">
        <v>3.0</v>
      </c>
      <c r="FN186" s="5"/>
      <c r="FO186" s="5"/>
      <c r="FP186" s="5"/>
      <c r="FQ186" s="5"/>
      <c r="FR186" s="7">
        <v>145.0</v>
      </c>
      <c r="FS186" s="7">
        <v>273.0</v>
      </c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7">
        <v>1.0</v>
      </c>
      <c r="GG186" s="5"/>
      <c r="GH186" s="7">
        <f t="shared" si="112"/>
        <v>27</v>
      </c>
      <c r="GI186" s="7">
        <f t="shared" si="113"/>
        <v>20</v>
      </c>
      <c r="GJ186" s="7">
        <f t="shared" si="114"/>
        <v>10</v>
      </c>
      <c r="GK186" s="7">
        <f t="shared" si="115"/>
        <v>977</v>
      </c>
      <c r="GL186" s="7">
        <f t="shared" si="116"/>
        <v>1300</v>
      </c>
      <c r="GM186" s="7">
        <f t="shared" si="117"/>
        <v>323</v>
      </c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</row>
    <row r="187">
      <c r="A187" s="15">
        <v>43515.0</v>
      </c>
      <c r="B187" s="12" t="s">
        <v>28</v>
      </c>
      <c r="C187" s="16">
        <f t="shared" si="93"/>
        <v>36</v>
      </c>
      <c r="D187" s="13">
        <v>22.060684</v>
      </c>
      <c r="E187" s="13">
        <v>-159.318512</v>
      </c>
      <c r="F187" s="12" t="s">
        <v>266</v>
      </c>
      <c r="G187" s="14">
        <v>0.4201388888888889</v>
      </c>
      <c r="H187" s="14">
        <v>0.5104166666666666</v>
      </c>
      <c r="I187" s="13">
        <v>4.0</v>
      </c>
      <c r="J187" s="13">
        <v>16.0</v>
      </c>
      <c r="K187" s="12" t="s">
        <v>2</v>
      </c>
      <c r="L187" s="13">
        <v>3.0</v>
      </c>
      <c r="M187" s="13">
        <v>10.0</v>
      </c>
      <c r="N187" s="12" t="s">
        <v>269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3">
        <v>5.0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3">
        <v>10.0</v>
      </c>
      <c r="BN187" s="12"/>
      <c r="BO187" s="12"/>
      <c r="BP187" s="12"/>
      <c r="BQ187" s="12"/>
      <c r="BR187" s="12"/>
      <c r="BS187" s="12"/>
      <c r="BT187" s="12"/>
      <c r="BU187" s="12"/>
      <c r="BV187" s="13">
        <v>15.0</v>
      </c>
      <c r="BW187" s="12"/>
      <c r="BX187" s="12"/>
      <c r="BY187" s="12"/>
      <c r="BZ187" s="13">
        <v>13.0</v>
      </c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3">
        <v>2.0</v>
      </c>
      <c r="DH187" s="12"/>
      <c r="DI187" s="12"/>
      <c r="DJ187" s="12"/>
      <c r="DK187" s="12"/>
      <c r="DL187" s="12"/>
      <c r="DM187" s="13">
        <v>18.0</v>
      </c>
      <c r="DN187" s="12"/>
      <c r="DO187" s="12"/>
      <c r="DP187" s="12"/>
      <c r="DQ187" s="12"/>
      <c r="DR187" s="12"/>
      <c r="DS187" s="13">
        <v>11.0</v>
      </c>
      <c r="DT187" s="12"/>
      <c r="DU187" s="12"/>
      <c r="DV187" s="13">
        <v>3.0</v>
      </c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3">
        <v>37.0</v>
      </c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3">
        <v>5.0</v>
      </c>
      <c r="FC187" s="12"/>
      <c r="FD187" s="12"/>
      <c r="FE187" s="12"/>
      <c r="FF187" s="13">
        <v>7.0</v>
      </c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3">
        <v>6.0</v>
      </c>
      <c r="FS187" s="13">
        <v>42.0</v>
      </c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</row>
    <row r="188">
      <c r="A188" s="21">
        <v>43517.0</v>
      </c>
      <c r="B188" s="5" t="s">
        <v>270</v>
      </c>
      <c r="C188" s="16">
        <f t="shared" si="93"/>
        <v>37</v>
      </c>
      <c r="D188" s="7">
        <v>21.311893</v>
      </c>
      <c r="E188" s="7">
        <v>-157.895142</v>
      </c>
      <c r="F188" s="5" t="s">
        <v>266</v>
      </c>
      <c r="G188" s="6">
        <v>0.4583333333333333</v>
      </c>
      <c r="H188" s="6">
        <v>0.49027777777777776</v>
      </c>
      <c r="I188" s="7">
        <v>5.0</v>
      </c>
      <c r="J188" s="7">
        <v>10.0</v>
      </c>
      <c r="K188" s="5" t="s">
        <v>16</v>
      </c>
      <c r="L188" s="7">
        <v>5.0</v>
      </c>
      <c r="M188" s="7">
        <v>25.0</v>
      </c>
      <c r="N188" s="5"/>
      <c r="O188" s="5"/>
      <c r="P188" s="7">
        <v>25.0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7">
        <v>1.0</v>
      </c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7">
        <v>1.0</v>
      </c>
      <c r="BA188" s="5"/>
      <c r="BB188" s="5"/>
      <c r="BC188" s="5"/>
      <c r="BD188" s="5"/>
      <c r="BE188" s="7">
        <v>1.0</v>
      </c>
      <c r="BF188" s="5"/>
      <c r="BG188" s="5"/>
      <c r="BH188" s="5"/>
      <c r="BI188" s="5"/>
      <c r="BJ188" s="5"/>
      <c r="BK188" s="5"/>
      <c r="BL188" s="7">
        <v>1.0</v>
      </c>
      <c r="BM188" s="7">
        <v>15.0</v>
      </c>
      <c r="BN188" s="5"/>
      <c r="BO188" s="5"/>
      <c r="BP188" s="5"/>
      <c r="BQ188" s="5"/>
      <c r="BR188" s="5"/>
      <c r="BS188" s="5"/>
      <c r="BT188" s="5"/>
      <c r="BU188" s="5"/>
      <c r="BV188" s="7">
        <v>13.0</v>
      </c>
      <c r="BW188" s="5"/>
      <c r="BX188" s="5"/>
      <c r="BY188" s="5"/>
      <c r="BZ188" s="7">
        <v>3.0</v>
      </c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7">
        <v>2.0</v>
      </c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7">
        <v>22.0</v>
      </c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7">
        <v>24.0</v>
      </c>
      <c r="FC188" s="5"/>
      <c r="FD188" s="5"/>
      <c r="FE188" s="7">
        <v>3.0</v>
      </c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7">
        <v>223.0</v>
      </c>
      <c r="FT188" s="5"/>
      <c r="FU188" s="5"/>
      <c r="FV188" s="5"/>
      <c r="FW188" s="5"/>
      <c r="FX188" s="5"/>
      <c r="FY188" s="5"/>
      <c r="FZ188" s="7">
        <v>1.0</v>
      </c>
      <c r="GA188" s="5"/>
      <c r="GB188" s="5"/>
      <c r="GC188" s="5"/>
      <c r="GD188" s="5"/>
      <c r="GE188" s="5"/>
      <c r="GF188" s="5"/>
      <c r="GG188" s="7">
        <v>1.0</v>
      </c>
      <c r="GH188" s="7">
        <f t="shared" ref="GH188:GH192" si="118">count(R188:GG188)</f>
        <v>14</v>
      </c>
      <c r="GI188" s="7">
        <f t="shared" ref="GI188:GI192" si="119">countif(R188:GG188,"&gt;=2")</f>
        <v>8</v>
      </c>
      <c r="GJ188" s="7">
        <f t="shared" ref="GJ188:GJ192" si="120">countif(R188:GG188,"&gt;=5")</f>
        <v>5</v>
      </c>
      <c r="GK188" s="7">
        <f t="shared" ref="GK188:GK192" si="121">sum(R188:GG188)</f>
        <v>311</v>
      </c>
      <c r="GL188" s="7">
        <f t="shared" ref="GL188:GL192" si="122">25*P188</f>
        <v>625</v>
      </c>
      <c r="GM188" s="7">
        <f t="shared" ref="GM188:GM192" si="123">GL188-GK188</f>
        <v>314</v>
      </c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</row>
    <row r="189">
      <c r="A189" s="21">
        <v>43520.0</v>
      </c>
      <c r="B189" s="5" t="s">
        <v>14</v>
      </c>
      <c r="C189" s="16">
        <f t="shared" si="93"/>
        <v>38</v>
      </c>
      <c r="D189" s="7">
        <v>19.738602</v>
      </c>
      <c r="E189" s="7">
        <v>-155.038879</v>
      </c>
      <c r="F189" s="5" t="s">
        <v>266</v>
      </c>
      <c r="G189" s="6">
        <v>0.5520833333333334</v>
      </c>
      <c r="H189" s="6">
        <v>0.59375</v>
      </c>
      <c r="I189" s="7">
        <v>3.0</v>
      </c>
      <c r="J189" s="7">
        <v>13.0</v>
      </c>
      <c r="K189" s="5" t="s">
        <v>8</v>
      </c>
      <c r="L189" s="7">
        <v>11.0</v>
      </c>
      <c r="M189" s="7">
        <v>25.0</v>
      </c>
      <c r="N189" s="5" t="s">
        <v>271</v>
      </c>
      <c r="O189" s="5"/>
      <c r="P189" s="7">
        <v>25.0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>
        <v>3.0</v>
      </c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7">
        <v>2.0</v>
      </c>
      <c r="BL189" s="5"/>
      <c r="BM189" s="7">
        <v>25.0</v>
      </c>
      <c r="BN189" s="5"/>
      <c r="BO189" s="5"/>
      <c r="BP189" s="5"/>
      <c r="BQ189" s="7">
        <v>1.0</v>
      </c>
      <c r="BR189" s="7">
        <v>6.0</v>
      </c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7">
        <v>5.0</v>
      </c>
      <c r="CD189" s="5"/>
      <c r="CE189" s="5"/>
      <c r="CF189" s="7">
        <v>1.0</v>
      </c>
      <c r="CG189" s="5"/>
      <c r="CH189" s="5"/>
      <c r="CI189" s="5"/>
      <c r="CJ189" s="5"/>
      <c r="CK189" s="5"/>
      <c r="CL189" s="5"/>
      <c r="CM189" s="5"/>
      <c r="CN189" s="5"/>
      <c r="CO189" s="7">
        <v>12.0</v>
      </c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7">
        <v>19.0</v>
      </c>
      <c r="DY189" s="5"/>
      <c r="DZ189" s="5"/>
      <c r="EA189" s="5"/>
      <c r="EB189" s="5"/>
      <c r="EC189" s="5"/>
      <c r="ED189" s="7">
        <v>1.0</v>
      </c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7">
        <v>4.0</v>
      </c>
      <c r="EQ189" s="5"/>
      <c r="ER189" s="7">
        <v>1.0</v>
      </c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7">
        <v>3.0</v>
      </c>
      <c r="FN189" s="5"/>
      <c r="FO189" s="5"/>
      <c r="FP189" s="5"/>
      <c r="FQ189" s="5"/>
      <c r="FR189" s="5"/>
      <c r="FS189" s="7">
        <v>389.0</v>
      </c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7">
        <f t="shared" si="118"/>
        <v>14</v>
      </c>
      <c r="GI189" s="7">
        <f t="shared" si="119"/>
        <v>10</v>
      </c>
      <c r="GJ189" s="7">
        <f t="shared" si="120"/>
        <v>6</v>
      </c>
      <c r="GK189" s="7">
        <f t="shared" si="121"/>
        <v>472</v>
      </c>
      <c r="GL189" s="7">
        <f t="shared" si="122"/>
        <v>625</v>
      </c>
      <c r="GM189" s="7">
        <f t="shared" si="123"/>
        <v>153</v>
      </c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</row>
    <row r="190">
      <c r="A190" s="21">
        <v>43531.0</v>
      </c>
      <c r="B190" s="5" t="s">
        <v>28</v>
      </c>
      <c r="C190" s="16">
        <f t="shared" si="93"/>
        <v>39</v>
      </c>
      <c r="D190" s="7">
        <v>22.060684</v>
      </c>
      <c r="E190" s="7">
        <v>-159.318512</v>
      </c>
      <c r="F190" s="5" t="s">
        <v>266</v>
      </c>
      <c r="G190" s="6">
        <v>0.4375</v>
      </c>
      <c r="H190" s="6">
        <v>0.5020833333333333</v>
      </c>
      <c r="I190" s="7">
        <v>7.0</v>
      </c>
      <c r="J190" s="7">
        <v>18.0</v>
      </c>
      <c r="K190" s="5" t="s">
        <v>8</v>
      </c>
      <c r="L190" s="7">
        <v>10.0</v>
      </c>
      <c r="M190" s="7">
        <v>56.0</v>
      </c>
      <c r="N190" s="5" t="s">
        <v>272</v>
      </c>
      <c r="O190" s="5"/>
      <c r="P190" s="7">
        <v>56.0</v>
      </c>
      <c r="Q190" s="5"/>
      <c r="R190" s="5"/>
      <c r="S190" s="5"/>
      <c r="T190" s="5"/>
      <c r="U190" s="5"/>
      <c r="V190" s="5"/>
      <c r="W190" s="5"/>
      <c r="X190" s="7">
        <v>6.0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7">
        <v>2.0</v>
      </c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7">
        <v>17.0</v>
      </c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7">
        <v>6.0</v>
      </c>
      <c r="BN190" s="7">
        <v>116.0</v>
      </c>
      <c r="BO190" s="5"/>
      <c r="BP190" s="5"/>
      <c r="BQ190" s="5"/>
      <c r="BR190" s="5"/>
      <c r="BS190" s="5"/>
      <c r="BT190" s="5"/>
      <c r="BU190" s="5"/>
      <c r="BV190" s="7">
        <v>47.0</v>
      </c>
      <c r="BW190" s="5"/>
      <c r="BX190" s="5"/>
      <c r="BY190" s="5"/>
      <c r="BZ190" s="5"/>
      <c r="CA190" s="5"/>
      <c r="CB190" s="5"/>
      <c r="CC190" s="5"/>
      <c r="CD190" s="5"/>
      <c r="CE190" s="7">
        <v>6.0</v>
      </c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7">
        <v>6.0</v>
      </c>
      <c r="DM190" s="7">
        <v>13.0</v>
      </c>
      <c r="DN190" s="5"/>
      <c r="DO190" s="5"/>
      <c r="DP190" s="5"/>
      <c r="DQ190" s="5"/>
      <c r="DR190" s="5"/>
      <c r="DS190" s="7">
        <v>130.0</v>
      </c>
      <c r="DT190" s="5"/>
      <c r="DU190" s="5"/>
      <c r="DV190" s="7">
        <v>12.0</v>
      </c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7">
        <v>55.0</v>
      </c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7">
        <v>25.0</v>
      </c>
      <c r="FC190" s="7">
        <v>1.0</v>
      </c>
      <c r="FD190" s="5"/>
      <c r="FE190" s="5"/>
      <c r="FF190" s="5"/>
      <c r="FG190" s="5"/>
      <c r="FH190" s="5"/>
      <c r="FI190" s="5"/>
      <c r="FJ190" s="5"/>
      <c r="FK190" s="5"/>
      <c r="FL190" s="5"/>
      <c r="FM190" s="7">
        <v>1.0</v>
      </c>
      <c r="FN190" s="5"/>
      <c r="FO190" s="5"/>
      <c r="FP190" s="5"/>
      <c r="FQ190" s="5"/>
      <c r="FR190" s="7">
        <v>12.0</v>
      </c>
      <c r="FS190" s="7">
        <v>443.0</v>
      </c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7">
        <f t="shared" si="118"/>
        <v>17</v>
      </c>
      <c r="GI190" s="7">
        <f t="shared" si="119"/>
        <v>15</v>
      </c>
      <c r="GJ190" s="7">
        <f t="shared" si="120"/>
        <v>14</v>
      </c>
      <c r="GK190" s="7">
        <f t="shared" si="121"/>
        <v>898</v>
      </c>
      <c r="GL190" s="7">
        <f t="shared" si="122"/>
        <v>1400</v>
      </c>
      <c r="GM190" s="7">
        <f t="shared" si="123"/>
        <v>502</v>
      </c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</row>
    <row r="191">
      <c r="A191" s="40">
        <v>43533.0</v>
      </c>
      <c r="B191" s="41" t="s">
        <v>37</v>
      </c>
      <c r="C191" s="16">
        <f t="shared" si="93"/>
        <v>40</v>
      </c>
      <c r="D191" s="7">
        <v>21.310612</v>
      </c>
      <c r="E191" s="7">
        <v>-158.00441</v>
      </c>
      <c r="F191" s="41" t="s">
        <v>266</v>
      </c>
      <c r="G191" s="42">
        <v>0.4527777777777778</v>
      </c>
      <c r="H191" s="42">
        <v>0.48194444444444445</v>
      </c>
      <c r="I191" s="34">
        <v>5.0</v>
      </c>
      <c r="J191" s="34">
        <v>20.0</v>
      </c>
      <c r="K191" s="41" t="s">
        <v>2</v>
      </c>
      <c r="L191" s="34">
        <v>5.0</v>
      </c>
      <c r="M191" s="34">
        <v>24.0</v>
      </c>
      <c r="N191" s="41" t="s">
        <v>49</v>
      </c>
      <c r="O191" s="5"/>
      <c r="P191" s="34">
        <v>24.0</v>
      </c>
      <c r="Q191" s="5"/>
      <c r="R191" s="34">
        <v>3.0</v>
      </c>
      <c r="S191" s="5"/>
      <c r="T191" s="5"/>
      <c r="U191" s="5"/>
      <c r="V191" s="5"/>
      <c r="W191" s="5"/>
      <c r="X191" s="5"/>
      <c r="Y191" s="41"/>
      <c r="Z191" s="41"/>
      <c r="AA191" s="41"/>
      <c r="AB191" s="34">
        <v>5.0</v>
      </c>
      <c r="AC191" s="5"/>
      <c r="AD191" s="5"/>
      <c r="AE191" s="34">
        <v>7.0</v>
      </c>
      <c r="AF191" s="5"/>
      <c r="AG191" s="5"/>
      <c r="AH191" s="41"/>
      <c r="AI191" s="34">
        <v>1.0</v>
      </c>
      <c r="AJ191" s="41"/>
      <c r="AK191" s="41"/>
      <c r="AL191" s="41"/>
      <c r="AM191" s="34">
        <v>6.0</v>
      </c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41"/>
      <c r="BB191" s="34">
        <v>1.0</v>
      </c>
      <c r="BC191" s="5"/>
      <c r="BD191" s="5"/>
      <c r="BE191" s="34">
        <v>53.0</v>
      </c>
      <c r="BF191" s="5"/>
      <c r="BG191" s="5"/>
      <c r="BH191" s="5"/>
      <c r="BI191" s="5"/>
      <c r="BJ191" s="5"/>
      <c r="BK191" s="5"/>
      <c r="BL191" s="5"/>
      <c r="BM191" s="34">
        <v>84.0</v>
      </c>
      <c r="BN191" s="5"/>
      <c r="BO191" s="5"/>
      <c r="BP191" s="5"/>
      <c r="BQ191" s="34">
        <v>2.0</v>
      </c>
      <c r="BR191" s="5"/>
      <c r="BS191" s="41"/>
      <c r="BT191" s="41"/>
      <c r="BU191" s="41"/>
      <c r="BV191" s="34">
        <v>17.0</v>
      </c>
      <c r="BW191" s="5"/>
      <c r="BX191" s="5"/>
      <c r="BY191" s="41"/>
      <c r="BZ191" s="34">
        <v>2.0</v>
      </c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41"/>
      <c r="CO191" s="34">
        <v>18.0</v>
      </c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41"/>
      <c r="DG191" s="34">
        <v>5.0</v>
      </c>
      <c r="DH191" s="5"/>
      <c r="DI191" s="5"/>
      <c r="DJ191" s="5"/>
      <c r="DK191" s="5"/>
      <c r="DL191" s="5"/>
      <c r="DM191" s="5"/>
      <c r="DN191" s="5"/>
      <c r="DO191" s="34">
        <v>12.0</v>
      </c>
      <c r="DP191" s="5"/>
      <c r="DQ191" s="5"/>
      <c r="DR191" s="5"/>
      <c r="DS191" s="5"/>
      <c r="DT191" s="41"/>
      <c r="DU191" s="41"/>
      <c r="DV191" s="34">
        <v>37.0</v>
      </c>
      <c r="DW191" s="5"/>
      <c r="DX191" s="5"/>
      <c r="DY191" s="5"/>
      <c r="DZ191" s="5"/>
      <c r="EA191" s="5"/>
      <c r="EB191" s="41"/>
      <c r="EC191" s="34">
        <v>7.0</v>
      </c>
      <c r="ED191" s="5"/>
      <c r="EE191" s="41"/>
      <c r="EF191" s="41"/>
      <c r="EG191" s="41"/>
      <c r="EH191" s="41"/>
      <c r="EI191" s="41"/>
      <c r="EJ191" s="34">
        <v>64.0</v>
      </c>
      <c r="EK191" s="5"/>
      <c r="EL191" s="41"/>
      <c r="EM191" s="41"/>
      <c r="EN191" s="41"/>
      <c r="EO191" s="34">
        <v>1.0</v>
      </c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34">
        <v>5.0</v>
      </c>
      <c r="FN191" s="41"/>
      <c r="FO191" s="41"/>
      <c r="FP191" s="41"/>
      <c r="FQ191" s="34">
        <v>4.0</v>
      </c>
      <c r="FR191" s="5"/>
      <c r="FS191" s="34">
        <v>169.0</v>
      </c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7">
        <f t="shared" si="118"/>
        <v>21</v>
      </c>
      <c r="GI191" s="7">
        <f t="shared" si="119"/>
        <v>18</v>
      </c>
      <c r="GJ191" s="7">
        <f t="shared" si="120"/>
        <v>14</v>
      </c>
      <c r="GK191" s="7">
        <f t="shared" si="121"/>
        <v>503</v>
      </c>
      <c r="GL191" s="7">
        <f t="shared" si="122"/>
        <v>600</v>
      </c>
      <c r="GM191" s="7">
        <f t="shared" si="123"/>
        <v>97</v>
      </c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</row>
    <row r="192">
      <c r="A192" s="21">
        <v>43536.0</v>
      </c>
      <c r="B192" s="41" t="s">
        <v>21</v>
      </c>
      <c r="C192" s="16">
        <f t="shared" si="93"/>
        <v>41</v>
      </c>
      <c r="D192" s="7">
        <v>21.25544</v>
      </c>
      <c r="E192" s="34">
        <v>-157.810303</v>
      </c>
      <c r="F192" s="41" t="s">
        <v>266</v>
      </c>
      <c r="G192" s="42">
        <v>0.5625</v>
      </c>
      <c r="H192" s="42">
        <v>0.6666666666666666</v>
      </c>
      <c r="I192" s="34">
        <v>7.0</v>
      </c>
      <c r="J192" s="34">
        <v>8.0</v>
      </c>
      <c r="K192" s="41" t="s">
        <v>8</v>
      </c>
      <c r="L192" s="34">
        <v>25.0</v>
      </c>
      <c r="M192" s="34">
        <v>35.0</v>
      </c>
      <c r="N192" s="41"/>
      <c r="O192" s="5"/>
      <c r="P192" s="34">
        <v>35.0</v>
      </c>
      <c r="Q192" s="5"/>
      <c r="R192" s="34">
        <v>1.0</v>
      </c>
      <c r="S192" s="5"/>
      <c r="T192" s="5"/>
      <c r="U192" s="41"/>
      <c r="V192" s="41"/>
      <c r="W192" s="41"/>
      <c r="X192" s="34">
        <v>1.0</v>
      </c>
      <c r="Y192" s="41"/>
      <c r="Z192" s="41"/>
      <c r="AA192" s="41"/>
      <c r="AB192" s="34">
        <v>5.0</v>
      </c>
      <c r="AC192" s="41"/>
      <c r="AD192" s="34">
        <v>1.0</v>
      </c>
      <c r="AE192" s="34">
        <v>5.0</v>
      </c>
      <c r="AF192" s="5"/>
      <c r="AG192" s="5"/>
      <c r="AH192" s="41"/>
      <c r="AI192" s="34">
        <v>6.0</v>
      </c>
      <c r="AJ192" s="41"/>
      <c r="AK192" s="41"/>
      <c r="AL192" s="41"/>
      <c r="AM192" s="34">
        <v>2.0</v>
      </c>
      <c r="AN192" s="34">
        <v>1.0</v>
      </c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41"/>
      <c r="BB192" s="34">
        <v>4.0</v>
      </c>
      <c r="BC192" s="34">
        <v>1.0</v>
      </c>
      <c r="BD192" s="5"/>
      <c r="BE192" s="5"/>
      <c r="BF192" s="5"/>
      <c r="BG192" s="5"/>
      <c r="BH192" s="5"/>
      <c r="BI192" s="41"/>
      <c r="BJ192" s="41"/>
      <c r="BK192" s="34">
        <v>32.0</v>
      </c>
      <c r="BL192" s="5"/>
      <c r="BM192" s="34">
        <v>5.0</v>
      </c>
      <c r="BN192" s="5"/>
      <c r="BO192" s="5"/>
      <c r="BP192" s="5"/>
      <c r="BQ192" s="34">
        <v>24.0</v>
      </c>
      <c r="BR192" s="5"/>
      <c r="BS192" s="41"/>
      <c r="BT192" s="41"/>
      <c r="BU192" s="41"/>
      <c r="BV192" s="34">
        <v>10.0</v>
      </c>
      <c r="BW192" s="34">
        <v>1.0</v>
      </c>
      <c r="BX192" s="5"/>
      <c r="BY192" s="34">
        <v>2.0</v>
      </c>
      <c r="BZ192" s="34">
        <v>9.0</v>
      </c>
      <c r="CA192" s="5"/>
      <c r="CB192" s="5"/>
      <c r="CC192" s="5"/>
      <c r="CD192" s="5"/>
      <c r="CE192" s="5"/>
      <c r="CF192" s="5"/>
      <c r="CG192" s="41"/>
      <c r="CH192" s="34">
        <v>6.0</v>
      </c>
      <c r="CI192" s="41"/>
      <c r="CJ192" s="41"/>
      <c r="CK192" s="34">
        <v>2.0</v>
      </c>
      <c r="CL192" s="5"/>
      <c r="CM192" s="5"/>
      <c r="CN192" s="41"/>
      <c r="CO192" s="34">
        <v>3.0</v>
      </c>
      <c r="CP192" s="5"/>
      <c r="CQ192" s="5"/>
      <c r="CR192" s="5"/>
      <c r="CS192" s="5"/>
      <c r="CT192" s="5"/>
      <c r="CU192" s="5"/>
      <c r="CV192" s="41"/>
      <c r="CW192" s="41"/>
      <c r="CX192" s="41"/>
      <c r="CY192" s="41"/>
      <c r="CZ192" s="41"/>
      <c r="DA192" s="34">
        <v>1.0</v>
      </c>
      <c r="DB192" s="5"/>
      <c r="DC192" s="5"/>
      <c r="DD192" s="5"/>
      <c r="DE192" s="5"/>
      <c r="DF192" s="41"/>
      <c r="DG192" s="34">
        <v>27.0</v>
      </c>
      <c r="DH192" s="5"/>
      <c r="DI192" s="5"/>
      <c r="DJ192" s="5"/>
      <c r="DK192" s="41"/>
      <c r="DL192" s="34">
        <v>1.0</v>
      </c>
      <c r="DM192" s="34">
        <v>46.0</v>
      </c>
      <c r="DN192" s="34">
        <v>2.0</v>
      </c>
      <c r="DO192" s="5"/>
      <c r="DP192" s="34">
        <v>2.0</v>
      </c>
      <c r="DQ192" s="34">
        <v>2.0</v>
      </c>
      <c r="DR192" s="41"/>
      <c r="DS192" s="34">
        <v>2.0</v>
      </c>
      <c r="DT192" s="41"/>
      <c r="DU192" s="41"/>
      <c r="DV192" s="34">
        <v>1.0</v>
      </c>
      <c r="DW192" s="5"/>
      <c r="DX192" s="5"/>
      <c r="DY192" s="5"/>
      <c r="DZ192" s="5"/>
      <c r="EA192" s="5"/>
      <c r="EB192" s="5"/>
      <c r="EC192" s="5"/>
      <c r="ED192" s="5"/>
      <c r="EE192" s="41"/>
      <c r="EF192" s="41"/>
      <c r="EG192" s="41"/>
      <c r="EH192" s="41"/>
      <c r="EI192" s="41"/>
      <c r="EJ192" s="34">
        <v>33.0</v>
      </c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41"/>
      <c r="EZ192" s="34">
        <v>2.0</v>
      </c>
      <c r="FA192" s="34">
        <v>26.0</v>
      </c>
      <c r="FB192" s="34">
        <v>31.0</v>
      </c>
      <c r="FC192" s="34">
        <v>1.0</v>
      </c>
      <c r="FD192" s="41"/>
      <c r="FE192" s="34">
        <v>2.0</v>
      </c>
      <c r="FF192" s="34">
        <v>6.0</v>
      </c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34">
        <v>55.0</v>
      </c>
      <c r="FS192" s="34">
        <v>266.0</v>
      </c>
      <c r="FT192" s="41"/>
      <c r="FU192" s="34">
        <v>23.0</v>
      </c>
      <c r="FV192" s="41"/>
      <c r="FW192" s="34">
        <v>2.0</v>
      </c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7">
        <f t="shared" si="118"/>
        <v>40</v>
      </c>
      <c r="GI192" s="7">
        <f t="shared" si="119"/>
        <v>30</v>
      </c>
      <c r="GJ192" s="7">
        <f t="shared" si="120"/>
        <v>18</v>
      </c>
      <c r="GK192" s="7">
        <f t="shared" si="121"/>
        <v>652</v>
      </c>
      <c r="GL192" s="7">
        <f t="shared" si="122"/>
        <v>875</v>
      </c>
      <c r="GM192" s="7">
        <f t="shared" si="123"/>
        <v>223</v>
      </c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</row>
    <row r="193">
      <c r="A193" s="15">
        <v>43536.0</v>
      </c>
      <c r="B193" s="43" t="s">
        <v>273</v>
      </c>
      <c r="C193" s="16">
        <f t="shared" si="93"/>
        <v>42</v>
      </c>
      <c r="D193" s="13">
        <v>21.3962</v>
      </c>
      <c r="E193" s="13">
        <v>-157.720306</v>
      </c>
      <c r="F193" s="43" t="s">
        <v>266</v>
      </c>
      <c r="G193" s="44">
        <v>0.39305555555555555</v>
      </c>
      <c r="H193" s="44">
        <v>0.4375</v>
      </c>
      <c r="I193" s="45">
        <v>5.0</v>
      </c>
      <c r="J193" s="45">
        <v>10.0</v>
      </c>
      <c r="K193" s="43" t="s">
        <v>2</v>
      </c>
      <c r="L193" s="45">
        <v>6.0</v>
      </c>
      <c r="M193" s="45">
        <v>20.0</v>
      </c>
      <c r="N193" s="43" t="s">
        <v>274</v>
      </c>
      <c r="O193" s="43"/>
      <c r="P193" s="43"/>
      <c r="Q193" s="12"/>
      <c r="R193" s="12"/>
      <c r="S193" s="12"/>
      <c r="T193" s="12"/>
      <c r="U193" s="12"/>
      <c r="V193" s="12"/>
      <c r="W193" s="12"/>
      <c r="X193" s="12"/>
      <c r="Y193" s="43"/>
      <c r="Z193" s="43"/>
      <c r="AA193" s="43"/>
      <c r="AB193" s="43"/>
      <c r="AC193" s="12"/>
      <c r="AD193" s="12"/>
      <c r="AE193" s="12"/>
      <c r="AF193" s="12"/>
      <c r="AG193" s="12"/>
      <c r="AH193" s="12"/>
      <c r="AI193" s="12"/>
      <c r="AJ193" s="43"/>
      <c r="AK193" s="43"/>
      <c r="AL193" s="43"/>
      <c r="AM193" s="43"/>
      <c r="AN193" s="43"/>
      <c r="AO193" s="12"/>
      <c r="AP193" s="12"/>
      <c r="AQ193" s="12"/>
      <c r="AR193" s="12"/>
      <c r="AS193" s="12"/>
      <c r="AT193" s="12"/>
      <c r="AU193" s="43"/>
      <c r="AV193" s="43"/>
      <c r="AW193" s="43"/>
      <c r="AX193" s="43"/>
      <c r="AY193" s="43"/>
      <c r="AZ193" s="12"/>
      <c r="BA193" s="12"/>
      <c r="BB193" s="12"/>
      <c r="BC193" s="45">
        <v>8.0</v>
      </c>
      <c r="BD193" s="12"/>
      <c r="BE193" s="45">
        <v>6.0</v>
      </c>
      <c r="BF193" s="43"/>
      <c r="BG193" s="12"/>
      <c r="BH193" s="12"/>
      <c r="BI193" s="12"/>
      <c r="BJ193" s="12"/>
      <c r="BK193" s="12"/>
      <c r="BL193" s="12"/>
      <c r="BM193" s="43"/>
      <c r="BN193" s="12"/>
      <c r="BO193" s="12"/>
      <c r="BP193" s="12"/>
      <c r="BQ193" s="12"/>
      <c r="BR193" s="12"/>
      <c r="BS193" s="12"/>
      <c r="BT193" s="12"/>
      <c r="BU193" s="12"/>
      <c r="BV193" s="45">
        <v>4.0</v>
      </c>
      <c r="BW193" s="12"/>
      <c r="BX193" s="12"/>
      <c r="BY193" s="43"/>
      <c r="BZ193" s="12"/>
      <c r="CA193" s="12"/>
      <c r="CB193" s="12"/>
      <c r="CC193" s="43"/>
      <c r="CD193" s="43"/>
      <c r="CE193" s="12"/>
      <c r="CF193" s="43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45">
        <v>1.0</v>
      </c>
      <c r="CT193" s="12"/>
      <c r="CU193" s="12"/>
      <c r="CV193" s="45">
        <v>1.0</v>
      </c>
      <c r="CW193" s="12"/>
      <c r="CX193" s="12"/>
      <c r="CY193" s="12"/>
      <c r="CZ193" s="12"/>
      <c r="DA193" s="12"/>
      <c r="DB193" s="12"/>
      <c r="DC193" s="12"/>
      <c r="DD193" s="12"/>
      <c r="DE193" s="12"/>
      <c r="DF193" s="43"/>
      <c r="DG193" s="43"/>
      <c r="DH193" s="43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45">
        <v>3.0</v>
      </c>
      <c r="DW193" s="12"/>
      <c r="DX193" s="12"/>
      <c r="DY193" s="12"/>
      <c r="DZ193" s="12"/>
      <c r="EA193" s="12"/>
      <c r="EB193" s="43"/>
      <c r="EC193" s="12"/>
      <c r="ED193" s="12"/>
      <c r="EE193" s="43"/>
      <c r="EF193" s="43"/>
      <c r="EG193" s="43"/>
      <c r="EH193" s="43"/>
      <c r="EI193" s="43"/>
      <c r="EJ193" s="43"/>
      <c r="EK193" s="12"/>
      <c r="EL193" s="12"/>
      <c r="EM193" s="12"/>
      <c r="EN193" s="12"/>
      <c r="EO193" s="12"/>
      <c r="EP193" s="12"/>
      <c r="EQ193" s="12"/>
      <c r="ER193" s="12"/>
      <c r="ES193" s="43"/>
      <c r="ET193" s="43"/>
      <c r="EU193" s="43"/>
      <c r="EV193" s="43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45">
        <v>218.0</v>
      </c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</row>
    <row r="194">
      <c r="A194" s="26">
        <v>43556.0</v>
      </c>
      <c r="B194" s="46" t="s">
        <v>5</v>
      </c>
      <c r="C194" s="16">
        <f t="shared" si="93"/>
        <v>43</v>
      </c>
      <c r="D194" s="28">
        <v>21.316488</v>
      </c>
      <c r="E194" s="28">
        <v>-157.664261</v>
      </c>
      <c r="F194" s="46" t="s">
        <v>266</v>
      </c>
      <c r="G194" s="47">
        <v>0.3645833333333333</v>
      </c>
      <c r="H194" s="47">
        <v>0.4583333333333333</v>
      </c>
      <c r="I194" s="48">
        <v>7.0</v>
      </c>
      <c r="J194" s="48">
        <v>15.0</v>
      </c>
      <c r="K194" s="46" t="s">
        <v>16</v>
      </c>
      <c r="L194" s="48">
        <v>5.0</v>
      </c>
      <c r="M194" s="48">
        <v>28.0</v>
      </c>
      <c r="N194" s="46" t="s">
        <v>275</v>
      </c>
      <c r="O194" s="46"/>
      <c r="P194" s="46"/>
      <c r="Q194" s="27"/>
      <c r="R194" s="27"/>
      <c r="S194" s="27"/>
      <c r="T194" s="27"/>
      <c r="U194" s="27"/>
      <c r="V194" s="27"/>
      <c r="W194" s="27"/>
      <c r="X194" s="27"/>
      <c r="Y194" s="46"/>
      <c r="Z194" s="46"/>
      <c r="AA194" s="46"/>
      <c r="AB194" s="48">
        <v>2.0</v>
      </c>
      <c r="AC194" s="27"/>
      <c r="AD194" s="27"/>
      <c r="AE194" s="27"/>
      <c r="AF194" s="27"/>
      <c r="AG194" s="27"/>
      <c r="AH194" s="27"/>
      <c r="AI194" s="27"/>
      <c r="AJ194" s="46"/>
      <c r="AK194" s="46"/>
      <c r="AL194" s="46"/>
      <c r="AM194" s="48">
        <v>4.0</v>
      </c>
      <c r="AN194" s="48">
        <v>1.0</v>
      </c>
      <c r="AO194" s="27"/>
      <c r="AP194" s="27"/>
      <c r="AQ194" s="27"/>
      <c r="AR194" s="27"/>
      <c r="AS194" s="27"/>
      <c r="AT194" s="27"/>
      <c r="AU194" s="46"/>
      <c r="AV194" s="46"/>
      <c r="AW194" s="46"/>
      <c r="AX194" s="46"/>
      <c r="AY194" s="48">
        <v>1.0</v>
      </c>
      <c r="AZ194" s="27"/>
      <c r="BA194" s="27"/>
      <c r="BB194" s="27"/>
      <c r="BC194" s="27"/>
      <c r="BD194" s="27"/>
      <c r="BE194" s="27"/>
      <c r="BF194" s="48">
        <v>2.0</v>
      </c>
      <c r="BG194" s="27"/>
      <c r="BH194" s="27"/>
      <c r="BI194" s="27"/>
      <c r="BJ194" s="27"/>
      <c r="BK194" s="27"/>
      <c r="BL194" s="27"/>
      <c r="BM194" s="48">
        <v>44.0</v>
      </c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48">
        <v>1.0</v>
      </c>
      <c r="BZ194" s="27"/>
      <c r="CA194" s="27"/>
      <c r="CB194" s="27"/>
      <c r="CC194" s="48">
        <v>1.0</v>
      </c>
      <c r="CD194" s="48">
        <v>2.0</v>
      </c>
      <c r="CE194" s="48">
        <v>1.0</v>
      </c>
      <c r="CF194" s="48">
        <v>1.0</v>
      </c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48">
        <v>1.0</v>
      </c>
      <c r="CW194" s="27"/>
      <c r="CX194" s="27"/>
      <c r="CY194" s="27"/>
      <c r="CZ194" s="27"/>
      <c r="DA194" s="27"/>
      <c r="DB194" s="27"/>
      <c r="DC194" s="27"/>
      <c r="DD194" s="27"/>
      <c r="DE194" s="27"/>
      <c r="DF194" s="46"/>
      <c r="DG194" s="48">
        <v>1.0</v>
      </c>
      <c r="DH194" s="48">
        <v>1.0</v>
      </c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48">
        <v>2.0</v>
      </c>
      <c r="DT194" s="27"/>
      <c r="DU194" s="27"/>
      <c r="DV194" s="27"/>
      <c r="DW194" s="27"/>
      <c r="DX194" s="27"/>
      <c r="DY194" s="27"/>
      <c r="DZ194" s="27"/>
      <c r="EA194" s="27"/>
      <c r="EB194" s="48">
        <v>1.0</v>
      </c>
      <c r="EC194" s="27"/>
      <c r="ED194" s="27"/>
      <c r="EE194" s="46"/>
      <c r="EF194" s="46"/>
      <c r="EG194" s="46"/>
      <c r="EH194" s="46"/>
      <c r="EI194" s="46"/>
      <c r="EJ194" s="48">
        <v>37.0</v>
      </c>
      <c r="EK194" s="27"/>
      <c r="EL194" s="27"/>
      <c r="EM194" s="27"/>
      <c r="EN194" s="27"/>
      <c r="EO194" s="27"/>
      <c r="EP194" s="27"/>
      <c r="EQ194" s="27"/>
      <c r="ER194" s="27"/>
      <c r="ES194" s="46"/>
      <c r="ET194" s="46"/>
      <c r="EU194" s="46"/>
      <c r="EV194" s="48">
        <v>1.0</v>
      </c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48">
        <v>106.0</v>
      </c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8">
        <f t="shared" ref="GH194:GH198" si="124">count(R194:GG194)</f>
        <v>19</v>
      </c>
      <c r="GI194" s="28">
        <f t="shared" ref="GI194:GI198" si="125">countif(R194:GG194,"&gt;=2")</f>
        <v>8</v>
      </c>
      <c r="GJ194" s="28">
        <f t="shared" ref="GJ194:GJ198" si="126">countif(R194:GG194,"&gt;=5")</f>
        <v>3</v>
      </c>
      <c r="GK194" s="28">
        <f t="shared" ref="GK194:GK198" si="127">sum(R194:GG194)</f>
        <v>210</v>
      </c>
      <c r="GL194" s="28">
        <f t="shared" ref="GL194:GL198" si="128">25*P194</f>
        <v>0</v>
      </c>
      <c r="GM194" s="28">
        <f t="shared" ref="GM194:GM198" si="129">GL194-GK194</f>
        <v>-210</v>
      </c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</row>
    <row r="195">
      <c r="A195" s="26">
        <v>43557.0</v>
      </c>
      <c r="B195" s="27" t="s">
        <v>5</v>
      </c>
      <c r="C195" s="16">
        <f t="shared" si="93"/>
        <v>44</v>
      </c>
      <c r="D195" s="28">
        <v>21.316488</v>
      </c>
      <c r="E195" s="28">
        <v>-157.664261</v>
      </c>
      <c r="F195" s="27" t="s">
        <v>266</v>
      </c>
      <c r="G195" s="29">
        <v>0.3645833333333333</v>
      </c>
      <c r="H195" s="29">
        <v>0.46875</v>
      </c>
      <c r="I195" s="28">
        <v>7.0</v>
      </c>
      <c r="J195" s="28">
        <v>10.0</v>
      </c>
      <c r="K195" s="27" t="s">
        <v>16</v>
      </c>
      <c r="L195" s="28">
        <v>5.0</v>
      </c>
      <c r="M195" s="28">
        <v>31.0</v>
      </c>
      <c r="N195" s="27" t="s">
        <v>276</v>
      </c>
      <c r="O195" s="27" t="s">
        <v>277</v>
      </c>
      <c r="P195" s="28">
        <v>27.0</v>
      </c>
      <c r="Q195" s="27"/>
      <c r="R195" s="27"/>
      <c r="S195" s="27"/>
      <c r="T195" s="27"/>
      <c r="U195" s="27"/>
      <c r="V195" s="27"/>
      <c r="W195" s="27"/>
      <c r="X195" s="28">
        <v>10.0</v>
      </c>
      <c r="Y195" s="27"/>
      <c r="Z195" s="27"/>
      <c r="AA195" s="27"/>
      <c r="AB195" s="28">
        <v>11.0</v>
      </c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8">
        <v>2.0</v>
      </c>
      <c r="BG195" s="27"/>
      <c r="BH195" s="27"/>
      <c r="BI195" s="27"/>
      <c r="BJ195" s="27"/>
      <c r="BK195" s="27"/>
      <c r="BL195" s="28">
        <v>1.0</v>
      </c>
      <c r="BM195" s="28">
        <v>20.0</v>
      </c>
      <c r="BN195" s="27"/>
      <c r="BO195" s="27"/>
      <c r="BP195" s="27"/>
      <c r="BQ195" s="28">
        <v>3.0</v>
      </c>
      <c r="BR195" s="27"/>
      <c r="BS195" s="27"/>
      <c r="BT195" s="27"/>
      <c r="BU195" s="28">
        <v>3.0</v>
      </c>
      <c r="BV195" s="27"/>
      <c r="BW195" s="27"/>
      <c r="BX195" s="27"/>
      <c r="BY195" s="28">
        <v>1.0</v>
      </c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8">
        <v>6.0</v>
      </c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8">
        <v>1.0</v>
      </c>
      <c r="DH195" s="27"/>
      <c r="DI195" s="27"/>
      <c r="DJ195" s="28">
        <v>1.0</v>
      </c>
      <c r="DK195" s="27"/>
      <c r="DL195" s="27"/>
      <c r="DM195" s="27"/>
      <c r="DN195" s="27"/>
      <c r="DO195" s="28">
        <v>3.0</v>
      </c>
      <c r="DP195" s="27"/>
      <c r="DQ195" s="27"/>
      <c r="DR195" s="27"/>
      <c r="DS195" s="28">
        <v>7.0</v>
      </c>
      <c r="DT195" s="27"/>
      <c r="DU195" s="27"/>
      <c r="DV195" s="27"/>
      <c r="DW195" s="27"/>
      <c r="DX195" s="27"/>
      <c r="DY195" s="27"/>
      <c r="DZ195" s="27"/>
      <c r="EA195" s="27"/>
      <c r="EB195" s="28">
        <v>2.0</v>
      </c>
      <c r="EC195" s="27"/>
      <c r="ED195" s="27"/>
      <c r="EE195" s="27"/>
      <c r="EF195" s="27"/>
      <c r="EG195" s="27"/>
      <c r="EH195" s="27"/>
      <c r="EI195" s="27"/>
      <c r="EJ195" s="28">
        <v>37.0</v>
      </c>
      <c r="EK195" s="28">
        <v>3.0</v>
      </c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8">
        <v>2.0</v>
      </c>
      <c r="FB195" s="27"/>
      <c r="FC195" s="27"/>
      <c r="FD195" s="27"/>
      <c r="FE195" s="27"/>
      <c r="FF195" s="28">
        <v>36.0</v>
      </c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8">
        <v>254.0</v>
      </c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8">
        <v>3.0</v>
      </c>
      <c r="GG195" s="27"/>
      <c r="GH195" s="28">
        <f t="shared" si="124"/>
        <v>20</v>
      </c>
      <c r="GI195" s="28">
        <f t="shared" si="125"/>
        <v>16</v>
      </c>
      <c r="GJ195" s="28">
        <f t="shared" si="126"/>
        <v>8</v>
      </c>
      <c r="GK195" s="28">
        <f t="shared" si="127"/>
        <v>406</v>
      </c>
      <c r="GL195" s="28">
        <f t="shared" si="128"/>
        <v>675</v>
      </c>
      <c r="GM195" s="28">
        <f t="shared" si="129"/>
        <v>269</v>
      </c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</row>
    <row r="196">
      <c r="A196" s="21">
        <v>43558.0</v>
      </c>
      <c r="B196" s="5" t="s">
        <v>5</v>
      </c>
      <c r="C196" s="16">
        <v>188.0</v>
      </c>
      <c r="D196" s="7">
        <v>21.316488</v>
      </c>
      <c r="E196" s="7">
        <v>-157.664261</v>
      </c>
      <c r="F196" s="5" t="s">
        <v>266</v>
      </c>
      <c r="G196" s="6">
        <v>0.375</v>
      </c>
      <c r="H196" s="6">
        <v>0.4583333333333333</v>
      </c>
      <c r="I196" s="7">
        <v>5.0</v>
      </c>
      <c r="J196" s="7">
        <v>10.0</v>
      </c>
      <c r="K196" s="5" t="s">
        <v>16</v>
      </c>
      <c r="L196" s="7">
        <v>5.0</v>
      </c>
      <c r="M196" s="7">
        <v>22.0</v>
      </c>
      <c r="N196" s="5" t="s">
        <v>278</v>
      </c>
      <c r="O196" s="5"/>
      <c r="P196" s="7">
        <v>22.0</v>
      </c>
      <c r="Q196" s="5"/>
      <c r="R196" s="5"/>
      <c r="S196" s="5"/>
      <c r="T196" s="7">
        <v>2.0</v>
      </c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7">
        <v>23.0</v>
      </c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7">
        <v>13.0</v>
      </c>
      <c r="BA196" s="5"/>
      <c r="BB196" s="7">
        <v>10.0</v>
      </c>
      <c r="BC196" s="5"/>
      <c r="BD196" s="5"/>
      <c r="BE196" s="5"/>
      <c r="BF196" s="7">
        <v>6.0</v>
      </c>
      <c r="BG196" s="5"/>
      <c r="BH196" s="5"/>
      <c r="BI196" s="5"/>
      <c r="BJ196" s="5"/>
      <c r="BK196" s="5"/>
      <c r="BL196" s="5"/>
      <c r="BM196" s="7">
        <v>42.0</v>
      </c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7">
        <v>1.0</v>
      </c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7">
        <v>6.0</v>
      </c>
      <c r="CP196" s="5"/>
      <c r="CQ196" s="5"/>
      <c r="CR196" s="5"/>
      <c r="CS196" s="5"/>
      <c r="CT196" s="5"/>
      <c r="CU196" s="5"/>
      <c r="CV196" s="7">
        <v>7.0</v>
      </c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7">
        <v>1.0</v>
      </c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7">
        <v>39.0</v>
      </c>
      <c r="EK196" s="7">
        <v>8.0</v>
      </c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7">
        <v>6.0</v>
      </c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7">
        <v>110.0</v>
      </c>
      <c r="FT196" s="5"/>
      <c r="FU196" s="5"/>
      <c r="FV196" s="5"/>
      <c r="FW196" s="5"/>
      <c r="FX196" s="5"/>
      <c r="FY196" s="5"/>
      <c r="FZ196" s="5"/>
      <c r="GA196" s="7">
        <v>3.0</v>
      </c>
      <c r="GB196" s="5"/>
      <c r="GC196" s="5"/>
      <c r="GD196" s="5"/>
      <c r="GE196" s="5"/>
      <c r="GF196" s="5"/>
      <c r="GG196" s="7">
        <v>8.0</v>
      </c>
      <c r="GH196" s="7">
        <f t="shared" si="124"/>
        <v>16</v>
      </c>
      <c r="GI196" s="7">
        <f t="shared" si="125"/>
        <v>14</v>
      </c>
      <c r="GJ196" s="7">
        <f t="shared" si="126"/>
        <v>12</v>
      </c>
      <c r="GK196" s="7">
        <f t="shared" si="127"/>
        <v>285</v>
      </c>
      <c r="GL196" s="7">
        <f t="shared" si="128"/>
        <v>550</v>
      </c>
      <c r="GM196" s="7">
        <f t="shared" si="129"/>
        <v>265</v>
      </c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</row>
    <row r="197">
      <c r="A197" s="21">
        <v>43559.0</v>
      </c>
      <c r="B197" s="5" t="s">
        <v>5</v>
      </c>
      <c r="C197" s="16">
        <f t="shared" ref="C197:C204" si="130">C196+1</f>
        <v>189</v>
      </c>
      <c r="D197" s="7">
        <v>21.316488</v>
      </c>
      <c r="E197" s="7">
        <v>-157.664261</v>
      </c>
      <c r="F197" s="5" t="s">
        <v>266</v>
      </c>
      <c r="G197" s="6">
        <v>0.375</v>
      </c>
      <c r="H197" s="6">
        <v>0.4791666666666667</v>
      </c>
      <c r="I197" s="7">
        <v>5.0</v>
      </c>
      <c r="J197" s="7">
        <v>10.0</v>
      </c>
      <c r="K197" s="5" t="s">
        <v>16</v>
      </c>
      <c r="L197" s="7">
        <v>5.0</v>
      </c>
      <c r="M197" s="7">
        <v>25.0</v>
      </c>
      <c r="N197" s="5"/>
      <c r="O197" s="5"/>
      <c r="P197" s="7">
        <v>25.0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7">
        <v>6.0</v>
      </c>
      <c r="BE197" s="5"/>
      <c r="BF197" s="5"/>
      <c r="BG197" s="5"/>
      <c r="BH197" s="5"/>
      <c r="BI197" s="5"/>
      <c r="BJ197" s="5"/>
      <c r="BK197" s="7">
        <v>1.0</v>
      </c>
      <c r="BL197" s="5"/>
      <c r="BM197" s="7">
        <v>68.0</v>
      </c>
      <c r="BN197" s="5"/>
      <c r="BO197" s="5"/>
      <c r="BP197" s="5"/>
      <c r="BQ197" s="5"/>
      <c r="BR197" s="5"/>
      <c r="BS197" s="5"/>
      <c r="BT197" s="7">
        <v>1.0</v>
      </c>
      <c r="BU197" s="5"/>
      <c r="BV197" s="5"/>
      <c r="BW197" s="5"/>
      <c r="BX197" s="5"/>
      <c r="BY197" s="7">
        <v>10.0</v>
      </c>
      <c r="BZ197" s="7">
        <v>23.0</v>
      </c>
      <c r="CA197" s="5"/>
      <c r="CB197" s="5"/>
      <c r="CC197" s="7">
        <v>1.0</v>
      </c>
      <c r="CD197" s="5"/>
      <c r="CE197" s="5"/>
      <c r="CF197" s="7">
        <v>2.0</v>
      </c>
      <c r="CG197" s="5"/>
      <c r="CH197" s="5"/>
      <c r="CI197" s="5"/>
      <c r="CJ197" s="5"/>
      <c r="CK197" s="5"/>
      <c r="CL197" s="5"/>
      <c r="CM197" s="5"/>
      <c r="CN197" s="5"/>
      <c r="CO197" s="7">
        <v>8.0</v>
      </c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7">
        <v>1.0</v>
      </c>
      <c r="DP197" s="5"/>
      <c r="DQ197" s="5"/>
      <c r="DR197" s="5"/>
      <c r="DS197" s="7">
        <v>4.0</v>
      </c>
      <c r="DT197" s="5"/>
      <c r="DU197" s="5"/>
      <c r="DV197" s="5"/>
      <c r="DW197" s="5"/>
      <c r="DX197" s="5"/>
      <c r="DY197" s="5"/>
      <c r="DZ197" s="5"/>
      <c r="EA197" s="5"/>
      <c r="EB197" s="5"/>
      <c r="EC197" s="7">
        <v>1.0</v>
      </c>
      <c r="ED197" s="5"/>
      <c r="EE197" s="5"/>
      <c r="EF197" s="5"/>
      <c r="EG197" s="5"/>
      <c r="EH197" s="5"/>
      <c r="EI197" s="5"/>
      <c r="EJ197" s="7">
        <v>45.0</v>
      </c>
      <c r="EK197" s="7">
        <v>11.0</v>
      </c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7">
        <v>2.0</v>
      </c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7">
        <v>2.0</v>
      </c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7">
        <v>151.0</v>
      </c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7">
        <f t="shared" si="124"/>
        <v>17</v>
      </c>
      <c r="GI197" s="7">
        <f t="shared" si="125"/>
        <v>12</v>
      </c>
      <c r="GJ197" s="7">
        <f t="shared" si="126"/>
        <v>8</v>
      </c>
      <c r="GK197" s="7">
        <f t="shared" si="127"/>
        <v>337</v>
      </c>
      <c r="GL197" s="7">
        <f t="shared" si="128"/>
        <v>625</v>
      </c>
      <c r="GM197" s="7">
        <f t="shared" si="129"/>
        <v>288</v>
      </c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</row>
    <row r="198">
      <c r="A198" s="26">
        <v>43566.0</v>
      </c>
      <c r="B198" s="27" t="s">
        <v>273</v>
      </c>
      <c r="C198" s="16">
        <f t="shared" si="130"/>
        <v>190</v>
      </c>
      <c r="D198" s="28">
        <v>21.3962</v>
      </c>
      <c r="E198" s="28">
        <v>-157.720306</v>
      </c>
      <c r="F198" s="27" t="s">
        <v>266</v>
      </c>
      <c r="G198" s="29">
        <v>0.4166666666666667</v>
      </c>
      <c r="H198" s="29">
        <v>0.4791666666666667</v>
      </c>
      <c r="I198" s="28">
        <v>6.0</v>
      </c>
      <c r="J198" s="28">
        <v>11.0</v>
      </c>
      <c r="K198" s="27" t="s">
        <v>16</v>
      </c>
      <c r="L198" s="28">
        <v>10.0</v>
      </c>
      <c r="M198" s="28">
        <v>40.0</v>
      </c>
      <c r="N198" s="27" t="s">
        <v>279</v>
      </c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8">
        <v>39.0</v>
      </c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8">
        <v>195.0</v>
      </c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8">
        <v>71.0</v>
      </c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8">
        <v>23.0</v>
      </c>
      <c r="DI198" s="27"/>
      <c r="DJ198" s="27"/>
      <c r="DK198" s="27"/>
      <c r="DL198" s="27"/>
      <c r="DM198" s="27"/>
      <c r="DN198" s="27"/>
      <c r="DO198" s="27"/>
      <c r="DP198" s="28">
        <v>18.0</v>
      </c>
      <c r="DQ198" s="27"/>
      <c r="DR198" s="27"/>
      <c r="DS198" s="28">
        <v>2.0</v>
      </c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8">
        <v>5.0</v>
      </c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8">
        <v>3.0</v>
      </c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8">
        <v>54.0</v>
      </c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8">
        <f t="shared" si="124"/>
        <v>9</v>
      </c>
      <c r="GI198" s="28">
        <f t="shared" si="125"/>
        <v>9</v>
      </c>
      <c r="GJ198" s="28">
        <f t="shared" si="126"/>
        <v>7</v>
      </c>
      <c r="GK198" s="28">
        <f t="shared" si="127"/>
        <v>410</v>
      </c>
      <c r="GL198" s="28">
        <f t="shared" si="128"/>
        <v>0</v>
      </c>
      <c r="GM198" s="28">
        <f t="shared" si="129"/>
        <v>-410</v>
      </c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</row>
    <row r="199">
      <c r="A199" s="15">
        <v>43567.0</v>
      </c>
      <c r="B199" s="12" t="s">
        <v>273</v>
      </c>
      <c r="C199" s="16">
        <f t="shared" si="130"/>
        <v>191</v>
      </c>
      <c r="D199" s="13">
        <v>21.3962</v>
      </c>
      <c r="E199" s="13">
        <v>-157.720306</v>
      </c>
      <c r="F199" s="12" t="s">
        <v>266</v>
      </c>
      <c r="G199" s="14">
        <v>0.4166666666666667</v>
      </c>
      <c r="H199" s="14">
        <v>0.5</v>
      </c>
      <c r="I199" s="13">
        <v>5.0</v>
      </c>
      <c r="J199" s="13">
        <v>15.0</v>
      </c>
      <c r="K199" s="12" t="s">
        <v>51</v>
      </c>
      <c r="L199" s="13">
        <v>5.0</v>
      </c>
      <c r="M199" s="13">
        <v>9.0</v>
      </c>
      <c r="N199" s="12" t="s">
        <v>280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3">
        <v>7.0</v>
      </c>
      <c r="BN199" s="12"/>
      <c r="BO199" s="12"/>
      <c r="BP199" s="12"/>
      <c r="BQ199" s="13">
        <v>33.0</v>
      </c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3">
        <v>18.0</v>
      </c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3">
        <v>30.0</v>
      </c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</row>
    <row r="200">
      <c r="A200" s="21">
        <v>43573.0</v>
      </c>
      <c r="B200" s="5" t="s">
        <v>99</v>
      </c>
      <c r="C200" s="16">
        <f t="shared" si="130"/>
        <v>192</v>
      </c>
      <c r="D200" s="7">
        <v>19.643276</v>
      </c>
      <c r="E200" s="7">
        <v>-156.010193</v>
      </c>
      <c r="F200" s="5" t="s">
        <v>266</v>
      </c>
      <c r="G200" s="6">
        <v>0.4131944444444444</v>
      </c>
      <c r="H200" s="6">
        <v>0.4791666666666667</v>
      </c>
      <c r="I200" s="7">
        <v>4.0</v>
      </c>
      <c r="J200" s="7">
        <v>18.0</v>
      </c>
      <c r="K200" s="5" t="s">
        <v>8</v>
      </c>
      <c r="L200" s="7">
        <v>10.0</v>
      </c>
      <c r="M200" s="7">
        <v>26.0</v>
      </c>
      <c r="N200" s="5" t="s">
        <v>33</v>
      </c>
      <c r="O200" s="5"/>
      <c r="P200" s="7">
        <v>26.0</v>
      </c>
      <c r="Q200" s="5"/>
      <c r="R200" s="5"/>
      <c r="S200" s="5"/>
      <c r="T200" s="7">
        <v>19.0</v>
      </c>
      <c r="U200" s="5"/>
      <c r="V200" s="5"/>
      <c r="W200" s="5"/>
      <c r="X200" s="5"/>
      <c r="Y200" s="5"/>
      <c r="Z200" s="5"/>
      <c r="AA200" s="5"/>
      <c r="AB200" s="5"/>
      <c r="AC200" s="5"/>
      <c r="AD200" s="7">
        <v>5.0</v>
      </c>
      <c r="AE200" s="5"/>
      <c r="AF200" s="5"/>
      <c r="AG200" s="5"/>
      <c r="AH200" s="7">
        <v>1.0</v>
      </c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7">
        <v>1.0</v>
      </c>
      <c r="AW200" s="5"/>
      <c r="AX200" s="5"/>
      <c r="AY200" s="5"/>
      <c r="AZ200" s="5"/>
      <c r="BA200" s="5"/>
      <c r="BB200" s="7">
        <v>2.0</v>
      </c>
      <c r="BC200" s="5"/>
      <c r="BD200" s="5"/>
      <c r="BE200" s="5"/>
      <c r="BF200" s="5"/>
      <c r="BG200" s="7">
        <v>18.0</v>
      </c>
      <c r="BH200" s="7">
        <v>11.0</v>
      </c>
      <c r="BI200" s="5"/>
      <c r="BJ200" s="5"/>
      <c r="BK200" s="5"/>
      <c r="BL200" s="5"/>
      <c r="BM200" s="7">
        <v>68.0</v>
      </c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7">
        <v>5.0</v>
      </c>
      <c r="BZ200" s="5"/>
      <c r="CA200" s="5"/>
      <c r="CB200" s="5"/>
      <c r="CC200" s="7">
        <v>6.0</v>
      </c>
      <c r="CD200" s="7">
        <v>3.0</v>
      </c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7">
        <v>11.0</v>
      </c>
      <c r="DN200" s="5"/>
      <c r="DO200" s="5"/>
      <c r="DP200" s="7">
        <v>3.0</v>
      </c>
      <c r="DQ200" s="5"/>
      <c r="DR200" s="5"/>
      <c r="DS200" s="5"/>
      <c r="DT200" s="5"/>
      <c r="DU200" s="5"/>
      <c r="DV200" s="5"/>
      <c r="DW200" s="7">
        <v>13.0</v>
      </c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7">
        <v>10.0</v>
      </c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7">
        <v>48.0</v>
      </c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7">
        <v>117.0</v>
      </c>
      <c r="FT200" s="5"/>
      <c r="FU200" s="5"/>
      <c r="FV200" s="5"/>
      <c r="FW200" s="5"/>
      <c r="FX200" s="5"/>
      <c r="FY200" s="5"/>
      <c r="FZ200" s="7">
        <v>12.0</v>
      </c>
      <c r="GA200" s="5"/>
      <c r="GB200" s="5"/>
      <c r="GC200" s="5"/>
      <c r="GD200" s="5"/>
      <c r="GE200" s="5"/>
      <c r="GF200" s="5"/>
      <c r="GG200" s="5"/>
      <c r="GH200" s="7">
        <f t="shared" ref="GH200:GH203" si="131">count(R200:GG200)</f>
        <v>18</v>
      </c>
      <c r="GI200" s="7">
        <f t="shared" ref="GI200:GI203" si="132">countif(R200:GG200,"&gt;=2")</f>
        <v>16</v>
      </c>
      <c r="GJ200" s="7">
        <f t="shared" ref="GJ200:GJ203" si="133">countif(R200:GG200,"&gt;=5")</f>
        <v>13</v>
      </c>
      <c r="GK200" s="7">
        <f t="shared" ref="GK200:GK203" si="134">sum(R200:GG200)</f>
        <v>353</v>
      </c>
      <c r="GL200" s="7">
        <f t="shared" ref="GL200:GL203" si="135">25*P200</f>
        <v>650</v>
      </c>
      <c r="GM200" s="7">
        <f t="shared" ref="GM200:GM203" si="136">GL200-GK200</f>
        <v>297</v>
      </c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</row>
    <row r="201">
      <c r="A201" s="26">
        <v>43577.0</v>
      </c>
      <c r="B201" s="49" t="s">
        <v>28</v>
      </c>
      <c r="C201" s="16">
        <f t="shared" si="130"/>
        <v>193</v>
      </c>
      <c r="D201" s="28">
        <v>22.060684</v>
      </c>
      <c r="E201" s="28">
        <v>-159.318512</v>
      </c>
      <c r="F201" s="27" t="s">
        <v>266</v>
      </c>
      <c r="G201" s="29">
        <v>0.4618055555555556</v>
      </c>
      <c r="H201" s="29">
        <v>0.5</v>
      </c>
      <c r="I201" s="28">
        <v>5.0</v>
      </c>
      <c r="J201" s="28">
        <v>15.0</v>
      </c>
      <c r="K201" s="27" t="s">
        <v>8</v>
      </c>
      <c r="L201" s="28">
        <v>9.0</v>
      </c>
      <c r="M201" s="28">
        <v>40.0</v>
      </c>
      <c r="N201" s="27" t="s">
        <v>281</v>
      </c>
      <c r="O201" s="27"/>
      <c r="P201" s="27"/>
      <c r="Q201" s="27"/>
      <c r="R201" s="27"/>
      <c r="S201" s="28">
        <v>1.0</v>
      </c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8">
        <v>10.0</v>
      </c>
      <c r="AE201" s="27"/>
      <c r="AF201" s="27"/>
      <c r="AG201" s="27"/>
      <c r="AH201" s="27"/>
      <c r="AI201" s="28">
        <v>2.0</v>
      </c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8">
        <v>3.0</v>
      </c>
      <c r="AW201" s="27"/>
      <c r="AX201" s="27"/>
      <c r="AY201" s="27"/>
      <c r="AZ201" s="27"/>
      <c r="BA201" s="27"/>
      <c r="BB201" s="28">
        <v>7.0</v>
      </c>
      <c r="BC201" s="27"/>
      <c r="BD201" s="27"/>
      <c r="BE201" s="27"/>
      <c r="BF201" s="27"/>
      <c r="BG201" s="27"/>
      <c r="BH201" s="27"/>
      <c r="BI201" s="27"/>
      <c r="BJ201" s="27"/>
      <c r="BK201" s="27"/>
      <c r="BL201" s="28">
        <v>1.0</v>
      </c>
      <c r="BM201" s="28">
        <v>16.0</v>
      </c>
      <c r="BN201" s="28">
        <v>49.0</v>
      </c>
      <c r="BO201" s="27"/>
      <c r="BP201" s="27"/>
      <c r="BQ201" s="27"/>
      <c r="BR201" s="27"/>
      <c r="BS201" s="27"/>
      <c r="BT201" s="27"/>
      <c r="BU201" s="28">
        <v>1.0</v>
      </c>
      <c r="BV201" s="28">
        <v>57.0</v>
      </c>
      <c r="BW201" s="27"/>
      <c r="BX201" s="27"/>
      <c r="BY201" s="27"/>
      <c r="BZ201" s="28">
        <v>1.0</v>
      </c>
      <c r="CA201" s="27"/>
      <c r="CB201" s="28">
        <v>1.0</v>
      </c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8">
        <v>1.0</v>
      </c>
      <c r="CT201" s="27"/>
      <c r="CU201" s="27"/>
      <c r="CV201" s="28">
        <v>3.0</v>
      </c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8">
        <v>2.0</v>
      </c>
      <c r="DH201" s="27"/>
      <c r="DI201" s="27"/>
      <c r="DJ201" s="27"/>
      <c r="DK201" s="27"/>
      <c r="DL201" s="27"/>
      <c r="DM201" s="28">
        <v>2.0</v>
      </c>
      <c r="DN201" s="27"/>
      <c r="DO201" s="27"/>
      <c r="DP201" s="27"/>
      <c r="DQ201" s="27"/>
      <c r="DR201" s="27"/>
      <c r="DS201" s="28">
        <v>251.0</v>
      </c>
      <c r="DT201" s="27"/>
      <c r="DU201" s="27"/>
      <c r="DV201" s="28">
        <v>59.0</v>
      </c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8">
        <v>32.0</v>
      </c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8">
        <v>1.0</v>
      </c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8">
        <v>1.0</v>
      </c>
      <c r="FR201" s="28">
        <v>7.0</v>
      </c>
      <c r="FS201" s="28">
        <v>56.0</v>
      </c>
      <c r="FT201" s="27"/>
      <c r="FU201" s="27"/>
      <c r="FV201" s="27"/>
      <c r="FW201" s="28">
        <v>26.0</v>
      </c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8">
        <f t="shared" si="131"/>
        <v>24</v>
      </c>
      <c r="GI201" s="28">
        <f t="shared" si="132"/>
        <v>16</v>
      </c>
      <c r="GJ201" s="28">
        <f t="shared" si="133"/>
        <v>11</v>
      </c>
      <c r="GK201" s="28">
        <f t="shared" si="134"/>
        <v>590</v>
      </c>
      <c r="GL201" s="28">
        <f t="shared" si="135"/>
        <v>0</v>
      </c>
      <c r="GM201" s="28">
        <f t="shared" si="136"/>
        <v>-590</v>
      </c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</row>
    <row r="202">
      <c r="A202" s="21">
        <v>43578.0</v>
      </c>
      <c r="B202" s="5" t="s">
        <v>21</v>
      </c>
      <c r="C202" s="16">
        <f t="shared" si="130"/>
        <v>194</v>
      </c>
      <c r="D202" s="31">
        <v>21.25544</v>
      </c>
      <c r="E202" s="31">
        <v>-157.810303</v>
      </c>
      <c r="F202" s="5" t="s">
        <v>266</v>
      </c>
      <c r="G202" s="6">
        <v>0.4791666666666667</v>
      </c>
      <c r="H202" s="6">
        <v>0.5104166666666666</v>
      </c>
      <c r="I202" s="7">
        <v>6.0</v>
      </c>
      <c r="J202" s="7">
        <v>14.0</v>
      </c>
      <c r="K202" s="5" t="s">
        <v>8</v>
      </c>
      <c r="L202" s="7">
        <v>5.0</v>
      </c>
      <c r="M202" s="7">
        <v>18.0</v>
      </c>
      <c r="N202" s="5" t="s">
        <v>282</v>
      </c>
      <c r="O202" s="5"/>
      <c r="P202" s="7">
        <v>18.0</v>
      </c>
      <c r="Q202" s="5"/>
      <c r="R202" s="7">
        <v>5.0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7">
        <v>9.0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7">
        <v>5.0</v>
      </c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7">
        <v>2.0</v>
      </c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7">
        <v>9.0</v>
      </c>
      <c r="DN202" s="5"/>
      <c r="DO202" s="7">
        <v>2.0</v>
      </c>
      <c r="DP202" s="5"/>
      <c r="DQ202" s="5"/>
      <c r="DR202" s="5"/>
      <c r="DS202" s="7">
        <v>35.0</v>
      </c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7">
        <v>139.0</v>
      </c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7">
        <v>13.0</v>
      </c>
      <c r="FA202" s="5"/>
      <c r="FB202" s="7">
        <v>52.0</v>
      </c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7">
        <v>68.0</v>
      </c>
      <c r="FS202" s="7">
        <v>9.0</v>
      </c>
      <c r="FT202" s="5"/>
      <c r="FU202" s="7">
        <v>2.0</v>
      </c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7">
        <f t="shared" si="131"/>
        <v>13</v>
      </c>
      <c r="GI202" s="7">
        <f t="shared" si="132"/>
        <v>13</v>
      </c>
      <c r="GJ202" s="7">
        <f t="shared" si="133"/>
        <v>10</v>
      </c>
      <c r="GK202" s="7">
        <f t="shared" si="134"/>
        <v>350</v>
      </c>
      <c r="GL202" s="7">
        <f t="shared" si="135"/>
        <v>450</v>
      </c>
      <c r="GM202" s="7">
        <f t="shared" si="136"/>
        <v>100</v>
      </c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</row>
    <row r="203">
      <c r="A203" s="26">
        <v>43587.0</v>
      </c>
      <c r="B203" s="27" t="s">
        <v>283</v>
      </c>
      <c r="C203" s="16">
        <f t="shared" si="130"/>
        <v>195</v>
      </c>
      <c r="D203" s="28">
        <v>20.714273</v>
      </c>
      <c r="E203" s="28">
        <v>-156.447128</v>
      </c>
      <c r="F203" s="27" t="s">
        <v>266</v>
      </c>
      <c r="G203" s="29">
        <v>0.39444444444444443</v>
      </c>
      <c r="H203" s="29">
        <v>0.4270833333333333</v>
      </c>
      <c r="I203" s="28">
        <v>10.0</v>
      </c>
      <c r="J203" s="28">
        <v>10.0</v>
      </c>
      <c r="K203" s="27" t="s">
        <v>8</v>
      </c>
      <c r="L203" s="28">
        <v>5.0</v>
      </c>
      <c r="M203" s="28">
        <v>25.0</v>
      </c>
      <c r="N203" s="32" t="s">
        <v>284</v>
      </c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>
        <v>2.0</v>
      </c>
      <c r="AO203" s="27"/>
      <c r="AP203" s="27"/>
      <c r="AQ203" s="27"/>
      <c r="AR203" s="27"/>
      <c r="AS203" s="27"/>
      <c r="AT203" s="27"/>
      <c r="AU203" s="28">
        <v>1.0</v>
      </c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8">
        <v>10.0</v>
      </c>
      <c r="BG203" s="27"/>
      <c r="BH203" s="27"/>
      <c r="BI203" s="27"/>
      <c r="BJ203" s="27"/>
      <c r="BK203" s="27"/>
      <c r="BL203" s="27"/>
      <c r="BM203" s="28">
        <v>21.0</v>
      </c>
      <c r="BN203" s="27"/>
      <c r="BO203" s="27"/>
      <c r="BP203" s="27"/>
      <c r="BQ203" s="27"/>
      <c r="BR203" s="27"/>
      <c r="BS203" s="27"/>
      <c r="BT203" s="27"/>
      <c r="BU203" s="27"/>
      <c r="BV203" s="27"/>
      <c r="BW203" s="28">
        <v>1.0</v>
      </c>
      <c r="BX203" s="27"/>
      <c r="BY203" s="27"/>
      <c r="BZ203" s="27"/>
      <c r="CA203" s="27"/>
      <c r="CB203" s="27"/>
      <c r="CC203" s="28">
        <v>14.0</v>
      </c>
      <c r="CD203" s="28">
        <v>4.0</v>
      </c>
      <c r="CE203" s="28">
        <v>2.0</v>
      </c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8">
        <v>2.0</v>
      </c>
      <c r="ED203" s="28">
        <v>5.0</v>
      </c>
      <c r="EE203" s="27"/>
      <c r="EF203" s="27"/>
      <c r="EG203" s="27"/>
      <c r="EH203" s="27"/>
      <c r="EI203" s="27"/>
      <c r="EJ203" s="28">
        <v>26.0</v>
      </c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8">
        <v>13.0</v>
      </c>
      <c r="EW203" s="27"/>
      <c r="EX203" s="27"/>
      <c r="EY203" s="27"/>
      <c r="EZ203" s="27"/>
      <c r="FA203" s="28">
        <v>1.0</v>
      </c>
      <c r="FB203" s="27"/>
      <c r="FC203" s="27"/>
      <c r="FD203" s="27"/>
      <c r="FE203" s="27"/>
      <c r="FF203" s="28">
        <v>33.0</v>
      </c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8">
        <v>1.0</v>
      </c>
      <c r="FS203" s="28">
        <v>206.0</v>
      </c>
      <c r="FT203" s="27"/>
      <c r="FU203" s="27"/>
      <c r="FV203" s="27"/>
      <c r="FW203" s="27"/>
      <c r="FX203" s="27"/>
      <c r="FY203" s="27"/>
      <c r="FZ203" s="27"/>
      <c r="GA203" s="28">
        <v>5.0</v>
      </c>
      <c r="GB203" s="27"/>
      <c r="GC203" s="27"/>
      <c r="GD203" s="27"/>
      <c r="GE203" s="27"/>
      <c r="GF203" s="27"/>
      <c r="GG203" s="27"/>
      <c r="GH203" s="28">
        <f t="shared" si="131"/>
        <v>17</v>
      </c>
      <c r="GI203" s="28">
        <f t="shared" si="132"/>
        <v>13</v>
      </c>
      <c r="GJ203" s="28">
        <f t="shared" si="133"/>
        <v>9</v>
      </c>
      <c r="GK203" s="28">
        <f t="shared" si="134"/>
        <v>347</v>
      </c>
      <c r="GL203" s="28">
        <f t="shared" si="135"/>
        <v>0</v>
      </c>
      <c r="GM203" s="28">
        <f t="shared" si="136"/>
        <v>-347</v>
      </c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</row>
    <row r="204">
      <c r="A204" s="15">
        <v>43588.0</v>
      </c>
      <c r="B204" s="12" t="s">
        <v>69</v>
      </c>
      <c r="C204" s="16">
        <f t="shared" si="130"/>
        <v>196</v>
      </c>
      <c r="D204" s="13">
        <v>21.4104</v>
      </c>
      <c r="E204" s="13">
        <v>-158.177704</v>
      </c>
      <c r="F204" s="12" t="s">
        <v>266</v>
      </c>
      <c r="G204" s="14">
        <v>0.375</v>
      </c>
      <c r="H204" s="14">
        <v>0.5</v>
      </c>
      <c r="I204" s="13">
        <v>6.0</v>
      </c>
      <c r="J204" s="13">
        <v>10.0</v>
      </c>
      <c r="K204" s="12" t="s">
        <v>2</v>
      </c>
      <c r="L204" s="13">
        <v>5.0</v>
      </c>
      <c r="M204" s="13">
        <v>1.0</v>
      </c>
      <c r="N204" s="12" t="s">
        <v>285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3">
        <v>5.0</v>
      </c>
      <c r="BR204" s="13">
        <v>5.0</v>
      </c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3">
        <v>2.0</v>
      </c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3">
        <v>7.0</v>
      </c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3">
        <v>1.0</v>
      </c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</row>
    <row r="205">
      <c r="A205" s="15">
        <v>43591.0</v>
      </c>
      <c r="B205" s="12" t="s">
        <v>69</v>
      </c>
      <c r="C205" s="16">
        <v>215.0</v>
      </c>
      <c r="D205" s="13">
        <v>21.4104</v>
      </c>
      <c r="E205" s="13">
        <v>-158.177704</v>
      </c>
      <c r="F205" s="12" t="s">
        <v>266</v>
      </c>
      <c r="G205" s="14">
        <v>0.40625</v>
      </c>
      <c r="H205" s="14">
        <v>0.4791666666666667</v>
      </c>
      <c r="I205" s="13">
        <v>5.0</v>
      </c>
      <c r="J205" s="13">
        <v>20.0</v>
      </c>
      <c r="K205" s="12" t="s">
        <v>128</v>
      </c>
      <c r="L205" s="13">
        <v>5.0</v>
      </c>
      <c r="M205" s="13">
        <v>24.0</v>
      </c>
      <c r="N205" s="12" t="s">
        <v>111</v>
      </c>
      <c r="O205" s="12"/>
      <c r="P205" s="12"/>
      <c r="Q205" s="12"/>
      <c r="R205" s="13">
        <v>4.0</v>
      </c>
      <c r="S205" s="13">
        <v>3.0</v>
      </c>
      <c r="T205" s="12"/>
      <c r="U205" s="12"/>
      <c r="V205" s="12"/>
      <c r="W205" s="12"/>
      <c r="X205" s="12"/>
      <c r="Y205" s="12"/>
      <c r="Z205" s="12"/>
      <c r="AA205" s="12"/>
      <c r="AB205" s="12"/>
      <c r="AC205" s="13">
        <v>6.0</v>
      </c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3">
        <v>2.0</v>
      </c>
      <c r="BE205" s="12"/>
      <c r="BF205" s="12"/>
      <c r="BG205" s="12"/>
      <c r="BH205" s="12"/>
      <c r="BI205" s="12"/>
      <c r="BJ205" s="12"/>
      <c r="BK205" s="12"/>
      <c r="BL205" s="12"/>
      <c r="BM205" s="13">
        <v>49.0</v>
      </c>
      <c r="BN205" s="12"/>
      <c r="BO205" s="12"/>
      <c r="BP205" s="12"/>
      <c r="BQ205" s="13">
        <v>59.0</v>
      </c>
      <c r="BR205" s="12"/>
      <c r="BS205" s="12"/>
      <c r="BT205" s="13">
        <v>1.0</v>
      </c>
      <c r="BU205" s="12"/>
      <c r="BV205" s="13">
        <v>7.0</v>
      </c>
      <c r="BW205" s="12"/>
      <c r="BX205" s="12"/>
      <c r="BY205" s="12"/>
      <c r="BZ205" s="13">
        <v>8.0</v>
      </c>
      <c r="CA205" s="12"/>
      <c r="CB205" s="13">
        <v>3.0</v>
      </c>
      <c r="CC205" s="13">
        <v>29.0</v>
      </c>
      <c r="CD205" s="13">
        <v>12.0</v>
      </c>
      <c r="CE205" s="13">
        <v>36.0</v>
      </c>
      <c r="CF205" s="13">
        <v>14.0</v>
      </c>
      <c r="CG205" s="12"/>
      <c r="CH205" s="12"/>
      <c r="CI205" s="12"/>
      <c r="CJ205" s="12"/>
      <c r="CK205" s="12"/>
      <c r="CL205" s="12"/>
      <c r="CM205" s="12"/>
      <c r="CN205" s="12"/>
      <c r="CO205" s="13">
        <v>23.0</v>
      </c>
      <c r="CP205" s="12"/>
      <c r="CQ205" s="12"/>
      <c r="CR205" s="12"/>
      <c r="CS205" s="13">
        <v>5.0</v>
      </c>
      <c r="CT205" s="12"/>
      <c r="CU205" s="12"/>
      <c r="CV205" s="12"/>
      <c r="CW205" s="12"/>
      <c r="CX205" s="12"/>
      <c r="CY205" s="12"/>
      <c r="CZ205" s="12"/>
      <c r="DA205" s="13">
        <v>1.0</v>
      </c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3">
        <v>5.0</v>
      </c>
      <c r="DN205" s="12"/>
      <c r="DO205" s="12"/>
      <c r="DP205" s="13">
        <v>5.0</v>
      </c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3">
        <v>13.0</v>
      </c>
      <c r="ED205" s="13">
        <v>10.0</v>
      </c>
      <c r="EE205" s="12"/>
      <c r="EF205" s="12"/>
      <c r="EG205" s="12"/>
      <c r="EH205" s="12"/>
      <c r="EI205" s="12"/>
      <c r="EJ205" s="13">
        <v>11.0</v>
      </c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3">
        <v>20.0</v>
      </c>
      <c r="FC205" s="13">
        <v>19.0</v>
      </c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3">
        <v>11.0</v>
      </c>
      <c r="FS205" s="13">
        <v>170.0</v>
      </c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</row>
    <row r="206">
      <c r="A206" s="15">
        <v>43592.0</v>
      </c>
      <c r="B206" s="12" t="s">
        <v>69</v>
      </c>
      <c r="C206" s="16">
        <f t="shared" ref="C206:C208" si="137">C205+1</f>
        <v>216</v>
      </c>
      <c r="D206" s="13">
        <v>21.4104</v>
      </c>
      <c r="E206" s="13">
        <v>-158.177704</v>
      </c>
      <c r="F206" s="12" t="s">
        <v>266</v>
      </c>
      <c r="G206" s="14">
        <v>0.4375</v>
      </c>
      <c r="H206" s="14">
        <v>0.4791666666666667</v>
      </c>
      <c r="I206" s="13">
        <v>5.0</v>
      </c>
      <c r="J206" s="13">
        <v>20.0</v>
      </c>
      <c r="K206" s="12" t="s">
        <v>8</v>
      </c>
      <c r="L206" s="13">
        <v>5.0</v>
      </c>
      <c r="M206" s="13">
        <v>19.0</v>
      </c>
      <c r="N206" s="12" t="s">
        <v>129</v>
      </c>
      <c r="O206" s="12"/>
      <c r="P206" s="12"/>
      <c r="Q206" s="12"/>
      <c r="R206" s="13">
        <v>7.0</v>
      </c>
      <c r="S206" s="13">
        <v>1.0</v>
      </c>
      <c r="T206" s="12"/>
      <c r="U206" s="12"/>
      <c r="V206" s="12"/>
      <c r="W206" s="12"/>
      <c r="X206" s="12"/>
      <c r="Y206" s="12"/>
      <c r="Z206" s="12"/>
      <c r="AA206" s="12"/>
      <c r="AB206" s="12"/>
      <c r="AC206" s="13">
        <v>9.0</v>
      </c>
      <c r="AD206" s="12"/>
      <c r="AE206" s="12"/>
      <c r="AF206" s="12"/>
      <c r="AG206" s="12"/>
      <c r="AH206" s="12"/>
      <c r="AI206" s="13">
        <v>25.0</v>
      </c>
      <c r="AJ206" s="12"/>
      <c r="AK206" s="12"/>
      <c r="AL206" s="12"/>
      <c r="AM206" s="13">
        <v>1.0</v>
      </c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3">
        <v>9.0</v>
      </c>
      <c r="BF206" s="12"/>
      <c r="BG206" s="12"/>
      <c r="BH206" s="12"/>
      <c r="BI206" s="12"/>
      <c r="BJ206" s="12"/>
      <c r="BK206" s="12"/>
      <c r="BL206" s="13">
        <v>2.0</v>
      </c>
      <c r="BM206" s="12"/>
      <c r="BN206" s="13">
        <v>5.0</v>
      </c>
      <c r="BO206" s="12"/>
      <c r="BP206" s="12"/>
      <c r="BQ206" s="12"/>
      <c r="BR206" s="12"/>
      <c r="BS206" s="12"/>
      <c r="BT206" s="12"/>
      <c r="BU206" s="12"/>
      <c r="BV206" s="13">
        <v>13.0</v>
      </c>
      <c r="BW206" s="12"/>
      <c r="BX206" s="12"/>
      <c r="BY206" s="12"/>
      <c r="BZ206" s="13">
        <v>8.0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3">
        <v>1.0</v>
      </c>
      <c r="CK206" s="12"/>
      <c r="CL206" s="12"/>
      <c r="CM206" s="12"/>
      <c r="CN206" s="12"/>
      <c r="CO206" s="13">
        <v>14.0</v>
      </c>
      <c r="CP206" s="12"/>
      <c r="CQ206" s="12"/>
      <c r="CR206" s="12"/>
      <c r="CS206" s="13">
        <v>9.0</v>
      </c>
      <c r="CT206" s="12"/>
      <c r="CU206" s="12"/>
      <c r="CV206" s="13">
        <v>4.0</v>
      </c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3">
        <v>7.0</v>
      </c>
      <c r="DH206" s="12"/>
      <c r="DI206" s="12"/>
      <c r="DJ206" s="12"/>
      <c r="DK206" s="12"/>
      <c r="DL206" s="12"/>
      <c r="DM206" s="13">
        <v>59.0</v>
      </c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3">
        <v>9.0</v>
      </c>
      <c r="ED206" s="12"/>
      <c r="EE206" s="12"/>
      <c r="EF206" s="12"/>
      <c r="EG206" s="12"/>
      <c r="EH206" s="12"/>
      <c r="EI206" s="12"/>
      <c r="EJ206" s="13">
        <v>26.0</v>
      </c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3">
        <v>15.0</v>
      </c>
      <c r="EW206" s="12"/>
      <c r="EX206" s="13">
        <v>42.0</v>
      </c>
      <c r="EY206" s="12"/>
      <c r="EZ206" s="12"/>
      <c r="FA206" s="12"/>
      <c r="FB206" s="13">
        <v>7.0</v>
      </c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3">
        <v>16.0</v>
      </c>
      <c r="FS206" s="13">
        <v>53.0</v>
      </c>
      <c r="FT206" s="12"/>
      <c r="FU206" s="12"/>
      <c r="FV206" s="12"/>
      <c r="FW206" s="13">
        <v>4.0</v>
      </c>
      <c r="FX206" s="12"/>
      <c r="FY206" s="12"/>
      <c r="FZ206" s="12"/>
      <c r="GA206" s="12"/>
      <c r="GB206" s="12"/>
      <c r="GC206" s="12"/>
      <c r="GD206" s="12"/>
      <c r="GE206" s="12"/>
      <c r="GF206" s="12"/>
      <c r="GG206" s="13">
        <v>3.0</v>
      </c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</row>
    <row r="207">
      <c r="A207" s="21">
        <v>43602.0</v>
      </c>
      <c r="B207" s="5" t="s">
        <v>32</v>
      </c>
      <c r="C207" s="16">
        <f t="shared" si="137"/>
        <v>217</v>
      </c>
      <c r="D207" s="7">
        <v>19.640812</v>
      </c>
      <c r="E207" s="7">
        <v>-156.006927</v>
      </c>
      <c r="F207" s="5" t="s">
        <v>266</v>
      </c>
      <c r="G207" s="6">
        <v>0.3645833333333333</v>
      </c>
      <c r="H207" s="6">
        <v>0.4479166666666667</v>
      </c>
      <c r="I207" s="7">
        <v>5.0</v>
      </c>
      <c r="J207" s="7">
        <v>22.0</v>
      </c>
      <c r="K207" s="5" t="s">
        <v>6</v>
      </c>
      <c r="L207" s="7">
        <v>10.0</v>
      </c>
      <c r="M207" s="7">
        <v>19.0</v>
      </c>
      <c r="N207" s="5" t="s">
        <v>286</v>
      </c>
      <c r="O207" s="5"/>
      <c r="P207" s="7">
        <v>19.0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7">
        <v>12.0</v>
      </c>
      <c r="AE207" s="5"/>
      <c r="AF207" s="5"/>
      <c r="AG207" s="5"/>
      <c r="AH207" s="7">
        <v>2.0</v>
      </c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7">
        <v>1.0</v>
      </c>
      <c r="BC207" s="5"/>
      <c r="BD207" s="5"/>
      <c r="BE207" s="5"/>
      <c r="BF207" s="5"/>
      <c r="BG207" s="7">
        <v>10.0</v>
      </c>
      <c r="BH207" s="7">
        <v>3.0</v>
      </c>
      <c r="BI207" s="5"/>
      <c r="BJ207" s="5"/>
      <c r="BK207" s="5"/>
      <c r="BL207" s="7">
        <v>1.0</v>
      </c>
      <c r="BM207" s="7">
        <v>28.0</v>
      </c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7">
        <v>17.0</v>
      </c>
      <c r="CD207" s="7">
        <v>5.0</v>
      </c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7">
        <v>21.0</v>
      </c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7">
        <v>2.0</v>
      </c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7">
        <v>27.0</v>
      </c>
      <c r="FB207" s="7">
        <v>58.0</v>
      </c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7">
        <v>134.0</v>
      </c>
      <c r="FT207" s="5"/>
      <c r="FU207" s="5"/>
      <c r="FV207" s="5"/>
      <c r="FW207" s="7">
        <v>1.0</v>
      </c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7">
        <f t="shared" ref="GH207:GH208" si="138">count(R207:GG207)</f>
        <v>15</v>
      </c>
      <c r="GI207" s="7">
        <f t="shared" ref="GI207:GI208" si="139">countif(R207:GG207,"&gt;=2")</f>
        <v>12</v>
      </c>
      <c r="GJ207" s="7">
        <f t="shared" ref="GJ207:GJ208" si="140">countif(R207:GG207,"&gt;=5")</f>
        <v>9</v>
      </c>
      <c r="GK207" s="7">
        <f t="shared" ref="GK207:GK208" si="141">sum(R207:GG207)</f>
        <v>322</v>
      </c>
      <c r="GL207" s="7">
        <f t="shared" ref="GL207:GL208" si="142">25*P207</f>
        <v>475</v>
      </c>
      <c r="GM207" s="7">
        <f t="shared" ref="GM207:GM208" si="143">GL207-GK207</f>
        <v>153</v>
      </c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</row>
    <row r="208">
      <c r="A208" s="21">
        <v>42834.0</v>
      </c>
      <c r="B208" s="5" t="s">
        <v>103</v>
      </c>
      <c r="C208" s="16">
        <f t="shared" si="137"/>
        <v>218</v>
      </c>
      <c r="D208" s="7">
        <v>22.065599</v>
      </c>
      <c r="E208" s="7">
        <v>-159.317703</v>
      </c>
      <c r="F208" s="5" t="s">
        <v>287</v>
      </c>
      <c r="G208" s="6">
        <v>0.36875</v>
      </c>
      <c r="H208" s="6">
        <v>0.41041666666666665</v>
      </c>
      <c r="I208" s="7">
        <v>4.0</v>
      </c>
      <c r="J208" s="7">
        <v>15.0</v>
      </c>
      <c r="K208" s="5" t="s">
        <v>8</v>
      </c>
      <c r="L208" s="7">
        <v>8.0</v>
      </c>
      <c r="M208" s="7">
        <v>25.0</v>
      </c>
      <c r="N208" s="5" t="s">
        <v>288</v>
      </c>
      <c r="O208" s="5"/>
      <c r="P208" s="7">
        <v>25.0</v>
      </c>
      <c r="Q208" s="5"/>
      <c r="R208" s="7">
        <v>1.0</v>
      </c>
      <c r="S208" s="5"/>
      <c r="T208" s="5"/>
      <c r="U208" s="5"/>
      <c r="V208" s="5"/>
      <c r="W208" s="5"/>
      <c r="X208" s="5"/>
      <c r="Y208" s="5"/>
      <c r="Z208" s="5"/>
      <c r="AA208" s="5"/>
      <c r="AB208" s="7">
        <v>6.0</v>
      </c>
      <c r="AC208" s="5"/>
      <c r="AD208" s="7">
        <v>1.0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7">
        <v>1.0</v>
      </c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7">
        <v>70.0</v>
      </c>
      <c r="BO208" s="5"/>
      <c r="BP208" s="5"/>
      <c r="BQ208" s="5"/>
      <c r="BR208" s="5"/>
      <c r="BS208" s="5"/>
      <c r="BT208" s="5"/>
      <c r="BU208" s="5"/>
      <c r="BV208" s="7">
        <v>10.0</v>
      </c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7">
        <v>28.0</v>
      </c>
      <c r="DN208" s="7">
        <v>1.0</v>
      </c>
      <c r="DO208" s="5"/>
      <c r="DP208" s="5"/>
      <c r="DQ208" s="5"/>
      <c r="DR208" s="5"/>
      <c r="DS208" s="7">
        <v>6.0</v>
      </c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7">
        <v>140.0</v>
      </c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7">
        <v>6.0</v>
      </c>
      <c r="FC208" s="5"/>
      <c r="FD208" s="5"/>
      <c r="FE208" s="5"/>
      <c r="FF208" s="5"/>
      <c r="FG208" s="5"/>
      <c r="FH208" s="5"/>
      <c r="FI208" s="7">
        <v>17.0</v>
      </c>
      <c r="FJ208" s="5"/>
      <c r="FK208" s="5"/>
      <c r="FL208" s="5"/>
      <c r="FM208" s="5"/>
      <c r="FN208" s="5"/>
      <c r="FO208" s="5"/>
      <c r="FP208" s="5"/>
      <c r="FQ208" s="5"/>
      <c r="FR208" s="7">
        <v>30.0</v>
      </c>
      <c r="FS208" s="7">
        <v>108.0</v>
      </c>
      <c r="FT208" s="5"/>
      <c r="FU208" s="5"/>
      <c r="FV208" s="5"/>
      <c r="FW208" s="5"/>
      <c r="FX208" s="5"/>
      <c r="FY208" s="5"/>
      <c r="FZ208" s="5"/>
      <c r="GA208" s="5"/>
      <c r="GB208" s="7">
        <v>53.0</v>
      </c>
      <c r="GC208" s="5"/>
      <c r="GD208" s="5"/>
      <c r="GE208" s="5"/>
      <c r="GF208" s="5"/>
      <c r="GG208" s="5"/>
      <c r="GH208" s="7">
        <f t="shared" si="138"/>
        <v>15</v>
      </c>
      <c r="GI208" s="7">
        <f t="shared" si="139"/>
        <v>11</v>
      </c>
      <c r="GJ208" s="7">
        <f t="shared" si="140"/>
        <v>11</v>
      </c>
      <c r="GK208" s="7">
        <f t="shared" si="141"/>
        <v>478</v>
      </c>
      <c r="GL208" s="7">
        <f t="shared" si="142"/>
        <v>625</v>
      </c>
      <c r="GM208" s="7">
        <f t="shared" si="143"/>
        <v>147</v>
      </c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</row>
    <row r="209">
      <c r="A209" s="15">
        <v>43211.0</v>
      </c>
      <c r="B209" s="12" t="s">
        <v>14</v>
      </c>
      <c r="C209" s="16">
        <v>145.0</v>
      </c>
      <c r="D209" s="13">
        <v>19.738602</v>
      </c>
      <c r="E209" s="13">
        <v>-155.038879</v>
      </c>
      <c r="F209" s="12" t="s">
        <v>289</v>
      </c>
      <c r="G209" s="14">
        <v>0.4791666666666667</v>
      </c>
      <c r="H209" s="14">
        <v>0.041666666666666664</v>
      </c>
      <c r="I209" s="13">
        <v>1.0</v>
      </c>
      <c r="J209" s="13">
        <v>18.0</v>
      </c>
      <c r="K209" s="12" t="s">
        <v>174</v>
      </c>
      <c r="L209" s="13">
        <v>10.0</v>
      </c>
      <c r="M209" s="13">
        <v>5.0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3">
        <v>3.0</v>
      </c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3">
        <v>5.0</v>
      </c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3">
        <v>2.0</v>
      </c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3">
        <v>79.0</v>
      </c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3">
        <v>2.0</v>
      </c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</row>
    <row r="210">
      <c r="A210" s="21">
        <v>42851.0</v>
      </c>
      <c r="B210" s="5" t="s">
        <v>14</v>
      </c>
      <c r="C210" s="16">
        <f t="shared" ref="C210:C219" si="144">C209+1</f>
        <v>146</v>
      </c>
      <c r="D210" s="7">
        <v>19.738602</v>
      </c>
      <c r="E210" s="7">
        <v>-155.038879</v>
      </c>
      <c r="F210" s="5" t="s">
        <v>290</v>
      </c>
      <c r="G210" s="6">
        <v>0.3993055555555556</v>
      </c>
      <c r="H210" s="6">
        <v>0.4548611111111111</v>
      </c>
      <c r="I210" s="7">
        <v>5.0</v>
      </c>
      <c r="J210" s="7">
        <v>22.0</v>
      </c>
      <c r="K210" s="5" t="s">
        <v>8</v>
      </c>
      <c r="L210" s="7">
        <v>6.0</v>
      </c>
      <c r="M210" s="7">
        <v>28.0</v>
      </c>
      <c r="N210" s="5" t="s">
        <v>291</v>
      </c>
      <c r="O210" s="5"/>
      <c r="P210" s="7">
        <v>28.0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7">
        <v>12.0</v>
      </c>
      <c r="BL210" s="5"/>
      <c r="BM210" s="7">
        <v>222.0</v>
      </c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7">
        <v>5.0</v>
      </c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7">
        <v>2.0</v>
      </c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7">
        <v>4.0</v>
      </c>
      <c r="EK210" s="5"/>
      <c r="EL210" s="5"/>
      <c r="EM210" s="5"/>
      <c r="EN210" s="5"/>
      <c r="EO210" s="5"/>
      <c r="EP210" s="7">
        <v>1.0</v>
      </c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7">
        <v>377.0</v>
      </c>
      <c r="FT210" s="7">
        <v>5.0</v>
      </c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7">
        <f>count(R210:GG210)</f>
        <v>8</v>
      </c>
      <c r="GI210" s="7">
        <f>countif(R210:GG210,"&gt;=2")</f>
        <v>7</v>
      </c>
      <c r="GJ210" s="7">
        <f>countif(R210:GG210,"&gt;=5")</f>
        <v>5</v>
      </c>
      <c r="GK210" s="7">
        <f>sum(R210:GG210)</f>
        <v>628</v>
      </c>
      <c r="GL210" s="7">
        <f>25*P210</f>
        <v>700</v>
      </c>
      <c r="GM210" s="7">
        <f>GL210-GK210</f>
        <v>72</v>
      </c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</row>
    <row r="211">
      <c r="A211" s="15">
        <v>43208.0</v>
      </c>
      <c r="B211" s="12" t="s">
        <v>292</v>
      </c>
      <c r="C211" s="16">
        <f t="shared" si="144"/>
        <v>147</v>
      </c>
      <c r="D211" s="13">
        <v>19.13592</v>
      </c>
      <c r="E211" s="13">
        <v>-155.504684</v>
      </c>
      <c r="F211" s="12" t="s">
        <v>290</v>
      </c>
      <c r="G211" s="14">
        <v>0.4111111111111111</v>
      </c>
      <c r="H211" s="14">
        <v>0.4513888888888889</v>
      </c>
      <c r="I211" s="13">
        <v>5.0</v>
      </c>
      <c r="J211" s="13">
        <v>20.0</v>
      </c>
      <c r="K211" s="12" t="s">
        <v>8</v>
      </c>
      <c r="L211" s="13">
        <v>5.0</v>
      </c>
      <c r="M211" s="13">
        <v>25.0</v>
      </c>
      <c r="N211" s="12"/>
      <c r="O211" s="12"/>
      <c r="P211" s="12"/>
      <c r="Q211" s="12"/>
      <c r="R211" s="12"/>
      <c r="S211" s="12"/>
      <c r="T211" s="13">
        <v>9.0</v>
      </c>
      <c r="U211" s="12"/>
      <c r="V211" s="12"/>
      <c r="W211" s="12"/>
      <c r="X211" s="12"/>
      <c r="Y211" s="12"/>
      <c r="Z211" s="12"/>
      <c r="AA211" s="12"/>
      <c r="AB211" s="13">
        <v>13.0</v>
      </c>
      <c r="AC211" s="12"/>
      <c r="AD211" s="12"/>
      <c r="AE211" s="12"/>
      <c r="AF211" s="13">
        <v>3.0</v>
      </c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3">
        <v>18.0</v>
      </c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3">
        <v>14.0</v>
      </c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3">
        <v>1.0</v>
      </c>
      <c r="CD211" s="12"/>
      <c r="CE211" s="13">
        <v>2.0</v>
      </c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3">
        <v>38.0</v>
      </c>
      <c r="DI211" s="12"/>
      <c r="DJ211" s="12"/>
      <c r="DK211" s="12"/>
      <c r="DL211" s="12"/>
      <c r="DM211" s="12"/>
      <c r="DN211" s="12"/>
      <c r="DO211" s="12"/>
      <c r="DP211" s="13">
        <v>14.0</v>
      </c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3">
        <v>5.0</v>
      </c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3">
        <v>16.0</v>
      </c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3">
        <v>458.0</v>
      </c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</row>
    <row r="212">
      <c r="A212" s="15">
        <v>43564.0</v>
      </c>
      <c r="B212" s="12" t="s">
        <v>43</v>
      </c>
      <c r="C212" s="16">
        <f t="shared" si="144"/>
        <v>148</v>
      </c>
      <c r="D212" s="13">
        <v>21.2882</v>
      </c>
      <c r="E212" s="13">
        <v>-157.667999</v>
      </c>
      <c r="F212" s="12" t="s">
        <v>293</v>
      </c>
      <c r="G212" s="14">
        <v>0.3888888888888889</v>
      </c>
      <c r="H212" s="14">
        <v>0.4583333333333333</v>
      </c>
      <c r="I212" s="13">
        <v>6.0</v>
      </c>
      <c r="J212" s="13">
        <v>12.0</v>
      </c>
      <c r="K212" s="12" t="s">
        <v>8</v>
      </c>
      <c r="L212" s="13">
        <v>6.0</v>
      </c>
      <c r="M212" s="13">
        <v>20.0</v>
      </c>
      <c r="N212" s="12" t="s">
        <v>294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3">
        <v>8.0</v>
      </c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3">
        <v>1.0</v>
      </c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3">
        <v>1.0</v>
      </c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3">
        <v>14.0</v>
      </c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3">
        <v>5.0</v>
      </c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3">
        <v>2.0</v>
      </c>
      <c r="FS212" s="13">
        <v>142.0</v>
      </c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</row>
    <row r="213">
      <c r="A213" s="15">
        <v>43566.0</v>
      </c>
      <c r="B213" s="12" t="s">
        <v>43</v>
      </c>
      <c r="C213" s="16">
        <f t="shared" si="144"/>
        <v>149</v>
      </c>
      <c r="D213" s="13">
        <v>21.2882</v>
      </c>
      <c r="E213" s="13">
        <v>-157.667999</v>
      </c>
      <c r="F213" s="12" t="s">
        <v>293</v>
      </c>
      <c r="G213" s="14">
        <v>0.3888888888888889</v>
      </c>
      <c r="H213" s="14">
        <v>0.4618055555555556</v>
      </c>
      <c r="I213" s="13">
        <v>5.0</v>
      </c>
      <c r="J213" s="13">
        <v>10.0</v>
      </c>
      <c r="K213" s="12" t="s">
        <v>8</v>
      </c>
      <c r="L213" s="13">
        <v>6.0</v>
      </c>
      <c r="M213" s="13">
        <v>11.0</v>
      </c>
      <c r="N213" s="12" t="s">
        <v>295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3">
        <v>1.0</v>
      </c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3">
        <v>1.0</v>
      </c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3">
        <v>1.0</v>
      </c>
      <c r="EJ213" s="13">
        <v>2.0</v>
      </c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3">
        <v>1.0</v>
      </c>
      <c r="FS213" s="13">
        <v>34.0</v>
      </c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3">
        <v>12.0</v>
      </c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</row>
    <row r="214">
      <c r="A214" s="21">
        <v>43573.0</v>
      </c>
      <c r="B214" s="5" t="s">
        <v>296</v>
      </c>
      <c r="C214" s="16">
        <f t="shared" si="144"/>
        <v>150</v>
      </c>
      <c r="D214" s="7">
        <v>21.452875</v>
      </c>
      <c r="E214" s="7">
        <v>-158.199966</v>
      </c>
      <c r="F214" s="5" t="s">
        <v>297</v>
      </c>
      <c r="G214" s="6">
        <v>0.3541666666666667</v>
      </c>
      <c r="H214" s="6">
        <v>0.3993055555555556</v>
      </c>
      <c r="I214" s="7">
        <v>6.0</v>
      </c>
      <c r="J214" s="7">
        <v>11.0</v>
      </c>
      <c r="K214" s="5" t="s">
        <v>16</v>
      </c>
      <c r="L214" s="7">
        <v>5.0</v>
      </c>
      <c r="M214" s="7">
        <v>30.0</v>
      </c>
      <c r="N214" s="5"/>
      <c r="O214" s="5"/>
      <c r="P214" s="7">
        <v>30.0</v>
      </c>
      <c r="Q214" s="5"/>
      <c r="R214" s="7">
        <v>7.0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7">
        <v>19.0</v>
      </c>
      <c r="BN214" s="5"/>
      <c r="BO214" s="5"/>
      <c r="BP214" s="5"/>
      <c r="BQ214" s="5"/>
      <c r="BR214" s="5"/>
      <c r="BS214" s="5"/>
      <c r="BT214" s="5"/>
      <c r="BU214" s="5"/>
      <c r="BV214" s="7">
        <v>8.0</v>
      </c>
      <c r="BW214" s="5"/>
      <c r="BX214" s="5"/>
      <c r="BY214" s="5"/>
      <c r="BZ214" s="7">
        <v>35.0</v>
      </c>
      <c r="CA214" s="5"/>
      <c r="CB214" s="5"/>
      <c r="CC214" s="5"/>
      <c r="CD214" s="5"/>
      <c r="CE214" s="7">
        <v>25.0</v>
      </c>
      <c r="CF214" s="7">
        <v>12.0</v>
      </c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7">
        <v>89.0</v>
      </c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7">
        <v>111.0</v>
      </c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7">
        <v>2.0</v>
      </c>
      <c r="FA214" s="5"/>
      <c r="FB214" s="7">
        <v>187.0</v>
      </c>
      <c r="FC214" s="5"/>
      <c r="FD214" s="5"/>
      <c r="FE214" s="5"/>
      <c r="FF214" s="5"/>
      <c r="FG214" s="5"/>
      <c r="FH214" s="5"/>
      <c r="FI214" s="7">
        <v>11.0</v>
      </c>
      <c r="FJ214" s="5"/>
      <c r="FK214" s="5"/>
      <c r="FL214" s="5"/>
      <c r="FM214" s="5"/>
      <c r="FN214" s="5"/>
      <c r="FO214" s="5"/>
      <c r="FP214" s="5"/>
      <c r="FQ214" s="5"/>
      <c r="FR214" s="7">
        <v>12.0</v>
      </c>
      <c r="FS214" s="7">
        <v>157.0</v>
      </c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7">
        <f t="shared" ref="GH214:GH217" si="145">count(R214:GG214)</f>
        <v>13</v>
      </c>
      <c r="GI214" s="7">
        <f t="shared" ref="GI214:GI217" si="146">countif(R214:GG214,"&gt;=2")</f>
        <v>13</v>
      </c>
      <c r="GJ214" s="7">
        <f t="shared" ref="GJ214:GJ217" si="147">countif(R214:GG214,"&gt;=5")</f>
        <v>12</v>
      </c>
      <c r="GK214" s="7">
        <f t="shared" ref="GK214:GK217" si="148">sum(R214:GG214)</f>
        <v>675</v>
      </c>
      <c r="GL214" s="7">
        <f t="shared" ref="GL214:GL217" si="149">25*P214</f>
        <v>750</v>
      </c>
      <c r="GM214" s="7">
        <f t="shared" ref="GM214:GM217" si="150">GL214-GK214</f>
        <v>75</v>
      </c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</row>
    <row r="215">
      <c r="A215" s="21">
        <v>43564.0</v>
      </c>
      <c r="B215" s="5" t="s">
        <v>5</v>
      </c>
      <c r="C215" s="16">
        <f t="shared" si="144"/>
        <v>151</v>
      </c>
      <c r="D215" s="7">
        <v>21.316488</v>
      </c>
      <c r="E215" s="7">
        <v>-157.664261</v>
      </c>
      <c r="F215" s="5" t="s">
        <v>298</v>
      </c>
      <c r="G215" s="6">
        <v>0.36319444444444443</v>
      </c>
      <c r="H215" s="6">
        <v>0.3958333333333333</v>
      </c>
      <c r="I215" s="7">
        <v>4.0</v>
      </c>
      <c r="J215" s="7">
        <v>40.0</v>
      </c>
      <c r="K215" s="5" t="s">
        <v>299</v>
      </c>
      <c r="L215" s="7">
        <v>5.0</v>
      </c>
      <c r="M215" s="7">
        <v>10.0</v>
      </c>
      <c r="N215" s="5" t="s">
        <v>300</v>
      </c>
      <c r="O215" s="5"/>
      <c r="P215" s="7">
        <v>10.0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7">
        <v>2.0</v>
      </c>
      <c r="CD215" s="5"/>
      <c r="CE215" s="5"/>
      <c r="CF215" s="5"/>
      <c r="CG215" s="5"/>
      <c r="CH215" s="7">
        <v>3.0</v>
      </c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7">
        <v>2.0</v>
      </c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7">
        <v>15.0</v>
      </c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7">
        <v>13.0</v>
      </c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7">
        <f t="shared" si="145"/>
        <v>5</v>
      </c>
      <c r="GI215" s="7">
        <f t="shared" si="146"/>
        <v>5</v>
      </c>
      <c r="GJ215" s="7">
        <f t="shared" si="147"/>
        <v>2</v>
      </c>
      <c r="GK215" s="7">
        <f t="shared" si="148"/>
        <v>35</v>
      </c>
      <c r="GL215" s="7">
        <f t="shared" si="149"/>
        <v>250</v>
      </c>
      <c r="GM215" s="7">
        <f t="shared" si="150"/>
        <v>215</v>
      </c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</row>
    <row r="216">
      <c r="A216" s="33">
        <v>43901.0</v>
      </c>
      <c r="B216" s="5" t="s">
        <v>5</v>
      </c>
      <c r="C216" s="16">
        <f t="shared" si="144"/>
        <v>152</v>
      </c>
      <c r="D216" s="34">
        <v>21.316488</v>
      </c>
      <c r="E216" s="34">
        <v>-157.664261</v>
      </c>
      <c r="F216" s="5" t="s">
        <v>298</v>
      </c>
      <c r="G216" s="35">
        <v>0.375694444444444</v>
      </c>
      <c r="H216" s="35">
        <v>0.416666666666667</v>
      </c>
      <c r="I216" s="34">
        <v>5.0</v>
      </c>
      <c r="J216" s="34">
        <v>40.0</v>
      </c>
      <c r="K216" s="5" t="s">
        <v>299</v>
      </c>
      <c r="L216" s="34">
        <v>5.0</v>
      </c>
      <c r="M216" s="7">
        <v>25.0</v>
      </c>
      <c r="N216" s="5"/>
      <c r="O216" s="5"/>
      <c r="P216" s="7">
        <v>25.0</v>
      </c>
      <c r="Q216" s="30" t="s">
        <v>301</v>
      </c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7">
        <v>25.0</v>
      </c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7">
        <v>7.0</v>
      </c>
      <c r="CD216" s="5"/>
      <c r="CE216" s="5"/>
      <c r="CF216" s="5"/>
      <c r="CG216" s="5"/>
      <c r="CH216" s="7">
        <v>1.0</v>
      </c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7">
        <v>6.0</v>
      </c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7">
        <v>252.0</v>
      </c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7">
        <f t="shared" si="145"/>
        <v>5</v>
      </c>
      <c r="GI216" s="7">
        <f t="shared" si="146"/>
        <v>4</v>
      </c>
      <c r="GJ216" s="7">
        <f t="shared" si="147"/>
        <v>4</v>
      </c>
      <c r="GK216" s="7">
        <f t="shared" si="148"/>
        <v>291</v>
      </c>
      <c r="GL216" s="7">
        <f t="shared" si="149"/>
        <v>625</v>
      </c>
      <c r="GM216" s="7">
        <f t="shared" si="150"/>
        <v>334</v>
      </c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</row>
    <row r="217">
      <c r="A217" s="21">
        <v>42866.0</v>
      </c>
      <c r="B217" s="5" t="s">
        <v>302</v>
      </c>
      <c r="C217" s="16">
        <f t="shared" si="144"/>
        <v>153</v>
      </c>
      <c r="D217" s="7">
        <v>21.900562</v>
      </c>
      <c r="E217" s="7">
        <v>-159.609818</v>
      </c>
      <c r="F217" s="5" t="s">
        <v>303</v>
      </c>
      <c r="G217" s="6">
        <v>0.3680555555555556</v>
      </c>
      <c r="H217" s="6">
        <v>0.4131944444444444</v>
      </c>
      <c r="I217" s="7">
        <v>6.0</v>
      </c>
      <c r="J217" s="7">
        <v>15.0</v>
      </c>
      <c r="K217" s="5" t="s">
        <v>8</v>
      </c>
      <c r="L217" s="7">
        <v>5.0</v>
      </c>
      <c r="M217" s="7">
        <v>25.0</v>
      </c>
      <c r="N217" s="5" t="s">
        <v>304</v>
      </c>
      <c r="O217" s="5"/>
      <c r="P217" s="7">
        <v>25.0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7">
        <v>2.0</v>
      </c>
      <c r="AC217" s="7">
        <v>1.0</v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7">
        <v>1.0</v>
      </c>
      <c r="BN217" s="5"/>
      <c r="BO217" s="5"/>
      <c r="BP217" s="5"/>
      <c r="BQ217" s="5"/>
      <c r="BR217" s="5"/>
      <c r="BS217" s="5"/>
      <c r="BT217" s="5"/>
      <c r="BU217" s="5"/>
      <c r="BV217" s="7">
        <v>16.0</v>
      </c>
      <c r="BW217" s="7">
        <v>38.0</v>
      </c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7">
        <v>5.0</v>
      </c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7">
        <v>1.0</v>
      </c>
      <c r="DF217" s="5"/>
      <c r="DG217" s="5"/>
      <c r="DH217" s="5"/>
      <c r="DI217" s="5"/>
      <c r="DJ217" s="7">
        <v>3.0</v>
      </c>
      <c r="DK217" s="5"/>
      <c r="DL217" s="5"/>
      <c r="DM217" s="5"/>
      <c r="DN217" s="7">
        <v>2.0</v>
      </c>
      <c r="DO217" s="5"/>
      <c r="DP217" s="5"/>
      <c r="DQ217" s="5"/>
      <c r="DR217" s="5"/>
      <c r="DS217" s="7">
        <v>2.0</v>
      </c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7">
        <v>69.0</v>
      </c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7">
        <v>2.0</v>
      </c>
      <c r="FC217" s="7">
        <v>1.0</v>
      </c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7">
        <v>112.0</v>
      </c>
      <c r="FT217" s="5"/>
      <c r="FU217" s="7">
        <v>1.0</v>
      </c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7">
        <f t="shared" si="145"/>
        <v>15</v>
      </c>
      <c r="GI217" s="7">
        <f t="shared" si="146"/>
        <v>10</v>
      </c>
      <c r="GJ217" s="7">
        <f t="shared" si="147"/>
        <v>5</v>
      </c>
      <c r="GK217" s="7">
        <f t="shared" si="148"/>
        <v>256</v>
      </c>
      <c r="GL217" s="7">
        <f t="shared" si="149"/>
        <v>625</v>
      </c>
      <c r="GM217" s="7">
        <f t="shared" si="150"/>
        <v>369</v>
      </c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</row>
    <row r="218">
      <c r="A218" s="15">
        <v>42874.0</v>
      </c>
      <c r="B218" s="12" t="s">
        <v>302</v>
      </c>
      <c r="C218" s="16">
        <f t="shared" si="144"/>
        <v>154</v>
      </c>
      <c r="D218" s="13">
        <v>21.900562</v>
      </c>
      <c r="E218" s="13">
        <v>-159.609818</v>
      </c>
      <c r="F218" s="12" t="s">
        <v>303</v>
      </c>
      <c r="G218" s="14">
        <v>0.3625</v>
      </c>
      <c r="H218" s="14">
        <v>0.4111111111111111</v>
      </c>
      <c r="I218" s="13">
        <v>6.0</v>
      </c>
      <c r="J218" s="13">
        <v>15.0</v>
      </c>
      <c r="K218" s="12" t="s">
        <v>8</v>
      </c>
      <c r="L218" s="13">
        <v>5.0</v>
      </c>
      <c r="M218" s="13">
        <v>22.0</v>
      </c>
      <c r="N218" s="12" t="s">
        <v>305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3">
        <v>61.0</v>
      </c>
      <c r="BW218" s="12"/>
      <c r="BX218" s="12"/>
      <c r="BY218" s="12"/>
      <c r="BZ218" s="12"/>
      <c r="CA218" s="12"/>
      <c r="CB218" s="12"/>
      <c r="CC218" s="12"/>
      <c r="CD218" s="13">
        <v>1.0</v>
      </c>
      <c r="CE218" s="12"/>
      <c r="CF218" s="12"/>
      <c r="CG218" s="12"/>
      <c r="CH218" s="13">
        <v>25.0</v>
      </c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3">
        <v>2.0</v>
      </c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3">
        <v>3.0</v>
      </c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3">
        <v>123.0</v>
      </c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3">
        <v>11.0</v>
      </c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</row>
    <row r="219">
      <c r="A219" s="26">
        <v>43528.0</v>
      </c>
      <c r="B219" s="27" t="s">
        <v>302</v>
      </c>
      <c r="C219" s="16">
        <f t="shared" si="144"/>
        <v>155</v>
      </c>
      <c r="D219" s="28">
        <v>21.900562</v>
      </c>
      <c r="E219" s="28">
        <v>-159.609818</v>
      </c>
      <c r="F219" s="27" t="s">
        <v>303</v>
      </c>
      <c r="G219" s="29">
        <v>0.3958333333333333</v>
      </c>
      <c r="H219" s="29">
        <v>0.4409722222222222</v>
      </c>
      <c r="I219" s="28">
        <v>6.0</v>
      </c>
      <c r="J219" s="28">
        <v>14.0</v>
      </c>
      <c r="K219" s="27" t="s">
        <v>8</v>
      </c>
      <c r="L219" s="28">
        <v>14.0</v>
      </c>
      <c r="M219" s="28">
        <v>43.0</v>
      </c>
      <c r="N219" s="27" t="s">
        <v>306</v>
      </c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8">
        <v>12.0</v>
      </c>
      <c r="BC219" s="27"/>
      <c r="BD219" s="27"/>
      <c r="BE219" s="27"/>
      <c r="BF219" s="27"/>
      <c r="BG219" s="27"/>
      <c r="BH219" s="28">
        <v>4.0</v>
      </c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8">
        <v>53.0</v>
      </c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8">
        <v>126.0</v>
      </c>
      <c r="DK219" s="27"/>
      <c r="DL219" s="28">
        <v>165.0</v>
      </c>
      <c r="DM219" s="27"/>
      <c r="DN219" s="27"/>
      <c r="DO219" s="27"/>
      <c r="DP219" s="27"/>
      <c r="DQ219" s="27"/>
      <c r="DR219" s="27"/>
      <c r="DS219" s="28">
        <v>65.0</v>
      </c>
      <c r="DT219" s="27"/>
      <c r="DU219" s="27"/>
      <c r="DV219" s="28">
        <v>3.0</v>
      </c>
      <c r="DW219" s="27"/>
      <c r="DX219" s="27"/>
      <c r="DY219" s="27"/>
      <c r="DZ219" s="27"/>
      <c r="EA219" s="27"/>
      <c r="EB219" s="27"/>
      <c r="EC219" s="27"/>
      <c r="ED219" s="28">
        <v>7.0</v>
      </c>
      <c r="EE219" s="27"/>
      <c r="EF219" s="27"/>
      <c r="EG219" s="27"/>
      <c r="EH219" s="27"/>
      <c r="EI219" s="27"/>
      <c r="EJ219" s="28">
        <v>70.0</v>
      </c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8">
        <v>69.0</v>
      </c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8">
        <v>27.0</v>
      </c>
      <c r="FS219" s="28">
        <v>18.0</v>
      </c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8">
        <f t="shared" ref="GH219:GH227" si="151">count(R219:GG219)</f>
        <v>12</v>
      </c>
      <c r="GI219" s="28">
        <f t="shared" ref="GI219:GI227" si="152">countif(R219:GG219,"&gt;=2")</f>
        <v>12</v>
      </c>
      <c r="GJ219" s="28">
        <f t="shared" ref="GJ219:GJ227" si="153">countif(R219:GG219,"&gt;=5")</f>
        <v>10</v>
      </c>
      <c r="GK219" s="28">
        <f t="shared" ref="GK219:GK227" si="154">sum(R219:GG219)</f>
        <v>619</v>
      </c>
      <c r="GL219" s="28">
        <f t="shared" ref="GL219:GL227" si="155">25*P219</f>
        <v>0</v>
      </c>
      <c r="GM219" s="28">
        <f t="shared" ref="GM219:GM227" si="156">GL219-GK219</f>
        <v>-619</v>
      </c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</row>
    <row r="220">
      <c r="A220" s="21">
        <v>43563.0</v>
      </c>
      <c r="B220" s="5" t="s">
        <v>302</v>
      </c>
      <c r="C220" s="16">
        <v>193.0</v>
      </c>
      <c r="D220" s="7">
        <v>21.900562</v>
      </c>
      <c r="E220" s="7">
        <v>-159.609818</v>
      </c>
      <c r="F220" s="5" t="s">
        <v>307</v>
      </c>
      <c r="G220" s="6">
        <v>0.4548611111111111</v>
      </c>
      <c r="H220" s="6">
        <v>0.4895833333333333</v>
      </c>
      <c r="I220" s="7">
        <v>6.0</v>
      </c>
      <c r="J220" s="7">
        <v>10.0</v>
      </c>
      <c r="K220" s="5" t="s">
        <v>8</v>
      </c>
      <c r="L220" s="7">
        <v>5.0</v>
      </c>
      <c r="M220" s="7">
        <v>29.0</v>
      </c>
      <c r="N220" s="5" t="s">
        <v>308</v>
      </c>
      <c r="O220" s="5"/>
      <c r="P220" s="7">
        <v>29.0</v>
      </c>
      <c r="Q220" s="5"/>
      <c r="R220" s="7">
        <v>14.0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7">
        <v>2.0</v>
      </c>
      <c r="BC220" s="5"/>
      <c r="BD220" s="5"/>
      <c r="BE220" s="5"/>
      <c r="BF220" s="5"/>
      <c r="BG220" s="5"/>
      <c r="BH220" s="5"/>
      <c r="BI220" s="5"/>
      <c r="BJ220" s="5"/>
      <c r="BK220" s="5"/>
      <c r="BL220" s="7">
        <v>2.0</v>
      </c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7">
        <v>19.0</v>
      </c>
      <c r="BX220" s="5"/>
      <c r="BY220" s="5"/>
      <c r="BZ220" s="5"/>
      <c r="CA220" s="5"/>
      <c r="CB220" s="5"/>
      <c r="CC220" s="5"/>
      <c r="CD220" s="5"/>
      <c r="CE220" s="7">
        <v>6.0</v>
      </c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7">
        <v>174.0</v>
      </c>
      <c r="DN220" s="5"/>
      <c r="DO220" s="5"/>
      <c r="DP220" s="5"/>
      <c r="DQ220" s="5"/>
      <c r="DR220" s="5"/>
      <c r="DS220" s="7">
        <v>12.0</v>
      </c>
      <c r="DT220" s="5"/>
      <c r="DU220" s="5"/>
      <c r="DV220" s="7">
        <v>8.0</v>
      </c>
      <c r="DW220" s="5"/>
      <c r="DX220" s="5"/>
      <c r="DY220" s="5"/>
      <c r="DZ220" s="7">
        <v>2.0</v>
      </c>
      <c r="EA220" s="5"/>
      <c r="EB220" s="7">
        <v>1.0</v>
      </c>
      <c r="EC220" s="5"/>
      <c r="ED220" s="7">
        <v>1.0</v>
      </c>
      <c r="EE220" s="5"/>
      <c r="EF220" s="5"/>
      <c r="EG220" s="5"/>
      <c r="EH220" s="5"/>
      <c r="EI220" s="5"/>
      <c r="EJ220" s="7">
        <v>55.0</v>
      </c>
      <c r="EK220" s="5"/>
      <c r="EL220" s="5"/>
      <c r="EM220" s="5"/>
      <c r="EN220" s="7">
        <v>1.0</v>
      </c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7">
        <v>31.0</v>
      </c>
      <c r="FC220" s="7">
        <v>1.0</v>
      </c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7">
        <v>2.0</v>
      </c>
      <c r="FS220" s="7">
        <v>15.0</v>
      </c>
      <c r="FT220" s="5"/>
      <c r="FU220" s="5"/>
      <c r="FV220" s="5"/>
      <c r="FW220" s="5"/>
      <c r="FX220" s="5"/>
      <c r="FY220" s="5"/>
      <c r="FZ220" s="5"/>
      <c r="GA220" s="7">
        <v>2.0</v>
      </c>
      <c r="GB220" s="5"/>
      <c r="GC220" s="7">
        <v>3.0</v>
      </c>
      <c r="GD220" s="7">
        <v>1.0</v>
      </c>
      <c r="GE220" s="5"/>
      <c r="GF220" s="5"/>
      <c r="GG220" s="5"/>
      <c r="GH220" s="7">
        <f t="shared" si="151"/>
        <v>20</v>
      </c>
      <c r="GI220" s="7">
        <f t="shared" si="152"/>
        <v>15</v>
      </c>
      <c r="GJ220" s="7">
        <f t="shared" si="153"/>
        <v>9</v>
      </c>
      <c r="GK220" s="7">
        <f t="shared" si="154"/>
        <v>352</v>
      </c>
      <c r="GL220" s="7">
        <f t="shared" si="155"/>
        <v>725</v>
      </c>
      <c r="GM220" s="7">
        <f t="shared" si="156"/>
        <v>373</v>
      </c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</row>
    <row r="221">
      <c r="A221" s="26">
        <v>42803.0</v>
      </c>
      <c r="B221" s="27" t="s">
        <v>37</v>
      </c>
      <c r="C221" s="16">
        <f t="shared" ref="C221:C233" si="157">C220+1</f>
        <v>194</v>
      </c>
      <c r="D221" s="28">
        <v>21.310612</v>
      </c>
      <c r="E221" s="28">
        <v>-158.00441</v>
      </c>
      <c r="F221" s="27" t="s">
        <v>309</v>
      </c>
      <c r="G221" s="29">
        <v>0.3958333333333333</v>
      </c>
      <c r="H221" s="29">
        <v>0.4791666666666667</v>
      </c>
      <c r="I221" s="28">
        <v>7.0</v>
      </c>
      <c r="J221" s="28">
        <v>14.0</v>
      </c>
      <c r="K221" s="27" t="s">
        <v>16</v>
      </c>
      <c r="L221" s="28">
        <v>5.0</v>
      </c>
      <c r="M221" s="28">
        <v>26.0</v>
      </c>
      <c r="N221" s="27" t="s">
        <v>310</v>
      </c>
      <c r="O221" s="27"/>
      <c r="P221" s="27"/>
      <c r="Q221" s="27"/>
      <c r="R221" s="28">
        <v>15.0</v>
      </c>
      <c r="S221" s="27"/>
      <c r="T221" s="27"/>
      <c r="U221" s="27"/>
      <c r="V221" s="27"/>
      <c r="W221" s="27"/>
      <c r="X221" s="28">
        <v>21.0</v>
      </c>
      <c r="Y221" s="27"/>
      <c r="Z221" s="27"/>
      <c r="AA221" s="27"/>
      <c r="AB221" s="28">
        <v>2.0</v>
      </c>
      <c r="AC221" s="28">
        <v>6.0</v>
      </c>
      <c r="AD221" s="27"/>
      <c r="AE221" s="28">
        <v>2.0</v>
      </c>
      <c r="AF221" s="27"/>
      <c r="AG221" s="27"/>
      <c r="AH221" s="27"/>
      <c r="AI221" s="28">
        <v>20.0</v>
      </c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8">
        <v>11.0</v>
      </c>
      <c r="BF221" s="27"/>
      <c r="BG221" s="27"/>
      <c r="BH221" s="27"/>
      <c r="BI221" s="27"/>
      <c r="BJ221" s="27"/>
      <c r="BK221" s="27"/>
      <c r="BL221" s="27"/>
      <c r="BM221" s="27"/>
      <c r="BN221" s="28">
        <v>16.0</v>
      </c>
      <c r="BO221" s="27"/>
      <c r="BP221" s="27"/>
      <c r="BQ221" s="27"/>
      <c r="BR221" s="27"/>
      <c r="BS221" s="27"/>
      <c r="BT221" s="27"/>
      <c r="BU221" s="27"/>
      <c r="BV221" s="28">
        <v>14.0</v>
      </c>
      <c r="BW221" s="27"/>
      <c r="BX221" s="27"/>
      <c r="BY221" s="27"/>
      <c r="BZ221" s="28">
        <v>9.0</v>
      </c>
      <c r="CA221" s="27"/>
      <c r="CB221" s="27"/>
      <c r="CC221" s="27"/>
      <c r="CD221" s="27"/>
      <c r="CE221" s="27"/>
      <c r="CF221" s="27"/>
      <c r="CG221" s="27"/>
      <c r="CH221" s="28">
        <v>2.0</v>
      </c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8">
        <v>8.0</v>
      </c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8">
        <v>2.0</v>
      </c>
      <c r="DH221" s="27"/>
      <c r="DI221" s="27"/>
      <c r="DJ221" s="28">
        <v>33.0</v>
      </c>
      <c r="DK221" s="27"/>
      <c r="DL221" s="27"/>
      <c r="DM221" s="28">
        <v>3.0</v>
      </c>
      <c r="DN221" s="27"/>
      <c r="DO221" s="28">
        <v>5.0</v>
      </c>
      <c r="DP221" s="27"/>
      <c r="DQ221" s="27"/>
      <c r="DR221" s="27"/>
      <c r="DS221" s="27"/>
      <c r="DT221" s="27"/>
      <c r="DU221" s="27"/>
      <c r="DV221" s="28">
        <v>18.0</v>
      </c>
      <c r="DW221" s="27"/>
      <c r="DX221" s="27"/>
      <c r="DY221" s="27"/>
      <c r="DZ221" s="27"/>
      <c r="EA221" s="27"/>
      <c r="EB221" s="27"/>
      <c r="EC221" s="28">
        <v>3.0</v>
      </c>
      <c r="ED221" s="27"/>
      <c r="EE221" s="27"/>
      <c r="EF221" s="28">
        <v>2.0</v>
      </c>
      <c r="EG221" s="27"/>
      <c r="EH221" s="27"/>
      <c r="EI221" s="27"/>
      <c r="EJ221" s="28">
        <v>107.0</v>
      </c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8">
        <v>1.0</v>
      </c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8">
        <v>1.0</v>
      </c>
      <c r="FJ221" s="27"/>
      <c r="FK221" s="27"/>
      <c r="FL221" s="27"/>
      <c r="FM221" s="27"/>
      <c r="FN221" s="27"/>
      <c r="FO221" s="27"/>
      <c r="FP221" s="27"/>
      <c r="FQ221" s="27"/>
      <c r="FR221" s="28">
        <v>3.0</v>
      </c>
      <c r="FS221" s="28">
        <v>71.0</v>
      </c>
      <c r="FT221" s="27"/>
      <c r="FU221" s="27"/>
      <c r="FV221" s="27"/>
      <c r="FW221" s="27"/>
      <c r="FX221" s="27"/>
      <c r="FY221" s="27"/>
      <c r="FZ221" s="27"/>
      <c r="GA221" s="27"/>
      <c r="GB221" s="27"/>
      <c r="GC221" s="28">
        <v>4.0</v>
      </c>
      <c r="GD221" s="28">
        <v>13.0</v>
      </c>
      <c r="GE221" s="27"/>
      <c r="GF221" s="27"/>
      <c r="GG221" s="27"/>
      <c r="GH221" s="28">
        <f t="shared" si="151"/>
        <v>26</v>
      </c>
      <c r="GI221" s="28">
        <f t="shared" si="152"/>
        <v>24</v>
      </c>
      <c r="GJ221" s="28">
        <f t="shared" si="153"/>
        <v>15</v>
      </c>
      <c r="GK221" s="28">
        <f t="shared" si="154"/>
        <v>392</v>
      </c>
      <c r="GL221" s="28">
        <f t="shared" si="155"/>
        <v>0</v>
      </c>
      <c r="GM221" s="28">
        <f t="shared" si="156"/>
        <v>-392</v>
      </c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</row>
    <row r="222">
      <c r="A222" s="21">
        <v>42850.0</v>
      </c>
      <c r="B222" s="5" t="s">
        <v>37</v>
      </c>
      <c r="C222" s="16">
        <f t="shared" si="157"/>
        <v>195</v>
      </c>
      <c r="D222" s="7">
        <v>21.310612</v>
      </c>
      <c r="E222" s="7">
        <v>-158.00441</v>
      </c>
      <c r="F222" s="5" t="s">
        <v>309</v>
      </c>
      <c r="G222" s="6">
        <v>0.3958333333333333</v>
      </c>
      <c r="H222" s="6">
        <v>0.4583333333333333</v>
      </c>
      <c r="I222" s="7">
        <v>7.0</v>
      </c>
      <c r="J222" s="7">
        <v>10.0</v>
      </c>
      <c r="K222" s="5" t="s">
        <v>16</v>
      </c>
      <c r="L222" s="7">
        <v>5.0</v>
      </c>
      <c r="M222" s="7">
        <v>34.0</v>
      </c>
      <c r="N222" s="5" t="s">
        <v>311</v>
      </c>
      <c r="O222" s="5"/>
      <c r="P222" s="7">
        <v>34.0</v>
      </c>
      <c r="Q222" s="5"/>
      <c r="R222" s="7">
        <v>14.0</v>
      </c>
      <c r="S222" s="5"/>
      <c r="T222" s="5"/>
      <c r="U222" s="5"/>
      <c r="V222" s="5"/>
      <c r="W222" s="5"/>
      <c r="X222" s="5"/>
      <c r="Y222" s="5"/>
      <c r="Z222" s="5"/>
      <c r="AA222" s="5"/>
      <c r="AB222" s="7">
        <v>1.0</v>
      </c>
      <c r="AC222" s="7">
        <v>14.0</v>
      </c>
      <c r="AD222" s="5"/>
      <c r="AE222" s="7">
        <v>7.0</v>
      </c>
      <c r="AF222" s="5"/>
      <c r="AG222" s="5"/>
      <c r="AH222" s="5"/>
      <c r="AI222" s="7">
        <v>1.0</v>
      </c>
      <c r="AJ222" s="5"/>
      <c r="AK222" s="5"/>
      <c r="AL222" s="5"/>
      <c r="AM222" s="7">
        <v>2.0</v>
      </c>
      <c r="AN222" s="7">
        <v>11.0</v>
      </c>
      <c r="AO222" s="5"/>
      <c r="AP222" s="5"/>
      <c r="AQ222" s="5"/>
      <c r="AR222" s="5"/>
      <c r="AS222" s="5"/>
      <c r="AT222" s="7">
        <v>1.0</v>
      </c>
      <c r="AU222" s="5"/>
      <c r="AV222" s="5"/>
      <c r="AW222" s="5"/>
      <c r="AX222" s="5"/>
      <c r="AY222" s="5"/>
      <c r="AZ222" s="5"/>
      <c r="BA222" s="5"/>
      <c r="BB222" s="7">
        <v>3.0</v>
      </c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7">
        <v>1.0</v>
      </c>
      <c r="BN222" s="5"/>
      <c r="BO222" s="5"/>
      <c r="BP222" s="5"/>
      <c r="BQ222" s="5"/>
      <c r="BR222" s="5"/>
      <c r="BS222" s="5"/>
      <c r="BT222" s="5"/>
      <c r="BU222" s="5"/>
      <c r="BV222" s="7">
        <v>60.0</v>
      </c>
      <c r="BW222" s="5"/>
      <c r="BX222" s="5"/>
      <c r="BY222" s="5"/>
      <c r="BZ222" s="7">
        <v>53.0</v>
      </c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7">
        <v>4.0</v>
      </c>
      <c r="CS222" s="5"/>
      <c r="CT222" s="5"/>
      <c r="CU222" s="5"/>
      <c r="CV222" s="5"/>
      <c r="CW222" s="5"/>
      <c r="CX222" s="5"/>
      <c r="CY222" s="7">
        <v>2.0</v>
      </c>
      <c r="CZ222" s="5"/>
      <c r="DA222" s="5"/>
      <c r="DB222" s="5"/>
      <c r="DC222" s="5"/>
      <c r="DD222" s="5"/>
      <c r="DE222" s="5"/>
      <c r="DF222" s="5"/>
      <c r="DG222" s="7">
        <v>12.0</v>
      </c>
      <c r="DH222" s="5"/>
      <c r="DI222" s="5"/>
      <c r="DJ222" s="5"/>
      <c r="DK222" s="5"/>
      <c r="DL222" s="5"/>
      <c r="DM222" s="7">
        <v>22.0</v>
      </c>
      <c r="DN222" s="5"/>
      <c r="DO222" s="7">
        <v>2.0</v>
      </c>
      <c r="DP222" s="5"/>
      <c r="DQ222" s="5"/>
      <c r="DR222" s="5"/>
      <c r="DS222" s="5"/>
      <c r="DT222" s="5"/>
      <c r="DU222" s="5"/>
      <c r="DV222" s="7">
        <v>9.0</v>
      </c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7">
        <v>293.0</v>
      </c>
      <c r="EK222" s="7">
        <v>28.0</v>
      </c>
      <c r="EL222" s="5"/>
      <c r="EM222" s="5"/>
      <c r="EN222" s="5"/>
      <c r="EO222" s="7">
        <v>14.0</v>
      </c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7">
        <v>10.0</v>
      </c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7">
        <v>87.0</v>
      </c>
      <c r="FT222" s="5"/>
      <c r="FU222" s="5"/>
      <c r="FV222" s="5"/>
      <c r="FW222" s="7">
        <v>1.0</v>
      </c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7">
        <f t="shared" si="151"/>
        <v>24</v>
      </c>
      <c r="GI222" s="7">
        <f t="shared" si="152"/>
        <v>19</v>
      </c>
      <c r="GJ222" s="7">
        <f t="shared" si="153"/>
        <v>14</v>
      </c>
      <c r="GK222" s="7">
        <f t="shared" si="154"/>
        <v>652</v>
      </c>
      <c r="GL222" s="7">
        <f t="shared" si="155"/>
        <v>850</v>
      </c>
      <c r="GM222" s="7">
        <f t="shared" si="156"/>
        <v>198</v>
      </c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</row>
    <row r="223">
      <c r="A223" s="21">
        <v>43207.0</v>
      </c>
      <c r="B223" s="5" t="s">
        <v>37</v>
      </c>
      <c r="C223" s="16">
        <f t="shared" si="157"/>
        <v>196</v>
      </c>
      <c r="D223" s="7">
        <v>21.310612</v>
      </c>
      <c r="E223" s="7">
        <v>-158.00441</v>
      </c>
      <c r="F223" s="5" t="s">
        <v>309</v>
      </c>
      <c r="G223" s="6">
        <v>0.3854166666666667</v>
      </c>
      <c r="H223" s="6">
        <v>0.4444444444444444</v>
      </c>
      <c r="I223" s="7">
        <v>9.0</v>
      </c>
      <c r="J223" s="7">
        <v>8.0</v>
      </c>
      <c r="K223" s="5" t="s">
        <v>8</v>
      </c>
      <c r="L223" s="7">
        <v>5.0</v>
      </c>
      <c r="M223" s="7">
        <v>30.0</v>
      </c>
      <c r="N223" s="5" t="s">
        <v>312</v>
      </c>
      <c r="O223" s="5" t="s">
        <v>313</v>
      </c>
      <c r="P223" s="7">
        <v>30.0</v>
      </c>
      <c r="Q223" s="5"/>
      <c r="R223" s="5"/>
      <c r="S223" s="5"/>
      <c r="T223" s="5"/>
      <c r="U223" s="5"/>
      <c r="V223" s="5"/>
      <c r="W223" s="5"/>
      <c r="X223" s="7">
        <v>2.0</v>
      </c>
      <c r="Y223" s="5"/>
      <c r="Z223" s="5"/>
      <c r="AA223" s="5"/>
      <c r="AB223" s="7">
        <v>22.0</v>
      </c>
      <c r="AC223" s="5"/>
      <c r="AD223" s="5"/>
      <c r="AE223" s="7">
        <v>6.0</v>
      </c>
      <c r="AF223" s="5"/>
      <c r="AG223" s="5"/>
      <c r="AH223" s="5"/>
      <c r="AI223" s="7">
        <v>7.0</v>
      </c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7">
        <v>2.0</v>
      </c>
      <c r="BD223" s="5"/>
      <c r="BE223" s="7">
        <v>24.0</v>
      </c>
      <c r="BF223" s="5"/>
      <c r="BG223" s="5"/>
      <c r="BH223" s="5"/>
      <c r="BI223" s="5"/>
      <c r="BJ223" s="5"/>
      <c r="BK223" s="5"/>
      <c r="BL223" s="5"/>
      <c r="BM223" s="7">
        <v>27.0</v>
      </c>
      <c r="BN223" s="5"/>
      <c r="BO223" s="5"/>
      <c r="BP223" s="5"/>
      <c r="BQ223" s="5"/>
      <c r="BR223" s="5"/>
      <c r="BS223" s="5"/>
      <c r="BT223" s="5"/>
      <c r="BU223" s="5"/>
      <c r="BV223" s="7">
        <v>9.0</v>
      </c>
      <c r="BW223" s="5"/>
      <c r="BX223" s="5"/>
      <c r="BY223" s="5"/>
      <c r="BZ223" s="7">
        <v>10.0</v>
      </c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7">
        <v>19.0</v>
      </c>
      <c r="CL223" s="5"/>
      <c r="CM223" s="5"/>
      <c r="CN223" s="5"/>
      <c r="CO223" s="5"/>
      <c r="CP223" s="5"/>
      <c r="CQ223" s="5"/>
      <c r="CR223" s="5"/>
      <c r="CS223" s="7">
        <v>1.0</v>
      </c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7">
        <v>7.0</v>
      </c>
      <c r="DN223" s="5"/>
      <c r="DO223" s="7">
        <v>1.0</v>
      </c>
      <c r="DP223" s="5"/>
      <c r="DQ223" s="5"/>
      <c r="DR223" s="5"/>
      <c r="DS223" s="5"/>
      <c r="DT223" s="5"/>
      <c r="DU223" s="5"/>
      <c r="DV223" s="7">
        <v>21.0</v>
      </c>
      <c r="DW223" s="5"/>
      <c r="DX223" s="5"/>
      <c r="DY223" s="5"/>
      <c r="DZ223" s="7">
        <v>1.0</v>
      </c>
      <c r="EA223" s="5"/>
      <c r="EB223" s="5"/>
      <c r="EC223" s="7">
        <v>5.0</v>
      </c>
      <c r="ED223" s="5"/>
      <c r="EE223" s="5"/>
      <c r="EF223" s="5"/>
      <c r="EG223" s="5"/>
      <c r="EH223" s="5"/>
      <c r="EI223" s="5"/>
      <c r="EJ223" s="7">
        <v>306.0</v>
      </c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7">
        <v>11.0</v>
      </c>
      <c r="FC223" s="5"/>
      <c r="FD223" s="5"/>
      <c r="FE223" s="5"/>
      <c r="FF223" s="5"/>
      <c r="FG223" s="5"/>
      <c r="FH223" s="5"/>
      <c r="FI223" s="7">
        <v>1.0</v>
      </c>
      <c r="FJ223" s="5"/>
      <c r="FK223" s="5"/>
      <c r="FL223" s="5"/>
      <c r="FM223" s="5"/>
      <c r="FN223" s="5"/>
      <c r="FO223" s="5"/>
      <c r="FP223" s="5"/>
      <c r="FQ223" s="5"/>
      <c r="FR223" s="5"/>
      <c r="FS223" s="7">
        <v>90.0</v>
      </c>
      <c r="FT223" s="5"/>
      <c r="FU223" s="5"/>
      <c r="FV223" s="5"/>
      <c r="FW223" s="7">
        <v>4.0</v>
      </c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7">
        <f t="shared" si="151"/>
        <v>21</v>
      </c>
      <c r="GI223" s="7">
        <f t="shared" si="152"/>
        <v>17</v>
      </c>
      <c r="GJ223" s="7">
        <f t="shared" si="153"/>
        <v>14</v>
      </c>
      <c r="GK223" s="7">
        <f t="shared" si="154"/>
        <v>576</v>
      </c>
      <c r="GL223" s="7">
        <f t="shared" si="155"/>
        <v>750</v>
      </c>
      <c r="GM223" s="7">
        <f t="shared" si="156"/>
        <v>174</v>
      </c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</row>
    <row r="224">
      <c r="A224" s="21">
        <v>43214.0</v>
      </c>
      <c r="B224" s="5" t="s">
        <v>37</v>
      </c>
      <c r="C224" s="16">
        <f t="shared" si="157"/>
        <v>197</v>
      </c>
      <c r="D224" s="7">
        <v>21.310612</v>
      </c>
      <c r="E224" s="7">
        <v>-158.00441</v>
      </c>
      <c r="F224" s="5" t="s">
        <v>309</v>
      </c>
      <c r="G224" s="6">
        <v>0.375</v>
      </c>
      <c r="H224" s="6">
        <v>0.4444444444444444</v>
      </c>
      <c r="I224" s="7">
        <v>6.0</v>
      </c>
      <c r="J224" s="7">
        <v>8.0</v>
      </c>
      <c r="K224" s="5" t="s">
        <v>2</v>
      </c>
      <c r="L224" s="7">
        <v>4.0</v>
      </c>
      <c r="M224" s="7">
        <v>20.0</v>
      </c>
      <c r="N224" s="5" t="s">
        <v>314</v>
      </c>
      <c r="O224" s="5"/>
      <c r="P224" s="7">
        <v>20.0</v>
      </c>
      <c r="Q224" s="5"/>
      <c r="R224" s="7">
        <v>1.0</v>
      </c>
      <c r="S224" s="5"/>
      <c r="T224" s="5"/>
      <c r="U224" s="5"/>
      <c r="V224" s="5"/>
      <c r="W224" s="5"/>
      <c r="X224" s="5"/>
      <c r="Y224" s="5"/>
      <c r="Z224" s="5"/>
      <c r="AA224" s="5"/>
      <c r="AB224" s="7">
        <v>4.0</v>
      </c>
      <c r="AC224" s="7">
        <v>1.0</v>
      </c>
      <c r="AD224" s="5"/>
      <c r="AE224" s="7">
        <v>3.0</v>
      </c>
      <c r="AF224" s="5"/>
      <c r="AG224" s="5"/>
      <c r="AH224" s="5"/>
      <c r="AI224" s="7">
        <v>2.0</v>
      </c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7">
        <v>13.0</v>
      </c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7">
        <v>13.0</v>
      </c>
      <c r="BW224" s="5"/>
      <c r="BX224" s="5"/>
      <c r="BY224" s="5"/>
      <c r="BZ224" s="7">
        <v>35.0</v>
      </c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7">
        <v>1.0</v>
      </c>
      <c r="CP224" s="5"/>
      <c r="CQ224" s="5"/>
      <c r="CR224" s="5"/>
      <c r="CS224" s="7">
        <v>2.0</v>
      </c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7">
        <v>4.0</v>
      </c>
      <c r="DH224" s="5"/>
      <c r="DI224" s="5"/>
      <c r="DJ224" s="5"/>
      <c r="DK224" s="5"/>
      <c r="DL224" s="5"/>
      <c r="DM224" s="7">
        <v>2.0</v>
      </c>
      <c r="DN224" s="5"/>
      <c r="DO224" s="7">
        <v>1.0</v>
      </c>
      <c r="DP224" s="5"/>
      <c r="DQ224" s="5"/>
      <c r="DR224" s="5"/>
      <c r="DS224" s="5"/>
      <c r="DT224" s="5"/>
      <c r="DU224" s="5"/>
      <c r="DV224" s="7">
        <v>5.0</v>
      </c>
      <c r="DW224" s="5"/>
      <c r="DX224" s="5"/>
      <c r="DY224" s="5"/>
      <c r="DZ224" s="5"/>
      <c r="EA224" s="5"/>
      <c r="EB224" s="5"/>
      <c r="EC224" s="7">
        <v>3.0</v>
      </c>
      <c r="ED224" s="5"/>
      <c r="EE224" s="5"/>
      <c r="EF224" s="5"/>
      <c r="EG224" s="5"/>
      <c r="EH224" s="5"/>
      <c r="EI224" s="7">
        <v>25.0</v>
      </c>
      <c r="EJ224" s="7">
        <v>208.0</v>
      </c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7">
        <v>4.0</v>
      </c>
      <c r="EW224" s="7">
        <v>1.0</v>
      </c>
      <c r="EX224" s="5"/>
      <c r="EY224" s="5"/>
      <c r="EZ224" s="5"/>
      <c r="FA224" s="5"/>
      <c r="FB224" s="7">
        <v>28.0</v>
      </c>
      <c r="FC224" s="5"/>
      <c r="FD224" s="5"/>
      <c r="FE224" s="5"/>
      <c r="FF224" s="7">
        <v>22.0</v>
      </c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7">
        <v>3.0</v>
      </c>
      <c r="FS224" s="7">
        <v>11.0</v>
      </c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7">
        <v>9.0</v>
      </c>
      <c r="GH224" s="7">
        <f t="shared" si="151"/>
        <v>24</v>
      </c>
      <c r="GI224" s="7">
        <f t="shared" si="152"/>
        <v>19</v>
      </c>
      <c r="GJ224" s="7">
        <f t="shared" si="153"/>
        <v>10</v>
      </c>
      <c r="GK224" s="7">
        <f t="shared" si="154"/>
        <v>401</v>
      </c>
      <c r="GL224" s="7">
        <f t="shared" si="155"/>
        <v>500</v>
      </c>
      <c r="GM224" s="7">
        <f t="shared" si="156"/>
        <v>99</v>
      </c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</row>
    <row r="225">
      <c r="A225" s="21">
        <v>43564.0</v>
      </c>
      <c r="B225" s="5" t="s">
        <v>37</v>
      </c>
      <c r="C225" s="16">
        <f t="shared" si="157"/>
        <v>198</v>
      </c>
      <c r="D225" s="7">
        <v>21.310612</v>
      </c>
      <c r="E225" s="7">
        <v>-158.00441</v>
      </c>
      <c r="F225" s="5" t="s">
        <v>309</v>
      </c>
      <c r="G225" s="6">
        <v>0.3958333333333333</v>
      </c>
      <c r="H225" s="6">
        <v>0.4375</v>
      </c>
      <c r="I225" s="7">
        <v>7.0</v>
      </c>
      <c r="J225" s="7">
        <v>20.0</v>
      </c>
      <c r="K225" s="5" t="s">
        <v>8</v>
      </c>
      <c r="L225" s="7">
        <v>5.0</v>
      </c>
      <c r="M225" s="7">
        <v>28.0</v>
      </c>
      <c r="N225" s="5" t="s">
        <v>315</v>
      </c>
      <c r="O225" s="5"/>
      <c r="P225" s="7">
        <v>28.0</v>
      </c>
      <c r="Q225" s="5"/>
      <c r="R225" s="7">
        <v>1.0</v>
      </c>
      <c r="S225" s="5"/>
      <c r="T225" s="5"/>
      <c r="U225" s="5"/>
      <c r="V225" s="5"/>
      <c r="W225" s="5"/>
      <c r="X225" s="5"/>
      <c r="Y225" s="5"/>
      <c r="Z225" s="5"/>
      <c r="AA225" s="5"/>
      <c r="AB225" s="7">
        <v>1.0</v>
      </c>
      <c r="AC225" s="5"/>
      <c r="AD225" s="5"/>
      <c r="AE225" s="7">
        <v>29.0</v>
      </c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7">
        <v>16.0</v>
      </c>
      <c r="BD225" s="5"/>
      <c r="BE225" s="7">
        <v>49.0</v>
      </c>
      <c r="BF225" s="5"/>
      <c r="BG225" s="5"/>
      <c r="BH225" s="5"/>
      <c r="BI225" s="5"/>
      <c r="BJ225" s="5"/>
      <c r="BK225" s="5"/>
      <c r="BL225" s="5"/>
      <c r="BM225" s="7">
        <v>16.0</v>
      </c>
      <c r="BN225" s="5"/>
      <c r="BO225" s="5"/>
      <c r="BP225" s="5"/>
      <c r="BQ225" s="5"/>
      <c r="BR225" s="5"/>
      <c r="BS225" s="7">
        <v>1.0</v>
      </c>
      <c r="BT225" s="5"/>
      <c r="BU225" s="5"/>
      <c r="BV225" s="7">
        <v>11.0</v>
      </c>
      <c r="BW225" s="5"/>
      <c r="BX225" s="5"/>
      <c r="BY225" s="5"/>
      <c r="BZ225" s="7">
        <v>29.0</v>
      </c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7">
        <v>1.0</v>
      </c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7">
        <v>4.0</v>
      </c>
      <c r="DH225" s="5"/>
      <c r="DI225" s="5"/>
      <c r="DJ225" s="5"/>
      <c r="DK225" s="5"/>
      <c r="DL225" s="5"/>
      <c r="DM225" s="5"/>
      <c r="DN225" s="7">
        <v>5.0</v>
      </c>
      <c r="DO225" s="7">
        <v>10.0</v>
      </c>
      <c r="DP225" s="7">
        <v>5.0</v>
      </c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7">
        <v>99.0</v>
      </c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7">
        <v>20.0</v>
      </c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7">
        <v>23.0</v>
      </c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7">
        <f t="shared" si="151"/>
        <v>17</v>
      </c>
      <c r="GI225" s="7">
        <f t="shared" si="152"/>
        <v>13</v>
      </c>
      <c r="GJ225" s="7">
        <f t="shared" si="153"/>
        <v>12</v>
      </c>
      <c r="GK225" s="7">
        <f t="shared" si="154"/>
        <v>320</v>
      </c>
      <c r="GL225" s="7">
        <f t="shared" si="155"/>
        <v>700</v>
      </c>
      <c r="GM225" s="7">
        <f t="shared" si="156"/>
        <v>380</v>
      </c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</row>
    <row r="226">
      <c r="A226" s="21">
        <v>43571.0</v>
      </c>
      <c r="B226" s="5" t="s">
        <v>37</v>
      </c>
      <c r="C226" s="16">
        <f t="shared" si="157"/>
        <v>199</v>
      </c>
      <c r="D226" s="7">
        <v>21.310612</v>
      </c>
      <c r="E226" s="7">
        <v>-158.00441</v>
      </c>
      <c r="F226" s="5" t="s">
        <v>309</v>
      </c>
      <c r="G226" s="6">
        <v>0.3888888888888889</v>
      </c>
      <c r="H226" s="6">
        <v>0.4131944444444444</v>
      </c>
      <c r="I226" s="7">
        <v>5.0</v>
      </c>
      <c r="J226" s="7">
        <v>20.0</v>
      </c>
      <c r="K226" s="5" t="s">
        <v>8</v>
      </c>
      <c r="L226" s="7">
        <v>5.0</v>
      </c>
      <c r="M226" s="7">
        <v>20.0</v>
      </c>
      <c r="N226" s="5" t="s">
        <v>316</v>
      </c>
      <c r="O226" s="5"/>
      <c r="P226" s="7">
        <v>20.0</v>
      </c>
      <c r="Q226" s="5"/>
      <c r="R226" s="7">
        <v>6.0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7">
        <v>1.0</v>
      </c>
      <c r="AF226" s="5"/>
      <c r="AG226" s="5"/>
      <c r="AH226" s="5"/>
      <c r="AI226" s="5"/>
      <c r="AJ226" s="5"/>
      <c r="AK226" s="5"/>
      <c r="AL226" s="5"/>
      <c r="AM226" s="5"/>
      <c r="AN226" s="7">
        <v>1.0</v>
      </c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7">
        <v>1.0</v>
      </c>
      <c r="BC226" s="7">
        <v>17.0</v>
      </c>
      <c r="BD226" s="5"/>
      <c r="BE226" s="7">
        <v>22.0</v>
      </c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7">
        <v>9.0</v>
      </c>
      <c r="BW226" s="5"/>
      <c r="BX226" s="5"/>
      <c r="BY226" s="5"/>
      <c r="BZ226" s="7">
        <v>22.0</v>
      </c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7">
        <v>1.0</v>
      </c>
      <c r="CL226" s="5"/>
      <c r="CM226" s="5"/>
      <c r="CN226" s="5"/>
      <c r="CO226" s="7">
        <v>2.0</v>
      </c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7">
        <v>19.0</v>
      </c>
      <c r="DN226" s="5"/>
      <c r="DO226" s="7">
        <v>2.0</v>
      </c>
      <c r="DP226" s="5"/>
      <c r="DQ226" s="5"/>
      <c r="DR226" s="5"/>
      <c r="DS226" s="5"/>
      <c r="DT226" s="5"/>
      <c r="DU226" s="5"/>
      <c r="DV226" s="7">
        <v>4.0</v>
      </c>
      <c r="DW226" s="5"/>
      <c r="DX226" s="5"/>
      <c r="DY226" s="5"/>
      <c r="DZ226" s="5"/>
      <c r="EA226" s="5"/>
      <c r="EB226" s="5"/>
      <c r="EC226" s="7">
        <v>9.0</v>
      </c>
      <c r="ED226" s="5"/>
      <c r="EE226" s="5"/>
      <c r="EF226" s="5"/>
      <c r="EG226" s="5"/>
      <c r="EH226" s="5"/>
      <c r="EI226" s="5"/>
      <c r="EJ226" s="7">
        <v>111.0</v>
      </c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7">
        <v>3.0</v>
      </c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7">
        <v>3.0</v>
      </c>
      <c r="FS226" s="7">
        <v>65.0</v>
      </c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7">
        <f t="shared" si="151"/>
        <v>18</v>
      </c>
      <c r="GI226" s="7">
        <f t="shared" si="152"/>
        <v>14</v>
      </c>
      <c r="GJ226" s="7">
        <f t="shared" si="153"/>
        <v>9</v>
      </c>
      <c r="GK226" s="7">
        <f t="shared" si="154"/>
        <v>298</v>
      </c>
      <c r="GL226" s="7">
        <f t="shared" si="155"/>
        <v>500</v>
      </c>
      <c r="GM226" s="7">
        <f t="shared" si="156"/>
        <v>202</v>
      </c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</row>
    <row r="227">
      <c r="A227" s="33">
        <v>43893.0</v>
      </c>
      <c r="B227" s="5" t="s">
        <v>37</v>
      </c>
      <c r="C227" s="16">
        <f t="shared" si="157"/>
        <v>200</v>
      </c>
      <c r="D227" s="34">
        <v>21.310612</v>
      </c>
      <c r="E227" s="34">
        <v>-158.00441</v>
      </c>
      <c r="F227" s="5" t="s">
        <v>309</v>
      </c>
      <c r="G227" s="35">
        <v>0.395833333333333</v>
      </c>
      <c r="H227" s="35">
        <v>0.458333333333333</v>
      </c>
      <c r="I227" s="34">
        <v>5.0</v>
      </c>
      <c r="J227" s="34">
        <v>8.0</v>
      </c>
      <c r="K227" s="5" t="s">
        <v>16</v>
      </c>
      <c r="L227" s="34">
        <v>4.0</v>
      </c>
      <c r="M227" s="7">
        <v>9.0</v>
      </c>
      <c r="N227" s="5" t="s">
        <v>317</v>
      </c>
      <c r="O227" s="5"/>
      <c r="P227" s="7">
        <v>9.0</v>
      </c>
      <c r="Q227" s="5" t="s">
        <v>318</v>
      </c>
      <c r="R227" s="7">
        <v>23.0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7">
        <v>23.0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7">
        <v>1.0</v>
      </c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7">
        <v>34.0</v>
      </c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7">
        <v>1.0</v>
      </c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7">
        <f t="shared" si="151"/>
        <v>5</v>
      </c>
      <c r="GI227" s="7">
        <f t="shared" si="152"/>
        <v>3</v>
      </c>
      <c r="GJ227" s="7">
        <f t="shared" si="153"/>
        <v>3</v>
      </c>
      <c r="GK227" s="7">
        <f t="shared" si="154"/>
        <v>82</v>
      </c>
      <c r="GL227" s="7">
        <f t="shared" si="155"/>
        <v>225</v>
      </c>
      <c r="GM227" s="7">
        <f t="shared" si="156"/>
        <v>143</v>
      </c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</row>
    <row r="228">
      <c r="A228" s="15">
        <v>43560.0</v>
      </c>
      <c r="B228" s="12" t="s">
        <v>319</v>
      </c>
      <c r="C228" s="16">
        <f t="shared" si="157"/>
        <v>201</v>
      </c>
      <c r="D228" s="13">
        <v>19.5791</v>
      </c>
      <c r="E228" s="13">
        <v>-155.967804</v>
      </c>
      <c r="F228" s="12" t="s">
        <v>320</v>
      </c>
      <c r="G228" s="14">
        <v>0.4305555555555556</v>
      </c>
      <c r="H228" s="14">
        <v>0.4548611111111111</v>
      </c>
      <c r="I228" s="13">
        <v>5.0</v>
      </c>
      <c r="J228" s="13">
        <v>20.0</v>
      </c>
      <c r="K228" s="12" t="s">
        <v>8</v>
      </c>
      <c r="L228" s="13">
        <v>6.0</v>
      </c>
      <c r="M228" s="13">
        <v>29.0</v>
      </c>
      <c r="N228" s="12" t="s">
        <v>321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3">
        <v>7.0</v>
      </c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3">
        <v>3.0</v>
      </c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3">
        <v>3.0</v>
      </c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3">
        <v>25.0</v>
      </c>
      <c r="FN228" s="12"/>
      <c r="FO228" s="12"/>
      <c r="FP228" s="12"/>
      <c r="FQ228" s="12"/>
      <c r="FR228" s="12"/>
      <c r="FS228" s="13">
        <v>598.0</v>
      </c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</row>
    <row r="229">
      <c r="A229" s="40">
        <v>43839.0</v>
      </c>
      <c r="B229" s="5" t="s">
        <v>25</v>
      </c>
      <c r="C229" s="16">
        <f t="shared" si="157"/>
        <v>202</v>
      </c>
      <c r="D229" s="34">
        <v>19.715052</v>
      </c>
      <c r="E229" s="34">
        <v>-156.049133</v>
      </c>
      <c r="F229" s="5" t="s">
        <v>320</v>
      </c>
      <c r="G229" s="35">
        <v>0.451388888888889</v>
      </c>
      <c r="H229" s="35">
        <v>0.486111111111111</v>
      </c>
      <c r="I229" s="34">
        <v>5.0</v>
      </c>
      <c r="J229" s="34">
        <v>20.0</v>
      </c>
      <c r="K229" s="41" t="s">
        <v>8</v>
      </c>
      <c r="L229" s="34">
        <v>5.0</v>
      </c>
      <c r="M229" s="34">
        <v>20.0</v>
      </c>
      <c r="N229" s="50" t="s">
        <v>322</v>
      </c>
      <c r="O229" s="41"/>
      <c r="P229" s="34">
        <v>20.0</v>
      </c>
      <c r="Q229" s="41"/>
      <c r="R229" s="5"/>
      <c r="S229" s="41"/>
      <c r="T229" s="34">
        <v>21.0</v>
      </c>
      <c r="U229" s="41"/>
      <c r="V229" s="41"/>
      <c r="W229" s="41"/>
      <c r="X229" s="41"/>
      <c r="Y229" s="41"/>
      <c r="Z229" s="41"/>
      <c r="AA229" s="41"/>
      <c r="AB229" s="41"/>
      <c r="AC229" s="41"/>
      <c r="AD229" s="34">
        <v>2.0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41"/>
      <c r="BG229" s="41"/>
      <c r="BH229" s="41"/>
      <c r="BI229" s="41"/>
      <c r="BJ229" s="41"/>
      <c r="BK229" s="41"/>
      <c r="BL229" s="41"/>
      <c r="BM229" s="34">
        <v>70.0</v>
      </c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41"/>
      <c r="CW229" s="41"/>
      <c r="CX229" s="41"/>
      <c r="CY229" s="41"/>
      <c r="CZ229" s="41"/>
      <c r="DA229" s="34">
        <v>1.0</v>
      </c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41"/>
      <c r="DO229" s="41"/>
      <c r="DP229" s="34">
        <v>4.0</v>
      </c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34">
        <v>31.0</v>
      </c>
      <c r="FT229" s="41"/>
      <c r="FU229" s="41"/>
      <c r="FV229" s="41"/>
      <c r="FW229" s="34">
        <v>60.0</v>
      </c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7">
        <f t="shared" ref="GH229:GH233" si="158">count(R229:GG229)</f>
        <v>7</v>
      </c>
      <c r="GI229" s="7">
        <f t="shared" ref="GI229:GI233" si="159">countif(R229:GG229,"&gt;=2")</f>
        <v>6</v>
      </c>
      <c r="GJ229" s="7">
        <f t="shared" ref="GJ229:GJ233" si="160">countif(R229:GG229,"&gt;=5")</f>
        <v>4</v>
      </c>
      <c r="GK229" s="7">
        <f t="shared" ref="GK229:GK233" si="161">sum(R229:GG229)</f>
        <v>189</v>
      </c>
      <c r="GL229" s="7">
        <f t="shared" ref="GL229:GL233" si="162">25*P229</f>
        <v>500</v>
      </c>
      <c r="GM229" s="7">
        <f t="shared" ref="GM229:GM233" si="163">GL229-GK229</f>
        <v>311</v>
      </c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</row>
    <row r="230">
      <c r="A230" s="40">
        <v>43840.0</v>
      </c>
      <c r="B230" s="5" t="s">
        <v>323</v>
      </c>
      <c r="C230" s="16">
        <f t="shared" si="157"/>
        <v>203</v>
      </c>
      <c r="D230" s="34">
        <v>19.5791</v>
      </c>
      <c r="E230" s="34">
        <v>-155.967804</v>
      </c>
      <c r="F230" s="5" t="s">
        <v>320</v>
      </c>
      <c r="G230" s="35">
        <v>0.425</v>
      </c>
      <c r="H230" s="35">
        <v>0.461805555555556</v>
      </c>
      <c r="I230" s="34">
        <v>5.0</v>
      </c>
      <c r="J230" s="34">
        <v>20.0</v>
      </c>
      <c r="K230" s="41" t="s">
        <v>8</v>
      </c>
      <c r="L230" s="34">
        <v>5.0</v>
      </c>
      <c r="M230" s="7">
        <v>24.0</v>
      </c>
      <c r="N230" s="5" t="s">
        <v>324</v>
      </c>
      <c r="O230" s="5"/>
      <c r="P230" s="7">
        <v>24.0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7">
        <v>224.0</v>
      </c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7">
        <v>165.0</v>
      </c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7">
        <f t="shared" si="158"/>
        <v>2</v>
      </c>
      <c r="GI230" s="7">
        <f t="shared" si="159"/>
        <v>2</v>
      </c>
      <c r="GJ230" s="7">
        <f t="shared" si="160"/>
        <v>2</v>
      </c>
      <c r="GK230" s="7">
        <f t="shared" si="161"/>
        <v>389</v>
      </c>
      <c r="GL230" s="7">
        <f t="shared" si="162"/>
        <v>600</v>
      </c>
      <c r="GM230" s="7">
        <f t="shared" si="163"/>
        <v>211</v>
      </c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</row>
    <row r="231">
      <c r="A231" s="33">
        <v>43868.0</v>
      </c>
      <c r="B231" s="5" t="s">
        <v>323</v>
      </c>
      <c r="C231" s="16">
        <f t="shared" si="157"/>
        <v>204</v>
      </c>
      <c r="D231" s="34">
        <v>19.5791</v>
      </c>
      <c r="E231" s="34">
        <v>-155.967804</v>
      </c>
      <c r="F231" s="5" t="s">
        <v>320</v>
      </c>
      <c r="G231" s="35">
        <v>0.420833333333333</v>
      </c>
      <c r="H231" s="35">
        <v>0.451388888888889</v>
      </c>
      <c r="I231" s="7">
        <v>5.0</v>
      </c>
      <c r="J231" s="7">
        <v>20.0</v>
      </c>
      <c r="K231" s="5" t="s">
        <v>8</v>
      </c>
      <c r="L231" s="7">
        <v>5.0</v>
      </c>
      <c r="M231" s="7">
        <v>25.0</v>
      </c>
      <c r="N231" s="5"/>
      <c r="O231" s="5"/>
      <c r="P231" s="7">
        <v>25.0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7">
        <v>188.0</v>
      </c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7">
        <v>1.0</v>
      </c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7">
        <v>278.0</v>
      </c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7">
        <f t="shared" si="158"/>
        <v>3</v>
      </c>
      <c r="GI231" s="7">
        <f t="shared" si="159"/>
        <v>2</v>
      </c>
      <c r="GJ231" s="7">
        <f t="shared" si="160"/>
        <v>2</v>
      </c>
      <c r="GK231" s="7">
        <f t="shared" si="161"/>
        <v>467</v>
      </c>
      <c r="GL231" s="7">
        <f t="shared" si="162"/>
        <v>625</v>
      </c>
      <c r="GM231" s="7">
        <f t="shared" si="163"/>
        <v>158</v>
      </c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</row>
    <row r="232">
      <c r="A232" s="21">
        <v>43882.0</v>
      </c>
      <c r="B232" s="5" t="s">
        <v>99</v>
      </c>
      <c r="C232" s="16">
        <f t="shared" si="157"/>
        <v>205</v>
      </c>
      <c r="D232" s="34">
        <v>19.643276</v>
      </c>
      <c r="E232" s="7">
        <v>-156.010193</v>
      </c>
      <c r="F232" s="5" t="s">
        <v>320</v>
      </c>
      <c r="G232" s="35">
        <v>0.41875</v>
      </c>
      <c r="H232" s="35">
        <v>0.444444444444444</v>
      </c>
      <c r="I232" s="7">
        <v>5.0</v>
      </c>
      <c r="J232" s="7">
        <v>20.0</v>
      </c>
      <c r="K232" s="5" t="s">
        <v>8</v>
      </c>
      <c r="L232" s="7">
        <v>5.0</v>
      </c>
      <c r="M232" s="7">
        <v>25.0</v>
      </c>
      <c r="N232" s="5"/>
      <c r="O232" s="5"/>
      <c r="P232" s="7">
        <v>25.0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7">
        <v>13.0</v>
      </c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7">
        <v>3.0</v>
      </c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7">
        <v>27.0</v>
      </c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7">
        <v>9.0</v>
      </c>
      <c r="FN232" s="5"/>
      <c r="FO232" s="5"/>
      <c r="FP232" s="5"/>
      <c r="FQ232" s="5"/>
      <c r="FR232" s="7">
        <v>141.0</v>
      </c>
      <c r="FS232" s="7">
        <v>390.0</v>
      </c>
      <c r="FT232" s="5"/>
      <c r="FU232" s="5"/>
      <c r="FV232" s="5"/>
      <c r="FW232" s="7">
        <v>2.0</v>
      </c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7">
        <f t="shared" si="158"/>
        <v>7</v>
      </c>
      <c r="GI232" s="7">
        <f t="shared" si="159"/>
        <v>7</v>
      </c>
      <c r="GJ232" s="7">
        <f t="shared" si="160"/>
        <v>5</v>
      </c>
      <c r="GK232" s="7">
        <f t="shared" si="161"/>
        <v>585</v>
      </c>
      <c r="GL232" s="7">
        <f t="shared" si="162"/>
        <v>625</v>
      </c>
      <c r="GM232" s="7">
        <f t="shared" si="163"/>
        <v>40</v>
      </c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</row>
    <row r="233">
      <c r="A233" s="21">
        <v>42852.0</v>
      </c>
      <c r="B233" s="5" t="s">
        <v>14</v>
      </c>
      <c r="C233" s="16">
        <f t="shared" si="157"/>
        <v>206</v>
      </c>
      <c r="D233" s="7">
        <v>19.738602</v>
      </c>
      <c r="E233" s="7">
        <v>-155.038879</v>
      </c>
      <c r="F233" s="5"/>
      <c r="G233" s="6">
        <v>0.3611111111111111</v>
      </c>
      <c r="H233" s="6">
        <v>0.4583333333333333</v>
      </c>
      <c r="I233" s="7">
        <v>3.0</v>
      </c>
      <c r="J233" s="7">
        <v>10.0</v>
      </c>
      <c r="K233" s="5" t="s">
        <v>8</v>
      </c>
      <c r="L233" s="7">
        <v>5.0</v>
      </c>
      <c r="M233" s="7">
        <v>8.0</v>
      </c>
      <c r="N233" s="5" t="s">
        <v>325</v>
      </c>
      <c r="O233" s="5" t="s">
        <v>47</v>
      </c>
      <c r="P233" s="7">
        <v>8.0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7">
        <v>3.0</v>
      </c>
      <c r="BL233" s="5"/>
      <c r="BM233" s="7">
        <v>3.0</v>
      </c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7">
        <v>3.0</v>
      </c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7">
        <v>6.0</v>
      </c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7">
        <v>5.0</v>
      </c>
      <c r="DN233" s="5"/>
      <c r="DO233" s="5"/>
      <c r="DP233" s="5"/>
      <c r="DQ233" s="5"/>
      <c r="DR233" s="7">
        <v>4.0</v>
      </c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7">
        <v>5.0</v>
      </c>
      <c r="EW233" s="5"/>
      <c r="EX233" s="5"/>
      <c r="EY233" s="5"/>
      <c r="EZ233" s="5"/>
      <c r="FA233" s="5"/>
      <c r="FB233" s="7">
        <v>10.0</v>
      </c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7">
        <v>60.0</v>
      </c>
      <c r="FT233" s="5"/>
      <c r="FU233" s="5"/>
      <c r="FV233" s="5"/>
      <c r="FW233" s="7">
        <v>15.0</v>
      </c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7">
        <f t="shared" si="158"/>
        <v>10</v>
      </c>
      <c r="GI233" s="7">
        <f t="shared" si="159"/>
        <v>10</v>
      </c>
      <c r="GJ233" s="7">
        <f t="shared" si="160"/>
        <v>6</v>
      </c>
      <c r="GK233" s="7">
        <f t="shared" si="161"/>
        <v>114</v>
      </c>
      <c r="GL233" s="7">
        <f t="shared" si="162"/>
        <v>200</v>
      </c>
      <c r="GM233" s="7">
        <f t="shared" si="163"/>
        <v>86</v>
      </c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</row>
    <row r="234">
      <c r="A234" s="17">
        <v>43209.0</v>
      </c>
      <c r="B234" s="18" t="s">
        <v>69</v>
      </c>
      <c r="C234" s="36"/>
      <c r="D234" s="18"/>
      <c r="E234" s="18"/>
      <c r="F234" s="18"/>
      <c r="G234" s="38"/>
      <c r="H234" s="3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</row>
    <row r="235">
      <c r="A235" s="17">
        <v>43222.0</v>
      </c>
      <c r="B235" s="18" t="s">
        <v>43</v>
      </c>
      <c r="C235" s="36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</row>
    <row r="236">
      <c r="A236" s="17">
        <v>43235.0</v>
      </c>
      <c r="B236" s="37" t="s">
        <v>12</v>
      </c>
      <c r="C236" s="36"/>
      <c r="D236" s="18"/>
      <c r="E236" s="18"/>
      <c r="F236" s="18"/>
      <c r="G236" s="38"/>
      <c r="H236" s="3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</row>
    <row r="237">
      <c r="A237" s="17">
        <v>43238.0</v>
      </c>
      <c r="B237" s="18" t="s">
        <v>43</v>
      </c>
      <c r="C237" s="36"/>
      <c r="D237" s="18"/>
      <c r="E237" s="18"/>
      <c r="F237" s="18"/>
      <c r="G237" s="38"/>
      <c r="H237" s="3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</row>
    <row r="238">
      <c r="A238" s="17">
        <v>43248.0</v>
      </c>
      <c r="B238" s="18" t="s">
        <v>43</v>
      </c>
      <c r="C238" s="36"/>
      <c r="D238" s="18"/>
      <c r="E238" s="18"/>
      <c r="F238" s="18"/>
      <c r="G238" s="38"/>
      <c r="H238" s="3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</row>
    <row r="239">
      <c r="A239" s="17">
        <v>43250.0</v>
      </c>
      <c r="B239" s="18" t="s">
        <v>302</v>
      </c>
      <c r="C239" s="36"/>
      <c r="D239" s="18"/>
      <c r="E239" s="18"/>
      <c r="F239" s="18"/>
      <c r="G239" s="38"/>
      <c r="H239" s="3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</row>
    <row r="240">
      <c r="A240" s="17">
        <v>43251.0</v>
      </c>
      <c r="B240" s="18" t="s">
        <v>117</v>
      </c>
      <c r="C240" s="36"/>
      <c r="D240" s="18"/>
      <c r="E240" s="18"/>
      <c r="F240" s="18"/>
      <c r="G240" s="38"/>
      <c r="H240" s="3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</row>
    <row r="241">
      <c r="A241" s="17">
        <v>43516.0</v>
      </c>
      <c r="B241" s="18" t="s">
        <v>0</v>
      </c>
      <c r="C241" s="36"/>
      <c r="D241" s="18"/>
      <c r="E241" s="18"/>
      <c r="F241" s="18"/>
      <c r="G241" s="38"/>
      <c r="H241" s="3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</row>
    <row r="242">
      <c r="A242" s="17">
        <v>43557.0</v>
      </c>
      <c r="B242" s="37" t="s">
        <v>283</v>
      </c>
      <c r="C242" s="36"/>
      <c r="D242" s="18"/>
      <c r="E242" s="18"/>
      <c r="F242" s="18"/>
      <c r="G242" s="38"/>
      <c r="H242" s="3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</row>
    <row r="243">
      <c r="A243" s="17">
        <v>43563.0</v>
      </c>
      <c r="B243" s="18" t="s">
        <v>0</v>
      </c>
      <c r="C243" s="36"/>
      <c r="D243" s="18"/>
      <c r="E243" s="18"/>
      <c r="F243" s="18"/>
      <c r="G243" s="38"/>
      <c r="H243" s="3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</row>
    <row r="244">
      <c r="A244" s="17">
        <v>43573.0</v>
      </c>
      <c r="B244" s="18" t="s">
        <v>43</v>
      </c>
      <c r="C244" s="36"/>
      <c r="D244" s="18"/>
      <c r="E244" s="18"/>
      <c r="F244" s="18"/>
      <c r="G244" s="38"/>
      <c r="H244" s="3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</row>
    <row r="245">
      <c r="A245" s="17">
        <v>43588.0</v>
      </c>
      <c r="B245" s="18" t="s">
        <v>146</v>
      </c>
      <c r="C245" s="36"/>
      <c r="D245" s="18"/>
      <c r="E245" s="18"/>
      <c r="F245" s="18"/>
      <c r="G245" s="38"/>
      <c r="H245" s="3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5"/>
      <c r="HG1002" s="5"/>
      <c r="HH1002" s="5"/>
      <c r="HI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/>
      <c r="GJ1003" s="5"/>
      <c r="GK1003" s="5"/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  <c r="FL1004" s="5"/>
      <c r="FM1004" s="5"/>
      <c r="FN1004" s="5"/>
      <c r="FO1004" s="5"/>
      <c r="FP1004" s="5"/>
      <c r="FQ1004" s="5"/>
      <c r="FR1004" s="5"/>
      <c r="FS1004" s="5"/>
      <c r="FT1004" s="5"/>
      <c r="FU1004" s="5"/>
      <c r="FV1004" s="5"/>
      <c r="FW1004" s="5"/>
      <c r="FX1004" s="5"/>
      <c r="FY1004" s="5"/>
      <c r="FZ1004" s="5"/>
      <c r="GA1004" s="5"/>
      <c r="GB1004" s="5"/>
      <c r="GC1004" s="5"/>
      <c r="GD1004" s="5"/>
      <c r="GE1004" s="5"/>
      <c r="GF1004" s="5"/>
      <c r="GG1004" s="5"/>
      <c r="GH1004" s="5"/>
      <c r="GI1004" s="5"/>
      <c r="GJ1004" s="5"/>
      <c r="GK1004" s="5"/>
      <c r="GL1004" s="5"/>
      <c r="GM1004" s="5"/>
      <c r="GN1004" s="5"/>
      <c r="GO1004" s="5"/>
      <c r="GP1004" s="5"/>
      <c r="GQ1004" s="5"/>
      <c r="GR1004" s="5"/>
      <c r="GS1004" s="5"/>
      <c r="GT1004" s="5"/>
      <c r="GU1004" s="5"/>
      <c r="GV1004" s="5"/>
      <c r="GW1004" s="5"/>
      <c r="GX1004" s="5"/>
      <c r="GY1004" s="5"/>
      <c r="GZ1004" s="5"/>
      <c r="HA1004" s="5"/>
      <c r="HB1004" s="5"/>
      <c r="HC1004" s="5"/>
      <c r="HD1004" s="5"/>
      <c r="HE1004" s="5"/>
      <c r="HF1004" s="5"/>
      <c r="HG1004" s="5"/>
      <c r="HH1004" s="5"/>
      <c r="HI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/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/>
      <c r="FG1005" s="5"/>
      <c r="FH1005" s="5"/>
      <c r="FI1005" s="5"/>
      <c r="FJ1005" s="5"/>
      <c r="FK1005" s="5"/>
      <c r="FL1005" s="5"/>
      <c r="FM1005" s="5"/>
      <c r="FN1005" s="5"/>
      <c r="FO1005" s="5"/>
      <c r="FP1005" s="5"/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/>
      <c r="GB1005" s="5"/>
      <c r="GC1005" s="5"/>
      <c r="GD1005" s="5"/>
      <c r="GE1005" s="5"/>
      <c r="GF1005" s="5"/>
      <c r="GG1005" s="5"/>
      <c r="GH1005" s="5"/>
      <c r="GI1005" s="5"/>
      <c r="GJ1005" s="5"/>
      <c r="GK1005" s="5"/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5"/>
      <c r="FV1006" s="5"/>
      <c r="FW1006" s="5"/>
      <c r="FX1006" s="5"/>
      <c r="FY1006" s="5"/>
      <c r="FZ1006" s="5"/>
      <c r="GA1006" s="5"/>
      <c r="GB1006" s="5"/>
      <c r="GC1006" s="5"/>
      <c r="GD1006" s="5"/>
      <c r="GE1006" s="5"/>
      <c r="GF1006" s="5"/>
      <c r="GG1006" s="5"/>
      <c r="GH1006" s="5"/>
      <c r="GI1006" s="5"/>
      <c r="GJ1006" s="5"/>
      <c r="GK1006" s="5"/>
      <c r="GL1006" s="5"/>
      <c r="GM1006" s="5"/>
      <c r="GN1006" s="5"/>
      <c r="GO1006" s="5"/>
      <c r="GP1006" s="5"/>
      <c r="GQ1006" s="5"/>
      <c r="GR1006" s="5"/>
      <c r="GS1006" s="5"/>
      <c r="GT1006" s="5"/>
      <c r="GU1006" s="5"/>
      <c r="GV1006" s="5"/>
      <c r="GW1006" s="5"/>
      <c r="GX1006" s="5"/>
      <c r="GY1006" s="5"/>
      <c r="GZ1006" s="5"/>
      <c r="HA1006" s="5"/>
      <c r="HB1006" s="5"/>
      <c r="HC1006" s="5"/>
      <c r="HD1006" s="5"/>
      <c r="HE1006" s="5"/>
      <c r="HF1006" s="5"/>
      <c r="HG1006" s="5"/>
      <c r="HH1006" s="5"/>
      <c r="HI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/>
      <c r="FG1007" s="5"/>
      <c r="FH1007" s="5"/>
      <c r="FI1007" s="5"/>
      <c r="FJ1007" s="5"/>
      <c r="FK1007" s="5"/>
      <c r="FL1007" s="5"/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5"/>
      <c r="GH1007" s="5"/>
      <c r="GI1007" s="5"/>
      <c r="GJ1007" s="5"/>
      <c r="GK1007" s="5"/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5"/>
      <c r="FC1008" s="5"/>
      <c r="FD1008" s="5"/>
      <c r="FE1008" s="5"/>
      <c r="FF1008" s="5"/>
      <c r="FG1008" s="5"/>
      <c r="FH1008" s="5"/>
      <c r="FI1008" s="5"/>
      <c r="FJ1008" s="5"/>
      <c r="FK1008" s="5"/>
      <c r="FL1008" s="5"/>
      <c r="FM1008" s="5"/>
      <c r="FN1008" s="5"/>
      <c r="FO1008" s="5"/>
      <c r="FP1008" s="5"/>
      <c r="FQ1008" s="5"/>
      <c r="FR1008" s="5"/>
      <c r="FS1008" s="5"/>
      <c r="FT1008" s="5"/>
      <c r="FU1008" s="5"/>
      <c r="FV1008" s="5"/>
      <c r="FW1008" s="5"/>
      <c r="FX1008" s="5"/>
      <c r="FY1008" s="5"/>
      <c r="FZ1008" s="5"/>
      <c r="GA1008" s="5"/>
      <c r="GB1008" s="5"/>
      <c r="GC1008" s="5"/>
      <c r="GD1008" s="5"/>
      <c r="GE1008" s="5"/>
      <c r="GF1008" s="5"/>
      <c r="GG1008" s="5"/>
      <c r="GH1008" s="5"/>
      <c r="GI1008" s="5"/>
      <c r="GJ1008" s="5"/>
      <c r="GK1008" s="5"/>
      <c r="GL1008" s="5"/>
      <c r="GM1008" s="5"/>
      <c r="GN1008" s="5"/>
      <c r="GO1008" s="5"/>
      <c r="GP1008" s="5"/>
      <c r="GQ1008" s="5"/>
      <c r="GR1008" s="5"/>
      <c r="GS1008" s="5"/>
      <c r="GT1008" s="5"/>
      <c r="GU1008" s="5"/>
      <c r="GV1008" s="5"/>
      <c r="GW1008" s="5"/>
      <c r="GX1008" s="5"/>
      <c r="GY1008" s="5"/>
      <c r="GZ1008" s="5"/>
      <c r="HA1008" s="5"/>
      <c r="HB1008" s="5"/>
      <c r="HC1008" s="5"/>
      <c r="HD1008" s="5"/>
      <c r="HE1008" s="5"/>
      <c r="HF1008" s="5"/>
      <c r="HG1008" s="5"/>
      <c r="HH1008" s="5"/>
      <c r="HI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/>
      <c r="FG1009" s="5"/>
      <c r="FH1009" s="5"/>
      <c r="FI1009" s="5"/>
      <c r="FJ1009" s="5"/>
      <c r="FK1009" s="5"/>
      <c r="FL1009" s="5"/>
      <c r="FM1009" s="5"/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5"/>
      <c r="GH1009" s="5"/>
      <c r="GI1009" s="5"/>
      <c r="GJ1009" s="5"/>
      <c r="GK1009" s="5"/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  <c r="EG1010" s="5"/>
      <c r="EH1010" s="5"/>
      <c r="EI1010" s="5"/>
      <c r="EJ1010" s="5"/>
      <c r="EK1010" s="5"/>
      <c r="EL1010" s="5"/>
      <c r="EM1010" s="5"/>
      <c r="EN1010" s="5"/>
      <c r="EO1010" s="5"/>
      <c r="EP1010" s="5"/>
      <c r="EQ1010" s="5"/>
      <c r="ER1010" s="5"/>
      <c r="ES1010" s="5"/>
      <c r="ET1010" s="5"/>
      <c r="EU1010" s="5"/>
      <c r="EV1010" s="5"/>
      <c r="EW1010" s="5"/>
      <c r="EX1010" s="5"/>
      <c r="EY1010" s="5"/>
      <c r="EZ1010" s="5"/>
      <c r="FA1010" s="5"/>
      <c r="FB1010" s="5"/>
      <c r="FC1010" s="5"/>
      <c r="FD1010" s="5"/>
      <c r="FE1010" s="5"/>
      <c r="FF1010" s="5"/>
      <c r="FG1010" s="5"/>
      <c r="FH1010" s="5"/>
      <c r="FI1010" s="5"/>
      <c r="FJ1010" s="5"/>
      <c r="FK1010" s="5"/>
      <c r="FL1010" s="5"/>
      <c r="FM1010" s="5"/>
      <c r="FN1010" s="5"/>
      <c r="FO1010" s="5"/>
      <c r="FP1010" s="5"/>
      <c r="FQ1010" s="5"/>
      <c r="FR1010" s="5"/>
      <c r="FS1010" s="5"/>
      <c r="FT1010" s="5"/>
      <c r="FU1010" s="5"/>
      <c r="FV1010" s="5"/>
      <c r="FW1010" s="5"/>
      <c r="FX1010" s="5"/>
      <c r="FY1010" s="5"/>
      <c r="FZ1010" s="5"/>
      <c r="GA1010" s="5"/>
      <c r="GB1010" s="5"/>
      <c r="GC1010" s="5"/>
      <c r="GD1010" s="5"/>
      <c r="GE1010" s="5"/>
      <c r="GF1010" s="5"/>
      <c r="GG1010" s="5"/>
      <c r="GH1010" s="5"/>
      <c r="GI1010" s="5"/>
      <c r="GJ1010" s="5"/>
      <c r="GK1010" s="5"/>
      <c r="GL1010" s="5"/>
      <c r="GM1010" s="5"/>
      <c r="GN1010" s="5"/>
      <c r="GO1010" s="5"/>
      <c r="GP1010" s="5"/>
      <c r="GQ1010" s="5"/>
      <c r="GR1010" s="5"/>
      <c r="GS1010" s="5"/>
      <c r="GT1010" s="5"/>
      <c r="GU1010" s="5"/>
      <c r="GV1010" s="5"/>
      <c r="GW1010" s="5"/>
      <c r="GX1010" s="5"/>
      <c r="GY1010" s="5"/>
      <c r="GZ1010" s="5"/>
      <c r="HA1010" s="5"/>
      <c r="HB1010" s="5"/>
      <c r="HC1010" s="5"/>
      <c r="HD1010" s="5"/>
      <c r="HE1010" s="5"/>
      <c r="HF1010" s="5"/>
      <c r="HG1010" s="5"/>
      <c r="HH1010" s="5"/>
      <c r="HI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L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/>
      <c r="EM1011" s="5"/>
      <c r="EN1011" s="5"/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/>
      <c r="FG1011" s="5"/>
      <c r="FH1011" s="5"/>
      <c r="FI1011" s="5"/>
      <c r="FJ1011" s="5"/>
      <c r="FK1011" s="5"/>
      <c r="FL1011" s="5"/>
      <c r="FM1011" s="5"/>
      <c r="FN1011" s="5"/>
      <c r="FO1011" s="5"/>
      <c r="FP1011" s="5"/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/>
      <c r="GB1011" s="5"/>
      <c r="GC1011" s="5"/>
      <c r="GD1011" s="5"/>
      <c r="GE1011" s="5"/>
      <c r="GF1011" s="5"/>
      <c r="GG1011" s="5"/>
      <c r="GH1011" s="5"/>
      <c r="GI1011" s="5"/>
      <c r="GJ1011" s="5"/>
      <c r="GK1011" s="5"/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5"/>
      <c r="HG1012" s="5"/>
      <c r="HH1012" s="5"/>
      <c r="HI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  <c r="FL1013" s="5"/>
      <c r="FM1013" s="5"/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/>
      <c r="GK1013" s="5"/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5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5"/>
      <c r="FB1014" s="5"/>
      <c r="FC1014" s="5"/>
      <c r="FD1014" s="5"/>
      <c r="FE1014" s="5"/>
      <c r="FF1014" s="5"/>
      <c r="FG1014" s="5"/>
      <c r="FH1014" s="5"/>
      <c r="FI1014" s="5"/>
      <c r="FJ1014" s="5"/>
      <c r="FK1014" s="5"/>
      <c r="FL1014" s="5"/>
      <c r="FM1014" s="5"/>
      <c r="FN1014" s="5"/>
      <c r="FO1014" s="5"/>
      <c r="FP1014" s="5"/>
      <c r="FQ1014" s="5"/>
      <c r="FR1014" s="5"/>
      <c r="FS1014" s="5"/>
      <c r="FT1014" s="5"/>
      <c r="FU1014" s="5"/>
      <c r="FV1014" s="5"/>
      <c r="FW1014" s="5"/>
      <c r="FX1014" s="5"/>
      <c r="FY1014" s="5"/>
      <c r="FZ1014" s="5"/>
      <c r="GA1014" s="5"/>
      <c r="GB1014" s="5"/>
      <c r="GC1014" s="5"/>
      <c r="GD1014" s="5"/>
      <c r="GE1014" s="5"/>
      <c r="GF1014" s="5"/>
      <c r="GG1014" s="5"/>
      <c r="GH1014" s="5"/>
      <c r="GI1014" s="5"/>
      <c r="GJ1014" s="5"/>
      <c r="GK1014" s="5"/>
      <c r="GL1014" s="5"/>
      <c r="GM1014" s="5"/>
      <c r="GN1014" s="5"/>
      <c r="GO1014" s="5"/>
      <c r="GP1014" s="5"/>
      <c r="GQ1014" s="5"/>
      <c r="GR1014" s="5"/>
      <c r="GS1014" s="5"/>
      <c r="GT1014" s="5"/>
      <c r="GU1014" s="5"/>
      <c r="GV1014" s="5"/>
      <c r="GW1014" s="5"/>
      <c r="GX1014" s="5"/>
      <c r="GY1014" s="5"/>
      <c r="GZ1014" s="5"/>
      <c r="HA1014" s="5"/>
      <c r="HB1014" s="5"/>
      <c r="HC1014" s="5"/>
      <c r="HD1014" s="5"/>
      <c r="HE1014" s="5"/>
      <c r="HF1014" s="5"/>
      <c r="HG1014" s="5"/>
      <c r="HH1014" s="5"/>
      <c r="HI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/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/>
      <c r="FG1015" s="5"/>
      <c r="FH1015" s="5"/>
      <c r="FI1015" s="5"/>
      <c r="FJ1015" s="5"/>
      <c r="FK1015" s="5"/>
      <c r="FL1015" s="5"/>
      <c r="FM1015" s="5"/>
      <c r="FN1015" s="5"/>
      <c r="FO1015" s="5"/>
      <c r="FP1015" s="5"/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/>
      <c r="GB1015" s="5"/>
      <c r="GC1015" s="5"/>
      <c r="GD1015" s="5"/>
      <c r="GE1015" s="5"/>
      <c r="GF1015" s="5"/>
      <c r="GG1015" s="5"/>
      <c r="GH1015" s="5"/>
      <c r="GI1015" s="5"/>
      <c r="GJ1015" s="5"/>
      <c r="GK1015" s="5"/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  <c r="EG1016" s="5"/>
      <c r="EH1016" s="5"/>
      <c r="EI1016" s="5"/>
      <c r="EJ1016" s="5"/>
      <c r="EK1016" s="5"/>
      <c r="EL1016" s="5"/>
      <c r="EM1016" s="5"/>
      <c r="EN1016" s="5"/>
      <c r="EO1016" s="5"/>
      <c r="EP1016" s="5"/>
      <c r="EQ1016" s="5"/>
      <c r="ER1016" s="5"/>
      <c r="ES1016" s="5"/>
      <c r="ET1016" s="5"/>
      <c r="EU1016" s="5"/>
      <c r="EV1016" s="5"/>
      <c r="EW1016" s="5"/>
      <c r="EX1016" s="5"/>
      <c r="EY1016" s="5"/>
      <c r="EZ1016" s="5"/>
      <c r="FA1016" s="5"/>
      <c r="FB1016" s="5"/>
      <c r="FC1016" s="5"/>
      <c r="FD1016" s="5"/>
      <c r="FE1016" s="5"/>
      <c r="FF1016" s="5"/>
      <c r="FG1016" s="5"/>
      <c r="FH1016" s="5"/>
      <c r="FI1016" s="5"/>
      <c r="FJ1016" s="5"/>
      <c r="FK1016" s="5"/>
      <c r="FL1016" s="5"/>
      <c r="FM1016" s="5"/>
      <c r="FN1016" s="5"/>
      <c r="FO1016" s="5"/>
      <c r="FP1016" s="5"/>
      <c r="FQ1016" s="5"/>
      <c r="FR1016" s="5"/>
      <c r="FS1016" s="5"/>
      <c r="FT1016" s="5"/>
      <c r="FU1016" s="5"/>
      <c r="FV1016" s="5"/>
      <c r="FW1016" s="5"/>
      <c r="FX1016" s="5"/>
      <c r="FY1016" s="5"/>
      <c r="FZ1016" s="5"/>
      <c r="GA1016" s="5"/>
      <c r="GB1016" s="5"/>
      <c r="GC1016" s="5"/>
      <c r="GD1016" s="5"/>
      <c r="GE1016" s="5"/>
      <c r="GF1016" s="5"/>
      <c r="GG1016" s="5"/>
      <c r="GH1016" s="5"/>
      <c r="GI1016" s="5"/>
      <c r="GJ1016" s="5"/>
      <c r="GK1016" s="5"/>
      <c r="GL1016" s="5"/>
      <c r="GM1016" s="5"/>
      <c r="GN1016" s="5"/>
      <c r="GO1016" s="5"/>
      <c r="GP1016" s="5"/>
      <c r="GQ1016" s="5"/>
      <c r="GR1016" s="5"/>
      <c r="GS1016" s="5"/>
      <c r="GT1016" s="5"/>
      <c r="GU1016" s="5"/>
      <c r="GV1016" s="5"/>
      <c r="GW1016" s="5"/>
      <c r="GX1016" s="5"/>
      <c r="GY1016" s="5"/>
      <c r="GZ1016" s="5"/>
      <c r="HA1016" s="5"/>
      <c r="HB1016" s="5"/>
      <c r="HC1016" s="5"/>
      <c r="HD1016" s="5"/>
      <c r="HE1016" s="5"/>
      <c r="HF1016" s="5"/>
      <c r="HG1016" s="5"/>
      <c r="HH1016" s="5"/>
      <c r="HI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/>
      <c r="EM1017" s="5"/>
      <c r="EN1017" s="5"/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/>
      <c r="FG1017" s="5"/>
      <c r="FH1017" s="5"/>
      <c r="FI1017" s="5"/>
      <c r="FJ1017" s="5"/>
      <c r="FK1017" s="5"/>
      <c r="FL1017" s="5"/>
      <c r="FM1017" s="5"/>
      <c r="FN1017" s="5"/>
      <c r="FO1017" s="5"/>
      <c r="FP1017" s="5"/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/>
      <c r="GB1017" s="5"/>
      <c r="GC1017" s="5"/>
      <c r="GD1017" s="5"/>
      <c r="GE1017" s="5"/>
      <c r="GF1017" s="5"/>
      <c r="GG1017" s="5"/>
      <c r="GH1017" s="5"/>
      <c r="GI1017" s="5"/>
      <c r="GJ1017" s="5"/>
      <c r="GK1017" s="5"/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  <c r="EG1018" s="5"/>
      <c r="EH1018" s="5"/>
      <c r="EI1018" s="5"/>
      <c r="EJ1018" s="5"/>
      <c r="EK1018" s="5"/>
      <c r="EL1018" s="5"/>
      <c r="EM1018" s="5"/>
      <c r="EN1018" s="5"/>
      <c r="EO1018" s="5"/>
      <c r="EP1018" s="5"/>
      <c r="EQ1018" s="5"/>
      <c r="ER1018" s="5"/>
      <c r="ES1018" s="5"/>
      <c r="ET1018" s="5"/>
      <c r="EU1018" s="5"/>
      <c r="EV1018" s="5"/>
      <c r="EW1018" s="5"/>
      <c r="EX1018" s="5"/>
      <c r="EY1018" s="5"/>
      <c r="EZ1018" s="5"/>
      <c r="FA1018" s="5"/>
      <c r="FB1018" s="5"/>
      <c r="FC1018" s="5"/>
      <c r="FD1018" s="5"/>
      <c r="FE1018" s="5"/>
      <c r="FF1018" s="5"/>
      <c r="FG1018" s="5"/>
      <c r="FH1018" s="5"/>
      <c r="FI1018" s="5"/>
      <c r="FJ1018" s="5"/>
      <c r="FK1018" s="5"/>
      <c r="FL1018" s="5"/>
      <c r="FM1018" s="5"/>
      <c r="FN1018" s="5"/>
      <c r="FO1018" s="5"/>
      <c r="FP1018" s="5"/>
      <c r="FQ1018" s="5"/>
      <c r="FR1018" s="5"/>
      <c r="FS1018" s="5"/>
      <c r="FT1018" s="5"/>
      <c r="FU1018" s="5"/>
      <c r="FV1018" s="5"/>
      <c r="FW1018" s="5"/>
      <c r="FX1018" s="5"/>
      <c r="FY1018" s="5"/>
      <c r="FZ1018" s="5"/>
      <c r="GA1018" s="5"/>
      <c r="GB1018" s="5"/>
      <c r="GC1018" s="5"/>
      <c r="GD1018" s="5"/>
      <c r="GE1018" s="5"/>
      <c r="GF1018" s="5"/>
      <c r="GG1018" s="5"/>
      <c r="GH1018" s="5"/>
      <c r="GI1018" s="5"/>
      <c r="GJ1018" s="5"/>
      <c r="GK1018" s="5"/>
      <c r="GL1018" s="5"/>
      <c r="GM1018" s="5"/>
      <c r="GN1018" s="5"/>
      <c r="GO1018" s="5"/>
      <c r="GP1018" s="5"/>
      <c r="GQ1018" s="5"/>
      <c r="GR1018" s="5"/>
      <c r="GS1018" s="5"/>
      <c r="GT1018" s="5"/>
      <c r="GU1018" s="5"/>
      <c r="GV1018" s="5"/>
      <c r="GW1018" s="5"/>
      <c r="GX1018" s="5"/>
      <c r="GY1018" s="5"/>
      <c r="GZ1018" s="5"/>
      <c r="HA1018" s="5"/>
      <c r="HB1018" s="5"/>
      <c r="HC1018" s="5"/>
      <c r="HD1018" s="5"/>
      <c r="HE1018" s="5"/>
      <c r="HF1018" s="5"/>
      <c r="HG1018" s="5"/>
      <c r="HH1018" s="5"/>
      <c r="HI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/>
      <c r="EM1019" s="5"/>
      <c r="EN1019" s="5"/>
      <c r="EO1019" s="5"/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/>
      <c r="FG1019" s="5"/>
      <c r="FH1019" s="5"/>
      <c r="FI1019" s="5"/>
      <c r="FJ1019" s="5"/>
      <c r="FK1019" s="5"/>
      <c r="FL1019" s="5"/>
      <c r="FM1019" s="5"/>
      <c r="FN1019" s="5"/>
      <c r="FO1019" s="5"/>
      <c r="FP1019" s="5"/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/>
      <c r="GB1019" s="5"/>
      <c r="GC1019" s="5"/>
      <c r="GD1019" s="5"/>
      <c r="GE1019" s="5"/>
      <c r="GF1019" s="5"/>
      <c r="GG1019" s="5"/>
      <c r="GH1019" s="5"/>
      <c r="GI1019" s="5"/>
      <c r="GJ1019" s="5"/>
      <c r="GK1019" s="5"/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5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5"/>
      <c r="FB1020" s="5"/>
      <c r="FC1020" s="5"/>
      <c r="FD1020" s="5"/>
      <c r="FE1020" s="5"/>
      <c r="FF1020" s="5"/>
      <c r="FG1020" s="5"/>
      <c r="FH1020" s="5"/>
      <c r="FI1020" s="5"/>
      <c r="FJ1020" s="5"/>
      <c r="FK1020" s="5"/>
      <c r="FL1020" s="5"/>
      <c r="FM1020" s="5"/>
      <c r="FN1020" s="5"/>
      <c r="FO1020" s="5"/>
      <c r="FP1020" s="5"/>
      <c r="FQ1020" s="5"/>
      <c r="FR1020" s="5"/>
      <c r="FS1020" s="5"/>
      <c r="FT1020" s="5"/>
      <c r="FU1020" s="5"/>
      <c r="FV1020" s="5"/>
      <c r="FW1020" s="5"/>
      <c r="FX1020" s="5"/>
      <c r="FY1020" s="5"/>
      <c r="FZ1020" s="5"/>
      <c r="GA1020" s="5"/>
      <c r="GB1020" s="5"/>
      <c r="GC1020" s="5"/>
      <c r="GD1020" s="5"/>
      <c r="GE1020" s="5"/>
      <c r="GF1020" s="5"/>
      <c r="GG1020" s="5"/>
      <c r="GH1020" s="5"/>
      <c r="GI1020" s="5"/>
      <c r="GJ1020" s="5"/>
      <c r="GK1020" s="5"/>
      <c r="GL1020" s="5"/>
      <c r="GM1020" s="5"/>
      <c r="GN1020" s="5"/>
      <c r="GO1020" s="5"/>
      <c r="GP1020" s="5"/>
      <c r="GQ1020" s="5"/>
      <c r="GR1020" s="5"/>
      <c r="GS1020" s="5"/>
      <c r="GT1020" s="5"/>
      <c r="GU1020" s="5"/>
      <c r="GV1020" s="5"/>
      <c r="GW1020" s="5"/>
      <c r="GX1020" s="5"/>
      <c r="GY1020" s="5"/>
      <c r="GZ1020" s="5"/>
      <c r="HA1020" s="5"/>
      <c r="HB1020" s="5"/>
      <c r="HC1020" s="5"/>
      <c r="HD1020" s="5"/>
      <c r="HE1020" s="5"/>
      <c r="HF1020" s="5"/>
      <c r="HG1020" s="5"/>
      <c r="HH1020" s="5"/>
      <c r="HI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/>
      <c r="EM1021" s="5"/>
      <c r="EN1021" s="5"/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/>
      <c r="FG1021" s="5"/>
      <c r="FH1021" s="5"/>
      <c r="FI1021" s="5"/>
      <c r="FJ1021" s="5"/>
      <c r="FK1021" s="5"/>
      <c r="FL1021" s="5"/>
      <c r="FM1021" s="5"/>
      <c r="FN1021" s="5"/>
      <c r="FO1021" s="5"/>
      <c r="FP1021" s="5"/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/>
      <c r="GB1021" s="5"/>
      <c r="GC1021" s="5"/>
      <c r="GD1021" s="5"/>
      <c r="GE1021" s="5"/>
      <c r="GF1021" s="5"/>
      <c r="GG1021" s="5"/>
      <c r="GH1021" s="5"/>
      <c r="GI1021" s="5"/>
      <c r="GJ1021" s="5"/>
      <c r="GK1021" s="5"/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L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  <c r="EG1022" s="5"/>
      <c r="EH1022" s="5"/>
      <c r="EI1022" s="5"/>
      <c r="EJ1022" s="5"/>
      <c r="EK1022" s="5"/>
      <c r="EL1022" s="5"/>
      <c r="EM1022" s="5"/>
      <c r="EN1022" s="5"/>
      <c r="EO1022" s="5"/>
      <c r="EP1022" s="5"/>
      <c r="EQ1022" s="5"/>
      <c r="ER1022" s="5"/>
      <c r="ES1022" s="5"/>
      <c r="ET1022" s="5"/>
      <c r="EU1022" s="5"/>
      <c r="EV1022" s="5"/>
      <c r="EW1022" s="5"/>
      <c r="EX1022" s="5"/>
      <c r="EY1022" s="5"/>
      <c r="EZ1022" s="5"/>
      <c r="FA1022" s="5"/>
      <c r="FB1022" s="5"/>
      <c r="FC1022" s="5"/>
      <c r="FD1022" s="5"/>
      <c r="FE1022" s="5"/>
      <c r="FF1022" s="5"/>
      <c r="FG1022" s="5"/>
      <c r="FH1022" s="5"/>
      <c r="FI1022" s="5"/>
      <c r="FJ1022" s="5"/>
      <c r="FK1022" s="5"/>
      <c r="FL1022" s="5"/>
      <c r="FM1022" s="5"/>
      <c r="FN1022" s="5"/>
      <c r="FO1022" s="5"/>
      <c r="FP1022" s="5"/>
      <c r="FQ1022" s="5"/>
      <c r="FR1022" s="5"/>
      <c r="FS1022" s="5"/>
      <c r="FT1022" s="5"/>
      <c r="FU1022" s="5"/>
      <c r="FV1022" s="5"/>
      <c r="FW1022" s="5"/>
      <c r="FX1022" s="5"/>
      <c r="FY1022" s="5"/>
      <c r="FZ1022" s="5"/>
      <c r="GA1022" s="5"/>
      <c r="GB1022" s="5"/>
      <c r="GC1022" s="5"/>
      <c r="GD1022" s="5"/>
      <c r="GE1022" s="5"/>
      <c r="GF1022" s="5"/>
      <c r="GG1022" s="5"/>
      <c r="GH1022" s="5"/>
      <c r="GI1022" s="5"/>
      <c r="GJ1022" s="5"/>
      <c r="GK1022" s="5"/>
      <c r="GL1022" s="5"/>
      <c r="GM1022" s="5"/>
      <c r="GN1022" s="5"/>
      <c r="GO1022" s="5"/>
      <c r="GP1022" s="5"/>
      <c r="GQ1022" s="5"/>
      <c r="GR1022" s="5"/>
      <c r="GS1022" s="5"/>
      <c r="GT1022" s="5"/>
      <c r="GU1022" s="5"/>
      <c r="GV1022" s="5"/>
      <c r="GW1022" s="5"/>
      <c r="GX1022" s="5"/>
      <c r="GY1022" s="5"/>
      <c r="GZ1022" s="5"/>
      <c r="HA1022" s="5"/>
      <c r="HB1022" s="5"/>
      <c r="HC1022" s="5"/>
      <c r="HD1022" s="5"/>
      <c r="HE1022" s="5"/>
      <c r="HF1022" s="5"/>
      <c r="HG1022" s="5"/>
      <c r="HH1022" s="5"/>
      <c r="HI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L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/>
      <c r="EM1023" s="5"/>
      <c r="EN1023" s="5"/>
      <c r="EO1023" s="5"/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/>
      <c r="FD1023" s="5"/>
      <c r="FE1023" s="5"/>
      <c r="FF1023" s="5"/>
      <c r="FG1023" s="5"/>
      <c r="FH1023" s="5"/>
      <c r="FI1023" s="5"/>
      <c r="FJ1023" s="5"/>
      <c r="FK1023" s="5"/>
      <c r="FL1023" s="5"/>
      <c r="FM1023" s="5"/>
      <c r="FN1023" s="5"/>
      <c r="FO1023" s="5"/>
      <c r="FP1023" s="5"/>
      <c r="FQ1023" s="5"/>
      <c r="FR1023" s="5"/>
      <c r="FS1023" s="5"/>
      <c r="FT1023" s="5"/>
      <c r="FU1023" s="5"/>
      <c r="FV1023" s="5"/>
      <c r="FW1023" s="5"/>
      <c r="FX1023" s="5"/>
      <c r="FY1023" s="5"/>
      <c r="FZ1023" s="5"/>
      <c r="GA1023" s="5"/>
      <c r="GB1023" s="5"/>
      <c r="GC1023" s="5"/>
      <c r="GD1023" s="5"/>
      <c r="GE1023" s="5"/>
      <c r="GF1023" s="5"/>
      <c r="GG1023" s="5"/>
      <c r="GH1023" s="5"/>
      <c r="GI1023" s="5"/>
      <c r="GJ1023" s="5"/>
      <c r="GK1023" s="5"/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5"/>
      <c r="HG1023" s="5"/>
      <c r="HH1023" s="5"/>
      <c r="HI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  <c r="EG1024" s="5"/>
      <c r="EH1024" s="5"/>
      <c r="EI1024" s="5"/>
      <c r="EJ1024" s="5"/>
      <c r="EK1024" s="5"/>
      <c r="EL1024" s="5"/>
      <c r="EM1024" s="5"/>
      <c r="EN1024" s="5"/>
      <c r="EO1024" s="5"/>
      <c r="EP1024" s="5"/>
      <c r="EQ1024" s="5"/>
      <c r="ER1024" s="5"/>
      <c r="ES1024" s="5"/>
      <c r="ET1024" s="5"/>
      <c r="EU1024" s="5"/>
      <c r="EV1024" s="5"/>
      <c r="EW1024" s="5"/>
      <c r="EX1024" s="5"/>
      <c r="EY1024" s="5"/>
      <c r="EZ1024" s="5"/>
      <c r="FA1024" s="5"/>
      <c r="FB1024" s="5"/>
      <c r="FC1024" s="5"/>
      <c r="FD1024" s="5"/>
      <c r="FE1024" s="5"/>
      <c r="FF1024" s="5"/>
      <c r="FG1024" s="5"/>
      <c r="FH1024" s="5"/>
      <c r="FI1024" s="5"/>
      <c r="FJ1024" s="5"/>
      <c r="FK1024" s="5"/>
      <c r="FL1024" s="5"/>
      <c r="FM1024" s="5"/>
      <c r="FN1024" s="5"/>
      <c r="FO1024" s="5"/>
      <c r="FP1024" s="5"/>
      <c r="FQ1024" s="5"/>
      <c r="FR1024" s="5"/>
      <c r="FS1024" s="5"/>
      <c r="FT1024" s="5"/>
      <c r="FU1024" s="5"/>
      <c r="FV1024" s="5"/>
      <c r="FW1024" s="5"/>
      <c r="FX1024" s="5"/>
      <c r="FY1024" s="5"/>
      <c r="FZ1024" s="5"/>
      <c r="GA1024" s="5"/>
      <c r="GB1024" s="5"/>
      <c r="GC1024" s="5"/>
      <c r="GD1024" s="5"/>
      <c r="GE1024" s="5"/>
      <c r="GF1024" s="5"/>
      <c r="GG1024" s="5"/>
      <c r="GH1024" s="5"/>
      <c r="GI1024" s="5"/>
      <c r="GJ1024" s="5"/>
      <c r="GK1024" s="5"/>
      <c r="GL1024" s="5"/>
      <c r="GM1024" s="5"/>
      <c r="GN1024" s="5"/>
      <c r="GO1024" s="5"/>
      <c r="GP1024" s="5"/>
      <c r="GQ1024" s="5"/>
      <c r="GR1024" s="5"/>
      <c r="GS1024" s="5"/>
      <c r="GT1024" s="5"/>
      <c r="GU1024" s="5"/>
      <c r="GV1024" s="5"/>
      <c r="GW1024" s="5"/>
      <c r="GX1024" s="5"/>
      <c r="GY1024" s="5"/>
      <c r="GZ1024" s="5"/>
      <c r="HA1024" s="5"/>
      <c r="HB1024" s="5"/>
      <c r="HC1024" s="5"/>
      <c r="HD1024" s="5"/>
      <c r="HE1024" s="5"/>
      <c r="HF1024" s="5"/>
      <c r="HG1024" s="5"/>
      <c r="HH1024" s="5"/>
      <c r="HI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L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/>
      <c r="EM1025" s="5"/>
      <c r="EN1025" s="5"/>
      <c r="EO1025" s="5"/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/>
      <c r="FD1025" s="5"/>
      <c r="FE1025" s="5"/>
      <c r="FF1025" s="5"/>
      <c r="FG1025" s="5"/>
      <c r="FH1025" s="5"/>
      <c r="FI1025" s="5"/>
      <c r="FJ1025" s="5"/>
      <c r="FK1025" s="5"/>
      <c r="FL1025" s="5"/>
      <c r="FM1025" s="5"/>
      <c r="FN1025" s="5"/>
      <c r="FO1025" s="5"/>
      <c r="FP1025" s="5"/>
      <c r="FQ1025" s="5"/>
      <c r="FR1025" s="5"/>
      <c r="FS1025" s="5"/>
      <c r="FT1025" s="5"/>
      <c r="FU1025" s="5"/>
      <c r="FV1025" s="5"/>
      <c r="FW1025" s="5"/>
      <c r="FX1025" s="5"/>
      <c r="FY1025" s="5"/>
      <c r="FZ1025" s="5"/>
      <c r="GA1025" s="5"/>
      <c r="GB1025" s="5"/>
      <c r="GC1025" s="5"/>
      <c r="GD1025" s="5"/>
      <c r="GE1025" s="5"/>
      <c r="GF1025" s="5"/>
      <c r="GG1025" s="5"/>
      <c r="GH1025" s="5"/>
      <c r="GI1025" s="5"/>
      <c r="GJ1025" s="5"/>
      <c r="GK1025" s="5"/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5"/>
      <c r="HG1025" s="5"/>
      <c r="HH1025" s="5"/>
      <c r="HI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  <c r="EG1026" s="5"/>
      <c r="EH1026" s="5"/>
      <c r="EI1026" s="5"/>
      <c r="EJ1026" s="5"/>
      <c r="EK1026" s="5"/>
      <c r="EL1026" s="5"/>
      <c r="EM1026" s="5"/>
      <c r="EN1026" s="5"/>
      <c r="EO1026" s="5"/>
      <c r="EP1026" s="5"/>
      <c r="EQ1026" s="5"/>
      <c r="ER1026" s="5"/>
      <c r="ES1026" s="5"/>
      <c r="ET1026" s="5"/>
      <c r="EU1026" s="5"/>
      <c r="EV1026" s="5"/>
      <c r="EW1026" s="5"/>
      <c r="EX1026" s="5"/>
      <c r="EY1026" s="5"/>
      <c r="EZ1026" s="5"/>
      <c r="FA1026" s="5"/>
      <c r="FB1026" s="5"/>
      <c r="FC1026" s="5"/>
      <c r="FD1026" s="5"/>
      <c r="FE1026" s="5"/>
      <c r="FF1026" s="5"/>
      <c r="FG1026" s="5"/>
      <c r="FH1026" s="5"/>
      <c r="FI1026" s="5"/>
      <c r="FJ1026" s="5"/>
      <c r="FK1026" s="5"/>
      <c r="FL1026" s="5"/>
      <c r="FM1026" s="5"/>
      <c r="FN1026" s="5"/>
      <c r="FO1026" s="5"/>
      <c r="FP1026" s="5"/>
      <c r="FQ1026" s="5"/>
      <c r="FR1026" s="5"/>
      <c r="FS1026" s="5"/>
      <c r="FT1026" s="5"/>
      <c r="FU1026" s="5"/>
      <c r="FV1026" s="5"/>
      <c r="FW1026" s="5"/>
      <c r="FX1026" s="5"/>
      <c r="FY1026" s="5"/>
      <c r="FZ1026" s="5"/>
      <c r="GA1026" s="5"/>
      <c r="GB1026" s="5"/>
      <c r="GC1026" s="5"/>
      <c r="GD1026" s="5"/>
      <c r="GE1026" s="5"/>
      <c r="GF1026" s="5"/>
      <c r="GG1026" s="5"/>
      <c r="GH1026" s="5"/>
      <c r="GI1026" s="5"/>
      <c r="GJ1026" s="5"/>
      <c r="GK1026" s="5"/>
      <c r="GL1026" s="5"/>
      <c r="GM1026" s="5"/>
      <c r="GN1026" s="5"/>
      <c r="GO1026" s="5"/>
      <c r="GP1026" s="5"/>
      <c r="GQ1026" s="5"/>
      <c r="GR1026" s="5"/>
      <c r="GS1026" s="5"/>
      <c r="GT1026" s="5"/>
      <c r="GU1026" s="5"/>
      <c r="GV1026" s="5"/>
      <c r="GW1026" s="5"/>
      <c r="GX1026" s="5"/>
      <c r="GY1026" s="5"/>
      <c r="GZ1026" s="5"/>
      <c r="HA1026" s="5"/>
      <c r="HB1026" s="5"/>
      <c r="HC1026" s="5"/>
      <c r="HD1026" s="5"/>
      <c r="HE1026" s="5"/>
      <c r="HF1026" s="5"/>
      <c r="HG1026" s="5"/>
      <c r="HH1026" s="5"/>
      <c r="HI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/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/>
      <c r="FG1027" s="5"/>
      <c r="FH1027" s="5"/>
      <c r="FI1027" s="5"/>
      <c r="FJ1027" s="5"/>
      <c r="FK1027" s="5"/>
      <c r="FL1027" s="5"/>
      <c r="FM1027" s="5"/>
      <c r="FN1027" s="5"/>
      <c r="FO1027" s="5"/>
      <c r="FP1027" s="5"/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/>
      <c r="GJ1027" s="5"/>
      <c r="GK1027" s="5"/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/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/>
      <c r="FG1029" s="5"/>
      <c r="FH1029" s="5"/>
      <c r="FI1029" s="5"/>
      <c r="FJ1029" s="5"/>
      <c r="FK1029" s="5"/>
      <c r="FL1029" s="5"/>
      <c r="FM1029" s="5"/>
      <c r="FN1029" s="5"/>
      <c r="FO1029" s="5"/>
      <c r="FP1029" s="5"/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/>
      <c r="GB1029" s="5"/>
      <c r="GC1029" s="5"/>
      <c r="GD1029" s="5"/>
      <c r="GE1029" s="5"/>
      <c r="GF1029" s="5"/>
      <c r="GG1029" s="5"/>
      <c r="GH1029" s="5"/>
      <c r="GI1029" s="5"/>
      <c r="GJ1029" s="5"/>
      <c r="GK1029" s="5"/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5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5"/>
      <c r="EP1030" s="5"/>
      <c r="EQ1030" s="5"/>
      <c r="ER1030" s="5"/>
      <c r="ES1030" s="5"/>
      <c r="ET1030" s="5"/>
      <c r="EU1030" s="5"/>
      <c r="EV1030" s="5"/>
      <c r="EW1030" s="5"/>
      <c r="EX1030" s="5"/>
      <c r="EY1030" s="5"/>
      <c r="EZ1030" s="5"/>
      <c r="FA1030" s="5"/>
      <c r="FB1030" s="5"/>
      <c r="FC1030" s="5"/>
      <c r="FD1030" s="5"/>
      <c r="FE1030" s="5"/>
      <c r="FF1030" s="5"/>
      <c r="FG1030" s="5"/>
      <c r="FH1030" s="5"/>
      <c r="FI1030" s="5"/>
      <c r="FJ1030" s="5"/>
      <c r="FK1030" s="5"/>
      <c r="FL1030" s="5"/>
      <c r="FM1030" s="5"/>
      <c r="FN1030" s="5"/>
      <c r="FO1030" s="5"/>
      <c r="FP1030" s="5"/>
      <c r="FQ1030" s="5"/>
      <c r="FR1030" s="5"/>
      <c r="FS1030" s="5"/>
      <c r="FT1030" s="5"/>
      <c r="FU1030" s="5"/>
      <c r="FV1030" s="5"/>
      <c r="FW1030" s="5"/>
      <c r="FX1030" s="5"/>
      <c r="FY1030" s="5"/>
      <c r="FZ1030" s="5"/>
      <c r="GA1030" s="5"/>
      <c r="GB1030" s="5"/>
      <c r="GC1030" s="5"/>
      <c r="GD1030" s="5"/>
      <c r="GE1030" s="5"/>
      <c r="GF1030" s="5"/>
      <c r="GG1030" s="5"/>
      <c r="GH1030" s="5"/>
      <c r="GI1030" s="5"/>
      <c r="GJ1030" s="5"/>
      <c r="GK1030" s="5"/>
      <c r="GL1030" s="5"/>
      <c r="GM1030" s="5"/>
      <c r="GN1030" s="5"/>
      <c r="GO1030" s="5"/>
      <c r="GP1030" s="5"/>
      <c r="GQ1030" s="5"/>
      <c r="GR1030" s="5"/>
      <c r="GS1030" s="5"/>
      <c r="GT1030" s="5"/>
      <c r="GU1030" s="5"/>
      <c r="GV1030" s="5"/>
      <c r="GW1030" s="5"/>
      <c r="GX1030" s="5"/>
      <c r="GY1030" s="5"/>
      <c r="GZ1030" s="5"/>
      <c r="HA1030" s="5"/>
      <c r="HB1030" s="5"/>
      <c r="HC1030" s="5"/>
      <c r="HD1030" s="5"/>
      <c r="HE1030" s="5"/>
      <c r="HF1030" s="5"/>
      <c r="HG1030" s="5"/>
      <c r="HH1030" s="5"/>
      <c r="HI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5"/>
      <c r="DH1031" s="5"/>
      <c r="DI1031" s="5"/>
      <c r="DJ1031" s="5"/>
      <c r="DK1031" s="5"/>
      <c r="DL1031" s="5"/>
      <c r="DM1031" s="5"/>
      <c r="DN1031" s="5"/>
      <c r="DO1031" s="5"/>
      <c r="DP1031" s="5"/>
      <c r="DQ1031" s="5"/>
      <c r="DR1031" s="5"/>
      <c r="DS1031" s="5"/>
      <c r="DT1031" s="5"/>
      <c r="DU1031" s="5"/>
      <c r="DV1031" s="5"/>
      <c r="DW1031" s="5"/>
      <c r="DX1031" s="5"/>
      <c r="DY1031" s="5"/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/>
      <c r="EM1031" s="5"/>
      <c r="EN1031" s="5"/>
      <c r="EO1031" s="5"/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/>
      <c r="FD1031" s="5"/>
      <c r="FE1031" s="5"/>
      <c r="FF1031" s="5"/>
      <c r="FG1031" s="5"/>
      <c r="FH1031" s="5"/>
      <c r="FI1031" s="5"/>
      <c r="FJ1031" s="5"/>
      <c r="FK1031" s="5"/>
      <c r="FL1031" s="5"/>
      <c r="FM1031" s="5"/>
      <c r="FN1031" s="5"/>
      <c r="FO1031" s="5"/>
      <c r="FP1031" s="5"/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/>
      <c r="GB1031" s="5"/>
      <c r="GC1031" s="5"/>
      <c r="GD1031" s="5"/>
      <c r="GE1031" s="5"/>
      <c r="GF1031" s="5"/>
      <c r="GG1031" s="5"/>
      <c r="GH1031" s="5"/>
      <c r="GI1031" s="5"/>
      <c r="GJ1031" s="5"/>
      <c r="GK1031" s="5"/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/>
      <c r="HI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  <c r="DH1032" s="5"/>
      <c r="DI1032" s="5"/>
      <c r="DJ1032" s="5"/>
      <c r="DK1032" s="5"/>
      <c r="DL1032" s="5"/>
      <c r="DM1032" s="5"/>
      <c r="DN1032" s="5"/>
      <c r="DO1032" s="5"/>
      <c r="DP1032" s="5"/>
      <c r="DQ1032" s="5"/>
      <c r="DR1032" s="5"/>
      <c r="DS1032" s="5"/>
      <c r="DT1032" s="5"/>
      <c r="DU1032" s="5"/>
      <c r="DV1032" s="5"/>
      <c r="DW1032" s="5"/>
      <c r="DX1032" s="5"/>
      <c r="DY1032" s="5"/>
      <c r="DZ1032" s="5"/>
      <c r="EA1032" s="5"/>
      <c r="EB1032" s="5"/>
      <c r="EC1032" s="5"/>
      <c r="ED1032" s="5"/>
      <c r="EE1032" s="5"/>
      <c r="EF1032" s="5"/>
      <c r="EG1032" s="5"/>
      <c r="EH1032" s="5"/>
      <c r="EI1032" s="5"/>
      <c r="EJ1032" s="5"/>
      <c r="EK1032" s="5"/>
      <c r="EL1032" s="5"/>
      <c r="EM1032" s="5"/>
      <c r="EN1032" s="5"/>
      <c r="EO1032" s="5"/>
      <c r="EP1032" s="5"/>
      <c r="EQ1032" s="5"/>
      <c r="ER1032" s="5"/>
      <c r="ES1032" s="5"/>
      <c r="ET1032" s="5"/>
      <c r="EU1032" s="5"/>
      <c r="EV1032" s="5"/>
      <c r="EW1032" s="5"/>
      <c r="EX1032" s="5"/>
      <c r="EY1032" s="5"/>
      <c r="EZ1032" s="5"/>
      <c r="FA1032" s="5"/>
      <c r="FB1032" s="5"/>
      <c r="FC1032" s="5"/>
      <c r="FD1032" s="5"/>
      <c r="FE1032" s="5"/>
      <c r="FF1032" s="5"/>
      <c r="FG1032" s="5"/>
      <c r="FH1032" s="5"/>
      <c r="FI1032" s="5"/>
      <c r="FJ1032" s="5"/>
      <c r="FK1032" s="5"/>
      <c r="FL1032" s="5"/>
      <c r="FM1032" s="5"/>
      <c r="FN1032" s="5"/>
      <c r="FO1032" s="5"/>
      <c r="FP1032" s="5"/>
      <c r="FQ1032" s="5"/>
      <c r="FR1032" s="5"/>
      <c r="FS1032" s="5"/>
      <c r="FT1032" s="5"/>
      <c r="FU1032" s="5"/>
      <c r="FV1032" s="5"/>
      <c r="FW1032" s="5"/>
      <c r="FX1032" s="5"/>
      <c r="FY1032" s="5"/>
      <c r="FZ1032" s="5"/>
      <c r="GA1032" s="5"/>
      <c r="GB1032" s="5"/>
      <c r="GC1032" s="5"/>
      <c r="GD1032" s="5"/>
      <c r="GE1032" s="5"/>
      <c r="GF1032" s="5"/>
      <c r="GG1032" s="5"/>
      <c r="GH1032" s="5"/>
      <c r="GI1032" s="5"/>
      <c r="GJ1032" s="5"/>
      <c r="GK1032" s="5"/>
      <c r="GL1032" s="5"/>
      <c r="GM1032" s="5"/>
      <c r="GN1032" s="5"/>
      <c r="GO1032" s="5"/>
      <c r="GP1032" s="5"/>
      <c r="GQ1032" s="5"/>
      <c r="GR1032" s="5"/>
      <c r="GS1032" s="5"/>
      <c r="GT1032" s="5"/>
      <c r="GU1032" s="5"/>
      <c r="GV1032" s="5"/>
      <c r="GW1032" s="5"/>
      <c r="GX1032" s="5"/>
      <c r="GY1032" s="5"/>
      <c r="GZ1032" s="5"/>
      <c r="HA1032" s="5"/>
      <c r="HB1032" s="5"/>
      <c r="HC1032" s="5"/>
      <c r="HD1032" s="5"/>
      <c r="HE1032" s="5"/>
      <c r="HF1032" s="5"/>
      <c r="HG1032" s="5"/>
      <c r="HH1032" s="5"/>
      <c r="HI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5"/>
      <c r="DH1033" s="5"/>
      <c r="DI1033" s="5"/>
      <c r="DJ1033" s="5"/>
      <c r="DK1033" s="5"/>
      <c r="DL1033" s="5"/>
      <c r="DM1033" s="5"/>
      <c r="DN1033" s="5"/>
      <c r="DO1033" s="5"/>
      <c r="DP1033" s="5"/>
      <c r="DQ1033" s="5"/>
      <c r="DR1033" s="5"/>
      <c r="DS1033" s="5"/>
      <c r="DT1033" s="5"/>
      <c r="DU1033" s="5"/>
      <c r="DV1033" s="5"/>
      <c r="DW1033" s="5"/>
      <c r="DX1033" s="5"/>
      <c r="DY1033" s="5"/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/>
      <c r="EM1033" s="5"/>
      <c r="EN1033" s="5"/>
      <c r="EO1033" s="5"/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/>
      <c r="FD1033" s="5"/>
      <c r="FE1033" s="5"/>
      <c r="FF1033" s="5"/>
      <c r="FG1033" s="5"/>
      <c r="FH1033" s="5"/>
      <c r="FI1033" s="5"/>
      <c r="FJ1033" s="5"/>
      <c r="FK1033" s="5"/>
      <c r="FL1033" s="5"/>
      <c r="FM1033" s="5"/>
      <c r="FN1033" s="5"/>
      <c r="FO1033" s="5"/>
      <c r="FP1033" s="5"/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/>
      <c r="GB1033" s="5"/>
      <c r="GC1033" s="5"/>
      <c r="GD1033" s="5"/>
      <c r="GE1033" s="5"/>
      <c r="GF1033" s="5"/>
      <c r="GG1033" s="5"/>
      <c r="GH1033" s="5"/>
      <c r="GI1033" s="5"/>
      <c r="GJ1033" s="5"/>
      <c r="GK1033" s="5"/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5"/>
      <c r="HG1033" s="5"/>
      <c r="HH1033" s="5"/>
      <c r="HI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5"/>
      <c r="EB1034" s="5"/>
      <c r="EC1034" s="5"/>
      <c r="ED1034" s="5"/>
      <c r="EE1034" s="5"/>
      <c r="EF1034" s="5"/>
      <c r="EG1034" s="5"/>
      <c r="EH1034" s="5"/>
      <c r="EI1034" s="5"/>
      <c r="EJ1034" s="5"/>
      <c r="EK1034" s="5"/>
      <c r="EL1034" s="5"/>
      <c r="EM1034" s="5"/>
      <c r="EN1034" s="5"/>
      <c r="EO1034" s="5"/>
      <c r="EP1034" s="5"/>
      <c r="EQ1034" s="5"/>
      <c r="ER1034" s="5"/>
      <c r="ES1034" s="5"/>
      <c r="ET1034" s="5"/>
      <c r="EU1034" s="5"/>
      <c r="EV1034" s="5"/>
      <c r="EW1034" s="5"/>
      <c r="EX1034" s="5"/>
      <c r="EY1034" s="5"/>
      <c r="EZ1034" s="5"/>
      <c r="FA1034" s="5"/>
      <c r="FB1034" s="5"/>
      <c r="FC1034" s="5"/>
      <c r="FD1034" s="5"/>
      <c r="FE1034" s="5"/>
      <c r="FF1034" s="5"/>
      <c r="FG1034" s="5"/>
      <c r="FH1034" s="5"/>
      <c r="FI1034" s="5"/>
      <c r="FJ1034" s="5"/>
      <c r="FK1034" s="5"/>
      <c r="FL1034" s="5"/>
      <c r="FM1034" s="5"/>
      <c r="FN1034" s="5"/>
      <c r="FO1034" s="5"/>
      <c r="FP1034" s="5"/>
      <c r="FQ1034" s="5"/>
      <c r="FR1034" s="5"/>
      <c r="FS1034" s="5"/>
      <c r="FT1034" s="5"/>
      <c r="FU1034" s="5"/>
      <c r="FV1034" s="5"/>
      <c r="FW1034" s="5"/>
      <c r="FX1034" s="5"/>
      <c r="FY1034" s="5"/>
      <c r="FZ1034" s="5"/>
      <c r="GA1034" s="5"/>
      <c r="GB1034" s="5"/>
      <c r="GC1034" s="5"/>
      <c r="GD1034" s="5"/>
      <c r="GE1034" s="5"/>
      <c r="GF1034" s="5"/>
      <c r="GG1034" s="5"/>
      <c r="GH1034" s="5"/>
      <c r="GI1034" s="5"/>
      <c r="GJ1034" s="5"/>
      <c r="GK1034" s="5"/>
      <c r="GL1034" s="5"/>
      <c r="GM1034" s="5"/>
      <c r="GN1034" s="5"/>
      <c r="GO1034" s="5"/>
      <c r="GP1034" s="5"/>
      <c r="GQ1034" s="5"/>
      <c r="GR1034" s="5"/>
      <c r="GS1034" s="5"/>
      <c r="GT1034" s="5"/>
      <c r="GU1034" s="5"/>
      <c r="GV1034" s="5"/>
      <c r="GW1034" s="5"/>
      <c r="GX1034" s="5"/>
      <c r="GY1034" s="5"/>
      <c r="GZ1034" s="5"/>
      <c r="HA1034" s="5"/>
      <c r="HB1034" s="5"/>
      <c r="HC1034" s="5"/>
      <c r="HD1034" s="5"/>
      <c r="HE1034" s="5"/>
      <c r="HF1034" s="5"/>
      <c r="HG1034" s="5"/>
      <c r="HH1034" s="5"/>
      <c r="HI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  <c r="DM1035" s="5"/>
      <c r="DN1035" s="5"/>
      <c r="DO1035" s="5"/>
      <c r="DP1035" s="5"/>
      <c r="DQ1035" s="5"/>
      <c r="DR1035" s="5"/>
      <c r="DS1035" s="5"/>
      <c r="DT1035" s="5"/>
      <c r="DU1035" s="5"/>
      <c r="DV1035" s="5"/>
      <c r="DW1035" s="5"/>
      <c r="DX1035" s="5"/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/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/>
      <c r="FG1035" s="5"/>
      <c r="FH1035" s="5"/>
      <c r="FI1035" s="5"/>
      <c r="FJ1035" s="5"/>
      <c r="FK1035" s="5"/>
      <c r="FL1035" s="5"/>
      <c r="FM1035" s="5"/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/>
      <c r="GJ1035" s="5"/>
      <c r="GK1035" s="5"/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  <c r="DH1036" s="5"/>
      <c r="DI1036" s="5"/>
      <c r="DJ1036" s="5"/>
      <c r="DK1036" s="5"/>
      <c r="DL1036" s="5"/>
      <c r="DM1036" s="5"/>
      <c r="DN1036" s="5"/>
      <c r="DO1036" s="5"/>
      <c r="DP1036" s="5"/>
      <c r="DQ1036" s="5"/>
      <c r="DR1036" s="5"/>
      <c r="DS1036" s="5"/>
      <c r="DT1036" s="5"/>
      <c r="DU1036" s="5"/>
      <c r="DV1036" s="5"/>
      <c r="DW1036" s="5"/>
      <c r="DX1036" s="5"/>
      <c r="DY1036" s="5"/>
      <c r="DZ1036" s="5"/>
      <c r="EA1036" s="5"/>
      <c r="EB1036" s="5"/>
      <c r="EC1036" s="5"/>
      <c r="ED1036" s="5"/>
      <c r="EE1036" s="5"/>
      <c r="EF1036" s="5"/>
      <c r="EG1036" s="5"/>
      <c r="EH1036" s="5"/>
      <c r="EI1036" s="5"/>
      <c r="EJ1036" s="5"/>
      <c r="EK1036" s="5"/>
      <c r="EL1036" s="5"/>
      <c r="EM1036" s="5"/>
      <c r="EN1036" s="5"/>
      <c r="EO1036" s="5"/>
      <c r="EP1036" s="5"/>
      <c r="EQ1036" s="5"/>
      <c r="ER1036" s="5"/>
      <c r="ES1036" s="5"/>
      <c r="ET1036" s="5"/>
      <c r="EU1036" s="5"/>
      <c r="EV1036" s="5"/>
      <c r="EW1036" s="5"/>
      <c r="EX1036" s="5"/>
      <c r="EY1036" s="5"/>
      <c r="EZ1036" s="5"/>
      <c r="FA1036" s="5"/>
      <c r="FB1036" s="5"/>
      <c r="FC1036" s="5"/>
      <c r="FD1036" s="5"/>
      <c r="FE1036" s="5"/>
      <c r="FF1036" s="5"/>
      <c r="FG1036" s="5"/>
      <c r="FH1036" s="5"/>
      <c r="FI1036" s="5"/>
      <c r="FJ1036" s="5"/>
      <c r="FK1036" s="5"/>
      <c r="FL1036" s="5"/>
      <c r="FM1036" s="5"/>
      <c r="FN1036" s="5"/>
      <c r="FO1036" s="5"/>
      <c r="FP1036" s="5"/>
      <c r="FQ1036" s="5"/>
      <c r="FR1036" s="5"/>
      <c r="FS1036" s="5"/>
      <c r="FT1036" s="5"/>
      <c r="FU1036" s="5"/>
      <c r="FV1036" s="5"/>
      <c r="FW1036" s="5"/>
      <c r="FX1036" s="5"/>
      <c r="FY1036" s="5"/>
      <c r="FZ1036" s="5"/>
      <c r="GA1036" s="5"/>
      <c r="GB1036" s="5"/>
      <c r="GC1036" s="5"/>
      <c r="GD1036" s="5"/>
      <c r="GE1036" s="5"/>
      <c r="GF1036" s="5"/>
      <c r="GG1036" s="5"/>
      <c r="GH1036" s="5"/>
      <c r="GI1036" s="5"/>
      <c r="GJ1036" s="5"/>
      <c r="GK1036" s="5"/>
      <c r="GL1036" s="5"/>
      <c r="GM1036" s="5"/>
      <c r="GN1036" s="5"/>
      <c r="GO1036" s="5"/>
      <c r="GP1036" s="5"/>
      <c r="GQ1036" s="5"/>
      <c r="GR1036" s="5"/>
      <c r="GS1036" s="5"/>
      <c r="GT1036" s="5"/>
      <c r="GU1036" s="5"/>
      <c r="GV1036" s="5"/>
      <c r="GW1036" s="5"/>
      <c r="GX1036" s="5"/>
      <c r="GY1036" s="5"/>
      <c r="GZ1036" s="5"/>
      <c r="HA1036" s="5"/>
      <c r="HB1036" s="5"/>
      <c r="HC1036" s="5"/>
      <c r="HD1036" s="5"/>
      <c r="HE1036" s="5"/>
      <c r="HF1036" s="5"/>
      <c r="HG1036" s="5"/>
      <c r="HH1036" s="5"/>
      <c r="HI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5"/>
      <c r="DH1037" s="5"/>
      <c r="DI1037" s="5"/>
      <c r="DJ1037" s="5"/>
      <c r="DK1037" s="5"/>
      <c r="DL1037" s="5"/>
      <c r="DM1037" s="5"/>
      <c r="DN1037" s="5"/>
      <c r="DO1037" s="5"/>
      <c r="DP1037" s="5"/>
      <c r="DQ1037" s="5"/>
      <c r="DR1037" s="5"/>
      <c r="DS1037" s="5"/>
      <c r="DT1037" s="5"/>
      <c r="DU1037" s="5"/>
      <c r="DV1037" s="5"/>
      <c r="DW1037" s="5"/>
      <c r="DX1037" s="5"/>
      <c r="DY1037" s="5"/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/>
      <c r="EM1037" s="5"/>
      <c r="EN1037" s="5"/>
      <c r="EO1037" s="5"/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/>
      <c r="FD1037" s="5"/>
      <c r="FE1037" s="5"/>
      <c r="FF1037" s="5"/>
      <c r="FG1037" s="5"/>
      <c r="FH1037" s="5"/>
      <c r="FI1037" s="5"/>
      <c r="FJ1037" s="5"/>
      <c r="FK1037" s="5"/>
      <c r="FL1037" s="5"/>
      <c r="FM1037" s="5"/>
      <c r="FN1037" s="5"/>
      <c r="FO1037" s="5"/>
      <c r="FP1037" s="5"/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/>
      <c r="GB1037" s="5"/>
      <c r="GC1037" s="5"/>
      <c r="GD1037" s="5"/>
      <c r="GE1037" s="5"/>
      <c r="GF1037" s="5"/>
      <c r="GG1037" s="5"/>
      <c r="GH1037" s="5"/>
      <c r="GI1037" s="5"/>
      <c r="GJ1037" s="5"/>
      <c r="GK1037" s="5"/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5"/>
      <c r="HG1037" s="5"/>
      <c r="HH1037" s="5"/>
      <c r="HI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  <c r="DM1038" s="5"/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5"/>
      <c r="EB1038" s="5"/>
      <c r="EC1038" s="5"/>
      <c r="ED1038" s="5"/>
      <c r="EE1038" s="5"/>
      <c r="EF1038" s="5"/>
      <c r="EG1038" s="5"/>
      <c r="EH1038" s="5"/>
      <c r="EI1038" s="5"/>
      <c r="EJ1038" s="5"/>
      <c r="EK1038" s="5"/>
      <c r="EL1038" s="5"/>
      <c r="EM1038" s="5"/>
      <c r="EN1038" s="5"/>
      <c r="EO1038" s="5"/>
      <c r="EP1038" s="5"/>
      <c r="EQ1038" s="5"/>
      <c r="ER1038" s="5"/>
      <c r="ES1038" s="5"/>
      <c r="ET1038" s="5"/>
      <c r="EU1038" s="5"/>
      <c r="EV1038" s="5"/>
      <c r="EW1038" s="5"/>
      <c r="EX1038" s="5"/>
      <c r="EY1038" s="5"/>
      <c r="EZ1038" s="5"/>
      <c r="FA1038" s="5"/>
      <c r="FB1038" s="5"/>
      <c r="FC1038" s="5"/>
      <c r="FD1038" s="5"/>
      <c r="FE1038" s="5"/>
      <c r="FF1038" s="5"/>
      <c r="FG1038" s="5"/>
      <c r="FH1038" s="5"/>
      <c r="FI1038" s="5"/>
      <c r="FJ1038" s="5"/>
      <c r="FK1038" s="5"/>
      <c r="FL1038" s="5"/>
      <c r="FM1038" s="5"/>
      <c r="FN1038" s="5"/>
      <c r="FO1038" s="5"/>
      <c r="FP1038" s="5"/>
      <c r="FQ1038" s="5"/>
      <c r="FR1038" s="5"/>
      <c r="FS1038" s="5"/>
      <c r="FT1038" s="5"/>
      <c r="FU1038" s="5"/>
      <c r="FV1038" s="5"/>
      <c r="FW1038" s="5"/>
      <c r="FX1038" s="5"/>
      <c r="FY1038" s="5"/>
      <c r="FZ1038" s="5"/>
      <c r="GA1038" s="5"/>
      <c r="GB1038" s="5"/>
      <c r="GC1038" s="5"/>
      <c r="GD1038" s="5"/>
      <c r="GE1038" s="5"/>
      <c r="GF1038" s="5"/>
      <c r="GG1038" s="5"/>
      <c r="GH1038" s="5"/>
      <c r="GI1038" s="5"/>
      <c r="GJ1038" s="5"/>
      <c r="GK1038" s="5"/>
      <c r="GL1038" s="5"/>
      <c r="GM1038" s="5"/>
      <c r="GN1038" s="5"/>
      <c r="GO1038" s="5"/>
      <c r="GP1038" s="5"/>
      <c r="GQ1038" s="5"/>
      <c r="GR1038" s="5"/>
      <c r="GS1038" s="5"/>
      <c r="GT1038" s="5"/>
      <c r="GU1038" s="5"/>
      <c r="GV1038" s="5"/>
      <c r="GW1038" s="5"/>
      <c r="GX1038" s="5"/>
      <c r="GY1038" s="5"/>
      <c r="GZ1038" s="5"/>
      <c r="HA1038" s="5"/>
      <c r="HB1038" s="5"/>
      <c r="HC1038" s="5"/>
      <c r="HD1038" s="5"/>
      <c r="HE1038" s="5"/>
      <c r="HF1038" s="5"/>
      <c r="HG1038" s="5"/>
      <c r="HH1038" s="5"/>
      <c r="HI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5"/>
      <c r="DH1039" s="5"/>
      <c r="DI1039" s="5"/>
      <c r="DJ1039" s="5"/>
      <c r="DK1039" s="5"/>
      <c r="DL1039" s="5"/>
      <c r="DM1039" s="5"/>
      <c r="DN1039" s="5"/>
      <c r="DO1039" s="5"/>
      <c r="DP1039" s="5"/>
      <c r="DQ1039" s="5"/>
      <c r="DR1039" s="5"/>
      <c r="DS1039" s="5"/>
      <c r="DT1039" s="5"/>
      <c r="DU1039" s="5"/>
      <c r="DV1039" s="5"/>
      <c r="DW1039" s="5"/>
      <c r="DX1039" s="5"/>
      <c r="DY1039" s="5"/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/>
      <c r="EM1039" s="5"/>
      <c r="EN1039" s="5"/>
      <c r="EO1039" s="5"/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/>
      <c r="FF1039" s="5"/>
      <c r="FG1039" s="5"/>
      <c r="FH1039" s="5"/>
      <c r="FI1039" s="5"/>
      <c r="FJ1039" s="5"/>
      <c r="FK1039" s="5"/>
      <c r="FL1039" s="5"/>
      <c r="FM1039" s="5"/>
      <c r="FN1039" s="5"/>
      <c r="FO1039" s="5"/>
      <c r="FP1039" s="5"/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/>
      <c r="GB1039" s="5"/>
      <c r="GC1039" s="5"/>
      <c r="GD1039" s="5"/>
      <c r="GE1039" s="5"/>
      <c r="GF1039" s="5"/>
      <c r="GG1039" s="5"/>
      <c r="GH1039" s="5"/>
      <c r="GI1039" s="5"/>
      <c r="GJ1039" s="5"/>
      <c r="GK1039" s="5"/>
      <c r="GL1039" s="5"/>
      <c r="GM1039" s="5"/>
      <c r="GN1039" s="5"/>
      <c r="GO1039" s="5"/>
      <c r="GP1039" s="5"/>
      <c r="GQ1039" s="5"/>
      <c r="GR1039" s="5"/>
      <c r="GS1039" s="5"/>
      <c r="GT1039" s="5"/>
      <c r="GU1039" s="5"/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5"/>
      <c r="EB1040" s="5"/>
      <c r="EC1040" s="5"/>
      <c r="ED1040" s="5"/>
      <c r="EE1040" s="5"/>
      <c r="EF1040" s="5"/>
      <c r="EG1040" s="5"/>
      <c r="EH1040" s="5"/>
      <c r="EI1040" s="5"/>
      <c r="EJ1040" s="5"/>
      <c r="EK1040" s="5"/>
      <c r="EL1040" s="5"/>
      <c r="EM1040" s="5"/>
      <c r="EN1040" s="5"/>
      <c r="EO1040" s="5"/>
      <c r="EP1040" s="5"/>
      <c r="EQ1040" s="5"/>
      <c r="ER1040" s="5"/>
      <c r="ES1040" s="5"/>
      <c r="ET1040" s="5"/>
      <c r="EU1040" s="5"/>
      <c r="EV1040" s="5"/>
      <c r="EW1040" s="5"/>
      <c r="EX1040" s="5"/>
      <c r="EY1040" s="5"/>
      <c r="EZ1040" s="5"/>
      <c r="FA1040" s="5"/>
      <c r="FB1040" s="5"/>
      <c r="FC1040" s="5"/>
      <c r="FD1040" s="5"/>
      <c r="FE1040" s="5"/>
      <c r="FF1040" s="5"/>
      <c r="FG1040" s="5"/>
      <c r="FH1040" s="5"/>
      <c r="FI1040" s="5"/>
      <c r="FJ1040" s="5"/>
      <c r="FK1040" s="5"/>
      <c r="FL1040" s="5"/>
      <c r="FM1040" s="5"/>
      <c r="FN1040" s="5"/>
      <c r="FO1040" s="5"/>
      <c r="FP1040" s="5"/>
      <c r="FQ1040" s="5"/>
      <c r="FR1040" s="5"/>
      <c r="FS1040" s="5"/>
      <c r="FT1040" s="5"/>
      <c r="FU1040" s="5"/>
      <c r="FV1040" s="5"/>
      <c r="FW1040" s="5"/>
      <c r="FX1040" s="5"/>
      <c r="FY1040" s="5"/>
      <c r="FZ1040" s="5"/>
      <c r="GA1040" s="5"/>
      <c r="GB1040" s="5"/>
      <c r="GC1040" s="5"/>
      <c r="GD1040" s="5"/>
      <c r="GE1040" s="5"/>
      <c r="GF1040" s="5"/>
      <c r="GG1040" s="5"/>
      <c r="GH1040" s="5"/>
      <c r="GI1040" s="5"/>
      <c r="GJ1040" s="5"/>
      <c r="GK1040" s="5"/>
      <c r="GL1040" s="5"/>
      <c r="GM1040" s="5"/>
      <c r="GN1040" s="5"/>
      <c r="GO1040" s="5"/>
      <c r="GP1040" s="5"/>
      <c r="GQ1040" s="5"/>
      <c r="GR1040" s="5"/>
      <c r="GS1040" s="5"/>
      <c r="GT1040" s="5"/>
      <c r="GU1040" s="5"/>
      <c r="GV1040" s="5"/>
      <c r="GW1040" s="5"/>
      <c r="GX1040" s="5"/>
      <c r="GY1040" s="5"/>
      <c r="GZ1040" s="5"/>
      <c r="HA1040" s="5"/>
      <c r="HB1040" s="5"/>
      <c r="HC1040" s="5"/>
      <c r="HD1040" s="5"/>
      <c r="HE1040" s="5"/>
      <c r="HF1040" s="5"/>
      <c r="HG1040" s="5"/>
      <c r="HH1040" s="5"/>
      <c r="HI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/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/>
      <c r="FG1041" s="5"/>
      <c r="FH1041" s="5"/>
      <c r="FI1041" s="5"/>
      <c r="FJ1041" s="5"/>
      <c r="FK1041" s="5"/>
      <c r="FL1041" s="5"/>
      <c r="FM1041" s="5"/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/>
      <c r="GJ1041" s="5"/>
      <c r="GK1041" s="5"/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/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5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5"/>
      <c r="FB1042" s="5"/>
      <c r="FC1042" s="5"/>
      <c r="FD1042" s="5"/>
      <c r="FE1042" s="5"/>
      <c r="FF1042" s="5"/>
      <c r="FG1042" s="5"/>
      <c r="FH1042" s="5"/>
      <c r="FI1042" s="5"/>
      <c r="FJ1042" s="5"/>
      <c r="FK1042" s="5"/>
      <c r="FL1042" s="5"/>
      <c r="FM1042" s="5"/>
      <c r="FN1042" s="5"/>
      <c r="FO1042" s="5"/>
      <c r="FP1042" s="5"/>
      <c r="FQ1042" s="5"/>
      <c r="FR1042" s="5"/>
      <c r="FS1042" s="5"/>
      <c r="FT1042" s="5"/>
      <c r="FU1042" s="5"/>
      <c r="FV1042" s="5"/>
      <c r="FW1042" s="5"/>
      <c r="FX1042" s="5"/>
      <c r="FY1042" s="5"/>
      <c r="FZ1042" s="5"/>
      <c r="GA1042" s="5"/>
      <c r="GB1042" s="5"/>
      <c r="GC1042" s="5"/>
      <c r="GD1042" s="5"/>
      <c r="GE1042" s="5"/>
      <c r="GF1042" s="5"/>
      <c r="GG1042" s="5"/>
      <c r="GH1042" s="5"/>
      <c r="GI1042" s="5"/>
      <c r="GJ1042" s="5"/>
      <c r="GK1042" s="5"/>
      <c r="GL1042" s="5"/>
      <c r="GM1042" s="5"/>
      <c r="GN1042" s="5"/>
      <c r="GO1042" s="5"/>
      <c r="GP1042" s="5"/>
      <c r="GQ1042" s="5"/>
      <c r="GR1042" s="5"/>
      <c r="GS1042" s="5"/>
      <c r="GT1042" s="5"/>
      <c r="GU1042" s="5"/>
      <c r="GV1042" s="5"/>
      <c r="GW1042" s="5"/>
      <c r="GX1042" s="5"/>
      <c r="GY1042" s="5"/>
      <c r="GZ1042" s="5"/>
      <c r="HA1042" s="5"/>
      <c r="HB1042" s="5"/>
      <c r="HC1042" s="5"/>
      <c r="HD1042" s="5"/>
      <c r="HE1042" s="5"/>
      <c r="HF1042" s="5"/>
      <c r="HG1042" s="5"/>
      <c r="HH1042" s="5"/>
      <c r="HI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/>
      <c r="FG1043" s="5"/>
      <c r="FH1043" s="5"/>
      <c r="FI1043" s="5"/>
      <c r="FJ1043" s="5"/>
      <c r="FK1043" s="5"/>
      <c r="FL1043" s="5"/>
      <c r="FM1043" s="5"/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/>
      <c r="GK1043" s="5"/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  <c r="DH1044" s="5"/>
      <c r="DI1044" s="5"/>
      <c r="DJ1044" s="5"/>
      <c r="DK1044" s="5"/>
      <c r="DL1044" s="5"/>
      <c r="DM1044" s="5"/>
      <c r="DN1044" s="5"/>
      <c r="DO1044" s="5"/>
      <c r="DP1044" s="5"/>
      <c r="DQ1044" s="5"/>
      <c r="DR1044" s="5"/>
      <c r="DS1044" s="5"/>
      <c r="DT1044" s="5"/>
      <c r="DU1044" s="5"/>
      <c r="DV1044" s="5"/>
      <c r="DW1044" s="5"/>
      <c r="DX1044" s="5"/>
      <c r="DY1044" s="5"/>
      <c r="DZ1044" s="5"/>
      <c r="EA1044" s="5"/>
      <c r="EB1044" s="5"/>
      <c r="EC1044" s="5"/>
      <c r="ED1044" s="5"/>
      <c r="EE1044" s="5"/>
      <c r="EF1044" s="5"/>
      <c r="EG1044" s="5"/>
      <c r="EH1044" s="5"/>
      <c r="EI1044" s="5"/>
      <c r="EJ1044" s="5"/>
      <c r="EK1044" s="5"/>
      <c r="EL1044" s="5"/>
      <c r="EM1044" s="5"/>
      <c r="EN1044" s="5"/>
      <c r="EO1044" s="5"/>
      <c r="EP1044" s="5"/>
      <c r="EQ1044" s="5"/>
      <c r="ER1044" s="5"/>
      <c r="ES1044" s="5"/>
      <c r="ET1044" s="5"/>
      <c r="EU1044" s="5"/>
      <c r="EV1044" s="5"/>
      <c r="EW1044" s="5"/>
      <c r="EX1044" s="5"/>
      <c r="EY1044" s="5"/>
      <c r="EZ1044" s="5"/>
      <c r="FA1044" s="5"/>
      <c r="FB1044" s="5"/>
      <c r="FC1044" s="5"/>
      <c r="FD1044" s="5"/>
      <c r="FE1044" s="5"/>
      <c r="FF1044" s="5"/>
      <c r="FG1044" s="5"/>
      <c r="FH1044" s="5"/>
      <c r="FI1044" s="5"/>
      <c r="FJ1044" s="5"/>
      <c r="FK1044" s="5"/>
      <c r="FL1044" s="5"/>
      <c r="FM1044" s="5"/>
      <c r="FN1044" s="5"/>
      <c r="FO1044" s="5"/>
      <c r="FP1044" s="5"/>
      <c r="FQ1044" s="5"/>
      <c r="FR1044" s="5"/>
      <c r="FS1044" s="5"/>
      <c r="FT1044" s="5"/>
      <c r="FU1044" s="5"/>
      <c r="FV1044" s="5"/>
      <c r="FW1044" s="5"/>
      <c r="FX1044" s="5"/>
      <c r="FY1044" s="5"/>
      <c r="FZ1044" s="5"/>
      <c r="GA1044" s="5"/>
      <c r="GB1044" s="5"/>
      <c r="GC1044" s="5"/>
      <c r="GD1044" s="5"/>
      <c r="GE1044" s="5"/>
      <c r="GF1044" s="5"/>
      <c r="GG1044" s="5"/>
      <c r="GH1044" s="5"/>
      <c r="GI1044" s="5"/>
      <c r="GJ1044" s="5"/>
      <c r="GK1044" s="5"/>
      <c r="GL1044" s="5"/>
      <c r="GM1044" s="5"/>
      <c r="GN1044" s="5"/>
      <c r="GO1044" s="5"/>
      <c r="GP1044" s="5"/>
      <c r="GQ1044" s="5"/>
      <c r="GR1044" s="5"/>
      <c r="GS1044" s="5"/>
      <c r="GT1044" s="5"/>
      <c r="GU1044" s="5"/>
      <c r="GV1044" s="5"/>
      <c r="GW1044" s="5"/>
      <c r="GX1044" s="5"/>
      <c r="GY1044" s="5"/>
      <c r="GZ1044" s="5"/>
      <c r="HA1044" s="5"/>
      <c r="HB1044" s="5"/>
      <c r="HC1044" s="5"/>
      <c r="HD1044" s="5"/>
      <c r="HE1044" s="5"/>
      <c r="HF1044" s="5"/>
      <c r="HG1044" s="5"/>
      <c r="HH1044" s="5"/>
      <c r="HI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/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/>
      <c r="FG1045" s="5"/>
      <c r="FH1045" s="5"/>
      <c r="FI1045" s="5"/>
      <c r="FJ1045" s="5"/>
      <c r="FK1045" s="5"/>
      <c r="FL1045" s="5"/>
      <c r="FM1045" s="5"/>
      <c r="FN1045" s="5"/>
      <c r="FO1045" s="5"/>
      <c r="FP1045" s="5"/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/>
      <c r="GH1045" s="5"/>
      <c r="GI1045" s="5"/>
      <c r="GJ1045" s="5"/>
      <c r="GK1045" s="5"/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5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5"/>
      <c r="FB1046" s="5"/>
      <c r="FC1046" s="5"/>
      <c r="FD1046" s="5"/>
      <c r="FE1046" s="5"/>
      <c r="FF1046" s="5"/>
      <c r="FG1046" s="5"/>
      <c r="FH1046" s="5"/>
      <c r="FI1046" s="5"/>
      <c r="FJ1046" s="5"/>
      <c r="FK1046" s="5"/>
      <c r="FL1046" s="5"/>
      <c r="FM1046" s="5"/>
      <c r="FN1046" s="5"/>
      <c r="FO1046" s="5"/>
      <c r="FP1046" s="5"/>
      <c r="FQ1046" s="5"/>
      <c r="FR1046" s="5"/>
      <c r="FS1046" s="5"/>
      <c r="FT1046" s="5"/>
      <c r="FU1046" s="5"/>
      <c r="FV1046" s="5"/>
      <c r="FW1046" s="5"/>
      <c r="FX1046" s="5"/>
      <c r="FY1046" s="5"/>
      <c r="FZ1046" s="5"/>
      <c r="GA1046" s="5"/>
      <c r="GB1046" s="5"/>
      <c r="GC1046" s="5"/>
      <c r="GD1046" s="5"/>
      <c r="GE1046" s="5"/>
      <c r="GF1046" s="5"/>
      <c r="GG1046" s="5"/>
      <c r="GH1046" s="5"/>
      <c r="GI1046" s="5"/>
      <c r="GJ1046" s="5"/>
      <c r="GK1046" s="5"/>
      <c r="GL1046" s="5"/>
      <c r="GM1046" s="5"/>
      <c r="GN1046" s="5"/>
      <c r="GO1046" s="5"/>
      <c r="GP1046" s="5"/>
      <c r="GQ1046" s="5"/>
      <c r="GR1046" s="5"/>
      <c r="GS1046" s="5"/>
      <c r="GT1046" s="5"/>
      <c r="GU1046" s="5"/>
      <c r="GV1046" s="5"/>
      <c r="GW1046" s="5"/>
      <c r="GX1046" s="5"/>
      <c r="GY1046" s="5"/>
      <c r="GZ1046" s="5"/>
      <c r="HA1046" s="5"/>
      <c r="HB1046" s="5"/>
      <c r="HC1046" s="5"/>
      <c r="HD1046" s="5"/>
      <c r="HE1046" s="5"/>
      <c r="HF1046" s="5"/>
      <c r="HG1046" s="5"/>
      <c r="HH1046" s="5"/>
      <c r="HI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  <c r="DM1047" s="5"/>
      <c r="DN1047" s="5"/>
      <c r="DO1047" s="5"/>
      <c r="DP1047" s="5"/>
      <c r="DQ1047" s="5"/>
      <c r="DR1047" s="5"/>
      <c r="DS1047" s="5"/>
      <c r="DT1047" s="5"/>
      <c r="DU1047" s="5"/>
      <c r="DV1047" s="5"/>
      <c r="DW1047" s="5"/>
      <c r="DX1047" s="5"/>
      <c r="DY1047" s="5"/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/>
      <c r="EM1047" s="5"/>
      <c r="EN1047" s="5"/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/>
      <c r="FG1047" s="5"/>
      <c r="FH1047" s="5"/>
      <c r="FI1047" s="5"/>
      <c r="FJ1047" s="5"/>
      <c r="FK1047" s="5"/>
      <c r="FL1047" s="5"/>
      <c r="FM1047" s="5"/>
      <c r="FN1047" s="5"/>
      <c r="FO1047" s="5"/>
      <c r="FP1047" s="5"/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/>
      <c r="GB1047" s="5"/>
      <c r="GC1047" s="5"/>
      <c r="GD1047" s="5"/>
      <c r="GE1047" s="5"/>
      <c r="GF1047" s="5"/>
      <c r="GG1047" s="5"/>
      <c r="GH1047" s="5"/>
      <c r="GI1047" s="5"/>
      <c r="GJ1047" s="5"/>
      <c r="GK1047" s="5"/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  <c r="DB1048" s="5"/>
      <c r="DC1048" s="5"/>
      <c r="DD1048" s="5"/>
      <c r="DE1048" s="5"/>
      <c r="DF1048" s="5"/>
      <c r="DG1048" s="5"/>
      <c r="DH1048" s="5"/>
      <c r="DI1048" s="5"/>
      <c r="DJ1048" s="5"/>
      <c r="DK1048" s="5"/>
      <c r="DL1048" s="5"/>
      <c r="DM1048" s="5"/>
      <c r="DN1048" s="5"/>
      <c r="DO1048" s="5"/>
      <c r="DP1048" s="5"/>
      <c r="DQ1048" s="5"/>
      <c r="DR1048" s="5"/>
      <c r="DS1048" s="5"/>
      <c r="DT1048" s="5"/>
      <c r="DU1048" s="5"/>
      <c r="DV1048" s="5"/>
      <c r="DW1048" s="5"/>
      <c r="DX1048" s="5"/>
      <c r="DY1048" s="5"/>
      <c r="DZ1048" s="5"/>
      <c r="EA1048" s="5"/>
      <c r="EB1048" s="5"/>
      <c r="EC1048" s="5"/>
      <c r="ED1048" s="5"/>
      <c r="EE1048" s="5"/>
      <c r="EF1048" s="5"/>
      <c r="EG1048" s="5"/>
      <c r="EH1048" s="5"/>
      <c r="EI1048" s="5"/>
      <c r="EJ1048" s="5"/>
      <c r="EK1048" s="5"/>
      <c r="EL1048" s="5"/>
      <c r="EM1048" s="5"/>
      <c r="EN1048" s="5"/>
      <c r="EO1048" s="5"/>
      <c r="EP1048" s="5"/>
      <c r="EQ1048" s="5"/>
      <c r="ER1048" s="5"/>
      <c r="ES1048" s="5"/>
      <c r="ET1048" s="5"/>
      <c r="EU1048" s="5"/>
      <c r="EV1048" s="5"/>
      <c r="EW1048" s="5"/>
      <c r="EX1048" s="5"/>
      <c r="EY1048" s="5"/>
      <c r="EZ1048" s="5"/>
      <c r="FA1048" s="5"/>
      <c r="FB1048" s="5"/>
      <c r="FC1048" s="5"/>
      <c r="FD1048" s="5"/>
      <c r="FE1048" s="5"/>
      <c r="FF1048" s="5"/>
      <c r="FG1048" s="5"/>
      <c r="FH1048" s="5"/>
      <c r="FI1048" s="5"/>
      <c r="FJ1048" s="5"/>
      <c r="FK1048" s="5"/>
      <c r="FL1048" s="5"/>
      <c r="FM1048" s="5"/>
      <c r="FN1048" s="5"/>
      <c r="FO1048" s="5"/>
      <c r="FP1048" s="5"/>
      <c r="FQ1048" s="5"/>
      <c r="FR1048" s="5"/>
      <c r="FS1048" s="5"/>
      <c r="FT1048" s="5"/>
      <c r="FU1048" s="5"/>
      <c r="FV1048" s="5"/>
      <c r="FW1048" s="5"/>
      <c r="FX1048" s="5"/>
      <c r="FY1048" s="5"/>
      <c r="FZ1048" s="5"/>
      <c r="GA1048" s="5"/>
      <c r="GB1048" s="5"/>
      <c r="GC1048" s="5"/>
      <c r="GD1048" s="5"/>
      <c r="GE1048" s="5"/>
      <c r="GF1048" s="5"/>
      <c r="GG1048" s="5"/>
      <c r="GH1048" s="5"/>
      <c r="GI1048" s="5"/>
      <c r="GJ1048" s="5"/>
      <c r="GK1048" s="5"/>
      <c r="GL1048" s="5"/>
      <c r="GM1048" s="5"/>
      <c r="GN1048" s="5"/>
      <c r="GO1048" s="5"/>
      <c r="GP1048" s="5"/>
      <c r="GQ1048" s="5"/>
      <c r="GR1048" s="5"/>
      <c r="GS1048" s="5"/>
      <c r="GT1048" s="5"/>
      <c r="GU1048" s="5"/>
      <c r="GV1048" s="5"/>
      <c r="GW1048" s="5"/>
      <c r="GX1048" s="5"/>
      <c r="GY1048" s="5"/>
      <c r="GZ1048" s="5"/>
      <c r="HA1048" s="5"/>
      <c r="HB1048" s="5"/>
      <c r="HC1048" s="5"/>
      <c r="HD1048" s="5"/>
      <c r="HE1048" s="5"/>
      <c r="HF1048" s="5"/>
      <c r="HG1048" s="5"/>
      <c r="HH1048" s="5"/>
      <c r="HI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  <c r="DB1049" s="5"/>
      <c r="DC1049" s="5"/>
      <c r="DD1049" s="5"/>
      <c r="DE1049" s="5"/>
      <c r="DF1049" s="5"/>
      <c r="DG1049" s="5"/>
      <c r="DH1049" s="5"/>
      <c r="DI1049" s="5"/>
      <c r="DJ1049" s="5"/>
      <c r="DK1049" s="5"/>
      <c r="DL1049" s="5"/>
      <c r="DM1049" s="5"/>
      <c r="DN1049" s="5"/>
      <c r="DO1049" s="5"/>
      <c r="DP1049" s="5"/>
      <c r="DQ1049" s="5"/>
      <c r="DR1049" s="5"/>
      <c r="DS1049" s="5"/>
      <c r="DT1049" s="5"/>
      <c r="DU1049" s="5"/>
      <c r="DV1049" s="5"/>
      <c r="DW1049" s="5"/>
      <c r="DX1049" s="5"/>
      <c r="DY1049" s="5"/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/>
      <c r="EM1049" s="5"/>
      <c r="EN1049" s="5"/>
      <c r="EO1049" s="5"/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/>
      <c r="FD1049" s="5"/>
      <c r="FE1049" s="5"/>
      <c r="FF1049" s="5"/>
      <c r="FG1049" s="5"/>
      <c r="FH1049" s="5"/>
      <c r="FI1049" s="5"/>
      <c r="FJ1049" s="5"/>
      <c r="FK1049" s="5"/>
      <c r="FL1049" s="5"/>
      <c r="FM1049" s="5"/>
      <c r="FN1049" s="5"/>
      <c r="FO1049" s="5"/>
      <c r="FP1049" s="5"/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/>
      <c r="GB1049" s="5"/>
      <c r="GC1049" s="5"/>
      <c r="GD1049" s="5"/>
      <c r="GE1049" s="5"/>
      <c r="GF1049" s="5"/>
      <c r="GG1049" s="5"/>
      <c r="GH1049" s="5"/>
      <c r="GI1049" s="5"/>
      <c r="GJ1049" s="5"/>
      <c r="GK1049" s="5"/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  <c r="DH1050" s="5"/>
      <c r="DI1050" s="5"/>
      <c r="DJ1050" s="5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5"/>
      <c r="EB1050" s="5"/>
      <c r="EC1050" s="5"/>
      <c r="ED1050" s="5"/>
      <c r="EE1050" s="5"/>
      <c r="EF1050" s="5"/>
      <c r="EG1050" s="5"/>
      <c r="EH1050" s="5"/>
      <c r="EI1050" s="5"/>
      <c r="EJ1050" s="5"/>
      <c r="EK1050" s="5"/>
      <c r="EL1050" s="5"/>
      <c r="EM1050" s="5"/>
      <c r="EN1050" s="5"/>
      <c r="EO1050" s="5"/>
      <c r="EP1050" s="5"/>
      <c r="EQ1050" s="5"/>
      <c r="ER1050" s="5"/>
      <c r="ES1050" s="5"/>
      <c r="ET1050" s="5"/>
      <c r="EU1050" s="5"/>
      <c r="EV1050" s="5"/>
      <c r="EW1050" s="5"/>
      <c r="EX1050" s="5"/>
      <c r="EY1050" s="5"/>
      <c r="EZ1050" s="5"/>
      <c r="FA1050" s="5"/>
      <c r="FB1050" s="5"/>
      <c r="FC1050" s="5"/>
      <c r="FD1050" s="5"/>
      <c r="FE1050" s="5"/>
      <c r="FF1050" s="5"/>
      <c r="FG1050" s="5"/>
      <c r="FH1050" s="5"/>
      <c r="FI1050" s="5"/>
      <c r="FJ1050" s="5"/>
      <c r="FK1050" s="5"/>
      <c r="FL1050" s="5"/>
      <c r="FM1050" s="5"/>
      <c r="FN1050" s="5"/>
      <c r="FO1050" s="5"/>
      <c r="FP1050" s="5"/>
      <c r="FQ1050" s="5"/>
      <c r="FR1050" s="5"/>
      <c r="FS1050" s="5"/>
      <c r="FT1050" s="5"/>
      <c r="FU1050" s="5"/>
      <c r="FV1050" s="5"/>
      <c r="FW1050" s="5"/>
      <c r="FX1050" s="5"/>
      <c r="FY1050" s="5"/>
      <c r="FZ1050" s="5"/>
      <c r="GA1050" s="5"/>
      <c r="GB1050" s="5"/>
      <c r="GC1050" s="5"/>
      <c r="GD1050" s="5"/>
      <c r="GE1050" s="5"/>
      <c r="GF1050" s="5"/>
      <c r="GG1050" s="5"/>
      <c r="GH1050" s="5"/>
      <c r="GI1050" s="5"/>
      <c r="GJ1050" s="5"/>
      <c r="GK1050" s="5"/>
      <c r="GL1050" s="5"/>
      <c r="GM1050" s="5"/>
      <c r="GN1050" s="5"/>
      <c r="GO1050" s="5"/>
      <c r="GP1050" s="5"/>
      <c r="GQ1050" s="5"/>
      <c r="GR1050" s="5"/>
      <c r="GS1050" s="5"/>
      <c r="GT1050" s="5"/>
      <c r="GU1050" s="5"/>
      <c r="GV1050" s="5"/>
      <c r="GW1050" s="5"/>
      <c r="GX1050" s="5"/>
      <c r="GY1050" s="5"/>
      <c r="GZ1050" s="5"/>
      <c r="HA1050" s="5"/>
      <c r="HB1050" s="5"/>
      <c r="HC1050" s="5"/>
      <c r="HD1050" s="5"/>
      <c r="HE1050" s="5"/>
      <c r="HF1050" s="5"/>
      <c r="HG1050" s="5"/>
      <c r="HH1050" s="5"/>
      <c r="HI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/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/>
      <c r="FG1051" s="5"/>
      <c r="FH1051" s="5"/>
      <c r="FI1051" s="5"/>
      <c r="FJ1051" s="5"/>
      <c r="FK1051" s="5"/>
      <c r="FL1051" s="5"/>
      <c r="FM1051" s="5"/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/>
      <c r="GJ1051" s="5"/>
      <c r="GK1051" s="5"/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/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5"/>
      <c r="EB1052" s="5"/>
      <c r="EC1052" s="5"/>
      <c r="ED1052" s="5"/>
      <c r="EE1052" s="5"/>
      <c r="EF1052" s="5"/>
      <c r="EG1052" s="5"/>
      <c r="EH1052" s="5"/>
      <c r="EI1052" s="5"/>
      <c r="EJ1052" s="5"/>
      <c r="EK1052" s="5"/>
      <c r="EL1052" s="5"/>
      <c r="EM1052" s="5"/>
      <c r="EN1052" s="5"/>
      <c r="EO1052" s="5"/>
      <c r="EP1052" s="5"/>
      <c r="EQ1052" s="5"/>
      <c r="ER1052" s="5"/>
      <c r="ES1052" s="5"/>
      <c r="ET1052" s="5"/>
      <c r="EU1052" s="5"/>
      <c r="EV1052" s="5"/>
      <c r="EW1052" s="5"/>
      <c r="EX1052" s="5"/>
      <c r="EY1052" s="5"/>
      <c r="EZ1052" s="5"/>
      <c r="FA1052" s="5"/>
      <c r="FB1052" s="5"/>
      <c r="FC1052" s="5"/>
      <c r="FD1052" s="5"/>
      <c r="FE1052" s="5"/>
      <c r="FF1052" s="5"/>
      <c r="FG1052" s="5"/>
      <c r="FH1052" s="5"/>
      <c r="FI1052" s="5"/>
      <c r="FJ1052" s="5"/>
      <c r="FK1052" s="5"/>
      <c r="FL1052" s="5"/>
      <c r="FM1052" s="5"/>
      <c r="FN1052" s="5"/>
      <c r="FO1052" s="5"/>
      <c r="FP1052" s="5"/>
      <c r="FQ1052" s="5"/>
      <c r="FR1052" s="5"/>
      <c r="FS1052" s="5"/>
      <c r="FT1052" s="5"/>
      <c r="FU1052" s="5"/>
      <c r="FV1052" s="5"/>
      <c r="FW1052" s="5"/>
      <c r="FX1052" s="5"/>
      <c r="FY1052" s="5"/>
      <c r="FZ1052" s="5"/>
      <c r="GA1052" s="5"/>
      <c r="GB1052" s="5"/>
      <c r="GC1052" s="5"/>
      <c r="GD1052" s="5"/>
      <c r="GE1052" s="5"/>
      <c r="GF1052" s="5"/>
      <c r="GG1052" s="5"/>
      <c r="GH1052" s="5"/>
      <c r="GI1052" s="5"/>
      <c r="GJ1052" s="5"/>
      <c r="GK1052" s="5"/>
      <c r="GL1052" s="5"/>
      <c r="GM1052" s="5"/>
      <c r="GN1052" s="5"/>
      <c r="GO1052" s="5"/>
      <c r="GP1052" s="5"/>
      <c r="GQ1052" s="5"/>
      <c r="GR1052" s="5"/>
      <c r="GS1052" s="5"/>
      <c r="GT1052" s="5"/>
      <c r="GU1052" s="5"/>
      <c r="GV1052" s="5"/>
      <c r="GW1052" s="5"/>
      <c r="GX1052" s="5"/>
      <c r="GY1052" s="5"/>
      <c r="GZ1052" s="5"/>
      <c r="HA1052" s="5"/>
      <c r="HB1052" s="5"/>
      <c r="HC1052" s="5"/>
      <c r="HD1052" s="5"/>
      <c r="HE1052" s="5"/>
      <c r="HF1052" s="5"/>
      <c r="HG1052" s="5"/>
      <c r="HH1052" s="5"/>
      <c r="HI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  <c r="DM1053" s="5"/>
      <c r="DN1053" s="5"/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/>
      <c r="EM1053" s="5"/>
      <c r="EN1053" s="5"/>
      <c r="EO1053" s="5"/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/>
      <c r="FD1053" s="5"/>
      <c r="FE1053" s="5"/>
      <c r="FF1053" s="5"/>
      <c r="FG1053" s="5"/>
      <c r="FH1053" s="5"/>
      <c r="FI1053" s="5"/>
      <c r="FJ1053" s="5"/>
      <c r="FK1053" s="5"/>
      <c r="FL1053" s="5"/>
      <c r="FM1053" s="5"/>
      <c r="FN1053" s="5"/>
      <c r="FO1053" s="5"/>
      <c r="FP1053" s="5"/>
      <c r="FQ1053" s="5"/>
      <c r="FR1053" s="5"/>
      <c r="FS1053" s="5"/>
      <c r="FT1053" s="5"/>
      <c r="FU1053" s="5"/>
      <c r="FV1053" s="5"/>
      <c r="FW1053" s="5"/>
      <c r="FX1053" s="5"/>
      <c r="FY1053" s="5"/>
      <c r="FZ1053" s="5"/>
      <c r="GA1053" s="5"/>
      <c r="GB1053" s="5"/>
      <c r="GC1053" s="5"/>
      <c r="GD1053" s="5"/>
      <c r="GE1053" s="5"/>
      <c r="GF1053" s="5"/>
      <c r="GG1053" s="5"/>
      <c r="GH1053" s="5"/>
      <c r="GI1053" s="5"/>
      <c r="GJ1053" s="5"/>
      <c r="GK1053" s="5"/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5"/>
      <c r="DI1054" s="5"/>
      <c r="DJ1054" s="5"/>
      <c r="DK1054" s="5"/>
      <c r="DL1054" s="5"/>
      <c r="DM1054" s="5"/>
      <c r="DN1054" s="5"/>
      <c r="DO1054" s="5"/>
      <c r="DP1054" s="5"/>
      <c r="DQ1054" s="5"/>
      <c r="DR1054" s="5"/>
      <c r="DS1054" s="5"/>
      <c r="DT1054" s="5"/>
      <c r="DU1054" s="5"/>
      <c r="DV1054" s="5"/>
      <c r="DW1054" s="5"/>
      <c r="DX1054" s="5"/>
      <c r="DY1054" s="5"/>
      <c r="DZ1054" s="5"/>
      <c r="EA1054" s="5"/>
      <c r="EB1054" s="5"/>
      <c r="EC1054" s="5"/>
      <c r="ED1054" s="5"/>
      <c r="EE1054" s="5"/>
      <c r="EF1054" s="5"/>
      <c r="EG1054" s="5"/>
      <c r="EH1054" s="5"/>
      <c r="EI1054" s="5"/>
      <c r="EJ1054" s="5"/>
      <c r="EK1054" s="5"/>
      <c r="EL1054" s="5"/>
      <c r="EM1054" s="5"/>
      <c r="EN1054" s="5"/>
      <c r="EO1054" s="5"/>
      <c r="EP1054" s="5"/>
      <c r="EQ1054" s="5"/>
      <c r="ER1054" s="5"/>
      <c r="ES1054" s="5"/>
      <c r="ET1054" s="5"/>
      <c r="EU1054" s="5"/>
      <c r="EV1054" s="5"/>
      <c r="EW1054" s="5"/>
      <c r="EX1054" s="5"/>
      <c r="EY1054" s="5"/>
      <c r="EZ1054" s="5"/>
      <c r="FA1054" s="5"/>
      <c r="FB1054" s="5"/>
      <c r="FC1054" s="5"/>
      <c r="FD1054" s="5"/>
      <c r="FE1054" s="5"/>
      <c r="FF1054" s="5"/>
      <c r="FG1054" s="5"/>
      <c r="FH1054" s="5"/>
      <c r="FI1054" s="5"/>
      <c r="FJ1054" s="5"/>
      <c r="FK1054" s="5"/>
      <c r="FL1054" s="5"/>
      <c r="FM1054" s="5"/>
      <c r="FN1054" s="5"/>
      <c r="FO1054" s="5"/>
      <c r="FP1054" s="5"/>
      <c r="FQ1054" s="5"/>
      <c r="FR1054" s="5"/>
      <c r="FS1054" s="5"/>
      <c r="FT1054" s="5"/>
      <c r="FU1054" s="5"/>
      <c r="FV1054" s="5"/>
      <c r="FW1054" s="5"/>
      <c r="FX1054" s="5"/>
      <c r="FY1054" s="5"/>
      <c r="FZ1054" s="5"/>
      <c r="GA1054" s="5"/>
      <c r="GB1054" s="5"/>
      <c r="GC1054" s="5"/>
      <c r="GD1054" s="5"/>
      <c r="GE1054" s="5"/>
      <c r="GF1054" s="5"/>
      <c r="GG1054" s="5"/>
      <c r="GH1054" s="5"/>
      <c r="GI1054" s="5"/>
      <c r="GJ1054" s="5"/>
      <c r="GK1054" s="5"/>
      <c r="GL1054" s="5"/>
      <c r="GM1054" s="5"/>
      <c r="GN1054" s="5"/>
      <c r="GO1054" s="5"/>
      <c r="GP1054" s="5"/>
      <c r="GQ1054" s="5"/>
      <c r="GR1054" s="5"/>
      <c r="GS1054" s="5"/>
      <c r="GT1054" s="5"/>
      <c r="GU1054" s="5"/>
      <c r="GV1054" s="5"/>
      <c r="GW1054" s="5"/>
      <c r="GX1054" s="5"/>
      <c r="GY1054" s="5"/>
      <c r="GZ1054" s="5"/>
      <c r="HA1054" s="5"/>
      <c r="HB1054" s="5"/>
      <c r="HC1054" s="5"/>
      <c r="HD1054" s="5"/>
      <c r="HE1054" s="5"/>
      <c r="HF1054" s="5"/>
      <c r="HG1054" s="5"/>
      <c r="HH1054" s="5"/>
      <c r="HI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  <c r="DM1055" s="5"/>
      <c r="DN1055" s="5"/>
      <c r="DO1055" s="5"/>
      <c r="DP1055" s="5"/>
      <c r="DQ1055" s="5"/>
      <c r="DR1055" s="5"/>
      <c r="DS1055" s="5"/>
      <c r="DT1055" s="5"/>
      <c r="DU1055" s="5"/>
      <c r="DV1055" s="5"/>
      <c r="DW1055" s="5"/>
      <c r="DX1055" s="5"/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/>
      <c r="EM1055" s="5"/>
      <c r="EN1055" s="5"/>
      <c r="EO1055" s="5"/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/>
      <c r="FD1055" s="5"/>
      <c r="FE1055" s="5"/>
      <c r="FF1055" s="5"/>
      <c r="FG1055" s="5"/>
      <c r="FH1055" s="5"/>
      <c r="FI1055" s="5"/>
      <c r="FJ1055" s="5"/>
      <c r="FK1055" s="5"/>
      <c r="FL1055" s="5"/>
      <c r="FM1055" s="5"/>
      <c r="FN1055" s="5"/>
      <c r="FO1055" s="5"/>
      <c r="FP1055" s="5"/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/>
      <c r="GB1055" s="5"/>
      <c r="GC1055" s="5"/>
      <c r="GD1055" s="5"/>
      <c r="GE1055" s="5"/>
      <c r="GF1055" s="5"/>
      <c r="GG1055" s="5"/>
      <c r="GH1055" s="5"/>
      <c r="GI1055" s="5"/>
      <c r="GJ1055" s="5"/>
      <c r="GK1055" s="5"/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5"/>
      <c r="EP1056" s="5"/>
      <c r="EQ1056" s="5"/>
      <c r="ER1056" s="5"/>
      <c r="ES1056" s="5"/>
      <c r="ET1056" s="5"/>
      <c r="EU1056" s="5"/>
      <c r="EV1056" s="5"/>
      <c r="EW1056" s="5"/>
      <c r="EX1056" s="5"/>
      <c r="EY1056" s="5"/>
      <c r="EZ1056" s="5"/>
      <c r="FA1056" s="5"/>
      <c r="FB1056" s="5"/>
      <c r="FC1056" s="5"/>
      <c r="FD1056" s="5"/>
      <c r="FE1056" s="5"/>
      <c r="FF1056" s="5"/>
      <c r="FG1056" s="5"/>
      <c r="FH1056" s="5"/>
      <c r="FI1056" s="5"/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5"/>
      <c r="FV1056" s="5"/>
      <c r="FW1056" s="5"/>
      <c r="FX1056" s="5"/>
      <c r="FY1056" s="5"/>
      <c r="FZ1056" s="5"/>
      <c r="GA1056" s="5"/>
      <c r="GB1056" s="5"/>
      <c r="GC1056" s="5"/>
      <c r="GD1056" s="5"/>
      <c r="GE1056" s="5"/>
      <c r="GF1056" s="5"/>
      <c r="GG1056" s="5"/>
      <c r="GH1056" s="5"/>
      <c r="GI1056" s="5"/>
      <c r="GJ1056" s="5"/>
      <c r="GK1056" s="5"/>
      <c r="GL1056" s="5"/>
      <c r="GM1056" s="5"/>
      <c r="GN1056" s="5"/>
      <c r="GO1056" s="5"/>
      <c r="GP1056" s="5"/>
      <c r="GQ1056" s="5"/>
      <c r="GR1056" s="5"/>
      <c r="GS1056" s="5"/>
      <c r="GT1056" s="5"/>
      <c r="GU1056" s="5"/>
      <c r="GV1056" s="5"/>
      <c r="GW1056" s="5"/>
      <c r="GX1056" s="5"/>
      <c r="GY1056" s="5"/>
      <c r="GZ1056" s="5"/>
      <c r="HA1056" s="5"/>
      <c r="HB1056" s="5"/>
      <c r="HC1056" s="5"/>
      <c r="HD1056" s="5"/>
      <c r="HE1056" s="5"/>
      <c r="HF1056" s="5"/>
      <c r="HG1056" s="5"/>
      <c r="HH1056" s="5"/>
      <c r="HI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  <c r="DM1057" s="5"/>
      <c r="DN1057" s="5"/>
      <c r="DO1057" s="5"/>
      <c r="DP1057" s="5"/>
      <c r="DQ1057" s="5"/>
      <c r="DR1057" s="5"/>
      <c r="DS1057" s="5"/>
      <c r="DT1057" s="5"/>
      <c r="DU1057" s="5"/>
      <c r="DV1057" s="5"/>
      <c r="DW1057" s="5"/>
      <c r="DX1057" s="5"/>
      <c r="DY1057" s="5"/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/>
      <c r="EM1057" s="5"/>
      <c r="EN1057" s="5"/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/>
      <c r="FD1057" s="5"/>
      <c r="FE1057" s="5"/>
      <c r="FF1057" s="5"/>
      <c r="FG1057" s="5"/>
      <c r="FH1057" s="5"/>
      <c r="FI1057" s="5"/>
      <c r="FJ1057" s="5"/>
      <c r="FK1057" s="5"/>
      <c r="FL1057" s="5"/>
      <c r="FM1057" s="5"/>
      <c r="FN1057" s="5"/>
      <c r="FO1057" s="5"/>
      <c r="FP1057" s="5"/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/>
      <c r="GB1057" s="5"/>
      <c r="GC1057" s="5"/>
      <c r="GD1057" s="5"/>
      <c r="GE1057" s="5"/>
      <c r="GF1057" s="5"/>
      <c r="GG1057" s="5"/>
      <c r="GH1057" s="5"/>
      <c r="GI1057" s="5"/>
      <c r="GJ1057" s="5"/>
      <c r="GK1057" s="5"/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5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5"/>
      <c r="FB1058" s="5"/>
      <c r="FC1058" s="5"/>
      <c r="FD1058" s="5"/>
      <c r="FE1058" s="5"/>
      <c r="FF1058" s="5"/>
      <c r="FG1058" s="5"/>
      <c r="FH1058" s="5"/>
      <c r="FI1058" s="5"/>
      <c r="FJ1058" s="5"/>
      <c r="FK1058" s="5"/>
      <c r="FL1058" s="5"/>
      <c r="FM1058" s="5"/>
      <c r="FN1058" s="5"/>
      <c r="FO1058" s="5"/>
      <c r="FP1058" s="5"/>
      <c r="FQ1058" s="5"/>
      <c r="FR1058" s="5"/>
      <c r="FS1058" s="5"/>
      <c r="FT1058" s="5"/>
      <c r="FU1058" s="5"/>
      <c r="FV1058" s="5"/>
      <c r="FW1058" s="5"/>
      <c r="FX1058" s="5"/>
      <c r="FY1058" s="5"/>
      <c r="FZ1058" s="5"/>
      <c r="GA1058" s="5"/>
      <c r="GB1058" s="5"/>
      <c r="GC1058" s="5"/>
      <c r="GD1058" s="5"/>
      <c r="GE1058" s="5"/>
      <c r="GF1058" s="5"/>
      <c r="GG1058" s="5"/>
      <c r="GH1058" s="5"/>
      <c r="GI1058" s="5"/>
      <c r="GJ1058" s="5"/>
      <c r="GK1058" s="5"/>
      <c r="GL1058" s="5"/>
      <c r="GM1058" s="5"/>
      <c r="GN1058" s="5"/>
      <c r="GO1058" s="5"/>
      <c r="GP1058" s="5"/>
      <c r="GQ1058" s="5"/>
      <c r="GR1058" s="5"/>
      <c r="GS1058" s="5"/>
      <c r="GT1058" s="5"/>
      <c r="GU1058" s="5"/>
      <c r="GV1058" s="5"/>
      <c r="GW1058" s="5"/>
      <c r="GX1058" s="5"/>
      <c r="GY1058" s="5"/>
      <c r="GZ1058" s="5"/>
      <c r="HA1058" s="5"/>
      <c r="HB1058" s="5"/>
      <c r="HC1058" s="5"/>
      <c r="HD1058" s="5"/>
      <c r="HE1058" s="5"/>
      <c r="HF1058" s="5"/>
      <c r="HG1058" s="5"/>
      <c r="HH1058" s="5"/>
      <c r="HI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  <c r="FL1059" s="5"/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5"/>
      <c r="EB1060" s="5"/>
      <c r="EC1060" s="5"/>
      <c r="ED1060" s="5"/>
      <c r="EE1060" s="5"/>
      <c r="EF1060" s="5"/>
      <c r="EG1060" s="5"/>
      <c r="EH1060" s="5"/>
      <c r="EI1060" s="5"/>
      <c r="EJ1060" s="5"/>
      <c r="EK1060" s="5"/>
      <c r="EL1060" s="5"/>
      <c r="EM1060" s="5"/>
      <c r="EN1060" s="5"/>
      <c r="EO1060" s="5"/>
      <c r="EP1060" s="5"/>
      <c r="EQ1060" s="5"/>
      <c r="ER1060" s="5"/>
      <c r="ES1060" s="5"/>
      <c r="ET1060" s="5"/>
      <c r="EU1060" s="5"/>
      <c r="EV1060" s="5"/>
      <c r="EW1060" s="5"/>
      <c r="EX1060" s="5"/>
      <c r="EY1060" s="5"/>
      <c r="EZ1060" s="5"/>
      <c r="FA1060" s="5"/>
      <c r="FB1060" s="5"/>
      <c r="FC1060" s="5"/>
      <c r="FD1060" s="5"/>
      <c r="FE1060" s="5"/>
      <c r="FF1060" s="5"/>
      <c r="FG1060" s="5"/>
      <c r="FH1060" s="5"/>
      <c r="FI1060" s="5"/>
      <c r="FJ1060" s="5"/>
      <c r="FK1060" s="5"/>
      <c r="FL1060" s="5"/>
      <c r="FM1060" s="5"/>
      <c r="FN1060" s="5"/>
      <c r="FO1060" s="5"/>
      <c r="FP1060" s="5"/>
      <c r="FQ1060" s="5"/>
      <c r="FR1060" s="5"/>
      <c r="FS1060" s="5"/>
      <c r="FT1060" s="5"/>
      <c r="FU1060" s="5"/>
      <c r="FV1060" s="5"/>
      <c r="FW1060" s="5"/>
      <c r="FX1060" s="5"/>
      <c r="FY1060" s="5"/>
      <c r="FZ1060" s="5"/>
      <c r="GA1060" s="5"/>
      <c r="GB1060" s="5"/>
      <c r="GC1060" s="5"/>
      <c r="GD1060" s="5"/>
      <c r="GE1060" s="5"/>
      <c r="GF1060" s="5"/>
      <c r="GG1060" s="5"/>
      <c r="GH1060" s="5"/>
      <c r="GI1060" s="5"/>
      <c r="GJ1060" s="5"/>
      <c r="GK1060" s="5"/>
      <c r="GL1060" s="5"/>
      <c r="GM1060" s="5"/>
      <c r="GN1060" s="5"/>
      <c r="GO1060" s="5"/>
      <c r="GP1060" s="5"/>
      <c r="GQ1060" s="5"/>
      <c r="GR1060" s="5"/>
      <c r="GS1060" s="5"/>
      <c r="GT1060" s="5"/>
      <c r="GU1060" s="5"/>
      <c r="GV1060" s="5"/>
      <c r="GW1060" s="5"/>
      <c r="GX1060" s="5"/>
      <c r="GY1060" s="5"/>
      <c r="GZ1060" s="5"/>
      <c r="HA1060" s="5"/>
      <c r="HB1060" s="5"/>
      <c r="HC1060" s="5"/>
      <c r="HD1060" s="5"/>
      <c r="HE1060" s="5"/>
      <c r="HF1060" s="5"/>
      <c r="HG1060" s="5"/>
      <c r="HH1060" s="5"/>
      <c r="HI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</row>
  </sheetData>
  <drawing r:id="rId1"/>
</worksheet>
</file>