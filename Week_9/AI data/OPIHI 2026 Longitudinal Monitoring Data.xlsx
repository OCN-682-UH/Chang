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Transect" sheetId="2" r:id="rId6"/>
    <sheet state="visible" name="Quadrat PtCounts" sheetId="3" r:id="rId7"/>
  </sheets>
  <definedNames>
    <definedName hidden="1" localSheetId="2" name="_xlnm._FilterDatabase">'Quadrat PtCounts'!$A$1:$CW$2</definedName>
    <definedName name="THEREST">LAMBDA(left, right, self, amount, amount-(left+right))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tc={456d8de9-3546-48d8-9d5b-2c67f2a2fa76}</author>
    <author>tc={5e6eaabf-678d-4241-87ad-c060d7b902f0}</author>
    <author>tc={642be4d3-2eb0-494e-8305-c9afa30ef2f1}</author>
    <author>tc={76de1763-3ddf-49d9-83ab-bda870ef4df9}</author>
  </authors>
  <commentList>
    <comment authorId="0" xr:uid="{456d8de9-3546-48d8-9d5b-2c67f2a2fa76}" ref="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Clarifying question - is this just for our group or at the site as a whole?
</t>
      </text>
    </comment>
    <comment authorId="1" xr:uid="{5e6eaabf-678d-4241-87ad-c060d7b902f0}" ref="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have put 13(did 13) but wrote 10 on data sheet
</t>
      </text>
    </comment>
    <comment authorId="2" xr:uid="{642be4d3-2eb0-494e-8305-c9afa30ef2f1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supposed to include us/ whole group/class?
</t>
      </text>
    </comment>
    <comment authorId="3" xr:uid="{76de1763-3ddf-49d9-83ab-bda870ef4df9}" ref="T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Clarifying Question: //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tc={51309fdd-4e83-416d-93ae-63ceeeaf962b}</author>
    <author>tc={5d41491d-2bc7-4abb-bfb0-459590d5dc37}</author>
    <author>tc={97bd2d66-a224-4cc4-aae4-23acfc78e3c3}</author>
    <author>tc={f5deec45-59fb-4a3b-94ff-bbeb2f2b1f24}</author>
  </authors>
  <commentList>
    <comment authorId="0" xr:uid="{51309fdd-4e83-416d-93ae-63ceeeaf962b}" ref="CW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unsure what happened here, need to double check - it is equal to 25 on data sheet
</t>
      </text>
    </comment>
    <comment authorId="1" xr:uid="{5d41491d-2bc7-4abb-bfb0-459590d5dc37}" ref="CV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"COD" unsure what this meant...
</t>
      </text>
    </comment>
    <comment authorId="2" xr:uid="{97bd2d66-a224-4cc4-aae4-23acfc78e3c3}" ref="P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brown color crust
</t>
      </text>
    </comment>
    <comment authorId="3" xr:uid="{f5deec45-59fb-4a3b-94ff-bbeb2f2b1f24}" ref="CV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have 2 for gregarium
</t>
      </text>
    </comment>
  </commentList>
</comments>
</file>

<file path=xl/sharedStrings.xml><?xml version="1.0" encoding="utf-8"?>
<sst xmlns="http://schemas.openxmlformats.org/spreadsheetml/2006/main" count="855" uniqueCount="219">
  <si>
    <t>Date</t>
  </si>
  <si>
    <t>Location</t>
  </si>
  <si>
    <t>Data Entry By</t>
  </si>
  <si>
    <t>Transect 
#</t>
  </si>
  <si>
    <t xml:space="preserve">   </t>
  </si>
  <si>
    <t>Transect 
Pt</t>
  </si>
  <si>
    <t>Team Leader</t>
  </si>
  <si>
    <t>Position # on Transect (m)</t>
  </si>
  <si>
    <t>Team Members</t>
  </si>
  <si>
    <t>Stressful Events?</t>
  </si>
  <si>
    <t>Low Tide Time</t>
  </si>
  <si>
    <t>Low Tide Height</t>
  </si>
  <si>
    <t># in field group</t>
  </si>
  <si>
    <t># T lines</t>
  </si>
  <si>
    <t>Longest T (m)</t>
  </si>
  <si>
    <t>Organism or Substrate</t>
  </si>
  <si>
    <t>Dist between T pts for Q</t>
  </si>
  <si>
    <t># Quad/T</t>
  </si>
  <si>
    <t>Start time</t>
  </si>
  <si>
    <t>End time</t>
  </si>
  <si>
    <t>Weather</t>
  </si>
  <si>
    <t>Rain events?</t>
  </si>
  <si>
    <t>Wave Height</t>
  </si>
  <si>
    <t>Wind speed</t>
  </si>
  <si>
    <t># Visitors</t>
  </si>
  <si>
    <t># fishing</t>
  </si>
  <si>
    <t># collecting</t>
  </si>
  <si>
    <t>What collecting?</t>
  </si>
  <si>
    <t>Notes</t>
  </si>
  <si>
    <t>Limu (Algae)</t>
  </si>
  <si>
    <t>Blue-Green</t>
  </si>
  <si>
    <t>Mauliola</t>
  </si>
  <si>
    <t xml:space="preserve">Lē'ahi </t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</si>
  <si>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</si>
  <si>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t>Joanna Philippoff</t>
  </si>
  <si>
    <t>Joanna</t>
  </si>
  <si>
    <t>Kayla, Juliana</t>
  </si>
  <si>
    <t>No</t>
  </si>
  <si>
    <t>Dictyota Sp.</t>
  </si>
  <si>
    <t>EXAMPLE: Do not erase</t>
  </si>
  <si>
    <t>2 m</t>
  </si>
  <si>
    <t>Marie, Sharon, Alanna</t>
  </si>
  <si>
    <t>Sunny</t>
  </si>
  <si>
    <t>Yes</t>
  </si>
  <si>
    <t>1-3 ft</t>
  </si>
  <si>
    <t>0-1 mph</t>
  </si>
  <si>
    <t>Invertebrates</t>
  </si>
  <si>
    <t>EXAMPLE do not erase</t>
  </si>
  <si>
    <t>Sargassum Sp.</t>
  </si>
  <si>
    <t>Laurencia dendrodea</t>
  </si>
  <si>
    <t>Substrate</t>
  </si>
  <si>
    <t>rock</t>
  </si>
  <si>
    <t xml:space="preserve">Sargassum polyphyllum </t>
  </si>
  <si>
    <t>Padina Sp.</t>
  </si>
  <si>
    <t>Gigi, Tina, Darin</t>
  </si>
  <si>
    <t>substrate</t>
  </si>
  <si>
    <t>12m</t>
  </si>
  <si>
    <r>
      <rPr>
        <rFont val="Arial"/>
        <color theme="1"/>
      </rPr>
      <t xml:space="preserve">Snails - </t>
    </r>
    <r>
      <rPr>
        <rFont val="Arial"/>
        <i/>
        <color theme="1"/>
      </rPr>
      <t>Dendropoma gregarium</t>
    </r>
  </si>
  <si>
    <t>1m</t>
  </si>
  <si>
    <t>Partly Cloudy</t>
  </si>
  <si>
    <t>0-1 ft</t>
  </si>
  <si>
    <t>4-7 mph</t>
  </si>
  <si>
    <t>opihi awa</t>
  </si>
  <si>
    <t>Beautiful day, low surf</t>
  </si>
  <si>
    <t>Paulina</t>
  </si>
  <si>
    <t>Simran, Brooke, Becca, Paulina</t>
  </si>
  <si>
    <t>Total</t>
  </si>
  <si>
    <t>Lehua</t>
  </si>
  <si>
    <t>cloudy</t>
  </si>
  <si>
    <t>yes</t>
  </si>
  <si>
    <t>n/a</t>
  </si>
  <si>
    <t>Quadrat
location (m)</t>
  </si>
  <si>
    <t>Dictyota spp.</t>
  </si>
  <si>
    <t>Acanthophora spicifera</t>
  </si>
  <si>
    <t>Amansia sp.</t>
  </si>
  <si>
    <t>Laurencia spp.</t>
  </si>
  <si>
    <t>Articulated Coralline</t>
  </si>
  <si>
    <t>Jenny</t>
  </si>
  <si>
    <t>Asparagopsis sp</t>
  </si>
  <si>
    <t>Jenny, Logan, Lehua</t>
  </si>
  <si>
    <t>Astronema breviarticulatum</t>
  </si>
  <si>
    <t>bare rock</t>
  </si>
  <si>
    <t>12 m</t>
  </si>
  <si>
    <t>1 m</t>
  </si>
  <si>
    <t>no</t>
  </si>
  <si>
    <t>8-12 mph</t>
  </si>
  <si>
    <t>Turbinaria ornata</t>
  </si>
  <si>
    <t>Astronema sp.</t>
  </si>
  <si>
    <t>Ahnfeltiopsis sp</t>
  </si>
  <si>
    <t>Avrainvillea sp.</t>
  </si>
  <si>
    <t>turf</t>
  </si>
  <si>
    <t>Marie</t>
  </si>
  <si>
    <t>Alanna, Sharon, Mica</t>
  </si>
  <si>
    <t xml:space="preserve">Padina </t>
  </si>
  <si>
    <t>Avrainvillea lacerata</t>
  </si>
  <si>
    <t>Annie</t>
  </si>
  <si>
    <t>Brown/Orange Crust</t>
  </si>
  <si>
    <t>Bryopsis sp.</t>
  </si>
  <si>
    <t>Bornatella sphaerica</t>
  </si>
  <si>
    <t>Caulerpa racemosa</t>
  </si>
  <si>
    <r>
      <rPr>
        <rFont val="Arial"/>
        <color theme="1"/>
      </rPr>
      <t xml:space="preserve">turf &lt;2cm </t>
    </r>
    <r>
      <rPr>
        <rFont val="Arial"/>
        <i/>
        <color theme="1"/>
      </rPr>
      <t>Jania</t>
    </r>
  </si>
  <si>
    <t>CCA</t>
  </si>
  <si>
    <t>Cerramium sp</t>
  </si>
  <si>
    <t>cerracia</t>
  </si>
  <si>
    <t>Chaetomorpha basiretrorsa</t>
  </si>
  <si>
    <t>Chnoospora sp</t>
  </si>
  <si>
    <t>Cladophora sp</t>
  </si>
  <si>
    <t>Codium sp</t>
  </si>
  <si>
    <t>Codium arabicum</t>
  </si>
  <si>
    <t>Codium edule</t>
  </si>
  <si>
    <t>Codium reediae</t>
  </si>
  <si>
    <t xml:space="preserve">Colpomenia sp. </t>
  </si>
  <si>
    <t>Colpomenia sinuosa</t>
  </si>
  <si>
    <t>Cyanobacteria</t>
  </si>
  <si>
    <t>Dasya iridescens</t>
  </si>
  <si>
    <t>2m</t>
  </si>
  <si>
    <t>Dichotomaria marginata</t>
  </si>
  <si>
    <t>Dictyosphaeria cavernosa</t>
  </si>
  <si>
    <t>Dictyosphaeria versluysii</t>
  </si>
  <si>
    <t>Becca</t>
  </si>
  <si>
    <t>Simran, Brooke, Becca</t>
  </si>
  <si>
    <t>Dictyosphaeria sp.</t>
  </si>
  <si>
    <t>Gigi</t>
  </si>
  <si>
    <t>Darin, Tina</t>
  </si>
  <si>
    <t>Dictyota sp</t>
  </si>
  <si>
    <t>Dictyota acutiloba</t>
  </si>
  <si>
    <t>Dictyota sandvicensis</t>
  </si>
  <si>
    <t>Dichtyopterous</t>
  </si>
  <si>
    <t>Gelidiella sp</t>
  </si>
  <si>
    <t>30 m</t>
  </si>
  <si>
    <t>Gracilaria sp.</t>
  </si>
  <si>
    <t>Gracilaria salicronia</t>
  </si>
  <si>
    <t>Galaxaura</t>
  </si>
  <si>
    <t>Halimeda sp</t>
  </si>
  <si>
    <t>Hydroclathrus clathratus</t>
  </si>
  <si>
    <t>Ulva</t>
  </si>
  <si>
    <t>Hypnea sp.</t>
  </si>
  <si>
    <t>Jania pumila</t>
  </si>
  <si>
    <t>Jania sp</t>
  </si>
  <si>
    <t>Laurencia sp.</t>
  </si>
  <si>
    <t>Laurencia crustiformans</t>
  </si>
  <si>
    <t>Laurencia majuscula</t>
  </si>
  <si>
    <t>Laurencia mcdermidiae</t>
  </si>
  <si>
    <t>Laurencia nidifica</t>
  </si>
  <si>
    <t>Liagora sp</t>
  </si>
  <si>
    <t>Lobophora obscura</t>
  </si>
  <si>
    <t>Microdictyon sp.</t>
  </si>
  <si>
    <t>Neomeris</t>
  </si>
  <si>
    <t>Portieria</t>
  </si>
  <si>
    <t>Pterocladiella</t>
  </si>
  <si>
    <t>Padina sp.</t>
  </si>
  <si>
    <t>Sargassum sp.</t>
  </si>
  <si>
    <t>Sargassum aquifolium</t>
  </si>
  <si>
    <t>Sargassum polyphyllum</t>
  </si>
  <si>
    <t>Sphaecelaria sp</t>
  </si>
  <si>
    <t>Symploca hypnoides</t>
  </si>
  <si>
    <t>Trichogloea sp</t>
  </si>
  <si>
    <t xml:space="preserve">Wrangelia </t>
  </si>
  <si>
    <t>Valonia sp.</t>
  </si>
  <si>
    <t>Turf</t>
  </si>
  <si>
    <t>‘Ewa Beach</t>
  </si>
  <si>
    <t>Botryocladia sp.</t>
  </si>
  <si>
    <t>Lyngbya sp</t>
  </si>
  <si>
    <t>Cucumber- Actinopyga</t>
  </si>
  <si>
    <t>Hermet crab</t>
  </si>
  <si>
    <t>Crab</t>
  </si>
  <si>
    <t>Echinometra</t>
  </si>
  <si>
    <t>Snail- Dendropoma gregarium</t>
  </si>
  <si>
    <t>Urchin</t>
  </si>
  <si>
    <t>Cucumber- Holothuria</t>
  </si>
  <si>
    <t>Haminoea cymbalum - green snail</t>
  </si>
  <si>
    <t>Pennaria disticha (christmas tree hydroid)</t>
  </si>
  <si>
    <t>Pocillopora damicornis</t>
  </si>
  <si>
    <t>Sea Star</t>
  </si>
  <si>
    <t>Snail- Littoraria</t>
  </si>
  <si>
    <t>Snail - Nerite</t>
  </si>
  <si>
    <t>Snail- Serpulorbis</t>
  </si>
  <si>
    <t>Snail- Siphonaria normalis</t>
  </si>
  <si>
    <t>Limpet</t>
  </si>
  <si>
    <t>sponge</t>
  </si>
  <si>
    <t>Basalt</t>
  </si>
  <si>
    <t>Limestone</t>
  </si>
  <si>
    <t>Sand</t>
  </si>
  <si>
    <t>Rock</t>
  </si>
  <si>
    <t>Sargassum</t>
  </si>
  <si>
    <t>hole</t>
  </si>
  <si>
    <t>mud/silt</t>
  </si>
  <si>
    <t>unknown</t>
  </si>
  <si>
    <t>Total Points</t>
  </si>
  <si>
    <t>NOTES/Corrections to data sheet</t>
  </si>
  <si>
    <t>Halimida</t>
  </si>
  <si>
    <t>Lyngbia</t>
  </si>
  <si>
    <t>Brooke</t>
  </si>
  <si>
    <t>Dictyota</t>
  </si>
  <si>
    <t>Madison Armstrong</t>
  </si>
  <si>
    <t>Sphacelaria</t>
  </si>
  <si>
    <t>Bornatella</t>
  </si>
  <si>
    <t>turf &amp; substrate</t>
  </si>
  <si>
    <t>sand &amp; turf</t>
  </si>
  <si>
    <t>basalt</t>
  </si>
  <si>
    <t>Sand/Rock</t>
  </si>
  <si>
    <t>Gigi Tina Darin</t>
  </si>
  <si>
    <t>Liagora</t>
  </si>
  <si>
    <t>Turf Algae</t>
  </si>
  <si>
    <t>Turf Alfae</t>
  </si>
  <si>
    <t>Rock (manmade)</t>
  </si>
  <si>
    <t>EXAMPLE - Do not delete</t>
  </si>
  <si>
    <t>Turf algae</t>
  </si>
  <si>
    <t>Hypnea Spp</t>
  </si>
  <si>
    <t>Acanthophora</t>
  </si>
  <si>
    <t>Alanna</t>
  </si>
  <si>
    <t>Crustose Coralline Algae</t>
  </si>
  <si>
    <t>sand</t>
  </si>
  <si>
    <t>Articulated Corallines</t>
  </si>
  <si>
    <t>Unknown: recorded 20 points instead of 25</t>
  </si>
  <si>
    <t>Bare rock count = 2, last one scribbled out</t>
  </si>
  <si>
    <t>Missing a data point</t>
  </si>
  <si>
    <t>Turf count = 2 (not fully erased)</t>
  </si>
  <si>
    <t>"Unknown" = Laurencia crustiformans, count = 2; Lyngbya count = 4 not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</si>
</sst>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h:mm am/p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color theme="1"/>
      <name val="Arial"/>
    </font>
    <font>
      <b/>
      <sz val="10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FC5E5"/>
        <bgColor rgb="FF9FC5E5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5" fontId="2" numFmtId="164" xfId="0" applyAlignment="1" applyFill="1" applyFont="1" applyNumberForma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Fill="1" applyFont="1"/>
    <xf borderId="0" fillId="4" fontId="3" numFmtId="0" xfId="0" applyAlignment="1" applyFill="1" applyFont="1">
      <alignment readingOrder="0"/>
    </xf>
    <xf borderId="0" fillId="4" fontId="3" numFmtId="0" xfId="0" applyFill="1" applyFont="1"/>
    <xf borderId="0" fillId="5" fontId="2" numFmtId="165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5" fontId="2" numFmtId="0" xfId="0" applyFill="1" applyFont="1"/>
    <xf borderId="0" fillId="5" fontId="2" numFmtId="20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Fill="1" applyFont="1"/>
    <xf borderId="0" fillId="0" fontId="3" numFmtId="165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3" numFmtId="0" xfId="0" applyFill="1" applyFont="1"/>
    <xf borderId="0" fillId="0" fontId="3" numFmtId="20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10" fontId="3" numFmtId="164" xfId="0" applyAlignment="1" applyFill="1" applyFont="1" applyNumberFormat="1">
      <alignment readingOrder="0"/>
    </xf>
    <xf borderId="0" fillId="10" fontId="2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Fill="1" applyFont="1"/>
    <xf borderId="0" fillId="10" fontId="3" numFmtId="0" xfId="0" applyAlignment="1" applyFill="1" applyFont="1">
      <alignment readingOrder="0"/>
    </xf>
    <xf borderId="0" fillId="4" fontId="4" numFmtId="0" xfId="0" applyAlignment="1" applyFill="1" applyFont="1">
      <alignment horizontal="left" readingOrder="0"/>
    </xf>
    <xf borderId="0" fillId="4" fontId="5" numFmtId="0" xfId="0" applyAlignment="1" applyFill="1" applyFont="1">
      <alignment horizontal="left" readingOrder="0"/>
    </xf>
    <xf borderId="0" fillId="4" fontId="3" numFmtId="0" xfId="0" applyAlignment="1" applyFill="1" applyFont="1">
      <alignment readingOrder="0" shrinkToFit="0" wrapText="1"/>
    </xf>
    <xf borderId="0" fillId="10" fontId="6" numFmtId="16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12" fontId="3" numFmtId="0" xfId="0" applyAlignment="1" applyFill="1" applyFont="1">
      <alignment readingOrder="0"/>
    </xf>
    <xf borderId="0" fillId="13" fontId="6" numFmtId="164" xfId="0" applyAlignment="1" applyFill="1" applyFont="1" applyNumberForma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13" fontId="2" numFmtId="0" xfId="0" applyAlignment="1" applyFill="1" applyFont="1">
      <alignment readingOrder="0"/>
    </xf>
    <xf borderId="0" fillId="7" fontId="3" numFmtId="0" xfId="0" applyAlignment="1" applyFill="1" applyFont="1">
      <alignment readingOrder="0" shrinkToFit="0" wrapText="1"/>
    </xf>
    <xf borderId="0" fillId="13" fontId="6" numFmtId="0" xfId="0" applyAlignment="1" applyFill="1" applyFont="1">
      <alignment readingOrder="0" vertical="bottom"/>
    </xf>
    <xf borderId="0" fillId="13" fontId="6" numFmtId="0" xfId="0" applyAlignment="1" applyFill="1" applyFont="1">
      <alignment horizontal="right" readingOrder="0" vertical="bottom"/>
    </xf>
    <xf borderId="0" fillId="8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3" fontId="3" numFmtId="0" xfId="0" applyFill="1" applyFont="1"/>
    <xf borderId="0" fillId="8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15" fontId="3" numFmtId="0" xfId="0" applyAlignment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3" numFmtId="0" xfId="0" applyFont="1"/>
    <xf borderId="0" fillId="13" fontId="3" numFmtId="164" xfId="0" applyAlignment="1" applyFill="1" applyFont="1" applyNumberFormat="1">
      <alignment readingOrder="0"/>
    </xf>
    <xf borderId="0" fillId="13" fontId="1" numFmtId="0" xfId="0" applyFill="1" applyFont="1"/>
    <xf borderId="0" fillId="16" fontId="2" numFmtId="0" xfId="0" applyAlignment="1" applyFill="1" applyFont="1">
      <alignment readingOrder="0"/>
    </xf>
    <xf borderId="0" fillId="16" fontId="6" numFmtId="0" xfId="0" applyAlignment="1" applyFill="1" applyFont="1">
      <alignment readingOrder="0" vertical="bottom"/>
    </xf>
    <xf borderId="0" fillId="16" fontId="3" numFmtId="0" xfId="0" applyAlignment="1" applyFill="1" applyFont="1">
      <alignment readingOrder="0"/>
    </xf>
    <xf borderId="0" fillId="16" fontId="3" numFmtId="0" xfId="0" applyFill="1" applyFont="1"/>
    <xf borderId="0" fillId="17" fontId="7" numFmtId="0" xfId="0" applyFill="1" applyFont="1"/>
    <xf borderId="0" fillId="16" fontId="6" numFmtId="0" xfId="0" applyAlignment="1" applyFill="1" applyFont="1">
      <alignment horizontal="right" readingOrder="0" vertical="bottom"/>
    </xf>
    <xf borderId="0" fillId="10" fontId="3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becca Katz" id="{b535a49e-6db0-4517-9517-550b4a7c5bc3}" providerId="google-sheets"/>
  <x18tc:person displayName="Gianni Fernandez" id="{54b49c66-c6e7-4cab-a25f-d5df9e8f559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3" dT="2026-02-05T03:32:18.00" personId="{54b49c66-c6e7-4cab-a25f-d5df9e8f5598}" id="{642be4d3-2eb0-494e-8305-c9afa30ef2f1}" done="0">
    <x18tc:text xml:space="preserve">Is this supposed to include us/ whole group/class?</x18tc:text>
  </x18tc:threadedComment>
  <x18tc:threadedComment ref="S4" dT="2026-02-05T03:32:29.00" personId="{b535a49e-6db0-4517-9517-550b4a7c5bc3}" id="{456d8de9-3546-48d8-9d5b-2c67f2a2fa76}" done="0">
    <x18tc:text xml:space="preserve">Clarifying question - is this just for our group or at the site as a whole?</x18tc:text>
  </x18tc:threadedComment>
  <x18tc:threadedComment ref="T4" dT="2026-02-05T03:32:51.00" personId="{b535a49e-6db0-4517-9517-550b4a7c5bc3}" id="{76de1763-3ddf-49d9-83ab-bda870ef4df9}" done="0">
    <x18tc:text xml:space="preserve">Clarifying Question: //</x18tc:text>
  </x18tc:threadedComment>
  <x18tc:threadedComment ref="L4" dT="2026-02-05T03:36:25.00" personId="{b535a49e-6db0-4517-9517-550b4a7c5bc3}" id="{5e6eaabf-678d-4241-87ad-c060d7b902f0}" done="0">
    <x18tc:text xml:space="preserve">Should have put 13(did 13) but wrote 10 on data sheet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W79" dT="2026-02-05T04:29:07.00" personId="{b535a49e-6db0-4517-9517-550b4a7c5bc3}" id="{51309fdd-4e83-416d-93ae-63ceeeaf962b}" done="1">
    <x18tc:text xml:space="preserve">unsure what happened here, need to double check - it is equal to 25 on data sheet</x18tc:text>
  </x18tc:threadedComment>
  <x18tc:threadedComment ref="CV49" dT="2026-02-05T04:05:46.00" personId="{54b49c66-c6e7-4cab-a25f-d5df9e8f5598}" id="{f5deec45-59fb-4a3b-94ff-bbeb2f2b1f24}" done="0">
    <x18tc:text xml:space="preserve">We have 2 for gregarium</x18tc:text>
  </x18tc:threadedComment>
  <x18tc:threadedComment ref="P53" dT="2026-02-05T04:22:46.00" personId="{54b49c66-c6e7-4cab-a25f-d5df9e8f5598}" id="{97bd2d66-a224-4cc4-aae4-23acfc78e3c3}" done="0">
    <x18tc:text xml:space="preserve">All brown color crust</x18tc:text>
  </x18tc:threadedComment>
  <x18tc:threadedComment ref="CV79" dT="2026-02-05T04:28:04.00" personId="{b535a49e-6db0-4517-9517-550b4a7c5bc3}" id="{5d41491d-2bc7-4abb-bfb0-459590d5dc37}" done="1">
    <x18tc:text xml:space="preserve">"COD" unsure what this meant...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4" max="5" width="14.75"/>
    <col customWidth="1" min="7" max="7" width="13.75"/>
    <col customWidth="1" min="9" max="9" width="8.88"/>
    <col customWidth="1" min="11" max="11" width="20.38"/>
    <col customWidth="1" min="12" max="12" width="17.25"/>
  </cols>
  <sheetData>
    <row r="1">
      <c r="A1" s="1" t="s">
        <v>0</v>
      </c>
      <c r="B1" s="1" t="s">
        <v>1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8"/>
      <c r="Y1" s="8"/>
      <c r="Z1" s="8"/>
      <c r="AA1" s="8"/>
    </row>
    <row r="2">
      <c r="A2" s="11">
        <v>45745.0</v>
      </c>
      <c r="B2" s="13" t="s">
        <v>32</v>
      </c>
      <c r="C2" s="13" t="s">
        <v>35</v>
      </c>
      <c r="D2" s="13" t="s">
        <v>36</v>
      </c>
      <c r="E2" s="13" t="s">
        <v>37</v>
      </c>
      <c r="F2" s="17">
        <v>0.3958333333333333</v>
      </c>
      <c r="G2" s="13">
        <v>-0.3</v>
      </c>
      <c r="H2" s="13">
        <v>2.0</v>
      </c>
      <c r="I2" s="13">
        <v>3.0</v>
      </c>
      <c r="J2" s="13">
        <v>34.0</v>
      </c>
      <c r="K2" s="13" t="s">
        <v>40</v>
      </c>
      <c r="L2" s="13">
        <v>10.0</v>
      </c>
      <c r="M2" s="17">
        <v>0.36180555555555555</v>
      </c>
      <c r="N2" s="17">
        <v>0.4326388888888889</v>
      </c>
      <c r="O2" s="13" t="s">
        <v>42</v>
      </c>
      <c r="P2" s="13" t="s">
        <v>43</v>
      </c>
      <c r="Q2" s="13" t="s">
        <v>44</v>
      </c>
      <c r="R2" s="13" t="s">
        <v>45</v>
      </c>
      <c r="S2" s="13">
        <v>10.0</v>
      </c>
      <c r="T2" s="13">
        <v>4.0</v>
      </c>
      <c r="U2" s="13">
        <v>2.0</v>
      </c>
      <c r="V2" s="13" t="s">
        <v>46</v>
      </c>
      <c r="W2" s="13" t="s">
        <v>47</v>
      </c>
      <c r="X2" s="16"/>
      <c r="Y2" s="16"/>
      <c r="Z2" s="16"/>
      <c r="AA2" s="16"/>
    </row>
    <row r="3">
      <c r="A3" s="22">
        <v>46046.0</v>
      </c>
      <c r="B3" s="19" t="s">
        <v>32</v>
      </c>
      <c r="D3" s="20" t="s">
        <v>54</v>
      </c>
      <c r="E3" s="20" t="s">
        <v>37</v>
      </c>
      <c r="F3" s="25">
        <v>0.09375</v>
      </c>
      <c r="I3" s="20">
        <v>4.0</v>
      </c>
      <c r="J3" s="20" t="s">
        <v>56</v>
      </c>
      <c r="K3" s="20" t="s">
        <v>58</v>
      </c>
      <c r="L3" s="20">
        <v>12.0</v>
      </c>
      <c r="M3" s="25">
        <v>0.10416666666666667</v>
      </c>
      <c r="N3" s="25">
        <v>0.14583333333333334</v>
      </c>
      <c r="O3" s="20" t="s">
        <v>59</v>
      </c>
      <c r="Q3" s="20" t="s">
        <v>60</v>
      </c>
      <c r="R3" s="20" t="s">
        <v>61</v>
      </c>
      <c r="S3" s="20">
        <v>4.0</v>
      </c>
      <c r="T3" s="20">
        <v>2.0</v>
      </c>
      <c r="U3" s="20">
        <v>0.0</v>
      </c>
      <c r="W3" s="20" t="s">
        <v>63</v>
      </c>
    </row>
    <row r="4">
      <c r="A4" s="22">
        <v>46046.0</v>
      </c>
      <c r="B4" s="19" t="s">
        <v>32</v>
      </c>
      <c r="C4" s="20" t="s">
        <v>64</v>
      </c>
      <c r="D4" s="20" t="s">
        <v>65</v>
      </c>
      <c r="E4" s="20" t="s">
        <v>37</v>
      </c>
      <c r="F4" s="25">
        <v>0.5833333333333334</v>
      </c>
      <c r="G4" s="20">
        <v>-0.1</v>
      </c>
      <c r="H4" s="20">
        <v>4.0</v>
      </c>
      <c r="I4" s="20">
        <v>4.0</v>
      </c>
      <c r="J4" s="20">
        <v>12.0</v>
      </c>
      <c r="K4" s="20" t="s">
        <v>58</v>
      </c>
      <c r="L4" s="20">
        <v>10.0</v>
      </c>
      <c r="M4" s="30">
        <v>0.5625</v>
      </c>
      <c r="N4" s="30">
        <v>0.64375</v>
      </c>
      <c r="O4" s="20" t="s">
        <v>68</v>
      </c>
      <c r="P4" s="20" t="s">
        <v>69</v>
      </c>
      <c r="Q4" s="20" t="s">
        <v>44</v>
      </c>
      <c r="R4" s="20" t="s">
        <v>61</v>
      </c>
      <c r="S4" s="20">
        <v>28.0</v>
      </c>
      <c r="T4" s="20">
        <v>3.0</v>
      </c>
      <c r="U4" s="20">
        <v>0.0</v>
      </c>
      <c r="V4" s="20" t="s">
        <v>70</v>
      </c>
      <c r="W4" s="20" t="s">
        <v>70</v>
      </c>
    </row>
    <row r="5">
      <c r="A5" s="22">
        <v>46046.0</v>
      </c>
      <c r="B5" s="19" t="s">
        <v>32</v>
      </c>
      <c r="C5" s="20" t="s">
        <v>77</v>
      </c>
      <c r="D5" s="20" t="s">
        <v>79</v>
      </c>
      <c r="E5" s="20" t="s">
        <v>37</v>
      </c>
      <c r="F5" s="25">
        <v>0.5944444444444444</v>
      </c>
      <c r="G5" s="20">
        <v>-0.08</v>
      </c>
      <c r="H5" s="20">
        <v>3.0</v>
      </c>
      <c r="I5" s="20">
        <v>3.0</v>
      </c>
      <c r="J5" s="20" t="s">
        <v>82</v>
      </c>
      <c r="K5" s="20" t="s">
        <v>83</v>
      </c>
      <c r="L5" s="20">
        <v>12.0</v>
      </c>
      <c r="M5" s="25">
        <v>0.06111111111111111</v>
      </c>
      <c r="N5" s="30">
        <v>0.6451388888888889</v>
      </c>
      <c r="O5" s="20" t="s">
        <v>42</v>
      </c>
      <c r="P5" s="20" t="s">
        <v>84</v>
      </c>
      <c r="Q5" s="20" t="s">
        <v>44</v>
      </c>
      <c r="R5" s="20" t="s">
        <v>85</v>
      </c>
      <c r="S5" s="20">
        <v>12.0</v>
      </c>
      <c r="T5" s="20">
        <v>5.0</v>
      </c>
      <c r="U5" s="20">
        <v>0.0</v>
      </c>
    </row>
    <row r="6">
      <c r="A6" s="22">
        <v>46046.0</v>
      </c>
      <c r="B6" s="19" t="s">
        <v>32</v>
      </c>
      <c r="C6" s="20" t="s">
        <v>91</v>
      </c>
      <c r="D6" s="20" t="s">
        <v>92</v>
      </c>
      <c r="E6" s="20" t="s">
        <v>37</v>
      </c>
      <c r="F6" s="25">
        <v>0.59375</v>
      </c>
      <c r="G6" s="20">
        <v>-0.1</v>
      </c>
      <c r="H6" s="20">
        <v>4.0</v>
      </c>
      <c r="I6" s="20">
        <v>4.0</v>
      </c>
      <c r="J6" s="20">
        <v>12.0</v>
      </c>
      <c r="K6" s="20" t="s">
        <v>58</v>
      </c>
      <c r="L6" s="20">
        <v>11.0</v>
      </c>
      <c r="M6" s="25">
        <v>0.5694444444444444</v>
      </c>
      <c r="N6" s="25">
        <v>0.6381944444444444</v>
      </c>
      <c r="O6" s="20" t="s">
        <v>59</v>
      </c>
      <c r="P6" s="20" t="s">
        <v>43</v>
      </c>
      <c r="Q6" s="20" t="s">
        <v>44</v>
      </c>
      <c r="R6" s="20" t="s">
        <v>85</v>
      </c>
      <c r="S6" s="20">
        <v>20.0</v>
      </c>
      <c r="T6" s="20">
        <v>5.0</v>
      </c>
      <c r="U6" s="20">
        <v>0.0</v>
      </c>
      <c r="V6" s="20" t="s">
        <v>70</v>
      </c>
    </row>
    <row r="7">
      <c r="A7" s="22">
        <v>46047.0</v>
      </c>
      <c r="B7" s="19" t="s">
        <v>31</v>
      </c>
      <c r="C7" s="20" t="s">
        <v>91</v>
      </c>
      <c r="D7" s="20" t="s">
        <v>92</v>
      </c>
      <c r="E7" s="20" t="s">
        <v>37</v>
      </c>
      <c r="F7" s="25">
        <v>0.625</v>
      </c>
      <c r="G7" s="20">
        <v>-0.1</v>
      </c>
      <c r="H7" s="20">
        <v>3.0</v>
      </c>
      <c r="I7" s="20">
        <v>4.0</v>
      </c>
      <c r="J7" s="20">
        <v>30.0</v>
      </c>
      <c r="K7" s="20" t="s">
        <v>115</v>
      </c>
      <c r="L7" s="20">
        <v>1.0</v>
      </c>
      <c r="M7" s="25">
        <v>0.6145833333333334</v>
      </c>
      <c r="N7" s="25">
        <v>0.68125</v>
      </c>
      <c r="O7" s="20" t="s">
        <v>42</v>
      </c>
      <c r="P7" s="20" t="s">
        <v>43</v>
      </c>
      <c r="Q7" s="20" t="s">
        <v>44</v>
      </c>
      <c r="R7" s="20" t="s">
        <v>61</v>
      </c>
      <c r="S7" s="20">
        <v>8.0</v>
      </c>
      <c r="T7" s="20">
        <v>0.0</v>
      </c>
      <c r="U7" s="20">
        <v>0.0</v>
      </c>
    </row>
    <row r="8">
      <c r="A8" s="22">
        <v>46047.0</v>
      </c>
      <c r="B8" s="19" t="s">
        <v>31</v>
      </c>
      <c r="C8" s="20" t="s">
        <v>119</v>
      </c>
      <c r="D8" s="20" t="s">
        <v>120</v>
      </c>
    </row>
    <row r="9">
      <c r="A9" s="22">
        <v>46047.0</v>
      </c>
      <c r="B9" s="19" t="s">
        <v>31</v>
      </c>
      <c r="C9" s="20" t="s">
        <v>122</v>
      </c>
      <c r="D9" s="20" t="s">
        <v>123</v>
      </c>
      <c r="E9" s="20" t="s">
        <v>37</v>
      </c>
      <c r="F9" s="30">
        <v>0.625</v>
      </c>
      <c r="G9" s="20">
        <v>-0.1</v>
      </c>
      <c r="H9" s="20">
        <v>16.0</v>
      </c>
      <c r="I9" s="20">
        <v>4.0</v>
      </c>
      <c r="J9" s="20" t="s">
        <v>129</v>
      </c>
      <c r="K9" s="20" t="s">
        <v>40</v>
      </c>
      <c r="L9" s="20">
        <v>3.0</v>
      </c>
      <c r="M9" s="30">
        <v>0.6194444444444445</v>
      </c>
      <c r="O9" s="20" t="s">
        <v>42</v>
      </c>
      <c r="P9" s="20" t="s">
        <v>37</v>
      </c>
      <c r="S9" s="20">
        <v>2.0</v>
      </c>
      <c r="T9" s="20">
        <v>0.0</v>
      </c>
      <c r="U9" s="20">
        <v>0.0</v>
      </c>
      <c r="V9" s="20">
        <v>0.0</v>
      </c>
    </row>
    <row r="10">
      <c r="A10" s="38"/>
      <c r="B10" s="19" t="s">
        <v>160</v>
      </c>
    </row>
    <row r="11">
      <c r="A11" s="38"/>
      <c r="B11" s="19" t="s">
        <v>160</v>
      </c>
    </row>
    <row r="12">
      <c r="A12" s="38"/>
      <c r="B12" s="19" t="s">
        <v>160</v>
      </c>
    </row>
    <row r="13">
      <c r="A13" s="38"/>
      <c r="B13" s="19" t="s">
        <v>160</v>
      </c>
    </row>
    <row r="14">
      <c r="A14" s="38"/>
      <c r="B14" s="41"/>
    </row>
    <row r="15">
      <c r="A15" s="38"/>
      <c r="B15" s="41"/>
    </row>
    <row r="16">
      <c r="A16" s="38"/>
      <c r="B16" s="41"/>
    </row>
  </sheetData>
  <dataValidations>
    <dataValidation type="list" allowBlank="1" showErrorMessage="1" sqref="B2:B13">
      <formula1>"Mauliola,Lē'ahi ,‘Ewa Beach"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3" max="3" width="15.5"/>
    <col customWidth="1" min="4" max="4" width="9.88"/>
    <col customWidth="1" min="5" max="5" width="11.88"/>
    <col customWidth="1" min="6" max="6" width="0.38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3" t="s">
        <v>7</v>
      </c>
      <c r="G1" s="4" t="s">
        <v>15</v>
      </c>
    </row>
    <row r="2">
      <c r="A2" s="6">
        <v>45720.0</v>
      </c>
      <c r="B2" s="13" t="s">
        <v>31</v>
      </c>
      <c r="C2" s="13" t="s">
        <v>34</v>
      </c>
      <c r="D2" s="13">
        <v>1.0</v>
      </c>
      <c r="E2" s="13">
        <v>0.0</v>
      </c>
      <c r="F2" s="16"/>
      <c r="G2" s="13" t="s">
        <v>38</v>
      </c>
      <c r="H2" s="13" t="s">
        <v>39</v>
      </c>
      <c r="I2" s="16"/>
      <c r="J2" s="16"/>
    </row>
    <row r="3">
      <c r="A3" s="18">
        <v>46046.0</v>
      </c>
      <c r="B3" s="19" t="s">
        <v>32</v>
      </c>
      <c r="C3" s="20" t="s">
        <v>41</v>
      </c>
      <c r="D3" s="20">
        <v>1.0</v>
      </c>
      <c r="E3" s="20">
        <v>0.0</v>
      </c>
      <c r="G3" s="19" t="s">
        <v>48</v>
      </c>
    </row>
    <row r="4">
      <c r="A4" s="18">
        <v>46046.0</v>
      </c>
      <c r="B4" s="19" t="s">
        <v>32</v>
      </c>
      <c r="C4" s="20" t="s">
        <v>41</v>
      </c>
      <c r="D4" s="20">
        <v>1.0</v>
      </c>
      <c r="E4" s="20">
        <v>1.0</v>
      </c>
      <c r="G4" s="19" t="s">
        <v>49</v>
      </c>
    </row>
    <row r="5">
      <c r="A5" s="18">
        <v>46046.0</v>
      </c>
      <c r="B5" s="19" t="s">
        <v>32</v>
      </c>
      <c r="C5" s="20" t="s">
        <v>41</v>
      </c>
      <c r="D5" s="20">
        <v>1.0</v>
      </c>
      <c r="E5" s="20">
        <v>2.0</v>
      </c>
      <c r="G5" s="20" t="s">
        <v>51</v>
      </c>
    </row>
    <row r="6">
      <c r="A6" s="18">
        <v>46046.0</v>
      </c>
      <c r="B6" s="19" t="s">
        <v>32</v>
      </c>
      <c r="C6" s="20" t="s">
        <v>41</v>
      </c>
      <c r="D6" s="20">
        <v>1.0</v>
      </c>
      <c r="E6" s="20">
        <v>3.0</v>
      </c>
      <c r="G6" s="19" t="s">
        <v>52</v>
      </c>
    </row>
    <row r="7">
      <c r="A7" s="18">
        <v>46046.0</v>
      </c>
      <c r="B7" s="19" t="s">
        <v>32</v>
      </c>
      <c r="C7" s="20" t="s">
        <v>41</v>
      </c>
      <c r="D7" s="20">
        <v>1.0</v>
      </c>
      <c r="E7" s="20">
        <v>4.0</v>
      </c>
      <c r="G7" s="19" t="s">
        <v>52</v>
      </c>
    </row>
    <row r="8">
      <c r="A8" s="18">
        <v>46046.0</v>
      </c>
      <c r="B8" s="19" t="s">
        <v>32</v>
      </c>
      <c r="C8" s="20" t="s">
        <v>41</v>
      </c>
      <c r="D8" s="20">
        <v>1.0</v>
      </c>
      <c r="E8" s="20">
        <v>5.0</v>
      </c>
      <c r="G8" s="19" t="s">
        <v>53</v>
      </c>
    </row>
    <row r="9">
      <c r="A9" s="18">
        <v>46046.0</v>
      </c>
      <c r="B9" s="19" t="s">
        <v>32</v>
      </c>
      <c r="C9" s="20" t="s">
        <v>41</v>
      </c>
      <c r="D9" s="20">
        <v>1.0</v>
      </c>
      <c r="E9" s="20">
        <v>6.0</v>
      </c>
      <c r="G9" s="19" t="s">
        <v>53</v>
      </c>
    </row>
    <row r="10">
      <c r="A10" s="18">
        <v>46046.0</v>
      </c>
      <c r="B10" s="19" t="s">
        <v>32</v>
      </c>
      <c r="C10" s="20" t="s">
        <v>41</v>
      </c>
      <c r="D10" s="20">
        <v>1.0</v>
      </c>
      <c r="E10" s="20">
        <v>7.0</v>
      </c>
      <c r="G10" s="20" t="s">
        <v>55</v>
      </c>
    </row>
    <row r="11">
      <c r="A11" s="18">
        <v>46046.0</v>
      </c>
      <c r="B11" s="19" t="s">
        <v>32</v>
      </c>
      <c r="C11" s="20" t="s">
        <v>41</v>
      </c>
      <c r="D11" s="20">
        <v>1.0</v>
      </c>
      <c r="E11" s="20">
        <v>8.0</v>
      </c>
      <c r="G11" s="20" t="s">
        <v>55</v>
      </c>
    </row>
    <row r="12">
      <c r="A12" s="18">
        <v>46046.0</v>
      </c>
      <c r="B12" s="19" t="s">
        <v>32</v>
      </c>
      <c r="C12" s="20" t="s">
        <v>41</v>
      </c>
      <c r="D12" s="20">
        <v>1.0</v>
      </c>
      <c r="E12" s="20">
        <v>9.0</v>
      </c>
      <c r="G12" s="20" t="s">
        <v>57</v>
      </c>
    </row>
    <row r="13">
      <c r="A13" s="18">
        <v>46046.0</v>
      </c>
      <c r="B13" s="19" t="s">
        <v>32</v>
      </c>
      <c r="C13" s="20" t="s">
        <v>41</v>
      </c>
      <c r="D13" s="20">
        <v>1.0</v>
      </c>
      <c r="E13" s="20">
        <v>10.0</v>
      </c>
      <c r="G13" s="20" t="s">
        <v>55</v>
      </c>
    </row>
    <row r="14">
      <c r="A14" s="18">
        <v>46046.0</v>
      </c>
      <c r="B14" s="19" t="s">
        <v>32</v>
      </c>
      <c r="C14" s="20" t="s">
        <v>41</v>
      </c>
      <c r="D14" s="20">
        <v>1.0</v>
      </c>
      <c r="E14" s="20">
        <v>11.0</v>
      </c>
      <c r="G14" s="20" t="s">
        <v>62</v>
      </c>
    </row>
    <row r="15">
      <c r="A15" s="27"/>
      <c r="B15" s="28" t="s">
        <v>32</v>
      </c>
      <c r="C15" s="31" t="s">
        <v>67</v>
      </c>
      <c r="D15" s="31">
        <v>3.0</v>
      </c>
      <c r="E15" s="31">
        <v>0.0</v>
      </c>
      <c r="F15" s="32"/>
      <c r="G15" s="28" t="s">
        <v>72</v>
      </c>
    </row>
    <row r="16">
      <c r="A16" s="27"/>
      <c r="B16" s="28" t="s">
        <v>32</v>
      </c>
      <c r="C16" s="31" t="s">
        <v>67</v>
      </c>
      <c r="D16" s="31">
        <v>3.0</v>
      </c>
      <c r="E16" s="31">
        <v>1.0</v>
      </c>
      <c r="F16" s="32"/>
      <c r="G16" s="28" t="s">
        <v>75</v>
      </c>
    </row>
    <row r="17">
      <c r="A17" s="27"/>
      <c r="B17" s="28" t="s">
        <v>32</v>
      </c>
      <c r="C17" s="31" t="s">
        <v>67</v>
      </c>
      <c r="D17" s="31">
        <v>3.0</v>
      </c>
      <c r="E17" s="31">
        <v>2.0</v>
      </c>
      <c r="F17" s="32"/>
      <c r="G17" s="33" t="s">
        <v>81</v>
      </c>
    </row>
    <row r="18">
      <c r="A18" s="27"/>
      <c r="B18" s="28" t="s">
        <v>32</v>
      </c>
      <c r="C18" s="31" t="s">
        <v>67</v>
      </c>
      <c r="D18" s="31">
        <v>3.0</v>
      </c>
      <c r="E18" s="31">
        <v>3.0</v>
      </c>
      <c r="F18" s="32"/>
      <c r="G18" s="28" t="s">
        <v>86</v>
      </c>
    </row>
    <row r="19">
      <c r="A19" s="27"/>
      <c r="B19" s="28" t="s">
        <v>32</v>
      </c>
      <c r="C19" s="31" t="s">
        <v>67</v>
      </c>
      <c r="D19" s="31">
        <v>3.0</v>
      </c>
      <c r="E19" s="31">
        <v>4.0</v>
      </c>
      <c r="F19" s="32"/>
      <c r="G19" s="33" t="s">
        <v>90</v>
      </c>
    </row>
    <row r="20">
      <c r="A20" s="27"/>
      <c r="B20" s="28" t="s">
        <v>32</v>
      </c>
      <c r="C20" s="31" t="s">
        <v>67</v>
      </c>
      <c r="D20" s="31">
        <v>3.0</v>
      </c>
      <c r="E20" s="31">
        <v>5.0</v>
      </c>
      <c r="F20" s="32"/>
      <c r="G20" s="28" t="s">
        <v>93</v>
      </c>
    </row>
    <row r="21">
      <c r="A21" s="27"/>
      <c r="B21" s="28" t="s">
        <v>32</v>
      </c>
      <c r="C21" s="31" t="s">
        <v>67</v>
      </c>
      <c r="D21" s="31">
        <v>3.0</v>
      </c>
      <c r="E21" s="31">
        <v>6.0</v>
      </c>
      <c r="F21" s="32"/>
      <c r="G21" s="33" t="s">
        <v>90</v>
      </c>
    </row>
    <row r="22">
      <c r="A22" s="27"/>
      <c r="B22" s="28" t="s">
        <v>32</v>
      </c>
      <c r="C22" s="31" t="s">
        <v>95</v>
      </c>
      <c r="D22" s="31">
        <v>3.0</v>
      </c>
      <c r="E22" s="31">
        <v>7.0</v>
      </c>
      <c r="F22" s="32"/>
      <c r="G22" s="33" t="s">
        <v>100</v>
      </c>
    </row>
    <row r="23">
      <c r="A23" s="27"/>
      <c r="B23" s="28" t="s">
        <v>32</v>
      </c>
      <c r="C23" s="31" t="s">
        <v>95</v>
      </c>
      <c r="D23" s="31">
        <v>3.0</v>
      </c>
      <c r="E23" s="31">
        <v>8.0</v>
      </c>
      <c r="F23" s="32"/>
      <c r="G23" s="33" t="s">
        <v>90</v>
      </c>
    </row>
    <row r="24">
      <c r="A24" s="27"/>
      <c r="B24" s="28" t="s">
        <v>32</v>
      </c>
      <c r="C24" s="31" t="s">
        <v>77</v>
      </c>
      <c r="D24" s="31">
        <v>3.0</v>
      </c>
      <c r="E24" s="31">
        <v>9.0</v>
      </c>
      <c r="F24" s="32"/>
      <c r="G24" s="31" t="s">
        <v>90</v>
      </c>
    </row>
    <row r="25">
      <c r="A25" s="27"/>
      <c r="B25" s="28" t="s">
        <v>32</v>
      </c>
      <c r="C25" s="31" t="s">
        <v>77</v>
      </c>
      <c r="D25" s="31">
        <v>3.0</v>
      </c>
      <c r="E25" s="31">
        <v>10.0</v>
      </c>
      <c r="F25" s="32"/>
      <c r="G25" s="31" t="s">
        <v>81</v>
      </c>
    </row>
    <row r="26">
      <c r="A26" s="27"/>
      <c r="B26" s="28" t="s">
        <v>32</v>
      </c>
      <c r="C26" s="31" t="s">
        <v>77</v>
      </c>
      <c r="D26" s="31">
        <v>3.0</v>
      </c>
      <c r="E26" s="31">
        <v>11.0</v>
      </c>
      <c r="F26" s="32"/>
      <c r="G26" s="31" t="s">
        <v>90</v>
      </c>
    </row>
    <row r="27">
      <c r="A27" s="37"/>
      <c r="B27" s="28" t="s">
        <v>32</v>
      </c>
      <c r="C27" s="31" t="s">
        <v>77</v>
      </c>
      <c r="D27" s="31">
        <v>3.0</v>
      </c>
      <c r="E27" s="31">
        <v>12.0</v>
      </c>
      <c r="F27" s="32"/>
      <c r="G27" s="31" t="s">
        <v>81</v>
      </c>
    </row>
    <row r="28">
      <c r="A28" s="40">
        <v>46046.0</v>
      </c>
      <c r="B28" s="42" t="s">
        <v>32</v>
      </c>
      <c r="C28" s="44" t="s">
        <v>122</v>
      </c>
      <c r="D28" s="45">
        <v>4.0</v>
      </c>
      <c r="E28" s="47">
        <v>0.0</v>
      </c>
      <c r="F28" s="48"/>
      <c r="G28" s="47" t="s">
        <v>101</v>
      </c>
    </row>
    <row r="29">
      <c r="A29" s="40">
        <v>46046.0</v>
      </c>
      <c r="B29" s="42" t="s">
        <v>32</v>
      </c>
      <c r="C29" s="44" t="s">
        <v>122</v>
      </c>
      <c r="D29" s="45">
        <v>4.0</v>
      </c>
      <c r="E29" s="47">
        <v>1.0</v>
      </c>
      <c r="F29" s="48"/>
      <c r="G29" s="47" t="s">
        <v>72</v>
      </c>
    </row>
    <row r="30">
      <c r="A30" s="40">
        <v>46046.0</v>
      </c>
      <c r="B30" s="42" t="s">
        <v>32</v>
      </c>
      <c r="C30" s="44" t="s">
        <v>122</v>
      </c>
      <c r="D30" s="45">
        <v>4.0</v>
      </c>
      <c r="E30" s="47">
        <v>2.0</v>
      </c>
      <c r="F30" s="48"/>
      <c r="G30" s="47" t="s">
        <v>184</v>
      </c>
    </row>
    <row r="31">
      <c r="A31" s="40">
        <v>46046.0</v>
      </c>
      <c r="B31" s="42" t="s">
        <v>32</v>
      </c>
      <c r="C31" s="44" t="s">
        <v>122</v>
      </c>
      <c r="D31" s="45">
        <v>4.0</v>
      </c>
      <c r="E31" s="47">
        <v>3.0</v>
      </c>
      <c r="F31" s="48"/>
      <c r="G31" s="47" t="s">
        <v>93</v>
      </c>
    </row>
    <row r="32">
      <c r="A32" s="40">
        <v>46046.0</v>
      </c>
      <c r="B32" s="42" t="s">
        <v>32</v>
      </c>
      <c r="C32" s="44" t="s">
        <v>122</v>
      </c>
      <c r="D32" s="45">
        <v>4.0</v>
      </c>
      <c r="E32" s="47">
        <v>4.0</v>
      </c>
      <c r="F32" s="48"/>
      <c r="G32" s="47" t="s">
        <v>93</v>
      </c>
    </row>
    <row r="33">
      <c r="A33" s="40">
        <v>46046.0</v>
      </c>
      <c r="B33" s="42" t="s">
        <v>32</v>
      </c>
      <c r="C33" s="44" t="s">
        <v>122</v>
      </c>
      <c r="D33" s="45">
        <v>4.0</v>
      </c>
      <c r="E33" s="47">
        <v>5.0</v>
      </c>
      <c r="F33" s="48"/>
      <c r="G33" s="47" t="s">
        <v>184</v>
      </c>
    </row>
    <row r="34">
      <c r="A34" s="40">
        <v>46046.0</v>
      </c>
      <c r="B34" s="42" t="s">
        <v>32</v>
      </c>
      <c r="C34" s="44" t="s">
        <v>122</v>
      </c>
      <c r="D34" s="45">
        <v>4.0</v>
      </c>
      <c r="E34" s="47">
        <v>6.0</v>
      </c>
      <c r="F34" s="48"/>
      <c r="G34" s="47" t="s">
        <v>93</v>
      </c>
    </row>
    <row r="35">
      <c r="A35" s="40">
        <v>46046.0</v>
      </c>
      <c r="B35" s="42" t="s">
        <v>32</v>
      </c>
      <c r="C35" s="44" t="s">
        <v>122</v>
      </c>
      <c r="D35" s="45">
        <v>4.0</v>
      </c>
      <c r="E35" s="47">
        <v>7.0</v>
      </c>
      <c r="F35" s="48"/>
      <c r="G35" s="47" t="s">
        <v>190</v>
      </c>
    </row>
    <row r="36">
      <c r="A36" s="40">
        <v>46046.0</v>
      </c>
      <c r="B36" s="42" t="s">
        <v>32</v>
      </c>
      <c r="C36" s="44" t="s">
        <v>122</v>
      </c>
      <c r="D36" s="45">
        <v>4.0</v>
      </c>
      <c r="E36" s="47">
        <v>8.0</v>
      </c>
      <c r="F36" s="48"/>
      <c r="G36" s="47" t="s">
        <v>182</v>
      </c>
    </row>
    <row r="37">
      <c r="A37" s="40">
        <v>46046.0</v>
      </c>
      <c r="B37" s="42" t="s">
        <v>32</v>
      </c>
      <c r="C37" s="44" t="s">
        <v>122</v>
      </c>
      <c r="D37" s="45">
        <v>4.0</v>
      </c>
      <c r="E37" s="47">
        <v>9.0</v>
      </c>
      <c r="F37" s="48"/>
      <c r="G37" s="47" t="s">
        <v>191</v>
      </c>
    </row>
    <row r="38">
      <c r="A38" s="40">
        <v>46047.0</v>
      </c>
      <c r="B38" s="42" t="s">
        <v>32</v>
      </c>
      <c r="C38" s="44" t="s">
        <v>122</v>
      </c>
      <c r="D38" s="45">
        <v>4.0</v>
      </c>
      <c r="E38" s="47">
        <v>10.0</v>
      </c>
      <c r="F38" s="48"/>
      <c r="G38" s="47" t="s">
        <v>183</v>
      </c>
    </row>
    <row r="39">
      <c r="A39" s="40">
        <v>46048.0</v>
      </c>
      <c r="B39" s="42" t="s">
        <v>32</v>
      </c>
      <c r="C39" s="44" t="s">
        <v>122</v>
      </c>
      <c r="D39" s="45">
        <v>4.0</v>
      </c>
      <c r="E39" s="47">
        <v>11.0</v>
      </c>
      <c r="F39" s="48"/>
      <c r="G39" s="47" t="s">
        <v>191</v>
      </c>
    </row>
    <row r="40">
      <c r="A40" s="40">
        <v>46049.0</v>
      </c>
      <c r="B40" s="42" t="s">
        <v>32</v>
      </c>
      <c r="C40" s="44" t="s">
        <v>122</v>
      </c>
      <c r="D40" s="45">
        <v>4.0</v>
      </c>
      <c r="E40" s="47">
        <v>12.0</v>
      </c>
      <c r="F40" s="48"/>
      <c r="G40" s="47" t="s">
        <v>183</v>
      </c>
    </row>
    <row r="41">
      <c r="A41" s="18">
        <v>46046.0</v>
      </c>
      <c r="B41" s="19" t="s">
        <v>32</v>
      </c>
      <c r="C41" s="20" t="s">
        <v>192</v>
      </c>
      <c r="D41" s="20">
        <v>2.0</v>
      </c>
      <c r="E41" s="20">
        <v>1.0</v>
      </c>
      <c r="G41" s="19" t="s">
        <v>193</v>
      </c>
    </row>
    <row r="42">
      <c r="A42" s="18">
        <v>46046.0</v>
      </c>
      <c r="B42" s="19" t="s">
        <v>32</v>
      </c>
      <c r="C42" s="20" t="s">
        <v>192</v>
      </c>
      <c r="D42" s="20">
        <v>2.0</v>
      </c>
      <c r="E42" s="20">
        <v>2.0</v>
      </c>
      <c r="G42" s="19" t="s">
        <v>193</v>
      </c>
    </row>
    <row r="43">
      <c r="A43" s="18">
        <v>46046.0</v>
      </c>
      <c r="B43" s="19" t="s">
        <v>32</v>
      </c>
      <c r="C43" s="20" t="s">
        <v>192</v>
      </c>
      <c r="D43" s="20">
        <v>2.0</v>
      </c>
      <c r="E43" s="20">
        <v>3.0</v>
      </c>
      <c r="G43" s="20" t="s">
        <v>90</v>
      </c>
    </row>
    <row r="44">
      <c r="A44" s="18">
        <v>46046.0</v>
      </c>
      <c r="B44" s="19" t="s">
        <v>32</v>
      </c>
      <c r="C44" s="20" t="s">
        <v>192</v>
      </c>
      <c r="D44" s="20">
        <v>2.0</v>
      </c>
      <c r="E44" s="20">
        <v>4.0</v>
      </c>
      <c r="G44" s="19" t="s">
        <v>195</v>
      </c>
    </row>
    <row r="45">
      <c r="A45" s="18">
        <v>46046.0</v>
      </c>
      <c r="B45" s="19" t="s">
        <v>32</v>
      </c>
      <c r="C45" s="20" t="s">
        <v>192</v>
      </c>
      <c r="D45" s="20">
        <v>2.0</v>
      </c>
      <c r="E45" s="20">
        <v>5.0</v>
      </c>
      <c r="G45" s="19" t="s">
        <v>193</v>
      </c>
    </row>
    <row r="46">
      <c r="A46" s="18">
        <v>46046.0</v>
      </c>
      <c r="B46" s="19" t="s">
        <v>32</v>
      </c>
      <c r="C46" s="20" t="s">
        <v>192</v>
      </c>
      <c r="D46" s="20">
        <v>2.0</v>
      </c>
      <c r="E46" s="20">
        <v>6.0</v>
      </c>
      <c r="G46" s="19" t="s">
        <v>196</v>
      </c>
    </row>
    <row r="47">
      <c r="A47" s="18">
        <v>46046.0</v>
      </c>
      <c r="B47" s="19" t="s">
        <v>32</v>
      </c>
      <c r="C47" s="20" t="s">
        <v>192</v>
      </c>
      <c r="D47" s="20">
        <v>2.0</v>
      </c>
      <c r="E47" s="20">
        <v>7.0</v>
      </c>
      <c r="G47" s="19" t="s">
        <v>93</v>
      </c>
    </row>
    <row r="48">
      <c r="A48" s="18">
        <v>46046.0</v>
      </c>
      <c r="B48" s="19" t="s">
        <v>32</v>
      </c>
      <c r="C48" s="20" t="s">
        <v>192</v>
      </c>
      <c r="D48" s="20">
        <v>2.0</v>
      </c>
      <c r="E48" s="20">
        <v>8.0</v>
      </c>
      <c r="G48" s="19" t="s">
        <v>184</v>
      </c>
    </row>
    <row r="49">
      <c r="A49" s="18">
        <v>46046.0</v>
      </c>
      <c r="B49" s="19" t="s">
        <v>32</v>
      </c>
      <c r="C49" s="20" t="s">
        <v>192</v>
      </c>
      <c r="D49" s="20">
        <v>2.0</v>
      </c>
      <c r="E49" s="20">
        <v>9.0</v>
      </c>
      <c r="G49" s="20" t="s">
        <v>197</v>
      </c>
    </row>
    <row r="50">
      <c r="A50" s="18">
        <v>46046.0</v>
      </c>
      <c r="B50" s="19" t="s">
        <v>32</v>
      </c>
      <c r="C50" s="20" t="s">
        <v>192</v>
      </c>
      <c r="D50" s="20">
        <v>2.0</v>
      </c>
      <c r="E50" s="20">
        <v>10.0</v>
      </c>
      <c r="G50" s="20" t="s">
        <v>90</v>
      </c>
    </row>
    <row r="51">
      <c r="A51" s="18">
        <v>46046.0</v>
      </c>
      <c r="B51" s="19" t="s">
        <v>32</v>
      </c>
      <c r="C51" s="20" t="s">
        <v>192</v>
      </c>
      <c r="D51" s="20">
        <v>2.0</v>
      </c>
      <c r="E51" s="20">
        <v>11.0</v>
      </c>
      <c r="G51" s="20" t="s">
        <v>198</v>
      </c>
    </row>
    <row r="52">
      <c r="A52" s="18">
        <v>46046.0</v>
      </c>
      <c r="B52" s="19" t="s">
        <v>32</v>
      </c>
      <c r="C52" s="20" t="s">
        <v>192</v>
      </c>
      <c r="D52" s="20">
        <v>2.0</v>
      </c>
      <c r="E52" s="20">
        <v>12.0</v>
      </c>
      <c r="G52" s="20" t="s">
        <v>199</v>
      </c>
    </row>
    <row r="53">
      <c r="A53" s="18">
        <v>46046.0</v>
      </c>
      <c r="B53" s="19" t="s">
        <v>32</v>
      </c>
      <c r="C53" s="20" t="s">
        <v>192</v>
      </c>
      <c r="D53" s="20">
        <v>2.0</v>
      </c>
      <c r="E53" s="20">
        <v>13.0</v>
      </c>
      <c r="G53" s="20" t="s">
        <v>199</v>
      </c>
    </row>
    <row r="54">
      <c r="A54" s="18">
        <v>46047.0</v>
      </c>
      <c r="B54" s="19" t="s">
        <v>31</v>
      </c>
      <c r="C54" s="20" t="s">
        <v>119</v>
      </c>
      <c r="D54" s="20">
        <v>2.0</v>
      </c>
      <c r="E54" s="20">
        <v>1.0</v>
      </c>
      <c r="G54" s="19" t="s">
        <v>93</v>
      </c>
    </row>
    <row r="55">
      <c r="A55" s="18">
        <v>46047.0</v>
      </c>
      <c r="B55" s="19" t="s">
        <v>31</v>
      </c>
      <c r="C55" s="20" t="s">
        <v>119</v>
      </c>
      <c r="D55" s="20">
        <v>2.0</v>
      </c>
      <c r="E55" s="20">
        <v>2.0</v>
      </c>
      <c r="G55" s="20" t="s">
        <v>183</v>
      </c>
    </row>
    <row r="56">
      <c r="A56" s="18">
        <v>46047.0</v>
      </c>
      <c r="B56" s="19" t="s">
        <v>31</v>
      </c>
      <c r="C56" s="20" t="s">
        <v>119</v>
      </c>
      <c r="D56" s="20">
        <v>2.0</v>
      </c>
      <c r="E56" s="20">
        <v>3.0</v>
      </c>
      <c r="G56" s="20" t="s">
        <v>182</v>
      </c>
    </row>
    <row r="57">
      <c r="A57" s="18">
        <v>46047.0</v>
      </c>
      <c r="B57" s="19" t="s">
        <v>31</v>
      </c>
      <c r="C57" s="20" t="s">
        <v>119</v>
      </c>
      <c r="D57" s="20">
        <v>2.0</v>
      </c>
      <c r="E57" s="20">
        <v>4.0</v>
      </c>
      <c r="G57" s="20" t="s">
        <v>183</v>
      </c>
    </row>
    <row r="58">
      <c r="A58" s="18">
        <v>46047.0</v>
      </c>
      <c r="B58" s="19" t="s">
        <v>31</v>
      </c>
      <c r="C58" s="20" t="s">
        <v>119</v>
      </c>
      <c r="D58" s="20">
        <v>2.0</v>
      </c>
      <c r="E58" s="20">
        <v>5.0</v>
      </c>
      <c r="G58" s="20" t="s">
        <v>90</v>
      </c>
    </row>
    <row r="59">
      <c r="A59" s="18">
        <v>46047.0</v>
      </c>
      <c r="B59" s="19" t="s">
        <v>31</v>
      </c>
      <c r="C59" s="20" t="s">
        <v>119</v>
      </c>
      <c r="D59" s="20">
        <v>2.0</v>
      </c>
      <c r="E59" s="20">
        <v>6.0</v>
      </c>
      <c r="G59" s="20" t="s">
        <v>51</v>
      </c>
    </row>
    <row r="60">
      <c r="A60" s="18">
        <v>46047.0</v>
      </c>
      <c r="B60" s="19" t="s">
        <v>31</v>
      </c>
      <c r="C60" s="20" t="s">
        <v>119</v>
      </c>
      <c r="D60" s="20">
        <v>2.0</v>
      </c>
      <c r="E60" s="20">
        <v>7.0</v>
      </c>
      <c r="G60" s="19" t="s">
        <v>136</v>
      </c>
    </row>
    <row r="61">
      <c r="A61" s="18">
        <v>46047.0</v>
      </c>
      <c r="B61" s="19" t="s">
        <v>31</v>
      </c>
      <c r="C61" s="20" t="s">
        <v>119</v>
      </c>
      <c r="D61" s="20">
        <v>2.0</v>
      </c>
      <c r="E61" s="20">
        <v>8.0</v>
      </c>
      <c r="G61" s="20" t="s">
        <v>183</v>
      </c>
    </row>
    <row r="62">
      <c r="A62" s="18">
        <v>46047.0</v>
      </c>
      <c r="B62" s="19" t="s">
        <v>31</v>
      </c>
      <c r="C62" s="20" t="s">
        <v>119</v>
      </c>
      <c r="D62" s="20">
        <v>2.0</v>
      </c>
      <c r="E62" s="20">
        <v>9.0</v>
      </c>
      <c r="G62" s="20" t="s">
        <v>183</v>
      </c>
    </row>
    <row r="63">
      <c r="A63" s="18">
        <v>46047.0</v>
      </c>
      <c r="B63" s="19" t="s">
        <v>31</v>
      </c>
      <c r="C63" s="20" t="s">
        <v>119</v>
      </c>
      <c r="D63" s="20">
        <v>2.0</v>
      </c>
      <c r="E63" s="20">
        <v>10.0</v>
      </c>
      <c r="G63" s="20" t="s">
        <v>183</v>
      </c>
    </row>
    <row r="64">
      <c r="A64" s="18">
        <v>46048.0</v>
      </c>
      <c r="B64" s="19" t="s">
        <v>31</v>
      </c>
      <c r="C64" s="20" t="s">
        <v>119</v>
      </c>
      <c r="D64" s="20">
        <v>2.0</v>
      </c>
      <c r="E64" s="20">
        <v>11.0</v>
      </c>
      <c r="G64" s="20" t="s">
        <v>183</v>
      </c>
    </row>
    <row r="65">
      <c r="A65" s="18">
        <v>46049.0</v>
      </c>
      <c r="B65" s="19" t="s">
        <v>31</v>
      </c>
      <c r="C65" s="20" t="s">
        <v>119</v>
      </c>
      <c r="D65" s="20">
        <v>2.0</v>
      </c>
      <c r="E65" s="20">
        <v>12.0</v>
      </c>
      <c r="G65" s="20" t="s">
        <v>182</v>
      </c>
    </row>
    <row r="66">
      <c r="A66" s="18">
        <v>46050.0</v>
      </c>
      <c r="B66" s="19" t="s">
        <v>31</v>
      </c>
      <c r="C66" s="20" t="s">
        <v>119</v>
      </c>
      <c r="D66" s="20">
        <v>2.0</v>
      </c>
      <c r="E66" s="20">
        <v>13.0</v>
      </c>
      <c r="G66" s="20" t="s">
        <v>183</v>
      </c>
    </row>
    <row r="67">
      <c r="A67" s="18">
        <v>46051.0</v>
      </c>
      <c r="B67" s="19" t="s">
        <v>31</v>
      </c>
      <c r="C67" s="20" t="s">
        <v>119</v>
      </c>
      <c r="D67" s="20">
        <v>2.0</v>
      </c>
      <c r="E67" s="20">
        <v>14.0</v>
      </c>
      <c r="G67" s="20" t="s">
        <v>183</v>
      </c>
    </row>
    <row r="68">
      <c r="A68" s="18">
        <v>46052.0</v>
      </c>
      <c r="B68" s="19" t="s">
        <v>31</v>
      </c>
      <c r="C68" s="20" t="s">
        <v>119</v>
      </c>
      <c r="D68" s="20">
        <v>2.0</v>
      </c>
      <c r="E68" s="20">
        <v>15.0</v>
      </c>
      <c r="G68" s="20" t="s">
        <v>159</v>
      </c>
    </row>
    <row r="69">
      <c r="A69" s="18">
        <v>46053.0</v>
      </c>
      <c r="B69" s="19" t="s">
        <v>31</v>
      </c>
      <c r="C69" s="20" t="s">
        <v>119</v>
      </c>
      <c r="D69" s="20">
        <v>2.0</v>
      </c>
      <c r="E69" s="20">
        <v>16.0</v>
      </c>
      <c r="G69" s="20" t="s">
        <v>200</v>
      </c>
    </row>
    <row r="70" ht="15.0" customHeight="1">
      <c r="A70" s="22">
        <v>46047.0</v>
      </c>
      <c r="B70" s="42" t="s">
        <v>31</v>
      </c>
      <c r="C70" s="47" t="s">
        <v>201</v>
      </c>
      <c r="D70" s="47">
        <v>4.0</v>
      </c>
      <c r="E70" s="47">
        <v>0.0</v>
      </c>
      <c r="F70" s="48"/>
      <c r="G70" s="47" t="s">
        <v>101</v>
      </c>
    </row>
    <row r="71">
      <c r="A71" s="22">
        <v>46047.0</v>
      </c>
      <c r="B71" s="42" t="s">
        <v>31</v>
      </c>
      <c r="C71" s="47" t="s">
        <v>201</v>
      </c>
      <c r="D71" s="47">
        <v>4.0</v>
      </c>
      <c r="E71" s="47">
        <v>2.0</v>
      </c>
      <c r="F71" s="48"/>
      <c r="G71" s="47" t="s">
        <v>202</v>
      </c>
    </row>
    <row r="72">
      <c r="A72" s="22">
        <v>46047.0</v>
      </c>
      <c r="B72" s="42" t="s">
        <v>31</v>
      </c>
      <c r="C72" s="47" t="s">
        <v>201</v>
      </c>
      <c r="D72" s="47">
        <v>4.0</v>
      </c>
      <c r="E72" s="47">
        <v>4.0</v>
      </c>
      <c r="F72" s="48"/>
      <c r="G72" s="47" t="s">
        <v>203</v>
      </c>
    </row>
    <row r="73">
      <c r="A73" s="22">
        <v>46047.0</v>
      </c>
      <c r="B73" s="42" t="s">
        <v>31</v>
      </c>
      <c r="C73" s="47" t="s">
        <v>201</v>
      </c>
      <c r="D73" s="47">
        <v>4.0</v>
      </c>
      <c r="E73" s="47">
        <v>6.0</v>
      </c>
      <c r="F73" s="48"/>
      <c r="G73" s="47" t="s">
        <v>203</v>
      </c>
    </row>
    <row r="74">
      <c r="A74" s="22">
        <v>46047.0</v>
      </c>
      <c r="B74" s="42" t="s">
        <v>31</v>
      </c>
      <c r="C74" s="47" t="s">
        <v>201</v>
      </c>
      <c r="D74" s="47">
        <v>4.0</v>
      </c>
      <c r="E74" s="47">
        <v>8.0</v>
      </c>
      <c r="F74" s="48"/>
      <c r="G74" s="47" t="s">
        <v>93</v>
      </c>
    </row>
    <row r="75">
      <c r="A75" s="22">
        <v>46047.0</v>
      </c>
      <c r="B75" s="42" t="s">
        <v>31</v>
      </c>
      <c r="C75" s="47" t="s">
        <v>201</v>
      </c>
      <c r="D75" s="47">
        <v>4.0</v>
      </c>
      <c r="E75" s="47">
        <v>10.0</v>
      </c>
      <c r="F75" s="48"/>
      <c r="G75" s="47" t="s">
        <v>182</v>
      </c>
    </row>
    <row r="76">
      <c r="A76" s="22">
        <v>46047.0</v>
      </c>
      <c r="B76" s="42" t="s">
        <v>31</v>
      </c>
      <c r="C76" s="47" t="s">
        <v>201</v>
      </c>
      <c r="D76" s="47">
        <v>4.0</v>
      </c>
      <c r="E76" s="47">
        <v>12.0</v>
      </c>
      <c r="F76" s="48"/>
      <c r="G76" s="47" t="s">
        <v>204</v>
      </c>
    </row>
    <row r="77">
      <c r="A77" s="22">
        <v>46047.0</v>
      </c>
      <c r="B77" s="42" t="s">
        <v>31</v>
      </c>
      <c r="C77" s="47" t="s">
        <v>201</v>
      </c>
      <c r="D77" s="47">
        <v>4.0</v>
      </c>
      <c r="E77" s="47">
        <v>14.0</v>
      </c>
      <c r="F77" s="48"/>
      <c r="G77" s="47" t="s">
        <v>205</v>
      </c>
    </row>
    <row r="78">
      <c r="A78" s="22">
        <v>46047.0</v>
      </c>
      <c r="B78" s="42" t="s">
        <v>31</v>
      </c>
      <c r="C78" s="47" t="s">
        <v>201</v>
      </c>
      <c r="D78" s="47">
        <v>4.0</v>
      </c>
      <c r="E78" s="47">
        <v>16.0</v>
      </c>
      <c r="F78" s="48"/>
      <c r="G78" s="47" t="s">
        <v>203</v>
      </c>
    </row>
    <row r="79">
      <c r="A79" s="22">
        <v>46047.0</v>
      </c>
      <c r="B79" s="42" t="s">
        <v>31</v>
      </c>
      <c r="C79" s="47" t="s">
        <v>201</v>
      </c>
      <c r="D79" s="47">
        <v>4.0</v>
      </c>
      <c r="E79" s="47">
        <v>18.0</v>
      </c>
      <c r="F79" s="48"/>
      <c r="G79" s="47" t="s">
        <v>203</v>
      </c>
    </row>
    <row r="80">
      <c r="A80" s="22">
        <v>46047.0</v>
      </c>
      <c r="B80" s="42" t="s">
        <v>31</v>
      </c>
      <c r="C80" s="47" t="s">
        <v>201</v>
      </c>
      <c r="D80" s="47">
        <v>4.0</v>
      </c>
      <c r="E80" s="47">
        <v>20.0</v>
      </c>
      <c r="F80" s="48"/>
      <c r="G80" s="47" t="s">
        <v>207</v>
      </c>
    </row>
    <row r="81">
      <c r="A81" s="22">
        <v>46047.0</v>
      </c>
      <c r="B81" s="42" t="s">
        <v>31</v>
      </c>
      <c r="C81" s="47" t="s">
        <v>201</v>
      </c>
      <c r="D81" s="47">
        <v>4.0</v>
      </c>
      <c r="E81" s="47">
        <v>22.0</v>
      </c>
      <c r="F81" s="48"/>
      <c r="G81" s="47" t="s">
        <v>182</v>
      </c>
    </row>
    <row r="82">
      <c r="A82" s="22">
        <v>46047.0</v>
      </c>
      <c r="B82" s="42" t="s">
        <v>31</v>
      </c>
      <c r="C82" s="47" t="s">
        <v>201</v>
      </c>
      <c r="D82" s="47">
        <v>4.0</v>
      </c>
      <c r="E82" s="47">
        <v>24.0</v>
      </c>
      <c r="F82" s="48"/>
      <c r="G82" s="47" t="s">
        <v>203</v>
      </c>
    </row>
    <row r="83">
      <c r="A83" s="22">
        <v>46047.0</v>
      </c>
      <c r="B83" s="42" t="s">
        <v>31</v>
      </c>
      <c r="C83" s="47" t="s">
        <v>201</v>
      </c>
      <c r="D83" s="47">
        <v>4.0</v>
      </c>
      <c r="E83" s="47">
        <v>26.0</v>
      </c>
      <c r="F83" s="48"/>
      <c r="G83" s="47" t="s">
        <v>208</v>
      </c>
    </row>
    <row r="84">
      <c r="A84" s="22">
        <v>46047.0</v>
      </c>
      <c r="B84" s="42" t="s">
        <v>31</v>
      </c>
      <c r="C84" s="47" t="s">
        <v>201</v>
      </c>
      <c r="D84" s="47">
        <v>4.0</v>
      </c>
      <c r="E84" s="47">
        <v>28.0</v>
      </c>
      <c r="F84" s="48"/>
      <c r="G84" s="48" t="s">
        <v>209</v>
      </c>
    </row>
    <row r="85">
      <c r="A85" s="22">
        <v>46047.0</v>
      </c>
      <c r="B85" s="42" t="s">
        <v>31</v>
      </c>
      <c r="C85" s="47" t="s">
        <v>201</v>
      </c>
      <c r="D85" s="47">
        <v>4.0</v>
      </c>
      <c r="E85" s="47">
        <v>30.0</v>
      </c>
      <c r="F85" s="48"/>
      <c r="G85" s="47" t="s">
        <v>182</v>
      </c>
    </row>
    <row r="86">
      <c r="A86" s="22">
        <v>46047.0</v>
      </c>
      <c r="B86" s="42" t="s">
        <v>31</v>
      </c>
      <c r="C86" s="31" t="s">
        <v>67</v>
      </c>
      <c r="D86" s="31">
        <v>3.0</v>
      </c>
      <c r="E86" s="31">
        <v>0.0</v>
      </c>
      <c r="F86" s="32"/>
      <c r="G86" s="32"/>
    </row>
    <row r="87">
      <c r="A87" s="22">
        <v>46047.0</v>
      </c>
      <c r="B87" s="42" t="s">
        <v>31</v>
      </c>
      <c r="C87" s="31" t="s">
        <v>67</v>
      </c>
      <c r="D87" s="31">
        <v>3.0</v>
      </c>
      <c r="E87" s="31">
        <v>2.0</v>
      </c>
      <c r="F87" s="32"/>
      <c r="G87" s="32"/>
    </row>
    <row r="88">
      <c r="A88" s="22">
        <v>46047.0</v>
      </c>
      <c r="B88" s="42" t="s">
        <v>31</v>
      </c>
      <c r="C88" s="31" t="s">
        <v>67</v>
      </c>
      <c r="D88" s="31">
        <v>3.0</v>
      </c>
      <c r="E88" s="31">
        <v>4.0</v>
      </c>
      <c r="F88" s="32"/>
      <c r="G88" s="32"/>
    </row>
    <row r="89">
      <c r="A89" s="22">
        <v>46047.0</v>
      </c>
      <c r="B89" s="42" t="s">
        <v>31</v>
      </c>
      <c r="C89" s="31" t="s">
        <v>67</v>
      </c>
      <c r="D89" s="31">
        <v>3.0</v>
      </c>
      <c r="E89" s="31">
        <v>6.0</v>
      </c>
      <c r="F89" s="32"/>
      <c r="G89" s="32"/>
    </row>
    <row r="90">
      <c r="A90" s="22">
        <v>46047.0</v>
      </c>
      <c r="B90" s="42" t="s">
        <v>31</v>
      </c>
      <c r="C90" s="31" t="s">
        <v>67</v>
      </c>
      <c r="D90" s="31">
        <v>3.0</v>
      </c>
      <c r="E90" s="31">
        <v>8.0</v>
      </c>
      <c r="F90" s="32"/>
      <c r="G90" s="32"/>
    </row>
    <row r="91">
      <c r="A91" s="22">
        <v>46047.0</v>
      </c>
      <c r="B91" s="42" t="s">
        <v>31</v>
      </c>
      <c r="C91" s="31" t="s">
        <v>67</v>
      </c>
      <c r="D91" s="31">
        <v>3.0</v>
      </c>
      <c r="E91" s="31">
        <v>10.0</v>
      </c>
      <c r="F91" s="32"/>
      <c r="G91" s="32"/>
    </row>
    <row r="92">
      <c r="A92" s="22">
        <v>46047.0</v>
      </c>
      <c r="B92" s="42" t="s">
        <v>31</v>
      </c>
      <c r="C92" s="31" t="s">
        <v>67</v>
      </c>
      <c r="D92" s="31">
        <v>3.0</v>
      </c>
      <c r="E92" s="31">
        <v>12.0</v>
      </c>
      <c r="F92" s="32"/>
      <c r="G92" s="32"/>
    </row>
    <row r="93">
      <c r="A93" s="22">
        <v>46047.0</v>
      </c>
      <c r="B93" s="42" t="s">
        <v>31</v>
      </c>
      <c r="C93" s="31" t="s">
        <v>67</v>
      </c>
      <c r="D93" s="31">
        <v>3.0</v>
      </c>
      <c r="E93" s="31">
        <v>14.0</v>
      </c>
      <c r="F93" s="32"/>
      <c r="G93" s="32"/>
    </row>
    <row r="94">
      <c r="A94" s="22">
        <v>46047.0</v>
      </c>
      <c r="B94" s="42" t="s">
        <v>31</v>
      </c>
      <c r="C94" s="31" t="s">
        <v>77</v>
      </c>
      <c r="D94" s="31">
        <v>3.0</v>
      </c>
      <c r="E94" s="31">
        <v>16.0</v>
      </c>
      <c r="F94" s="32"/>
      <c r="G94" s="32"/>
    </row>
    <row r="95">
      <c r="A95" s="22">
        <v>46047.0</v>
      </c>
      <c r="B95" s="42" t="s">
        <v>31</v>
      </c>
      <c r="C95" s="31" t="s">
        <v>77</v>
      </c>
      <c r="D95" s="31">
        <v>3.0</v>
      </c>
      <c r="E95" s="31">
        <v>18.0</v>
      </c>
      <c r="F95" s="32"/>
      <c r="G95" s="32"/>
    </row>
    <row r="96">
      <c r="A96" s="22">
        <v>46047.0</v>
      </c>
      <c r="B96" s="42" t="s">
        <v>31</v>
      </c>
      <c r="C96" s="31" t="s">
        <v>77</v>
      </c>
      <c r="D96" s="31">
        <v>3.0</v>
      </c>
      <c r="E96" s="31">
        <v>20.0</v>
      </c>
      <c r="F96" s="32"/>
      <c r="G96" s="32"/>
    </row>
    <row r="97">
      <c r="A97" s="22">
        <v>46047.0</v>
      </c>
      <c r="B97" s="42" t="s">
        <v>31</v>
      </c>
      <c r="C97" s="31" t="s">
        <v>77</v>
      </c>
      <c r="D97" s="31">
        <v>3.0</v>
      </c>
      <c r="E97" s="31">
        <v>22.0</v>
      </c>
      <c r="F97" s="32"/>
      <c r="G97" s="32"/>
    </row>
    <row r="98">
      <c r="A98" s="22">
        <v>46047.0</v>
      </c>
      <c r="B98" s="42" t="s">
        <v>31</v>
      </c>
      <c r="C98" s="31" t="s">
        <v>77</v>
      </c>
      <c r="D98" s="31">
        <v>3.0</v>
      </c>
      <c r="E98" s="31">
        <v>24.0</v>
      </c>
      <c r="F98" s="32"/>
      <c r="G98" s="32"/>
    </row>
    <row r="99">
      <c r="A99" s="22">
        <v>46047.0</v>
      </c>
      <c r="B99" s="42" t="s">
        <v>31</v>
      </c>
      <c r="C99" s="31" t="s">
        <v>77</v>
      </c>
      <c r="D99" s="31">
        <v>3.0</v>
      </c>
      <c r="E99" s="31">
        <v>26.0</v>
      </c>
      <c r="F99" s="32"/>
      <c r="G99" s="32"/>
    </row>
    <row r="100">
      <c r="A100" s="22">
        <v>46047.0</v>
      </c>
      <c r="B100" s="42" t="s">
        <v>31</v>
      </c>
      <c r="C100" s="31" t="s">
        <v>77</v>
      </c>
      <c r="D100" s="31">
        <v>3.0</v>
      </c>
      <c r="E100" s="31">
        <v>28.0</v>
      </c>
      <c r="F100" s="32"/>
      <c r="G100" s="32"/>
    </row>
    <row r="101">
      <c r="A101" s="22">
        <v>46047.0</v>
      </c>
      <c r="B101" s="42" t="s">
        <v>31</v>
      </c>
      <c r="C101" s="31" t="s">
        <v>77</v>
      </c>
      <c r="D101" s="31">
        <v>3.0</v>
      </c>
      <c r="E101" s="31">
        <v>30.0</v>
      </c>
      <c r="F101" s="32"/>
      <c r="G101" s="32"/>
    </row>
    <row r="102">
      <c r="A102" s="22">
        <v>46047.0</v>
      </c>
      <c r="B102" s="42" t="s">
        <v>31</v>
      </c>
      <c r="C102" s="20" t="s">
        <v>210</v>
      </c>
      <c r="D102" s="20">
        <v>1.0</v>
      </c>
      <c r="E102" s="20">
        <v>0.0</v>
      </c>
      <c r="G102" s="20" t="s">
        <v>53</v>
      </c>
    </row>
    <row r="103">
      <c r="A103" s="22">
        <v>46047.0</v>
      </c>
      <c r="B103" s="42" t="s">
        <v>31</v>
      </c>
      <c r="C103" s="20" t="s">
        <v>210</v>
      </c>
      <c r="D103" s="20">
        <v>1.0</v>
      </c>
      <c r="E103" s="20">
        <v>2.0</v>
      </c>
      <c r="G103" s="20" t="s">
        <v>90</v>
      </c>
    </row>
    <row r="104">
      <c r="A104" s="22">
        <v>46047.0</v>
      </c>
      <c r="B104" s="42" t="s">
        <v>31</v>
      </c>
      <c r="C104" s="20" t="s">
        <v>210</v>
      </c>
      <c r="D104" s="20">
        <v>1.0</v>
      </c>
      <c r="E104" s="20">
        <v>4.0</v>
      </c>
      <c r="G104" s="20" t="s">
        <v>90</v>
      </c>
    </row>
    <row r="105">
      <c r="A105" s="22">
        <v>46047.0</v>
      </c>
      <c r="B105" s="42" t="s">
        <v>31</v>
      </c>
      <c r="C105" s="20" t="s">
        <v>210</v>
      </c>
      <c r="D105" s="20">
        <v>1.0</v>
      </c>
      <c r="E105" s="20">
        <v>6.0</v>
      </c>
      <c r="G105" s="20" t="s">
        <v>53</v>
      </c>
    </row>
    <row r="106">
      <c r="A106" s="22">
        <v>46047.0</v>
      </c>
      <c r="B106" s="42" t="s">
        <v>31</v>
      </c>
      <c r="C106" s="20" t="s">
        <v>210</v>
      </c>
      <c r="D106" s="20">
        <v>1.0</v>
      </c>
      <c r="E106" s="20">
        <v>8.0</v>
      </c>
      <c r="G106" s="20" t="s">
        <v>90</v>
      </c>
    </row>
    <row r="107">
      <c r="A107" s="22">
        <v>46047.0</v>
      </c>
      <c r="B107" s="42" t="s">
        <v>31</v>
      </c>
      <c r="C107" s="20" t="s">
        <v>210</v>
      </c>
      <c r="D107" s="20">
        <v>1.0</v>
      </c>
      <c r="E107" s="20">
        <v>10.0</v>
      </c>
      <c r="G107" s="20" t="s">
        <v>90</v>
      </c>
    </row>
    <row r="108">
      <c r="A108" s="22">
        <v>46047.0</v>
      </c>
      <c r="B108" s="42" t="s">
        <v>31</v>
      </c>
      <c r="C108" s="20" t="s">
        <v>210</v>
      </c>
      <c r="D108" s="20">
        <v>1.0</v>
      </c>
      <c r="E108" s="20">
        <v>12.0</v>
      </c>
      <c r="G108" s="20" t="s">
        <v>90</v>
      </c>
    </row>
    <row r="109">
      <c r="A109" s="22">
        <v>46047.0</v>
      </c>
      <c r="B109" s="42" t="s">
        <v>31</v>
      </c>
      <c r="C109" s="20" t="s">
        <v>210</v>
      </c>
      <c r="D109" s="20">
        <v>1.0</v>
      </c>
      <c r="E109" s="20">
        <v>14.0</v>
      </c>
      <c r="G109" s="20" t="s">
        <v>51</v>
      </c>
    </row>
    <row r="110">
      <c r="A110" s="22">
        <v>46047.0</v>
      </c>
      <c r="B110" s="42" t="s">
        <v>31</v>
      </c>
      <c r="C110" s="20" t="s">
        <v>210</v>
      </c>
      <c r="D110" s="20">
        <v>1.0</v>
      </c>
      <c r="E110" s="20">
        <v>16.0</v>
      </c>
      <c r="G110" s="20" t="s">
        <v>211</v>
      </c>
    </row>
    <row r="111">
      <c r="A111" s="22">
        <v>46047.0</v>
      </c>
      <c r="B111" s="42" t="s">
        <v>31</v>
      </c>
      <c r="C111" s="20" t="s">
        <v>210</v>
      </c>
      <c r="D111" s="20">
        <v>1.0</v>
      </c>
      <c r="E111" s="20">
        <v>18.0</v>
      </c>
      <c r="G111" s="20" t="s">
        <v>212</v>
      </c>
    </row>
    <row r="112">
      <c r="A112" s="22">
        <v>46047.0</v>
      </c>
      <c r="B112" s="42" t="s">
        <v>31</v>
      </c>
      <c r="C112" s="20" t="s">
        <v>210</v>
      </c>
      <c r="D112" s="20">
        <v>1.0</v>
      </c>
      <c r="E112" s="20">
        <v>20.0</v>
      </c>
      <c r="G112" s="20" t="s">
        <v>213</v>
      </c>
    </row>
    <row r="113">
      <c r="A113" s="22">
        <v>46047.0</v>
      </c>
      <c r="B113" s="42" t="s">
        <v>31</v>
      </c>
      <c r="C113" s="20" t="s">
        <v>210</v>
      </c>
      <c r="D113" s="20">
        <v>1.0</v>
      </c>
      <c r="E113" s="20">
        <v>22.0</v>
      </c>
      <c r="G113" s="20" t="s">
        <v>212</v>
      </c>
    </row>
    <row r="114">
      <c r="A114" s="22">
        <v>46047.0</v>
      </c>
      <c r="B114" s="42" t="s">
        <v>31</v>
      </c>
      <c r="C114" s="20" t="s">
        <v>210</v>
      </c>
      <c r="D114" s="20">
        <v>1.0</v>
      </c>
      <c r="E114" s="20">
        <v>24.0</v>
      </c>
      <c r="G114" s="20" t="s">
        <v>213</v>
      </c>
    </row>
    <row r="115">
      <c r="A115" s="22">
        <v>46047.0</v>
      </c>
      <c r="B115" s="42" t="s">
        <v>31</v>
      </c>
      <c r="C115" s="20" t="s">
        <v>210</v>
      </c>
      <c r="D115" s="20">
        <v>1.0</v>
      </c>
      <c r="E115" s="20">
        <v>26.0</v>
      </c>
      <c r="G115" s="20" t="s">
        <v>51</v>
      </c>
    </row>
    <row r="116">
      <c r="A116" s="22">
        <v>46047.0</v>
      </c>
      <c r="B116" s="42" t="s">
        <v>31</v>
      </c>
      <c r="C116" s="20" t="s">
        <v>210</v>
      </c>
      <c r="D116" s="20">
        <v>1.0</v>
      </c>
      <c r="E116" s="20">
        <v>28.0</v>
      </c>
      <c r="G116" s="20" t="s">
        <v>51</v>
      </c>
    </row>
    <row r="276">
      <c r="A276" s="5" t="s">
        <v>4</v>
      </c>
      <c r="B276" s="5"/>
      <c r="C276" s="7"/>
      <c r="D276" s="7"/>
      <c r="E276" s="7"/>
      <c r="G276" s="9" t="s">
        <v>29</v>
      </c>
    </row>
    <row r="277">
      <c r="A277" s="1" t="s">
        <v>0</v>
      </c>
      <c r="B277" s="1" t="s">
        <v>1</v>
      </c>
      <c r="C277" s="1" t="s">
        <v>2</v>
      </c>
      <c r="D277" s="2" t="s">
        <v>3</v>
      </c>
      <c r="E277" s="2" t="s">
        <v>71</v>
      </c>
      <c r="F277" s="3" t="s">
        <v>7</v>
      </c>
      <c r="G277" s="9" t="s">
        <v>73</v>
      </c>
    </row>
    <row r="278">
      <c r="A278" s="51">
        <v>45760.0</v>
      </c>
      <c r="B278" s="19" t="s">
        <v>31</v>
      </c>
      <c r="C278" s="19" t="s">
        <v>194</v>
      </c>
      <c r="D278" s="19">
        <v>1.0</v>
      </c>
      <c r="E278" s="19">
        <v>0.0</v>
      </c>
      <c r="F278" s="52"/>
      <c r="G278" s="19">
        <v>0.0</v>
      </c>
      <c r="H278" s="52"/>
      <c r="I278" s="52"/>
      <c r="J278" s="52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53"/>
      <c r="B315" s="54"/>
      <c r="C315" s="54"/>
      <c r="D315" s="55"/>
    </row>
    <row r="316">
      <c r="A316" s="53"/>
      <c r="B316" s="54"/>
      <c r="C316" s="54"/>
      <c r="D316" s="55"/>
    </row>
    <row r="317">
      <c r="A317" s="53"/>
      <c r="B317" s="54"/>
      <c r="C317" s="54"/>
      <c r="D317" s="55"/>
    </row>
    <row r="318">
      <c r="A318" s="53"/>
      <c r="B318" s="54"/>
      <c r="C318" s="54"/>
      <c r="D318" s="55"/>
    </row>
    <row r="319">
      <c r="A319" s="53"/>
      <c r="B319" s="54"/>
      <c r="C319" s="54"/>
      <c r="D319" s="55"/>
    </row>
    <row r="320">
      <c r="A320" s="53"/>
      <c r="B320" s="54"/>
      <c r="C320" s="54"/>
      <c r="D320" s="55"/>
    </row>
    <row r="321">
      <c r="A321" s="53"/>
      <c r="B321" s="54"/>
      <c r="C321" s="54"/>
      <c r="D321" s="55"/>
    </row>
    <row r="322">
      <c r="A322" s="53"/>
      <c r="B322" s="54"/>
      <c r="C322" s="54"/>
      <c r="D322" s="55"/>
    </row>
    <row r="323">
      <c r="A323" s="53"/>
      <c r="B323" s="54"/>
      <c r="C323" s="54"/>
      <c r="D323" s="55"/>
    </row>
    <row r="324">
      <c r="A324" s="53"/>
      <c r="B324" s="54"/>
      <c r="C324" s="54"/>
      <c r="D324" s="55"/>
    </row>
    <row r="325">
      <c r="A325" s="53"/>
      <c r="B325" s="54"/>
      <c r="C325" s="54"/>
      <c r="D325" s="55"/>
    </row>
    <row r="326">
      <c r="A326" s="53"/>
      <c r="B326" s="54"/>
      <c r="C326" s="54"/>
      <c r="D326" s="55"/>
    </row>
    <row r="327">
      <c r="A327" s="18"/>
    </row>
    <row r="564">
      <c r="A564" s="5" t="s">
        <v>4</v>
      </c>
      <c r="B564" s="5"/>
      <c r="C564" s="7"/>
      <c r="D564" s="7"/>
      <c r="E564" s="7"/>
      <c r="G564" s="9" t="s">
        <v>29</v>
      </c>
    </row>
    <row r="565">
      <c r="A565" s="1" t="s">
        <v>0</v>
      </c>
      <c r="B565" s="1" t="s">
        <v>1</v>
      </c>
      <c r="C565" s="1" t="s">
        <v>2</v>
      </c>
      <c r="D565" s="2" t="s">
        <v>3</v>
      </c>
      <c r="E565" s="2" t="s">
        <v>71</v>
      </c>
      <c r="F565" s="3" t="s">
        <v>7</v>
      </c>
      <c r="G565" s="9" t="s">
        <v>73</v>
      </c>
    </row>
    <row r="566">
      <c r="A566" s="51">
        <v>45760.0</v>
      </c>
      <c r="B566" s="19" t="s">
        <v>31</v>
      </c>
      <c r="C566" s="19" t="s">
        <v>194</v>
      </c>
      <c r="D566" s="19">
        <v>1.0</v>
      </c>
      <c r="E566" s="19">
        <v>0.0</v>
      </c>
      <c r="F566" s="52"/>
      <c r="G566" s="19">
        <v>0.0</v>
      </c>
      <c r="H566" s="52"/>
      <c r="I566" s="52"/>
      <c r="J566" s="52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53"/>
      <c r="B603" s="54"/>
      <c r="C603" s="54"/>
      <c r="D603" s="55"/>
    </row>
    <row r="604">
      <c r="A604" s="53"/>
      <c r="B604" s="54"/>
      <c r="C604" s="54"/>
      <c r="D604" s="55"/>
    </row>
    <row r="605">
      <c r="A605" s="53"/>
      <c r="B605" s="54"/>
      <c r="C605" s="54"/>
      <c r="D605" s="55"/>
    </row>
    <row r="606">
      <c r="A606" s="53"/>
      <c r="B606" s="54"/>
      <c r="C606" s="54"/>
      <c r="D606" s="55"/>
    </row>
    <row r="607">
      <c r="A607" s="53"/>
      <c r="B607" s="54"/>
      <c r="C607" s="54"/>
      <c r="D607" s="55"/>
    </row>
    <row r="608">
      <c r="A608" s="53"/>
      <c r="B608" s="54"/>
      <c r="C608" s="54"/>
      <c r="D608" s="55"/>
    </row>
    <row r="609">
      <c r="A609" s="53"/>
      <c r="B609" s="54"/>
      <c r="C609" s="54"/>
      <c r="D609" s="55"/>
    </row>
    <row r="610">
      <c r="A610" s="53"/>
      <c r="B610" s="54"/>
      <c r="C610" s="54"/>
      <c r="D610" s="55"/>
    </row>
    <row r="611">
      <c r="A611" s="53"/>
      <c r="B611" s="54"/>
      <c r="C611" s="54"/>
      <c r="D611" s="55"/>
    </row>
    <row r="612">
      <c r="A612" s="53"/>
      <c r="B612" s="54"/>
      <c r="C612" s="54"/>
      <c r="D612" s="55"/>
    </row>
    <row r="613">
      <c r="A613" s="53"/>
      <c r="B613" s="54"/>
      <c r="C613" s="54"/>
      <c r="D613" s="55"/>
    </row>
    <row r="614">
      <c r="A614" s="53"/>
      <c r="B614" s="54"/>
      <c r="C614" s="54"/>
      <c r="D614" s="55"/>
    </row>
    <row r="615">
      <c r="A615" s="18"/>
    </row>
  </sheetData>
  <dataValidations>
    <dataValidation type="list" allowBlank="1" showErrorMessage="1" sqref="B278 B566">
      <formula1>"Mauliola,Lē'ahi ,‘Ewa Beach"</formula1>
    </dataValidation>
    <dataValidation type="list" allowBlank="1" showErrorMessage="1" sqref="B2:B116">
      <formula1>"Mauliola,Lē'ahi ,‘Ewa Beach"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0.0"/>
    <col customWidth="1" min="3" max="3" width="15.5"/>
    <col customWidth="1" min="4" max="4" width="9.88"/>
    <col customWidth="1" min="5" max="5" width="11.88"/>
    <col customWidth="1" min="6" max="6" width="0.38"/>
    <col customWidth="1" min="7" max="7" width="18.0"/>
    <col customWidth="1" min="18" max="18" width="16.25"/>
    <col customWidth="1" min="27" max="27" width="21.75"/>
    <col customWidth="1" min="28" max="28" width="18.38"/>
    <col customWidth="1" min="29" max="29" width="16.38"/>
    <col customWidth="1" min="30" max="35" width="21.75"/>
    <col customWidth="1" min="36" max="37" width="14.38"/>
    <col customWidth="1" min="39" max="40" width="17.0"/>
    <col customWidth="1" min="77" max="77" width="18.63"/>
    <col customWidth="1" min="78" max="81" width="16.38"/>
    <col customWidth="1" min="83" max="83" width="17.63"/>
    <col customWidth="1" min="90" max="90" width="14.13"/>
  </cols>
  <sheetData>
    <row r="1">
      <c r="A1" s="5" t="s">
        <v>4</v>
      </c>
      <c r="B1" s="5"/>
      <c r="C1" s="7"/>
      <c r="D1" s="7"/>
      <c r="E1" s="7"/>
      <c r="G1" s="9" t="s">
        <v>29</v>
      </c>
      <c r="H1" s="4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4"/>
      <c r="BF1" s="10"/>
      <c r="BG1" s="10"/>
      <c r="BH1" s="10"/>
      <c r="BI1" s="10"/>
      <c r="BJ1" s="10"/>
      <c r="BK1" s="10"/>
      <c r="BL1" s="10"/>
      <c r="BM1" s="10"/>
      <c r="BN1" s="4"/>
      <c r="BO1" s="4"/>
      <c r="BP1" s="4"/>
      <c r="BQ1" s="4"/>
      <c r="BR1" s="4"/>
      <c r="BS1" s="4"/>
      <c r="BT1" s="4"/>
      <c r="BU1" s="4"/>
      <c r="BV1" s="4"/>
      <c r="BW1" s="4"/>
      <c r="BX1" s="12" t="s">
        <v>30</v>
      </c>
      <c r="BY1" s="14" t="s">
        <v>33</v>
      </c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21"/>
      <c r="CO1" s="15"/>
      <c r="CP1" s="23" t="s">
        <v>50</v>
      </c>
      <c r="CQ1" s="24"/>
      <c r="CR1" s="24"/>
      <c r="CS1" s="23"/>
      <c r="CT1" s="23"/>
      <c r="CU1" s="23"/>
      <c r="CV1" s="26"/>
      <c r="CW1" s="29" t="s">
        <v>66</v>
      </c>
    </row>
    <row r="2">
      <c r="A2" s="1" t="s">
        <v>0</v>
      </c>
      <c r="B2" s="1" t="s">
        <v>1</v>
      </c>
      <c r="C2" s="1" t="s">
        <v>2</v>
      </c>
      <c r="D2" s="2" t="s">
        <v>3</v>
      </c>
      <c r="E2" s="2" t="s">
        <v>71</v>
      </c>
      <c r="F2" s="3" t="s">
        <v>7</v>
      </c>
      <c r="G2" s="9" t="s">
        <v>73</v>
      </c>
      <c r="H2" s="9" t="s">
        <v>74</v>
      </c>
      <c r="I2" s="9" t="s">
        <v>76</v>
      </c>
      <c r="J2" s="9" t="s">
        <v>78</v>
      </c>
      <c r="K2" s="34" t="s">
        <v>80</v>
      </c>
      <c r="L2" s="9" t="s">
        <v>87</v>
      </c>
      <c r="M2" s="9" t="s">
        <v>88</v>
      </c>
      <c r="N2" s="35" t="s">
        <v>89</v>
      </c>
      <c r="O2" s="9" t="s">
        <v>94</v>
      </c>
      <c r="P2" s="9" t="s">
        <v>96</v>
      </c>
      <c r="Q2" s="9" t="s">
        <v>97</v>
      </c>
      <c r="R2" s="9" t="s">
        <v>98</v>
      </c>
      <c r="S2" s="9" t="s">
        <v>99</v>
      </c>
      <c r="T2" s="9" t="s">
        <v>101</v>
      </c>
      <c r="U2" s="9" t="s">
        <v>102</v>
      </c>
      <c r="V2" s="9" t="s">
        <v>103</v>
      </c>
      <c r="W2" s="9" t="s">
        <v>104</v>
      </c>
      <c r="X2" s="9" t="s">
        <v>105</v>
      </c>
      <c r="Y2" s="9" t="s">
        <v>106</v>
      </c>
      <c r="Z2" s="9" t="s">
        <v>107</v>
      </c>
      <c r="AA2" s="9" t="s">
        <v>108</v>
      </c>
      <c r="AB2" s="9" t="s">
        <v>109</v>
      </c>
      <c r="AC2" s="9" t="s">
        <v>110</v>
      </c>
      <c r="AD2" s="9" t="s">
        <v>111</v>
      </c>
      <c r="AE2" s="9" t="s">
        <v>112</v>
      </c>
      <c r="AF2" s="9" t="s">
        <v>113</v>
      </c>
      <c r="AG2" s="9" t="s">
        <v>114</v>
      </c>
      <c r="AH2" s="9" t="s">
        <v>116</v>
      </c>
      <c r="AI2" s="9" t="s">
        <v>117</v>
      </c>
      <c r="AJ2" s="36" t="s">
        <v>118</v>
      </c>
      <c r="AK2" s="9" t="s">
        <v>121</v>
      </c>
      <c r="AL2" s="9" t="s">
        <v>124</v>
      </c>
      <c r="AM2" s="9" t="s">
        <v>125</v>
      </c>
      <c r="AN2" s="9" t="s">
        <v>126</v>
      </c>
      <c r="AO2" s="9" t="s">
        <v>127</v>
      </c>
      <c r="AP2" s="9" t="s">
        <v>128</v>
      </c>
      <c r="AQ2" s="9" t="s">
        <v>130</v>
      </c>
      <c r="AR2" s="9" t="s">
        <v>131</v>
      </c>
      <c r="AS2" s="9" t="s">
        <v>132</v>
      </c>
      <c r="AT2" s="9" t="s">
        <v>133</v>
      </c>
      <c r="AU2" s="36" t="s">
        <v>134</v>
      </c>
      <c r="AV2" s="9" t="s">
        <v>135</v>
      </c>
      <c r="AW2" s="9" t="s">
        <v>136</v>
      </c>
      <c r="AX2" s="9" t="s">
        <v>137</v>
      </c>
      <c r="AY2" s="9" t="s">
        <v>138</v>
      </c>
      <c r="AZ2" s="9" t="s">
        <v>139</v>
      </c>
      <c r="BA2" s="9" t="s">
        <v>140</v>
      </c>
      <c r="BB2" s="9" t="s">
        <v>141</v>
      </c>
      <c r="BC2" s="9" t="s">
        <v>142</v>
      </c>
      <c r="BD2" s="9" t="s">
        <v>143</v>
      </c>
      <c r="BE2" s="9" t="s">
        <v>144</v>
      </c>
      <c r="BF2" s="9">
        <v>3.0</v>
      </c>
      <c r="BG2" s="9" t="s">
        <v>145</v>
      </c>
      <c r="BH2" s="9" t="s">
        <v>146</v>
      </c>
      <c r="BI2" s="9" t="s">
        <v>147</v>
      </c>
      <c r="BJ2" s="9" t="s">
        <v>148</v>
      </c>
      <c r="BK2" s="9" t="s">
        <v>149</v>
      </c>
      <c r="BL2" s="9" t="s">
        <v>150</v>
      </c>
      <c r="BM2" s="9" t="s">
        <v>151</v>
      </c>
      <c r="BN2" s="9" t="s">
        <v>152</v>
      </c>
      <c r="BO2" s="9" t="s">
        <v>153</v>
      </c>
      <c r="BP2" s="9" t="s">
        <v>154</v>
      </c>
      <c r="BQ2" s="9" t="s">
        <v>155</v>
      </c>
      <c r="BR2" s="9" t="s">
        <v>156</v>
      </c>
      <c r="BS2" s="9" t="s">
        <v>86</v>
      </c>
      <c r="BT2" s="9" t="s">
        <v>157</v>
      </c>
      <c r="BU2" s="9" t="s">
        <v>158</v>
      </c>
      <c r="BV2" s="9" t="s">
        <v>159</v>
      </c>
      <c r="BW2" s="9" t="s">
        <v>161</v>
      </c>
      <c r="BX2" s="39" t="s">
        <v>162</v>
      </c>
      <c r="BY2" s="14" t="s">
        <v>163</v>
      </c>
      <c r="BZ2" s="14" t="s">
        <v>164</v>
      </c>
      <c r="CA2" s="14" t="s">
        <v>165</v>
      </c>
      <c r="CB2" s="14" t="s">
        <v>166</v>
      </c>
      <c r="CC2" s="14" t="s">
        <v>167</v>
      </c>
      <c r="CD2" s="14" t="s">
        <v>168</v>
      </c>
      <c r="CE2" s="14" t="s">
        <v>169</v>
      </c>
      <c r="CF2" s="43" t="s">
        <v>170</v>
      </c>
      <c r="CG2" s="14" t="s">
        <v>171</v>
      </c>
      <c r="CH2" s="14" t="s">
        <v>172</v>
      </c>
      <c r="CI2" s="14" t="s">
        <v>173</v>
      </c>
      <c r="CJ2" s="14" t="s">
        <v>174</v>
      </c>
      <c r="CK2" s="14" t="s">
        <v>175</v>
      </c>
      <c r="CL2" s="14" t="s">
        <v>176</v>
      </c>
      <c r="CM2" s="14" t="s">
        <v>177</v>
      </c>
      <c r="CN2" s="14" t="s">
        <v>178</v>
      </c>
      <c r="CO2" s="14" t="s">
        <v>179</v>
      </c>
      <c r="CP2" s="46" t="s">
        <v>180</v>
      </c>
      <c r="CQ2" s="46" t="s">
        <v>181</v>
      </c>
      <c r="CR2" s="46" t="s">
        <v>182</v>
      </c>
      <c r="CS2" s="49" t="s">
        <v>183</v>
      </c>
      <c r="CT2" s="49" t="s">
        <v>185</v>
      </c>
      <c r="CU2" s="49" t="s">
        <v>186</v>
      </c>
      <c r="CV2" s="26" t="s">
        <v>187</v>
      </c>
      <c r="CW2" s="29" t="s">
        <v>188</v>
      </c>
      <c r="CX2" s="20" t="s">
        <v>189</v>
      </c>
      <c r="CY2" s="3"/>
      <c r="CZ2" s="3"/>
    </row>
    <row r="3">
      <c r="A3" s="11">
        <v>45760.0</v>
      </c>
      <c r="B3" s="13" t="s">
        <v>31</v>
      </c>
      <c r="C3" s="13" t="s">
        <v>194</v>
      </c>
      <c r="D3" s="13">
        <v>1.0</v>
      </c>
      <c r="E3" s="13">
        <v>0.0</v>
      </c>
      <c r="F3" s="16"/>
      <c r="G3" s="13">
        <v>0.0</v>
      </c>
      <c r="H3" s="13">
        <v>0.0</v>
      </c>
      <c r="I3" s="13">
        <v>0.0</v>
      </c>
      <c r="J3" s="13">
        <v>0.0</v>
      </c>
      <c r="K3" s="13">
        <v>0.0</v>
      </c>
      <c r="L3" s="13">
        <v>0.0</v>
      </c>
      <c r="M3" s="13">
        <v>0.0</v>
      </c>
      <c r="N3" s="13">
        <v>0.0</v>
      </c>
      <c r="O3" s="13">
        <v>0.0</v>
      </c>
      <c r="P3" s="13">
        <v>0.0</v>
      </c>
      <c r="Q3" s="13">
        <v>0.0</v>
      </c>
      <c r="R3" s="13">
        <v>0.0</v>
      </c>
      <c r="S3" s="13">
        <v>0.0</v>
      </c>
      <c r="T3" s="13">
        <v>0.0</v>
      </c>
      <c r="U3" s="13">
        <v>0.0</v>
      </c>
      <c r="V3" s="13">
        <v>0.0</v>
      </c>
      <c r="W3" s="13">
        <v>0.0</v>
      </c>
      <c r="X3" s="13">
        <v>0.0</v>
      </c>
      <c r="Y3" s="13">
        <v>0.0</v>
      </c>
      <c r="Z3" s="13">
        <v>0.0</v>
      </c>
      <c r="AA3" s="13">
        <v>0.0</v>
      </c>
      <c r="AB3" s="13">
        <v>0.0</v>
      </c>
      <c r="AC3" s="13">
        <v>0.0</v>
      </c>
      <c r="AD3" s="13">
        <v>0.0</v>
      </c>
      <c r="AE3" s="13">
        <v>0.0</v>
      </c>
      <c r="AF3" s="13">
        <v>0.0</v>
      </c>
      <c r="AG3" s="13">
        <v>0.0</v>
      </c>
      <c r="AH3" s="13">
        <v>0.0</v>
      </c>
      <c r="AI3" s="13">
        <v>0.0</v>
      </c>
      <c r="AJ3" s="13">
        <v>0.0</v>
      </c>
      <c r="AK3" s="13">
        <v>18.0</v>
      </c>
      <c r="AL3" s="13">
        <v>0.0</v>
      </c>
      <c r="AM3" s="13">
        <v>0.0</v>
      </c>
      <c r="AN3" s="13">
        <v>0.0</v>
      </c>
      <c r="AO3" s="13">
        <v>0.0</v>
      </c>
      <c r="AP3" s="13">
        <v>0.0</v>
      </c>
      <c r="AQ3" s="13">
        <v>0.0</v>
      </c>
      <c r="AR3" s="13">
        <v>0.0</v>
      </c>
      <c r="AS3" s="13"/>
      <c r="AT3" s="13">
        <v>1.0</v>
      </c>
      <c r="AU3" s="13">
        <v>0.0</v>
      </c>
      <c r="AV3" s="13">
        <v>0.0</v>
      </c>
      <c r="AW3" s="13">
        <v>0.0</v>
      </c>
      <c r="AX3" s="13">
        <v>0.0</v>
      </c>
      <c r="AY3" s="13">
        <v>0.0</v>
      </c>
      <c r="AZ3" s="13">
        <v>3.0</v>
      </c>
      <c r="BA3" s="13"/>
      <c r="BB3" s="13">
        <v>0.0</v>
      </c>
      <c r="BC3" s="13">
        <v>0.0</v>
      </c>
      <c r="BD3" s="13">
        <v>0.0</v>
      </c>
      <c r="BE3" s="13">
        <v>0.0</v>
      </c>
      <c r="BF3" s="13">
        <v>0.0</v>
      </c>
      <c r="BG3" s="13">
        <v>0.0</v>
      </c>
      <c r="BH3" s="13">
        <v>0.0</v>
      </c>
      <c r="BI3" s="13">
        <v>0.0</v>
      </c>
      <c r="BJ3" s="13">
        <v>0.0</v>
      </c>
      <c r="BK3" s="13">
        <v>0.0</v>
      </c>
      <c r="BL3" s="13">
        <v>0.0</v>
      </c>
      <c r="BM3" s="13">
        <v>3.0</v>
      </c>
      <c r="BN3" s="13">
        <v>0.0</v>
      </c>
      <c r="BO3" s="13">
        <v>0.0</v>
      </c>
      <c r="BP3" s="13">
        <v>0.0</v>
      </c>
      <c r="BQ3" s="13">
        <v>0.0</v>
      </c>
      <c r="BR3" s="13">
        <v>0.0</v>
      </c>
      <c r="BS3" s="13">
        <v>0.0</v>
      </c>
      <c r="BT3" s="13"/>
      <c r="BU3" s="13">
        <v>0.0</v>
      </c>
      <c r="BV3" s="13">
        <v>0.0</v>
      </c>
      <c r="BW3" s="13"/>
      <c r="BX3" s="13">
        <v>0.0</v>
      </c>
      <c r="BY3" s="13">
        <v>0.0</v>
      </c>
      <c r="BZ3" s="13">
        <v>0.0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  <c r="CF3" s="13">
        <v>0.0</v>
      </c>
      <c r="CG3" s="13">
        <v>0.0</v>
      </c>
      <c r="CH3" s="13">
        <v>0.0</v>
      </c>
      <c r="CI3" s="13">
        <v>0.0</v>
      </c>
      <c r="CJ3" s="13">
        <v>0.0</v>
      </c>
      <c r="CK3" s="13">
        <v>0.0</v>
      </c>
      <c r="CL3" s="13">
        <v>0.0</v>
      </c>
      <c r="CM3" s="13">
        <v>0.0</v>
      </c>
      <c r="CN3" s="13">
        <v>0.0</v>
      </c>
      <c r="CO3" s="13">
        <v>0.0</v>
      </c>
      <c r="CP3" s="13">
        <v>0.0</v>
      </c>
      <c r="CQ3" s="13">
        <v>0.0</v>
      </c>
      <c r="CR3" s="13">
        <v>0.0</v>
      </c>
      <c r="CS3" s="13">
        <v>0.0</v>
      </c>
      <c r="CT3" s="13">
        <v>0.0</v>
      </c>
      <c r="CU3" s="13"/>
      <c r="CV3" s="13">
        <v>0.0</v>
      </c>
      <c r="CW3" s="16">
        <f t="shared" ref="CW3:CW15" si="1">SUM(G3:CV3)</f>
        <v>25</v>
      </c>
      <c r="CX3" s="13" t="s">
        <v>206</v>
      </c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</row>
    <row r="4">
      <c r="A4" s="18">
        <v>46046.0</v>
      </c>
      <c r="B4" s="19" t="s">
        <v>32</v>
      </c>
      <c r="C4" s="20" t="s">
        <v>41</v>
      </c>
      <c r="D4" s="20">
        <v>1.0</v>
      </c>
      <c r="E4" s="47">
        <v>0.0</v>
      </c>
      <c r="F4" s="48"/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2.0</v>
      </c>
      <c r="Q4" s="20">
        <v>0.0</v>
      </c>
      <c r="R4" s="20">
        <v>0.0</v>
      </c>
      <c r="S4" s="20">
        <v>0.0</v>
      </c>
      <c r="T4" s="20">
        <v>0.0</v>
      </c>
      <c r="U4" s="20">
        <v>0.0</v>
      </c>
      <c r="V4" s="20">
        <v>0.0</v>
      </c>
      <c r="W4" s="20">
        <v>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>
        <v>0.0</v>
      </c>
      <c r="AD4" s="20">
        <v>0.0</v>
      </c>
      <c r="AE4" s="20">
        <v>0.0</v>
      </c>
      <c r="AF4" s="20">
        <v>0.0</v>
      </c>
      <c r="AG4" s="20">
        <v>0.0</v>
      </c>
      <c r="AH4" s="20">
        <v>0.0</v>
      </c>
      <c r="AI4" s="20">
        <v>0.0</v>
      </c>
      <c r="AJ4" s="20">
        <v>0.0</v>
      </c>
      <c r="AK4" s="20">
        <v>0.0</v>
      </c>
      <c r="AL4" s="20">
        <v>0.0</v>
      </c>
      <c r="AM4" s="20">
        <v>0.0</v>
      </c>
      <c r="AN4" s="20">
        <v>2.0</v>
      </c>
      <c r="AO4" s="20">
        <v>0.0</v>
      </c>
      <c r="AP4" s="20">
        <v>0.0</v>
      </c>
      <c r="AQ4" s="20">
        <v>0.0</v>
      </c>
      <c r="AR4" s="20">
        <v>0.0</v>
      </c>
      <c r="AS4" s="20"/>
      <c r="AT4" s="20">
        <v>1.0</v>
      </c>
      <c r="AU4" s="20">
        <v>0.0</v>
      </c>
      <c r="AV4" s="20">
        <v>0.0</v>
      </c>
      <c r="AW4" s="20">
        <v>0.0</v>
      </c>
      <c r="AX4" s="20">
        <v>0.0</v>
      </c>
      <c r="AY4" s="20">
        <v>0.0</v>
      </c>
      <c r="AZ4" s="20">
        <v>8.0</v>
      </c>
      <c r="BA4" s="20"/>
      <c r="BB4" s="20">
        <v>0.0</v>
      </c>
      <c r="BC4" s="20">
        <v>0.0</v>
      </c>
      <c r="BD4" s="20">
        <v>0.0</v>
      </c>
      <c r="BE4" s="20">
        <v>0.0</v>
      </c>
      <c r="BF4" s="20">
        <v>0.0</v>
      </c>
      <c r="BG4" s="20">
        <v>0.0</v>
      </c>
      <c r="BH4" s="20">
        <v>2.0</v>
      </c>
      <c r="BI4" s="20">
        <v>0.0</v>
      </c>
      <c r="BJ4" s="20">
        <v>0.0</v>
      </c>
      <c r="BK4" s="20">
        <v>0.0</v>
      </c>
      <c r="BL4" s="20">
        <v>0.0</v>
      </c>
      <c r="BM4" s="20">
        <v>6.0</v>
      </c>
      <c r="BN4" s="20">
        <v>0.0</v>
      </c>
      <c r="BO4" s="20">
        <v>0.0</v>
      </c>
      <c r="BP4" s="20">
        <v>0.0</v>
      </c>
      <c r="BQ4" s="20">
        <v>0.0</v>
      </c>
      <c r="BR4" s="20">
        <v>0.0</v>
      </c>
      <c r="BS4" s="20">
        <v>1.0</v>
      </c>
      <c r="BT4" s="20">
        <v>0.0</v>
      </c>
      <c r="BU4" s="20">
        <v>0.0</v>
      </c>
      <c r="BV4" s="20">
        <v>0.0</v>
      </c>
      <c r="BW4" s="20">
        <v>0.0</v>
      </c>
      <c r="BX4" s="20">
        <v>0.0</v>
      </c>
      <c r="BY4" s="20">
        <v>0.0</v>
      </c>
      <c r="BZ4" s="20">
        <v>0.0</v>
      </c>
      <c r="CA4" s="20">
        <v>0.0</v>
      </c>
      <c r="CB4" s="20">
        <v>0.0</v>
      </c>
      <c r="CC4" s="20">
        <v>0.0</v>
      </c>
      <c r="CD4" s="20">
        <v>0.0</v>
      </c>
      <c r="CE4" s="20">
        <v>0.0</v>
      </c>
      <c r="CF4" s="20">
        <v>0.0</v>
      </c>
      <c r="CG4" s="20">
        <v>0.0</v>
      </c>
      <c r="CH4" s="20">
        <v>0.0</v>
      </c>
      <c r="CI4" s="20">
        <v>0.0</v>
      </c>
      <c r="CJ4" s="20">
        <v>0.0</v>
      </c>
      <c r="CK4" s="20">
        <v>0.0</v>
      </c>
      <c r="CL4" s="20">
        <v>0.0</v>
      </c>
      <c r="CM4" s="20">
        <v>0.0</v>
      </c>
      <c r="CN4" s="20">
        <v>0.0</v>
      </c>
      <c r="CO4" s="20">
        <v>0.0</v>
      </c>
      <c r="CP4" s="20">
        <v>0.0</v>
      </c>
      <c r="CQ4" s="20">
        <v>0.0</v>
      </c>
      <c r="CR4" s="20">
        <v>0.0</v>
      </c>
      <c r="CS4" s="20">
        <v>3.0</v>
      </c>
      <c r="CT4" s="20">
        <v>0.0</v>
      </c>
      <c r="CU4" s="20"/>
      <c r="CV4" s="20">
        <v>0.0</v>
      </c>
      <c r="CW4" s="16">
        <f t="shared" si="1"/>
        <v>25</v>
      </c>
    </row>
    <row r="5">
      <c r="A5" s="18">
        <v>46046.0</v>
      </c>
      <c r="B5" s="19" t="s">
        <v>32</v>
      </c>
      <c r="C5" s="20" t="s">
        <v>41</v>
      </c>
      <c r="D5" s="20">
        <v>1.0</v>
      </c>
      <c r="E5" s="47">
        <v>1.0</v>
      </c>
      <c r="F5" s="48"/>
      <c r="AN5" s="20">
        <v>2.0</v>
      </c>
      <c r="AZ5" s="20">
        <v>2.0</v>
      </c>
      <c r="BM5" s="20">
        <v>13.0</v>
      </c>
      <c r="BX5" s="20">
        <v>2.0</v>
      </c>
      <c r="CS5" s="20">
        <v>8.0</v>
      </c>
      <c r="CW5" s="16">
        <f t="shared" si="1"/>
        <v>27</v>
      </c>
    </row>
    <row r="6">
      <c r="A6" s="18">
        <v>46046.0</v>
      </c>
      <c r="B6" s="19" t="s">
        <v>32</v>
      </c>
      <c r="C6" s="20" t="s">
        <v>41</v>
      </c>
      <c r="D6" s="20">
        <v>1.0</v>
      </c>
      <c r="E6" s="47">
        <v>2.0</v>
      </c>
      <c r="F6" s="48"/>
      <c r="BM6" s="20">
        <v>19.0</v>
      </c>
      <c r="BW6" s="20">
        <v>3.0</v>
      </c>
      <c r="CS6" s="20">
        <v>6.0</v>
      </c>
      <c r="CW6" s="16">
        <f t="shared" si="1"/>
        <v>28</v>
      </c>
    </row>
    <row r="7">
      <c r="A7" s="18">
        <v>46046.0</v>
      </c>
      <c r="B7" s="19" t="s">
        <v>32</v>
      </c>
      <c r="C7" s="20" t="s">
        <v>41</v>
      </c>
      <c r="D7" s="20">
        <v>1.0</v>
      </c>
      <c r="E7" s="47">
        <v>3.0</v>
      </c>
      <c r="F7" s="48"/>
      <c r="T7" s="20">
        <v>1.0</v>
      </c>
      <c r="BH7" s="20">
        <v>1.0</v>
      </c>
      <c r="BM7" s="20">
        <v>21.0</v>
      </c>
      <c r="CS7" s="20">
        <v>2.0</v>
      </c>
      <c r="CW7" s="16">
        <f t="shared" si="1"/>
        <v>25</v>
      </c>
    </row>
    <row r="8">
      <c r="A8" s="18">
        <v>46046.0</v>
      </c>
      <c r="B8" s="19" t="s">
        <v>32</v>
      </c>
      <c r="C8" s="20" t="s">
        <v>41</v>
      </c>
      <c r="D8" s="20">
        <v>1.0</v>
      </c>
      <c r="E8" s="50">
        <v>4.0</v>
      </c>
      <c r="G8" s="20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0">
        <v>0.0</v>
      </c>
      <c r="S8" s="20">
        <v>0.0</v>
      </c>
      <c r="T8" s="20">
        <v>0.0</v>
      </c>
      <c r="U8" s="20">
        <v>0.0</v>
      </c>
      <c r="V8" s="20">
        <v>0.0</v>
      </c>
      <c r="W8" s="20">
        <v>0.0</v>
      </c>
      <c r="X8" s="20">
        <v>0.0</v>
      </c>
      <c r="Y8" s="20">
        <v>0.0</v>
      </c>
      <c r="Z8" s="20">
        <v>0.0</v>
      </c>
      <c r="AA8" s="20">
        <v>0.0</v>
      </c>
      <c r="AB8" s="20">
        <v>0.0</v>
      </c>
      <c r="AC8" s="20">
        <v>0.0</v>
      </c>
      <c r="AD8" s="20">
        <v>0.0</v>
      </c>
      <c r="AE8" s="20">
        <v>0.0</v>
      </c>
      <c r="AF8" s="20">
        <v>0.0</v>
      </c>
      <c r="AG8" s="20">
        <v>0.0</v>
      </c>
      <c r="AH8" s="20">
        <v>0.0</v>
      </c>
      <c r="AI8" s="20">
        <v>0.0</v>
      </c>
      <c r="AJ8" s="20">
        <v>0.0</v>
      </c>
      <c r="AK8" s="20">
        <v>0.0</v>
      </c>
      <c r="AL8" s="20">
        <v>0.0</v>
      </c>
      <c r="AM8" s="20">
        <v>0.0</v>
      </c>
      <c r="AN8" s="20">
        <v>0.0</v>
      </c>
      <c r="AO8" s="20">
        <v>0.0</v>
      </c>
      <c r="AP8" s="20">
        <v>0.0</v>
      </c>
      <c r="AQ8" s="20">
        <v>0.0</v>
      </c>
      <c r="AR8" s="20">
        <v>0.0</v>
      </c>
      <c r="AS8" s="20"/>
      <c r="AT8" s="20">
        <v>0.0</v>
      </c>
      <c r="AU8" s="20">
        <v>0.0</v>
      </c>
      <c r="AV8" s="20">
        <v>0.0</v>
      </c>
      <c r="AW8" s="20">
        <v>0.0</v>
      </c>
      <c r="AX8" s="20">
        <v>0.0</v>
      </c>
      <c r="AY8" s="20">
        <v>0.0</v>
      </c>
      <c r="AZ8" s="20">
        <v>0.0</v>
      </c>
      <c r="BA8" s="20">
        <v>0.0</v>
      </c>
      <c r="BB8" s="20">
        <v>0.0</v>
      </c>
      <c r="BC8" s="20">
        <v>0.0</v>
      </c>
      <c r="BD8" s="20">
        <v>0.0</v>
      </c>
      <c r="BE8" s="20">
        <v>0.0</v>
      </c>
      <c r="BF8" s="20">
        <v>0.0</v>
      </c>
      <c r="BG8" s="20">
        <v>0.0</v>
      </c>
      <c r="BH8" s="20">
        <v>1.0</v>
      </c>
      <c r="BI8" s="20">
        <v>0.0</v>
      </c>
      <c r="BJ8" s="20">
        <v>0.0</v>
      </c>
      <c r="BK8" s="20">
        <v>0.0</v>
      </c>
      <c r="BL8" s="20">
        <v>3.0</v>
      </c>
      <c r="BM8" s="20">
        <v>14.0</v>
      </c>
      <c r="BN8" s="20">
        <v>0.0</v>
      </c>
      <c r="BO8" s="20">
        <v>0.0</v>
      </c>
      <c r="BP8" s="20">
        <v>0.0</v>
      </c>
      <c r="BQ8" s="20">
        <v>0.0</v>
      </c>
      <c r="BR8" s="20">
        <v>0.0</v>
      </c>
      <c r="BS8" s="20">
        <v>0.0</v>
      </c>
      <c r="BT8" s="20">
        <v>0.0</v>
      </c>
      <c r="BU8" s="20">
        <v>0.0</v>
      </c>
      <c r="BV8" s="20">
        <v>0.0</v>
      </c>
      <c r="BW8" s="20">
        <v>0.0</v>
      </c>
      <c r="BX8" s="20">
        <v>0.0</v>
      </c>
      <c r="BY8" s="20">
        <v>0.0</v>
      </c>
      <c r="BZ8" s="20">
        <v>0.0</v>
      </c>
      <c r="CA8" s="20">
        <v>0.0</v>
      </c>
      <c r="CB8" s="20">
        <v>0.0</v>
      </c>
      <c r="CC8" s="20">
        <v>0.0</v>
      </c>
      <c r="CD8" s="20">
        <v>0.0</v>
      </c>
      <c r="CE8" s="20">
        <v>0.0</v>
      </c>
      <c r="CF8" s="20">
        <v>0.0</v>
      </c>
      <c r="CG8" s="20">
        <v>0.0</v>
      </c>
      <c r="CH8" s="20">
        <v>0.0</v>
      </c>
      <c r="CI8" s="20">
        <v>0.0</v>
      </c>
      <c r="CJ8" s="20">
        <v>0.0</v>
      </c>
      <c r="CK8" s="20">
        <v>0.0</v>
      </c>
      <c r="CL8" s="20">
        <v>0.0</v>
      </c>
      <c r="CM8" s="20">
        <v>0.0</v>
      </c>
      <c r="CN8" s="20">
        <v>0.0</v>
      </c>
      <c r="CO8" s="20">
        <v>0.0</v>
      </c>
      <c r="CP8" s="20">
        <v>0.0</v>
      </c>
      <c r="CQ8" s="20">
        <v>0.0</v>
      </c>
      <c r="CR8" s="20">
        <v>0.0</v>
      </c>
      <c r="CS8" s="20">
        <v>1.0</v>
      </c>
      <c r="CT8" s="20">
        <v>1.0</v>
      </c>
      <c r="CU8" s="20"/>
      <c r="CV8" s="20">
        <v>5.0</v>
      </c>
      <c r="CW8" s="16">
        <f t="shared" si="1"/>
        <v>25</v>
      </c>
      <c r="CX8" s="20" t="s">
        <v>214</v>
      </c>
    </row>
    <row r="9">
      <c r="A9" s="18">
        <v>46046.0</v>
      </c>
      <c r="B9" s="19" t="s">
        <v>32</v>
      </c>
      <c r="C9" s="20" t="s">
        <v>41</v>
      </c>
      <c r="D9" s="20">
        <v>1.0</v>
      </c>
      <c r="E9" s="50">
        <v>5.0</v>
      </c>
      <c r="G9" s="20">
        <v>0.0</v>
      </c>
      <c r="H9" s="20">
        <v>0.0</v>
      </c>
      <c r="I9" s="20">
        <v>0.0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0">
        <v>0.0</v>
      </c>
      <c r="AI9" s="20">
        <v>0.0</v>
      </c>
      <c r="AJ9" s="20">
        <v>0.0</v>
      </c>
      <c r="AK9" s="20">
        <v>0.0</v>
      </c>
      <c r="AL9" s="20">
        <v>1.0</v>
      </c>
      <c r="AM9" s="20">
        <v>0.0</v>
      </c>
      <c r="AN9" s="20">
        <v>0.0</v>
      </c>
      <c r="AO9" s="20">
        <v>0.0</v>
      </c>
      <c r="AP9" s="20">
        <v>0.0</v>
      </c>
      <c r="AQ9" s="20">
        <v>0.0</v>
      </c>
      <c r="AR9" s="20">
        <v>0.0</v>
      </c>
      <c r="AS9" s="20"/>
      <c r="AT9" s="20">
        <v>0.0</v>
      </c>
      <c r="AU9" s="20">
        <v>0.0</v>
      </c>
      <c r="AV9" s="20">
        <v>0.0</v>
      </c>
      <c r="AW9" s="20">
        <v>0.0</v>
      </c>
      <c r="AX9" s="20">
        <v>0.0</v>
      </c>
      <c r="AY9" s="20">
        <v>0.0</v>
      </c>
      <c r="AZ9" s="20">
        <v>0.0</v>
      </c>
      <c r="BA9" s="20">
        <v>0.0</v>
      </c>
      <c r="BB9" s="20">
        <v>0.0</v>
      </c>
      <c r="BC9" s="20">
        <v>0.0</v>
      </c>
      <c r="BD9" s="20">
        <v>0.0</v>
      </c>
      <c r="BE9" s="20">
        <v>0.0</v>
      </c>
      <c r="BF9" s="20">
        <v>0.0</v>
      </c>
      <c r="BG9" s="20">
        <v>0.0</v>
      </c>
      <c r="BH9" s="20">
        <v>3.0</v>
      </c>
      <c r="BI9" s="20">
        <v>0.0</v>
      </c>
      <c r="BJ9" s="20">
        <v>0.0</v>
      </c>
      <c r="BK9" s="20">
        <v>0.0</v>
      </c>
      <c r="BL9" s="20">
        <v>11.0</v>
      </c>
      <c r="BM9" s="20">
        <v>6.0</v>
      </c>
      <c r="BN9" s="20">
        <v>0.0</v>
      </c>
      <c r="BO9" s="20">
        <v>0.0</v>
      </c>
      <c r="BP9" s="20">
        <v>0.0</v>
      </c>
      <c r="BQ9" s="20">
        <v>0.0</v>
      </c>
      <c r="BR9" s="20">
        <v>0.0</v>
      </c>
      <c r="BS9" s="20">
        <v>0.0</v>
      </c>
      <c r="BT9" s="20">
        <v>0.0</v>
      </c>
      <c r="BU9" s="20">
        <v>0.0</v>
      </c>
      <c r="BV9" s="20">
        <v>1.0</v>
      </c>
      <c r="BW9" s="20">
        <v>0.0</v>
      </c>
      <c r="BX9" s="20">
        <v>0.0</v>
      </c>
      <c r="BY9" s="20">
        <v>0.0</v>
      </c>
      <c r="BZ9" s="20">
        <v>0.0</v>
      </c>
      <c r="CA9" s="20">
        <v>0.0</v>
      </c>
      <c r="CB9" s="20">
        <v>0.0</v>
      </c>
      <c r="CC9" s="20">
        <v>0.0</v>
      </c>
      <c r="CD9" s="20">
        <v>0.0</v>
      </c>
      <c r="CE9" s="20">
        <v>0.0</v>
      </c>
      <c r="CF9" s="20">
        <v>0.0</v>
      </c>
      <c r="CG9" s="20">
        <v>0.0</v>
      </c>
      <c r="CH9" s="20">
        <v>0.0</v>
      </c>
      <c r="CI9" s="20">
        <v>0.0</v>
      </c>
      <c r="CJ9" s="20">
        <v>0.0</v>
      </c>
      <c r="CK9" s="20">
        <v>0.0</v>
      </c>
      <c r="CL9" s="20">
        <v>0.0</v>
      </c>
      <c r="CM9" s="20">
        <v>0.0</v>
      </c>
      <c r="CN9" s="20">
        <v>0.0</v>
      </c>
      <c r="CO9" s="20">
        <v>0.0</v>
      </c>
      <c r="CP9" s="20">
        <v>0.0</v>
      </c>
      <c r="CQ9" s="20">
        <v>0.0</v>
      </c>
      <c r="CR9" s="20">
        <v>0.0</v>
      </c>
      <c r="CS9" s="20">
        <v>3.0</v>
      </c>
      <c r="CT9" s="20">
        <v>0.0</v>
      </c>
      <c r="CU9" s="20"/>
      <c r="CV9" s="20">
        <v>0.0</v>
      </c>
      <c r="CW9" s="16">
        <f t="shared" si="1"/>
        <v>25</v>
      </c>
    </row>
    <row r="10">
      <c r="A10" s="18">
        <v>46046.0</v>
      </c>
      <c r="B10" s="19" t="s">
        <v>32</v>
      </c>
      <c r="C10" s="20" t="s">
        <v>41</v>
      </c>
      <c r="D10" s="20">
        <v>1.0</v>
      </c>
      <c r="E10" s="50">
        <v>6.0</v>
      </c>
      <c r="G10" s="20">
        <v>0.0</v>
      </c>
      <c r="H10" s="20">
        <v>0.0</v>
      </c>
      <c r="I10" s="20">
        <v>0.0</v>
      </c>
      <c r="J10" s="20">
        <v>0.0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  <c r="AF10" s="20">
        <v>0.0</v>
      </c>
      <c r="AG10" s="20">
        <v>0.0</v>
      </c>
      <c r="AH10" s="20">
        <v>0.0</v>
      </c>
      <c r="AI10" s="20">
        <v>0.0</v>
      </c>
      <c r="AJ10" s="20">
        <v>0.0</v>
      </c>
      <c r="AK10" s="20">
        <v>0.0</v>
      </c>
      <c r="AL10" s="20">
        <v>2.0</v>
      </c>
      <c r="AM10" s="20">
        <v>0.0</v>
      </c>
      <c r="AN10" s="20">
        <v>0.0</v>
      </c>
      <c r="AO10" s="20">
        <v>0.0</v>
      </c>
      <c r="AP10" s="20">
        <v>0.0</v>
      </c>
      <c r="AQ10" s="20">
        <v>0.0</v>
      </c>
      <c r="AR10" s="20">
        <v>0.0</v>
      </c>
      <c r="AS10" s="20"/>
      <c r="AT10" s="20">
        <v>0.0</v>
      </c>
      <c r="AU10" s="20">
        <v>0.0</v>
      </c>
      <c r="AV10" s="20">
        <v>0.0</v>
      </c>
      <c r="AW10" s="20">
        <v>0.0</v>
      </c>
      <c r="AX10" s="20">
        <v>0.0</v>
      </c>
      <c r="AY10" s="20">
        <v>0.0</v>
      </c>
      <c r="AZ10" s="20">
        <v>0.0</v>
      </c>
      <c r="BA10" s="20">
        <v>0.0</v>
      </c>
      <c r="BB10" s="20">
        <v>0.0</v>
      </c>
      <c r="BC10" s="20">
        <v>0.0</v>
      </c>
      <c r="BD10" s="20">
        <v>0.0</v>
      </c>
      <c r="BE10" s="20">
        <v>0.0</v>
      </c>
      <c r="BF10" s="20">
        <v>0.0</v>
      </c>
      <c r="BG10" s="20">
        <v>0.0</v>
      </c>
      <c r="BH10" s="20">
        <v>1.0</v>
      </c>
      <c r="BI10" s="20">
        <v>1.0</v>
      </c>
      <c r="BJ10" s="20">
        <v>0.0</v>
      </c>
      <c r="BK10" s="20">
        <v>0.0</v>
      </c>
      <c r="BL10" s="20">
        <v>3.0</v>
      </c>
      <c r="BM10" s="20">
        <v>9.0</v>
      </c>
      <c r="BN10" s="20">
        <v>0.0</v>
      </c>
      <c r="BO10" s="20">
        <v>0.0</v>
      </c>
      <c r="BP10" s="20">
        <v>0.0</v>
      </c>
      <c r="BQ10" s="20">
        <v>0.0</v>
      </c>
      <c r="BR10" s="20">
        <v>0.0</v>
      </c>
      <c r="BS10" s="20">
        <v>0.0</v>
      </c>
      <c r="BT10" s="20">
        <v>0.0</v>
      </c>
      <c r="BU10" s="20">
        <v>0.0</v>
      </c>
      <c r="BV10" s="20">
        <v>8.0</v>
      </c>
      <c r="BW10" s="20">
        <v>0.0</v>
      </c>
      <c r="BX10" s="20">
        <v>0.0</v>
      </c>
      <c r="BY10" s="20">
        <v>0.0</v>
      </c>
      <c r="BZ10" s="20">
        <v>0.0</v>
      </c>
      <c r="CA10" s="20">
        <v>0.0</v>
      </c>
      <c r="CB10" s="20">
        <v>0.0</v>
      </c>
      <c r="CC10" s="20">
        <v>0.0</v>
      </c>
      <c r="CD10" s="20">
        <v>0.0</v>
      </c>
      <c r="CE10" s="20">
        <v>0.0</v>
      </c>
      <c r="CF10" s="20">
        <v>0.0</v>
      </c>
      <c r="CG10" s="20">
        <v>0.0</v>
      </c>
      <c r="CH10" s="20">
        <v>0.0</v>
      </c>
      <c r="CI10" s="20">
        <v>0.0</v>
      </c>
      <c r="CJ10" s="20">
        <v>0.0</v>
      </c>
      <c r="CK10" s="20">
        <v>0.0</v>
      </c>
      <c r="CL10" s="20">
        <v>0.0</v>
      </c>
      <c r="CM10" s="20">
        <v>0.0</v>
      </c>
      <c r="CN10" s="20">
        <v>0.0</v>
      </c>
      <c r="CO10" s="20">
        <v>0.0</v>
      </c>
      <c r="CP10" s="20">
        <v>0.0</v>
      </c>
      <c r="CQ10" s="20">
        <v>0.0</v>
      </c>
      <c r="CR10" s="20">
        <v>0.0</v>
      </c>
      <c r="CS10" s="20">
        <v>1.0</v>
      </c>
      <c r="CT10" s="20">
        <v>0.0</v>
      </c>
      <c r="CU10" s="20"/>
      <c r="CV10" s="20">
        <v>0.0</v>
      </c>
      <c r="CW10" s="16">
        <f t="shared" si="1"/>
        <v>25</v>
      </c>
    </row>
    <row r="11">
      <c r="A11" s="18">
        <v>46046.0</v>
      </c>
      <c r="B11" s="19" t="s">
        <v>32</v>
      </c>
      <c r="C11" s="20" t="s">
        <v>41</v>
      </c>
      <c r="D11" s="20">
        <v>1.0</v>
      </c>
      <c r="E11" s="50">
        <v>7.0</v>
      </c>
      <c r="G11" s="20">
        <v>0.0</v>
      </c>
      <c r="H11" s="20">
        <v>0.0</v>
      </c>
      <c r="I11" s="20">
        <v>2.0</v>
      </c>
      <c r="J11" s="20">
        <v>0.0</v>
      </c>
      <c r="K11" s="20">
        <v>0.0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  <c r="R11" s="20">
        <v>0.0</v>
      </c>
      <c r="S11" s="20">
        <v>0.0</v>
      </c>
      <c r="T11" s="20">
        <v>0.0</v>
      </c>
      <c r="U11" s="20">
        <v>0.0</v>
      </c>
      <c r="V11" s="20">
        <v>0.0</v>
      </c>
      <c r="W11" s="20">
        <v>0.0</v>
      </c>
      <c r="X11" s="20">
        <v>0.0</v>
      </c>
      <c r="Y11" s="20">
        <v>0.0</v>
      </c>
      <c r="Z11" s="20">
        <v>0.0</v>
      </c>
      <c r="AA11" s="20">
        <v>0.0</v>
      </c>
      <c r="AB11" s="20">
        <v>0.0</v>
      </c>
      <c r="AC11" s="20">
        <v>0.0</v>
      </c>
      <c r="AD11" s="20">
        <v>0.0</v>
      </c>
      <c r="AE11" s="20">
        <v>0.0</v>
      </c>
      <c r="AF11" s="20">
        <v>0.0</v>
      </c>
      <c r="AG11" s="20">
        <v>0.0</v>
      </c>
      <c r="AH11" s="20">
        <v>0.0</v>
      </c>
      <c r="AI11" s="20">
        <v>0.0</v>
      </c>
      <c r="AJ11" s="20">
        <v>0.0</v>
      </c>
      <c r="AK11" s="20">
        <v>0.0</v>
      </c>
      <c r="AL11" s="20">
        <v>1.0</v>
      </c>
      <c r="AM11" s="20">
        <v>0.0</v>
      </c>
      <c r="AN11" s="20">
        <v>0.0</v>
      </c>
      <c r="AO11" s="20">
        <v>0.0</v>
      </c>
      <c r="AP11" s="20">
        <v>0.0</v>
      </c>
      <c r="AQ11" s="20">
        <v>0.0</v>
      </c>
      <c r="AR11" s="20">
        <v>0.0</v>
      </c>
      <c r="AS11" s="20"/>
      <c r="AT11" s="20">
        <v>1.0</v>
      </c>
      <c r="AU11" s="20">
        <v>0.0</v>
      </c>
      <c r="AV11" s="20">
        <v>0.0</v>
      </c>
      <c r="AW11" s="20">
        <v>0.0</v>
      </c>
      <c r="AX11" s="20">
        <v>0.0</v>
      </c>
      <c r="AY11" s="20">
        <v>0.0</v>
      </c>
      <c r="AZ11" s="20">
        <v>0.0</v>
      </c>
      <c r="BA11" s="20">
        <v>0.0</v>
      </c>
      <c r="BB11" s="20">
        <v>0.0</v>
      </c>
      <c r="BC11" s="20">
        <v>0.0</v>
      </c>
      <c r="BD11" s="20">
        <v>0.0</v>
      </c>
      <c r="BE11" s="20">
        <v>0.0</v>
      </c>
      <c r="BF11" s="20">
        <v>0.0</v>
      </c>
      <c r="BG11" s="20">
        <v>0.0</v>
      </c>
      <c r="BH11" s="20">
        <v>0.0</v>
      </c>
      <c r="BI11" s="20">
        <v>0.0</v>
      </c>
      <c r="BJ11" s="20">
        <v>0.0</v>
      </c>
      <c r="BK11" s="20">
        <v>0.0</v>
      </c>
      <c r="BL11" s="20">
        <v>5.0</v>
      </c>
      <c r="BM11" s="20">
        <v>8.0</v>
      </c>
      <c r="BN11" s="20">
        <v>0.0</v>
      </c>
      <c r="BO11" s="20">
        <v>0.0</v>
      </c>
      <c r="BP11" s="20">
        <v>0.0</v>
      </c>
      <c r="BQ11" s="20">
        <v>0.0</v>
      </c>
      <c r="BR11" s="20">
        <v>0.0</v>
      </c>
      <c r="BS11" s="20">
        <v>0.0</v>
      </c>
      <c r="BT11" s="20">
        <v>0.0</v>
      </c>
      <c r="BU11" s="20">
        <v>0.0</v>
      </c>
      <c r="BV11" s="20">
        <v>8.0</v>
      </c>
      <c r="BW11" s="20">
        <v>0.0</v>
      </c>
      <c r="BX11" s="20">
        <v>0.0</v>
      </c>
      <c r="BY11" s="20">
        <v>0.0</v>
      </c>
      <c r="BZ11" s="20">
        <v>0.0</v>
      </c>
      <c r="CA11" s="20">
        <v>0.0</v>
      </c>
      <c r="CB11" s="20">
        <v>0.0</v>
      </c>
      <c r="CC11" s="20">
        <v>0.0</v>
      </c>
      <c r="CD11" s="20">
        <v>0.0</v>
      </c>
      <c r="CE11" s="20">
        <v>0.0</v>
      </c>
      <c r="CF11" s="20">
        <v>0.0</v>
      </c>
      <c r="CG11" s="20">
        <v>0.0</v>
      </c>
      <c r="CH11" s="20">
        <v>0.0</v>
      </c>
      <c r="CI11" s="20">
        <v>0.0</v>
      </c>
      <c r="CJ11" s="20">
        <v>0.0</v>
      </c>
      <c r="CK11" s="20">
        <v>0.0</v>
      </c>
      <c r="CL11" s="20">
        <v>0.0</v>
      </c>
      <c r="CM11" s="20">
        <v>0.0</v>
      </c>
      <c r="CN11" s="20">
        <v>0.0</v>
      </c>
      <c r="CO11" s="20">
        <v>0.0</v>
      </c>
      <c r="CP11" s="20">
        <v>0.0</v>
      </c>
      <c r="CQ11" s="20">
        <v>0.0</v>
      </c>
      <c r="CR11" s="20">
        <v>0.0</v>
      </c>
      <c r="CS11" s="20">
        <v>0.0</v>
      </c>
      <c r="CT11" s="20">
        <v>0.0</v>
      </c>
      <c r="CU11" s="20"/>
      <c r="CV11" s="20">
        <v>0.0</v>
      </c>
      <c r="CW11" s="16">
        <f t="shared" si="1"/>
        <v>25</v>
      </c>
    </row>
    <row r="12">
      <c r="A12" s="18">
        <v>46046.0</v>
      </c>
      <c r="B12" s="19" t="s">
        <v>32</v>
      </c>
      <c r="C12" s="20" t="s">
        <v>41</v>
      </c>
      <c r="D12" s="20">
        <v>1.0</v>
      </c>
      <c r="E12" s="56">
        <v>8.0</v>
      </c>
      <c r="G12" s="20">
        <v>0.0</v>
      </c>
      <c r="H12" s="20">
        <v>0.0</v>
      </c>
      <c r="I12" s="20">
        <v>2.0</v>
      </c>
      <c r="J12" s="20">
        <v>0.0</v>
      </c>
      <c r="K12" s="20">
        <v>0.0</v>
      </c>
      <c r="L12" s="20">
        <v>0.0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  <c r="R12" s="20">
        <v>1.0</v>
      </c>
      <c r="S12" s="20">
        <v>0.0</v>
      </c>
      <c r="T12" s="20">
        <v>0.0</v>
      </c>
      <c r="U12" s="20">
        <v>0.0</v>
      </c>
      <c r="V12" s="20">
        <v>0.0</v>
      </c>
      <c r="W12" s="20">
        <v>0.0</v>
      </c>
      <c r="X12" s="20">
        <v>0.0</v>
      </c>
      <c r="Y12" s="20">
        <v>0.0</v>
      </c>
      <c r="Z12" s="20">
        <v>0.0</v>
      </c>
      <c r="AA12" s="20">
        <v>0.0</v>
      </c>
      <c r="AB12" s="20">
        <v>0.0</v>
      </c>
      <c r="AC12" s="20">
        <v>0.0</v>
      </c>
      <c r="AD12" s="20">
        <v>0.0</v>
      </c>
      <c r="AE12" s="20">
        <v>0.0</v>
      </c>
      <c r="AF12" s="20">
        <v>0.0</v>
      </c>
      <c r="AG12" s="20">
        <v>0.0</v>
      </c>
      <c r="AH12" s="20">
        <v>0.0</v>
      </c>
      <c r="AI12" s="20">
        <v>0.0</v>
      </c>
      <c r="AJ12" s="20">
        <v>0.0</v>
      </c>
      <c r="AK12" s="20">
        <v>0.0</v>
      </c>
      <c r="AL12" s="20">
        <v>0.0</v>
      </c>
      <c r="AM12" s="20">
        <v>0.0</v>
      </c>
      <c r="AN12" s="20">
        <v>0.0</v>
      </c>
      <c r="AO12" s="20">
        <v>0.0</v>
      </c>
      <c r="AP12" s="20">
        <v>0.0</v>
      </c>
      <c r="AQ12" s="20">
        <v>0.0</v>
      </c>
      <c r="AR12" s="20">
        <v>0.0</v>
      </c>
      <c r="AS12" s="20"/>
      <c r="AT12" s="20">
        <v>0.0</v>
      </c>
      <c r="AU12" s="20">
        <v>0.0</v>
      </c>
      <c r="AV12" s="20">
        <v>0.0</v>
      </c>
      <c r="AW12" s="20">
        <v>0.0</v>
      </c>
      <c r="AX12" s="20">
        <v>0.0</v>
      </c>
      <c r="AY12" s="20">
        <v>0.0</v>
      </c>
      <c r="AZ12" s="20">
        <v>0.0</v>
      </c>
      <c r="BA12" s="20"/>
      <c r="BB12" s="20">
        <v>0.0</v>
      </c>
      <c r="BC12" s="20">
        <v>0.0</v>
      </c>
      <c r="BD12" s="20">
        <v>0.0</v>
      </c>
      <c r="BE12" s="20">
        <v>0.0</v>
      </c>
      <c r="BF12" s="20">
        <v>0.0</v>
      </c>
      <c r="BG12" s="20">
        <v>0.0</v>
      </c>
      <c r="BH12" s="20">
        <v>0.0</v>
      </c>
      <c r="BI12" s="20">
        <v>0.0</v>
      </c>
      <c r="BJ12" s="20">
        <v>0.0</v>
      </c>
      <c r="BK12" s="20">
        <v>0.0</v>
      </c>
      <c r="BL12" s="20">
        <v>0.0</v>
      </c>
      <c r="BM12" s="20">
        <v>0.0</v>
      </c>
      <c r="BN12" s="20">
        <v>0.0</v>
      </c>
      <c r="BO12" s="20">
        <v>0.0</v>
      </c>
      <c r="BP12" s="20">
        <v>0.0</v>
      </c>
      <c r="BQ12" s="20">
        <v>0.0</v>
      </c>
      <c r="BR12" s="20">
        <v>0.0</v>
      </c>
      <c r="BS12" s="20">
        <v>0.0</v>
      </c>
      <c r="BT12" s="20">
        <v>0.0</v>
      </c>
      <c r="BU12" s="20">
        <v>0.0</v>
      </c>
      <c r="BV12" s="20">
        <v>17.0</v>
      </c>
      <c r="BW12" s="20">
        <v>0.0</v>
      </c>
      <c r="BX12" s="20">
        <v>5.0</v>
      </c>
      <c r="BY12" s="20">
        <v>0.0</v>
      </c>
      <c r="BZ12" s="20">
        <v>0.0</v>
      </c>
      <c r="CA12" s="20">
        <v>0.0</v>
      </c>
      <c r="CB12" s="20">
        <v>0.0</v>
      </c>
      <c r="CC12" s="20">
        <v>0.0</v>
      </c>
      <c r="CD12" s="20">
        <v>0.0</v>
      </c>
      <c r="CE12" s="20">
        <v>0.0</v>
      </c>
      <c r="CF12" s="20">
        <v>0.0</v>
      </c>
      <c r="CG12" s="20">
        <v>0.0</v>
      </c>
      <c r="CH12" s="20">
        <v>0.0</v>
      </c>
      <c r="CI12" s="20">
        <v>0.0</v>
      </c>
      <c r="CJ12" s="20">
        <v>0.0</v>
      </c>
      <c r="CK12" s="20">
        <v>0.0</v>
      </c>
      <c r="CL12" s="20">
        <v>0.0</v>
      </c>
      <c r="CM12" s="20">
        <v>0.0</v>
      </c>
      <c r="CN12" s="20">
        <v>0.0</v>
      </c>
      <c r="CO12" s="20">
        <v>0.0</v>
      </c>
      <c r="CP12" s="20">
        <v>0.0</v>
      </c>
      <c r="CQ12" s="20">
        <v>0.0</v>
      </c>
      <c r="CR12" s="20">
        <v>0.0</v>
      </c>
      <c r="CS12" s="20">
        <v>0.0</v>
      </c>
      <c r="CT12" s="20">
        <v>0.0</v>
      </c>
      <c r="CU12" s="20"/>
      <c r="CV12" s="20">
        <v>0.0</v>
      </c>
      <c r="CW12" s="16">
        <f t="shared" si="1"/>
        <v>25</v>
      </c>
    </row>
    <row r="13">
      <c r="A13" s="18">
        <v>46046.0</v>
      </c>
      <c r="B13" s="19" t="s">
        <v>32</v>
      </c>
      <c r="C13" s="20" t="s">
        <v>41</v>
      </c>
      <c r="D13" s="20">
        <v>1.0</v>
      </c>
      <c r="E13" s="56">
        <v>9.0</v>
      </c>
      <c r="BV13" s="20">
        <v>2.0</v>
      </c>
      <c r="BX13" s="20">
        <v>9.0</v>
      </c>
      <c r="CC13" s="20">
        <v>8.0</v>
      </c>
      <c r="CS13" s="20">
        <v>6.0</v>
      </c>
      <c r="CW13" s="16">
        <f t="shared" si="1"/>
        <v>25</v>
      </c>
    </row>
    <row r="14">
      <c r="A14" s="18">
        <v>46046.0</v>
      </c>
      <c r="B14" s="19" t="s">
        <v>32</v>
      </c>
      <c r="C14" s="20" t="s">
        <v>41</v>
      </c>
      <c r="D14" s="20">
        <v>1.0</v>
      </c>
      <c r="E14" s="56">
        <v>10.0</v>
      </c>
      <c r="CR14" s="20">
        <v>25.0</v>
      </c>
      <c r="CW14" s="16">
        <f t="shared" si="1"/>
        <v>25</v>
      </c>
    </row>
    <row r="15">
      <c r="A15" s="18">
        <v>46046.0</v>
      </c>
      <c r="B15" s="19" t="s">
        <v>32</v>
      </c>
      <c r="C15" s="20" t="s">
        <v>41</v>
      </c>
      <c r="D15" s="20">
        <v>1.0</v>
      </c>
      <c r="E15" s="56">
        <v>11.0</v>
      </c>
      <c r="BX15" s="20">
        <v>1.0</v>
      </c>
      <c r="CM15" s="20">
        <v>1.0</v>
      </c>
      <c r="CR15" s="20">
        <v>23.0</v>
      </c>
      <c r="CW15" s="16">
        <f t="shared" si="1"/>
        <v>25</v>
      </c>
    </row>
    <row r="16">
      <c r="A16" s="18">
        <v>46046.0</v>
      </c>
      <c r="B16" s="19" t="s">
        <v>32</v>
      </c>
      <c r="C16" s="20" t="s">
        <v>192</v>
      </c>
      <c r="D16" s="57">
        <v>2.0</v>
      </c>
      <c r="E16" s="20">
        <v>0.0</v>
      </c>
      <c r="AL16" s="20">
        <v>3.0</v>
      </c>
      <c r="BC16" s="20">
        <v>6.0</v>
      </c>
      <c r="BI16" s="20">
        <v>1.0</v>
      </c>
      <c r="BM16" s="20">
        <v>1.0</v>
      </c>
      <c r="BS16" s="20">
        <v>1.0</v>
      </c>
      <c r="CS16" s="20">
        <v>8.0</v>
      </c>
      <c r="CW16" s="58">
        <f t="shared" ref="CW16:CW26" si="2">sum(F16:CV16)</f>
        <v>20</v>
      </c>
    </row>
    <row r="17">
      <c r="A17" s="18">
        <v>46046.0</v>
      </c>
      <c r="B17" s="19" t="s">
        <v>32</v>
      </c>
      <c r="C17" s="20" t="s">
        <v>192</v>
      </c>
      <c r="D17" s="57">
        <v>2.0</v>
      </c>
      <c r="E17" s="20">
        <v>1.0</v>
      </c>
      <c r="AJ17" s="20">
        <v>2.0</v>
      </c>
      <c r="AL17" s="20">
        <v>6.0</v>
      </c>
      <c r="BC17" s="20">
        <v>9.0</v>
      </c>
      <c r="BM17" s="20">
        <v>1.0</v>
      </c>
      <c r="CS17" s="20">
        <v>6.0</v>
      </c>
      <c r="CW17" s="58">
        <f t="shared" si="2"/>
        <v>24</v>
      </c>
    </row>
    <row r="18">
      <c r="A18" s="18">
        <v>46046.0</v>
      </c>
      <c r="B18" s="19" t="s">
        <v>32</v>
      </c>
      <c r="C18" s="20" t="s">
        <v>192</v>
      </c>
      <c r="D18" s="57">
        <v>2.0</v>
      </c>
      <c r="E18" s="20">
        <v>2.0</v>
      </c>
      <c r="T18" s="20">
        <v>1.0</v>
      </c>
      <c r="AT18" s="20">
        <v>1.0</v>
      </c>
      <c r="BC18" s="20">
        <v>4.0</v>
      </c>
      <c r="BM18" s="20">
        <v>5.0</v>
      </c>
      <c r="BP18" s="20">
        <v>2.0</v>
      </c>
      <c r="BS18" s="20">
        <v>2.0</v>
      </c>
      <c r="BV18" s="20">
        <v>1.0</v>
      </c>
      <c r="BW18" s="20">
        <v>1.0</v>
      </c>
      <c r="CS18" s="20">
        <v>5.0</v>
      </c>
      <c r="CW18" s="58">
        <f t="shared" si="2"/>
        <v>22</v>
      </c>
    </row>
    <row r="19">
      <c r="A19" s="18">
        <v>46046.0</v>
      </c>
      <c r="B19" s="19" t="s">
        <v>32</v>
      </c>
      <c r="C19" s="20" t="s">
        <v>192</v>
      </c>
      <c r="D19" s="57">
        <v>2.0</v>
      </c>
      <c r="E19" s="20">
        <v>3.0</v>
      </c>
      <c r="AO19" s="20">
        <v>1.0</v>
      </c>
      <c r="BC19" s="20">
        <v>1.0</v>
      </c>
      <c r="BI19" s="20">
        <v>2.0</v>
      </c>
      <c r="BL19" s="20">
        <v>8.0</v>
      </c>
      <c r="BM19" s="20">
        <v>14.0</v>
      </c>
      <c r="CW19" s="58">
        <f t="shared" si="2"/>
        <v>26</v>
      </c>
    </row>
    <row r="20">
      <c r="A20" s="18">
        <v>46046.0</v>
      </c>
      <c r="B20" s="19" t="s">
        <v>32</v>
      </c>
      <c r="C20" s="20" t="s">
        <v>192</v>
      </c>
      <c r="D20" s="57">
        <v>2.0</v>
      </c>
      <c r="E20" s="20">
        <v>4.0</v>
      </c>
      <c r="BI20" s="20">
        <v>10.0</v>
      </c>
      <c r="BL20" s="20">
        <v>10.0</v>
      </c>
      <c r="BM20" s="20">
        <v>3.0</v>
      </c>
      <c r="CW20" s="58">
        <f t="shared" si="2"/>
        <v>23</v>
      </c>
    </row>
    <row r="21">
      <c r="A21" s="18">
        <v>46046.0</v>
      </c>
      <c r="B21" s="19" t="s">
        <v>32</v>
      </c>
      <c r="C21" s="20" t="s">
        <v>192</v>
      </c>
      <c r="D21" s="57">
        <v>2.0</v>
      </c>
      <c r="E21" s="20">
        <v>5.0</v>
      </c>
      <c r="BL21" s="20">
        <v>21.0</v>
      </c>
      <c r="BM21" s="20">
        <v>1.0</v>
      </c>
      <c r="BV21" s="20">
        <v>5.0</v>
      </c>
      <c r="BW21" s="20"/>
      <c r="CW21" s="58">
        <f t="shared" si="2"/>
        <v>27</v>
      </c>
    </row>
    <row r="22">
      <c r="A22" s="18">
        <v>46046.0</v>
      </c>
      <c r="B22" s="19" t="s">
        <v>32</v>
      </c>
      <c r="C22" s="20" t="s">
        <v>192</v>
      </c>
      <c r="D22" s="57">
        <v>2.0</v>
      </c>
      <c r="E22" s="20">
        <v>6.0</v>
      </c>
      <c r="AJ22" s="20">
        <v>1.0</v>
      </c>
      <c r="BL22" s="20">
        <v>6.0</v>
      </c>
      <c r="BV22" s="20">
        <v>18.0</v>
      </c>
      <c r="BW22" s="20"/>
      <c r="CW22" s="58">
        <f t="shared" si="2"/>
        <v>25</v>
      </c>
    </row>
    <row r="23">
      <c r="A23" s="18">
        <v>46046.0</v>
      </c>
      <c r="B23" s="19" t="s">
        <v>32</v>
      </c>
      <c r="C23" s="20" t="s">
        <v>192</v>
      </c>
      <c r="D23" s="57">
        <v>2.0</v>
      </c>
      <c r="E23" s="20">
        <v>7.0</v>
      </c>
      <c r="BL23" s="20">
        <v>3.0</v>
      </c>
      <c r="BV23" s="20">
        <v>17.0</v>
      </c>
      <c r="BW23" s="20"/>
      <c r="CW23" s="58">
        <f t="shared" si="2"/>
        <v>20</v>
      </c>
    </row>
    <row r="24">
      <c r="A24" s="18">
        <v>46046.0</v>
      </c>
      <c r="B24" s="19" t="s">
        <v>32</v>
      </c>
      <c r="C24" s="20" t="s">
        <v>192</v>
      </c>
      <c r="D24" s="57">
        <v>2.0</v>
      </c>
      <c r="E24" s="20">
        <v>8.0</v>
      </c>
      <c r="T24" s="20">
        <v>11.0</v>
      </c>
      <c r="AT24" s="20">
        <v>1.0</v>
      </c>
      <c r="BI24" s="20">
        <v>1.0</v>
      </c>
      <c r="BL24" s="20">
        <v>5.0</v>
      </c>
      <c r="BM24" s="20">
        <v>2.0</v>
      </c>
      <c r="BV24" s="20">
        <v>4.0</v>
      </c>
      <c r="BW24" s="20"/>
      <c r="CR24" s="20">
        <v>2.0</v>
      </c>
      <c r="CS24" s="20">
        <v>2.0</v>
      </c>
      <c r="CW24" s="58">
        <f t="shared" si="2"/>
        <v>28</v>
      </c>
    </row>
    <row r="25">
      <c r="A25" s="18">
        <v>46046.0</v>
      </c>
      <c r="B25" s="19" t="s">
        <v>32</v>
      </c>
      <c r="C25" s="20" t="s">
        <v>192</v>
      </c>
      <c r="D25" s="57">
        <v>2.0</v>
      </c>
      <c r="E25" s="20">
        <v>9.0</v>
      </c>
      <c r="AW25" s="20">
        <v>1.0</v>
      </c>
      <c r="BL25" s="20">
        <v>1.0</v>
      </c>
      <c r="BV25" s="20">
        <v>11.0</v>
      </c>
      <c r="BW25" s="20"/>
      <c r="CS25" s="20">
        <v>7.0</v>
      </c>
      <c r="CW25" s="58">
        <f t="shared" si="2"/>
        <v>20</v>
      </c>
    </row>
    <row r="26">
      <c r="A26" s="18">
        <v>46046.0</v>
      </c>
      <c r="B26" s="19" t="s">
        <v>32</v>
      </c>
      <c r="C26" s="20" t="s">
        <v>192</v>
      </c>
      <c r="D26" s="57">
        <v>2.0</v>
      </c>
      <c r="E26" s="20">
        <v>10.0</v>
      </c>
      <c r="AL26" s="20">
        <v>1.0</v>
      </c>
      <c r="BV26" s="20">
        <v>7.0</v>
      </c>
      <c r="BW26" s="20"/>
      <c r="CR26" s="20">
        <v>5.0</v>
      </c>
      <c r="CS26" s="20">
        <v>12.0</v>
      </c>
      <c r="CW26" s="58">
        <f t="shared" si="2"/>
        <v>25</v>
      </c>
    </row>
    <row r="27">
      <c r="A27" s="27">
        <v>46046.0</v>
      </c>
      <c r="B27" s="28" t="s">
        <v>32</v>
      </c>
      <c r="C27" s="31" t="s">
        <v>77</v>
      </c>
      <c r="D27" s="31">
        <v>3.0</v>
      </c>
      <c r="E27" s="31">
        <v>0.0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1">
        <v>2.0</v>
      </c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1">
        <v>14.0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1">
        <v>4.0</v>
      </c>
      <c r="BA27" s="32"/>
      <c r="BB27" s="32"/>
      <c r="BC27" s="32"/>
      <c r="BD27" s="32"/>
      <c r="BE27" s="32"/>
      <c r="BF27" s="32"/>
      <c r="BG27" s="32"/>
      <c r="BH27" s="31">
        <v>1.0</v>
      </c>
      <c r="BI27" s="32"/>
      <c r="BJ27" s="32"/>
      <c r="BK27" s="32"/>
      <c r="BL27" s="32"/>
      <c r="BM27" s="31">
        <v>2.0</v>
      </c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1">
        <v>2.0</v>
      </c>
      <c r="CT27" s="32"/>
      <c r="CU27" s="32"/>
      <c r="CV27" s="32"/>
      <c r="CW27" s="32">
        <f t="shared" ref="CW27:CW63" si="3">SUM(G27:CV27)</f>
        <v>25</v>
      </c>
      <c r="CX27" s="31" t="s">
        <v>215</v>
      </c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</row>
    <row r="28">
      <c r="A28" s="27">
        <v>46046.0</v>
      </c>
      <c r="B28" s="28" t="s">
        <v>32</v>
      </c>
      <c r="C28" s="31" t="s">
        <v>67</v>
      </c>
      <c r="D28" s="31">
        <v>3.0</v>
      </c>
      <c r="E28" s="31">
        <v>1.0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1">
        <v>4.0</v>
      </c>
      <c r="U28" s="32"/>
      <c r="V28" s="32"/>
      <c r="W28" s="32"/>
      <c r="X28" s="32"/>
      <c r="Y28" s="32"/>
      <c r="Z28" s="32"/>
      <c r="AA28" s="32"/>
      <c r="AB28" s="32"/>
      <c r="AC28" s="32"/>
      <c r="AD28" s="31">
        <v>1.0</v>
      </c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1.0</v>
      </c>
      <c r="AU28" s="32"/>
      <c r="AV28" s="32"/>
      <c r="AW28" s="32"/>
      <c r="AX28" s="32"/>
      <c r="AY28" s="32"/>
      <c r="AZ28" s="31">
        <v>3.0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1">
        <v>12.0</v>
      </c>
      <c r="BN28" s="32"/>
      <c r="BO28" s="32"/>
      <c r="BP28" s="32"/>
      <c r="BQ28" s="32"/>
      <c r="BR28" s="32"/>
      <c r="BS28" s="32"/>
      <c r="BT28" s="32"/>
      <c r="BU28" s="32"/>
      <c r="BV28" s="31">
        <v>2.0</v>
      </c>
      <c r="BW28" s="31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1">
        <v>1.0</v>
      </c>
      <c r="CT28" s="32"/>
      <c r="CU28" s="32"/>
      <c r="CV28" s="32"/>
      <c r="CW28" s="32">
        <f t="shared" si="3"/>
        <v>24</v>
      </c>
      <c r="CX28" s="31" t="s">
        <v>216</v>
      </c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</row>
    <row r="29">
      <c r="A29" s="27">
        <v>46046.0</v>
      </c>
      <c r="B29" s="28" t="s">
        <v>32</v>
      </c>
      <c r="C29" s="31" t="s">
        <v>95</v>
      </c>
      <c r="D29" s="31">
        <v>3.0</v>
      </c>
      <c r="E29" s="31">
        <v>2.0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1">
        <v>3.0</v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1">
        <v>10.0</v>
      </c>
      <c r="BA29" s="32"/>
      <c r="BB29" s="32"/>
      <c r="BC29" s="32"/>
      <c r="BD29" s="32"/>
      <c r="BE29" s="32"/>
      <c r="BF29" s="32"/>
      <c r="BG29" s="32"/>
      <c r="BH29" s="32"/>
      <c r="BI29" s="31">
        <v>1.0</v>
      </c>
      <c r="BJ29" s="32"/>
      <c r="BK29" s="32"/>
      <c r="BL29" s="31">
        <v>1.0</v>
      </c>
      <c r="BM29" s="31">
        <v>3.0</v>
      </c>
      <c r="BN29" s="32"/>
      <c r="BO29" s="32"/>
      <c r="BP29" s="31">
        <v>1.0</v>
      </c>
      <c r="BQ29" s="32"/>
      <c r="BR29" s="32"/>
      <c r="BS29" s="31">
        <v>2.0</v>
      </c>
      <c r="BT29" s="32"/>
      <c r="BU29" s="32"/>
      <c r="BV29" s="31">
        <v>3.0</v>
      </c>
      <c r="BW29" s="31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1">
        <v>1.0</v>
      </c>
      <c r="CT29" s="32"/>
      <c r="CU29" s="32"/>
      <c r="CV29" s="32"/>
      <c r="CW29" s="32">
        <f t="shared" si="3"/>
        <v>25</v>
      </c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</row>
    <row r="30">
      <c r="A30" s="27">
        <v>46046.0</v>
      </c>
      <c r="B30" s="28" t="s">
        <v>32</v>
      </c>
      <c r="C30" s="31" t="s">
        <v>77</v>
      </c>
      <c r="D30" s="31">
        <v>3.0</v>
      </c>
      <c r="E30" s="31">
        <v>3.0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1.0</v>
      </c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1">
        <v>13.0</v>
      </c>
      <c r="BM30" s="32"/>
      <c r="BN30" s="32"/>
      <c r="BO30" s="32"/>
      <c r="BP30" s="32"/>
      <c r="BQ30" s="32"/>
      <c r="BR30" s="32"/>
      <c r="BS30" s="32"/>
      <c r="BT30" s="32"/>
      <c r="BU30" s="32"/>
      <c r="BV30" s="31">
        <v>11.0</v>
      </c>
      <c r="BW30" s="31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>
        <f t="shared" si="3"/>
        <v>25</v>
      </c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</row>
    <row r="31">
      <c r="A31" s="27">
        <v>46046.0</v>
      </c>
      <c r="B31" s="28" t="s">
        <v>32</v>
      </c>
      <c r="C31" s="31" t="s">
        <v>67</v>
      </c>
      <c r="D31" s="31">
        <v>3.0</v>
      </c>
      <c r="E31" s="31">
        <v>4.0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1">
        <v>1.0</v>
      </c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1">
        <v>1.0</v>
      </c>
      <c r="AM31" s="32"/>
      <c r="AN31" s="32"/>
      <c r="AO31" s="32"/>
      <c r="AP31" s="32"/>
      <c r="AQ31" s="32"/>
      <c r="AR31" s="32"/>
      <c r="AS31" s="32"/>
      <c r="AT31" s="31">
        <v>1.0</v>
      </c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1">
        <v>1.0</v>
      </c>
      <c r="BJ31" s="32"/>
      <c r="BK31" s="32"/>
      <c r="BL31" s="31">
        <v>11.0</v>
      </c>
      <c r="BM31" s="31">
        <v>5.0</v>
      </c>
      <c r="BN31" s="32"/>
      <c r="BO31" s="32"/>
      <c r="BP31" s="32"/>
      <c r="BQ31" s="32"/>
      <c r="BR31" s="32"/>
      <c r="BS31" s="32"/>
      <c r="BT31" s="32"/>
      <c r="BU31" s="32"/>
      <c r="BV31" s="31">
        <v>5.0</v>
      </c>
      <c r="BW31" s="31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>
        <f t="shared" si="3"/>
        <v>25</v>
      </c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</row>
    <row r="32">
      <c r="A32" s="27">
        <v>46046.0</v>
      </c>
      <c r="B32" s="28" t="s">
        <v>32</v>
      </c>
      <c r="C32" s="31" t="s">
        <v>95</v>
      </c>
      <c r="D32" s="31">
        <v>3.0</v>
      </c>
      <c r="E32" s="31">
        <v>5.0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1">
        <v>1.0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1">
        <v>2.0</v>
      </c>
      <c r="BJ32" s="32"/>
      <c r="BK32" s="32"/>
      <c r="BL32" s="31">
        <v>16.0</v>
      </c>
      <c r="BM32" s="31">
        <v>3.0</v>
      </c>
      <c r="BN32" s="32"/>
      <c r="BO32" s="32"/>
      <c r="BP32" s="32"/>
      <c r="BQ32" s="32"/>
      <c r="BR32" s="32"/>
      <c r="BS32" s="32"/>
      <c r="BT32" s="32"/>
      <c r="BU32" s="32"/>
      <c r="BV32" s="31">
        <v>3.0</v>
      </c>
      <c r="BW32" s="31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>
        <f t="shared" si="3"/>
        <v>25</v>
      </c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</row>
    <row r="33">
      <c r="A33" s="27">
        <v>46046.0</v>
      </c>
      <c r="B33" s="28" t="s">
        <v>32</v>
      </c>
      <c r="C33" s="31" t="s">
        <v>77</v>
      </c>
      <c r="D33" s="31">
        <v>3.0</v>
      </c>
      <c r="E33" s="31">
        <v>6.0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1">
        <v>1.0</v>
      </c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1">
        <v>9.0</v>
      </c>
      <c r="BM33" s="31">
        <v>3.0</v>
      </c>
      <c r="BN33" s="32"/>
      <c r="BO33" s="32"/>
      <c r="BP33" s="32"/>
      <c r="BQ33" s="32"/>
      <c r="BR33" s="32"/>
      <c r="BS33" s="32"/>
      <c r="BT33" s="32"/>
      <c r="BU33" s="32"/>
      <c r="BV33" s="31">
        <v>12.0</v>
      </c>
      <c r="BW33" s="31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>
        <f t="shared" si="3"/>
        <v>25</v>
      </c>
      <c r="CX33" s="31" t="s">
        <v>217</v>
      </c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</row>
    <row r="34">
      <c r="A34" s="27">
        <v>46046.0</v>
      </c>
      <c r="B34" s="28" t="s">
        <v>32</v>
      </c>
      <c r="C34" s="31" t="s">
        <v>67</v>
      </c>
      <c r="D34" s="31">
        <v>3.0</v>
      </c>
      <c r="E34" s="31">
        <v>7.0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1">
        <v>1.0</v>
      </c>
      <c r="AM34" s="32"/>
      <c r="AN34" s="32"/>
      <c r="AO34" s="32"/>
      <c r="AP34" s="32"/>
      <c r="AQ34" s="32"/>
      <c r="AR34" s="32"/>
      <c r="AS34" s="32"/>
      <c r="AT34" s="31">
        <v>5.0</v>
      </c>
      <c r="AU34" s="32"/>
      <c r="AV34" s="32"/>
      <c r="AW34" s="32"/>
      <c r="AX34" s="32"/>
      <c r="AY34" s="31">
        <v>10.0</v>
      </c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1">
        <v>2.0</v>
      </c>
      <c r="BM34" s="31">
        <v>1.0</v>
      </c>
      <c r="BN34" s="32"/>
      <c r="BO34" s="32"/>
      <c r="BP34" s="32"/>
      <c r="BQ34" s="32"/>
      <c r="BR34" s="32"/>
      <c r="BS34" s="32"/>
      <c r="BT34" s="32"/>
      <c r="BU34" s="32"/>
      <c r="BV34" s="31">
        <v>4.0</v>
      </c>
      <c r="BW34" s="32"/>
      <c r="BX34" s="31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1">
        <v>1.0</v>
      </c>
      <c r="CS34" s="31">
        <v>1.0</v>
      </c>
      <c r="CT34" s="32"/>
      <c r="CU34" s="32"/>
      <c r="CV34" s="32"/>
      <c r="CW34" s="32">
        <f t="shared" si="3"/>
        <v>25</v>
      </c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</row>
    <row r="35">
      <c r="A35" s="27">
        <v>46046.0</v>
      </c>
      <c r="B35" s="28" t="s">
        <v>32</v>
      </c>
      <c r="C35" s="31" t="s">
        <v>95</v>
      </c>
      <c r="D35" s="31">
        <v>3.0</v>
      </c>
      <c r="E35" s="31">
        <v>8.0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1">
        <v>7.0</v>
      </c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1">
        <v>6.0</v>
      </c>
      <c r="BM35" s="32"/>
      <c r="BN35" s="32"/>
      <c r="BO35" s="32"/>
      <c r="BP35" s="32"/>
      <c r="BQ35" s="32"/>
      <c r="BR35" s="32"/>
      <c r="BS35" s="32"/>
      <c r="BT35" s="32"/>
      <c r="BU35" s="32"/>
      <c r="BV35" s="31">
        <v>12.0</v>
      </c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>
        <f t="shared" si="3"/>
        <v>25</v>
      </c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</row>
    <row r="36">
      <c r="A36" s="27">
        <v>46046.0</v>
      </c>
      <c r="B36" s="28" t="s">
        <v>32</v>
      </c>
      <c r="C36" s="31" t="s">
        <v>77</v>
      </c>
      <c r="D36" s="31">
        <v>3.0</v>
      </c>
      <c r="E36" s="31">
        <v>9.0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1">
        <v>9.0</v>
      </c>
      <c r="BW36" s="31"/>
      <c r="BX36" s="31">
        <v>12.0</v>
      </c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1">
        <v>4.0</v>
      </c>
      <c r="CQ36" s="32"/>
      <c r="CR36" s="32"/>
      <c r="CS36" s="32"/>
      <c r="CT36" s="32"/>
      <c r="CU36" s="32"/>
      <c r="CV36" s="32"/>
      <c r="CW36" s="32">
        <f t="shared" si="3"/>
        <v>25</v>
      </c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</row>
    <row r="37">
      <c r="A37" s="27">
        <v>46046.0</v>
      </c>
      <c r="B37" s="28" t="s">
        <v>32</v>
      </c>
      <c r="C37" s="31" t="s">
        <v>77</v>
      </c>
      <c r="D37" s="31">
        <v>3.0</v>
      </c>
      <c r="E37" s="31">
        <v>10.0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1">
        <v>1.0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1">
        <v>2.0</v>
      </c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1">
        <v>4.0</v>
      </c>
      <c r="BW37" s="32"/>
      <c r="BX37" s="31">
        <v>4.0</v>
      </c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1">
        <v>2.0</v>
      </c>
      <c r="CN37" s="32"/>
      <c r="CO37" s="32"/>
      <c r="CP37" s="32"/>
      <c r="CQ37" s="32"/>
      <c r="CR37" s="32"/>
      <c r="CS37" s="31">
        <v>12.0</v>
      </c>
      <c r="CT37" s="32"/>
      <c r="CU37" s="32"/>
      <c r="CV37" s="32"/>
      <c r="CW37" s="32">
        <f t="shared" si="3"/>
        <v>25</v>
      </c>
      <c r="CX37" s="31" t="s">
        <v>218</v>
      </c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</row>
    <row r="38">
      <c r="A38" s="27">
        <v>46046.0</v>
      </c>
      <c r="B38" s="28" t="s">
        <v>32</v>
      </c>
      <c r="C38" s="31" t="s">
        <v>67</v>
      </c>
      <c r="D38" s="31">
        <v>3.0</v>
      </c>
      <c r="E38" s="31">
        <v>11.0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1">
        <v>1.0</v>
      </c>
      <c r="CN38" s="32"/>
      <c r="CO38" s="32"/>
      <c r="CP38" s="32"/>
      <c r="CQ38" s="32"/>
      <c r="CR38" s="32"/>
      <c r="CS38" s="31">
        <v>24.0</v>
      </c>
      <c r="CT38" s="32"/>
      <c r="CU38" s="32"/>
      <c r="CV38" s="32"/>
      <c r="CW38" s="32">
        <f t="shared" si="3"/>
        <v>25</v>
      </c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</row>
    <row r="39">
      <c r="A39" s="27">
        <v>46046.0</v>
      </c>
      <c r="B39" s="28" t="s">
        <v>32</v>
      </c>
      <c r="C39" s="31" t="s">
        <v>67</v>
      </c>
      <c r="D39" s="31">
        <v>3.0</v>
      </c>
      <c r="E39" s="31">
        <v>12.0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1">
        <v>1.0</v>
      </c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1"/>
      <c r="CN39" s="32"/>
      <c r="CO39" s="32"/>
      <c r="CP39" s="32"/>
      <c r="CQ39" s="32"/>
      <c r="CR39" s="32"/>
      <c r="CS39" s="31">
        <v>24.0</v>
      </c>
      <c r="CT39" s="32"/>
      <c r="CU39" s="32"/>
      <c r="CV39" s="32"/>
      <c r="CW39" s="32">
        <f t="shared" si="3"/>
        <v>25</v>
      </c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</row>
    <row r="40">
      <c r="A40" s="47" t="s">
        <v>122</v>
      </c>
      <c r="B40" s="42" t="s">
        <v>32</v>
      </c>
      <c r="D40" s="47">
        <v>4.0</v>
      </c>
      <c r="E40" s="47">
        <v>0.0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7">
        <v>0.0</v>
      </c>
      <c r="U40" s="48"/>
      <c r="V40" s="48"/>
      <c r="W40" s="47">
        <v>0.0</v>
      </c>
      <c r="X40" s="48"/>
      <c r="Y40" s="48"/>
      <c r="Z40" s="48"/>
      <c r="AA40" s="48"/>
      <c r="AB40" s="48"/>
      <c r="AC40" s="48"/>
      <c r="AD40" s="47">
        <v>0.0</v>
      </c>
      <c r="AE40" s="48"/>
      <c r="AF40" s="48"/>
      <c r="AG40" s="48"/>
      <c r="AH40" s="48"/>
      <c r="AI40" s="48"/>
      <c r="AJ40" s="48"/>
      <c r="AK40" s="47">
        <v>0.0</v>
      </c>
      <c r="AL40" s="47">
        <v>7.0</v>
      </c>
      <c r="AM40" s="48"/>
      <c r="AN40" s="48"/>
      <c r="AO40" s="48"/>
      <c r="AP40" s="48"/>
      <c r="AQ40" s="48"/>
      <c r="AR40" s="48"/>
      <c r="AS40" s="48"/>
      <c r="AT40" s="47">
        <v>0.0</v>
      </c>
      <c r="AU40" s="48"/>
      <c r="AV40" s="48"/>
      <c r="AW40" s="47">
        <v>0.0</v>
      </c>
      <c r="AX40" s="47">
        <v>0.0</v>
      </c>
      <c r="AY40" s="48"/>
      <c r="AZ40" s="47">
        <v>4.0</v>
      </c>
      <c r="BA40" s="48"/>
      <c r="BB40" s="48"/>
      <c r="BC40" s="48"/>
      <c r="BD40" s="48"/>
      <c r="BE40" s="48"/>
      <c r="BF40" s="48"/>
      <c r="BG40" s="48"/>
      <c r="BH40" s="48"/>
      <c r="BI40" s="47">
        <v>0.0</v>
      </c>
      <c r="BJ40" s="48"/>
      <c r="BK40" s="48"/>
      <c r="BL40" s="47">
        <v>0.0</v>
      </c>
      <c r="BM40" s="48"/>
      <c r="BN40" s="47">
        <v>14.0</v>
      </c>
      <c r="BO40" s="48"/>
      <c r="BP40" s="48"/>
      <c r="BQ40" s="48"/>
      <c r="BR40" s="48"/>
      <c r="BS40" s="48"/>
      <c r="BT40" s="48"/>
      <c r="BU40" s="48"/>
      <c r="BV40" s="47">
        <v>0.0</v>
      </c>
      <c r="BW40" s="47"/>
      <c r="BX40" s="47">
        <v>0.0</v>
      </c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7">
        <v>0.0</v>
      </c>
      <c r="CK40" s="48"/>
      <c r="CL40" s="48"/>
      <c r="CM40" s="48"/>
      <c r="CN40" s="48"/>
      <c r="CO40" s="48"/>
      <c r="CP40" s="47">
        <v>0.0</v>
      </c>
      <c r="CQ40" s="48"/>
      <c r="CR40" s="47">
        <v>0.0</v>
      </c>
      <c r="CS40" s="47"/>
      <c r="CT40" s="47">
        <v>0.0</v>
      </c>
      <c r="CU40" s="47"/>
      <c r="CV40" s="47">
        <v>0.0</v>
      </c>
      <c r="CW40" s="48">
        <f t="shared" si="3"/>
        <v>25</v>
      </c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</row>
    <row r="41">
      <c r="A41" s="59">
        <v>46046.0</v>
      </c>
      <c r="B41" s="42" t="s">
        <v>32</v>
      </c>
      <c r="C41" s="47" t="s">
        <v>122</v>
      </c>
      <c r="D41" s="47">
        <v>4.0</v>
      </c>
      <c r="E41" s="47">
        <v>1.0</v>
      </c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7">
        <v>1.0</v>
      </c>
      <c r="U41" s="48"/>
      <c r="V41" s="48"/>
      <c r="W41" s="47">
        <v>0.0</v>
      </c>
      <c r="X41" s="48"/>
      <c r="Y41" s="48"/>
      <c r="Z41" s="48"/>
      <c r="AA41" s="48"/>
      <c r="AB41" s="48"/>
      <c r="AC41" s="48"/>
      <c r="AD41" s="47">
        <v>1.0</v>
      </c>
      <c r="AE41" s="48"/>
      <c r="AF41" s="48"/>
      <c r="AG41" s="48"/>
      <c r="AH41" s="48"/>
      <c r="AI41" s="48"/>
      <c r="AJ41" s="48"/>
      <c r="AK41" s="47">
        <v>0.0</v>
      </c>
      <c r="AL41" s="47">
        <v>0.0</v>
      </c>
      <c r="AM41" s="48"/>
      <c r="AN41" s="48"/>
      <c r="AO41" s="48"/>
      <c r="AP41" s="48"/>
      <c r="AQ41" s="48"/>
      <c r="AR41" s="48"/>
      <c r="AS41" s="48"/>
      <c r="AT41" s="47">
        <v>0.0</v>
      </c>
      <c r="AU41" s="48"/>
      <c r="AV41" s="48"/>
      <c r="AW41" s="47">
        <v>0.0</v>
      </c>
      <c r="AX41" s="47">
        <v>0.0</v>
      </c>
      <c r="AY41" s="48"/>
      <c r="AZ41" s="47">
        <v>1.0</v>
      </c>
      <c r="BA41" s="48"/>
      <c r="BB41" s="48"/>
      <c r="BC41" s="48"/>
      <c r="BD41" s="48"/>
      <c r="BE41" s="48"/>
      <c r="BF41" s="48"/>
      <c r="BG41" s="48"/>
      <c r="BH41" s="48"/>
      <c r="BI41" s="47">
        <v>2.0</v>
      </c>
      <c r="BJ41" s="48"/>
      <c r="BK41" s="48"/>
      <c r="BL41" s="47">
        <v>0.0</v>
      </c>
      <c r="BM41" s="48"/>
      <c r="BN41" s="47">
        <v>19.0</v>
      </c>
      <c r="BO41" s="48"/>
      <c r="BP41" s="48"/>
      <c r="BQ41" s="48"/>
      <c r="BR41" s="48"/>
      <c r="BS41" s="48"/>
      <c r="BT41" s="48"/>
      <c r="BU41" s="48"/>
      <c r="BV41" s="47">
        <v>0.0</v>
      </c>
      <c r="BW41" s="47"/>
      <c r="BX41" s="47">
        <v>0.0</v>
      </c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7">
        <v>0.0</v>
      </c>
      <c r="CK41" s="48"/>
      <c r="CL41" s="48"/>
      <c r="CM41" s="48"/>
      <c r="CN41" s="48"/>
      <c r="CO41" s="48"/>
      <c r="CP41" s="47">
        <v>1.0</v>
      </c>
      <c r="CQ41" s="48"/>
      <c r="CR41" s="47">
        <v>0.0</v>
      </c>
      <c r="CS41" s="47"/>
      <c r="CT41" s="47">
        <v>0.0</v>
      </c>
      <c r="CU41" s="47"/>
      <c r="CV41" s="47">
        <v>0.0</v>
      </c>
      <c r="CW41" s="48">
        <f t="shared" si="3"/>
        <v>25</v>
      </c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</row>
    <row r="42">
      <c r="A42" s="59">
        <v>46046.0</v>
      </c>
      <c r="B42" s="42" t="s">
        <v>32</v>
      </c>
      <c r="C42" s="47" t="s">
        <v>122</v>
      </c>
      <c r="D42" s="47">
        <v>4.0</v>
      </c>
      <c r="E42" s="47">
        <v>2.0</v>
      </c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7">
        <v>2.0</v>
      </c>
      <c r="U42" s="48"/>
      <c r="V42" s="48"/>
      <c r="W42" s="47">
        <v>0.0</v>
      </c>
      <c r="X42" s="48"/>
      <c r="Y42" s="48"/>
      <c r="Z42" s="48"/>
      <c r="AA42" s="48"/>
      <c r="AB42" s="48"/>
      <c r="AC42" s="48"/>
      <c r="AD42" s="47">
        <v>0.0</v>
      </c>
      <c r="AE42" s="48"/>
      <c r="AF42" s="48"/>
      <c r="AG42" s="48"/>
      <c r="AH42" s="48"/>
      <c r="AI42" s="48"/>
      <c r="AJ42" s="48"/>
      <c r="AK42" s="47">
        <v>0.0</v>
      </c>
      <c r="AL42" s="47">
        <v>0.0</v>
      </c>
      <c r="AM42" s="48"/>
      <c r="AN42" s="48"/>
      <c r="AO42" s="48"/>
      <c r="AP42" s="48"/>
      <c r="AQ42" s="48"/>
      <c r="AR42" s="48"/>
      <c r="AS42" s="48"/>
      <c r="AT42" s="47">
        <v>1.0</v>
      </c>
      <c r="AU42" s="48"/>
      <c r="AV42" s="48"/>
      <c r="AW42" s="47">
        <v>0.0</v>
      </c>
      <c r="AX42" s="47">
        <v>0.0</v>
      </c>
      <c r="AY42" s="48"/>
      <c r="AZ42" s="47">
        <v>0.0</v>
      </c>
      <c r="BA42" s="48"/>
      <c r="BB42" s="48"/>
      <c r="BC42" s="48"/>
      <c r="BD42" s="48"/>
      <c r="BE42" s="48"/>
      <c r="BF42" s="48"/>
      <c r="BG42" s="48"/>
      <c r="BH42" s="48"/>
      <c r="BI42" s="47">
        <v>1.0</v>
      </c>
      <c r="BJ42" s="48"/>
      <c r="BK42" s="48"/>
      <c r="BL42" s="47">
        <v>10.0</v>
      </c>
      <c r="BM42" s="48"/>
      <c r="BN42" s="47">
        <v>8.0</v>
      </c>
      <c r="BO42" s="48"/>
      <c r="BP42" s="48"/>
      <c r="BQ42" s="48"/>
      <c r="BR42" s="48"/>
      <c r="BS42" s="48"/>
      <c r="BT42" s="48"/>
      <c r="BU42" s="48"/>
      <c r="BV42" s="47">
        <v>2.0</v>
      </c>
      <c r="BW42" s="47"/>
      <c r="BX42" s="47">
        <v>0.0</v>
      </c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7">
        <v>0.0</v>
      </c>
      <c r="CK42" s="48"/>
      <c r="CL42" s="48"/>
      <c r="CM42" s="48"/>
      <c r="CN42" s="48"/>
      <c r="CO42" s="48"/>
      <c r="CP42" s="47">
        <v>1.0</v>
      </c>
      <c r="CQ42" s="48"/>
      <c r="CR42" s="47">
        <v>0.0</v>
      </c>
      <c r="CS42" s="47"/>
      <c r="CT42" s="47">
        <v>0.0</v>
      </c>
      <c r="CU42" s="47"/>
      <c r="CV42" s="47">
        <v>0.0</v>
      </c>
      <c r="CW42" s="48">
        <f t="shared" si="3"/>
        <v>25</v>
      </c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</row>
    <row r="43">
      <c r="A43" s="59">
        <v>46046.0</v>
      </c>
      <c r="B43" s="42" t="s">
        <v>32</v>
      </c>
      <c r="C43" s="47" t="s">
        <v>122</v>
      </c>
      <c r="D43" s="47">
        <v>4.0</v>
      </c>
      <c r="E43" s="47">
        <v>3.0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7">
        <v>1.0</v>
      </c>
      <c r="U43" s="48"/>
      <c r="V43" s="48"/>
      <c r="W43" s="47">
        <v>0.0</v>
      </c>
      <c r="X43" s="48"/>
      <c r="Y43" s="48"/>
      <c r="Z43" s="48"/>
      <c r="AA43" s="48"/>
      <c r="AB43" s="48"/>
      <c r="AC43" s="48"/>
      <c r="AD43" s="47">
        <v>0.0</v>
      </c>
      <c r="AE43" s="48"/>
      <c r="AF43" s="48"/>
      <c r="AG43" s="48"/>
      <c r="AH43" s="48"/>
      <c r="AI43" s="48"/>
      <c r="AJ43" s="48"/>
      <c r="AK43" s="47">
        <v>3.0</v>
      </c>
      <c r="AL43" s="47">
        <v>0.0</v>
      </c>
      <c r="AM43" s="48"/>
      <c r="AN43" s="48"/>
      <c r="AO43" s="48"/>
      <c r="AP43" s="48"/>
      <c r="AQ43" s="48"/>
      <c r="AR43" s="48"/>
      <c r="AS43" s="48"/>
      <c r="AT43" s="47">
        <v>0.0</v>
      </c>
      <c r="AU43" s="48"/>
      <c r="AV43" s="48"/>
      <c r="AW43" s="47">
        <v>1.0</v>
      </c>
      <c r="AX43" s="47">
        <v>0.0</v>
      </c>
      <c r="AY43" s="48"/>
      <c r="AZ43" s="47">
        <v>0.0</v>
      </c>
      <c r="BA43" s="48"/>
      <c r="BB43" s="48"/>
      <c r="BC43" s="48"/>
      <c r="BD43" s="48"/>
      <c r="BE43" s="48"/>
      <c r="BF43" s="48"/>
      <c r="BG43" s="48"/>
      <c r="BH43" s="48"/>
      <c r="BI43" s="47">
        <v>0.0</v>
      </c>
      <c r="BJ43" s="48"/>
      <c r="BK43" s="48"/>
      <c r="BL43" s="47">
        <v>5.0</v>
      </c>
      <c r="BM43" s="48"/>
      <c r="BN43" s="47">
        <v>11.0</v>
      </c>
      <c r="BO43" s="48"/>
      <c r="BP43" s="48"/>
      <c r="BQ43" s="48"/>
      <c r="BR43" s="48"/>
      <c r="BS43" s="48"/>
      <c r="BT43" s="48"/>
      <c r="BU43" s="48"/>
      <c r="BV43" s="47">
        <v>0.0</v>
      </c>
      <c r="BW43" s="47"/>
      <c r="BX43" s="47">
        <v>0.0</v>
      </c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7">
        <v>0.0</v>
      </c>
      <c r="CK43" s="48"/>
      <c r="CL43" s="48"/>
      <c r="CM43" s="48"/>
      <c r="CN43" s="48"/>
      <c r="CO43" s="48"/>
      <c r="CP43" s="47">
        <v>3.0</v>
      </c>
      <c r="CQ43" s="48"/>
      <c r="CR43" s="47">
        <v>0.0</v>
      </c>
      <c r="CS43" s="47"/>
      <c r="CT43" s="47">
        <v>1.0</v>
      </c>
      <c r="CU43" s="47"/>
      <c r="CV43" s="47">
        <v>0.0</v>
      </c>
      <c r="CW43" s="48">
        <f t="shared" si="3"/>
        <v>25</v>
      </c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</row>
    <row r="44">
      <c r="A44" s="59">
        <v>46046.0</v>
      </c>
      <c r="B44" s="42" t="s">
        <v>32</v>
      </c>
      <c r="C44" s="47" t="s">
        <v>122</v>
      </c>
      <c r="D44" s="47">
        <v>4.0</v>
      </c>
      <c r="E44" s="47">
        <v>4.0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7">
        <v>5.0</v>
      </c>
      <c r="U44" s="48"/>
      <c r="V44" s="48"/>
      <c r="W44" s="47">
        <v>0.0</v>
      </c>
      <c r="X44" s="48"/>
      <c r="Y44" s="48"/>
      <c r="Z44" s="48"/>
      <c r="AA44" s="48"/>
      <c r="AB44" s="48"/>
      <c r="AC44" s="48"/>
      <c r="AD44" s="47">
        <v>0.0</v>
      </c>
      <c r="AE44" s="48"/>
      <c r="AF44" s="48"/>
      <c r="AG44" s="48"/>
      <c r="AH44" s="48"/>
      <c r="AI44" s="48"/>
      <c r="AJ44" s="48"/>
      <c r="AK44" s="47">
        <v>1.0</v>
      </c>
      <c r="AL44" s="47">
        <v>0.0</v>
      </c>
      <c r="AM44" s="48"/>
      <c r="AN44" s="48"/>
      <c r="AO44" s="48"/>
      <c r="AP44" s="48"/>
      <c r="AQ44" s="48"/>
      <c r="AR44" s="48"/>
      <c r="AS44" s="48"/>
      <c r="AT44" s="47">
        <v>0.0</v>
      </c>
      <c r="AU44" s="48"/>
      <c r="AV44" s="48"/>
      <c r="AW44" s="47">
        <v>0.0</v>
      </c>
      <c r="AX44" s="47">
        <v>0.0</v>
      </c>
      <c r="AY44" s="48"/>
      <c r="AZ44" s="47">
        <v>0.0</v>
      </c>
      <c r="BA44" s="48"/>
      <c r="BB44" s="48"/>
      <c r="BC44" s="48"/>
      <c r="BD44" s="48"/>
      <c r="BE44" s="48"/>
      <c r="BF44" s="48"/>
      <c r="BG44" s="48"/>
      <c r="BH44" s="48"/>
      <c r="BI44" s="47">
        <v>0.0</v>
      </c>
      <c r="BJ44" s="48"/>
      <c r="BK44" s="48"/>
      <c r="BL44" s="47">
        <v>18.0</v>
      </c>
      <c r="BM44" s="48"/>
      <c r="BN44" s="47">
        <v>1.0</v>
      </c>
      <c r="BO44" s="48"/>
      <c r="BP44" s="48"/>
      <c r="BQ44" s="48"/>
      <c r="BR44" s="48"/>
      <c r="BS44" s="48"/>
      <c r="BT44" s="48"/>
      <c r="BU44" s="48"/>
      <c r="BV44" s="47">
        <v>0.0</v>
      </c>
      <c r="BW44" s="47"/>
      <c r="BX44" s="47">
        <v>0.0</v>
      </c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7">
        <v>0.0</v>
      </c>
      <c r="CK44" s="48"/>
      <c r="CL44" s="48"/>
      <c r="CM44" s="48"/>
      <c r="CN44" s="48"/>
      <c r="CO44" s="48"/>
      <c r="CP44" s="47">
        <v>0.0</v>
      </c>
      <c r="CQ44" s="48"/>
      <c r="CR44" s="47">
        <v>0.0</v>
      </c>
      <c r="CS44" s="47"/>
      <c r="CT44" s="47">
        <v>0.0</v>
      </c>
      <c r="CU44" s="47"/>
      <c r="CV44" s="47">
        <v>0.0</v>
      </c>
      <c r="CW44" s="48">
        <f t="shared" si="3"/>
        <v>25</v>
      </c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</row>
    <row r="45">
      <c r="A45" s="59">
        <v>46046.0</v>
      </c>
      <c r="B45" s="42" t="s">
        <v>32</v>
      </c>
      <c r="C45" s="47" t="s">
        <v>122</v>
      </c>
      <c r="D45" s="47">
        <v>4.0</v>
      </c>
      <c r="E45" s="47">
        <v>5.0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7">
        <v>0.0</v>
      </c>
      <c r="U45" s="48"/>
      <c r="V45" s="48"/>
      <c r="W45" s="47">
        <v>0.0</v>
      </c>
      <c r="X45" s="48"/>
      <c r="Y45" s="48"/>
      <c r="Z45" s="48"/>
      <c r="AA45" s="48"/>
      <c r="AB45" s="48"/>
      <c r="AC45" s="48"/>
      <c r="AD45" s="47">
        <v>0.0</v>
      </c>
      <c r="AE45" s="48"/>
      <c r="AF45" s="48"/>
      <c r="AG45" s="48"/>
      <c r="AH45" s="48"/>
      <c r="AI45" s="48"/>
      <c r="AJ45" s="48"/>
      <c r="AK45" s="47">
        <v>1.0</v>
      </c>
      <c r="AL45" s="47">
        <v>0.0</v>
      </c>
      <c r="AM45" s="48"/>
      <c r="AN45" s="48"/>
      <c r="AO45" s="48"/>
      <c r="AP45" s="48"/>
      <c r="AQ45" s="48"/>
      <c r="AR45" s="48"/>
      <c r="AS45" s="48"/>
      <c r="AT45" s="47">
        <v>2.0</v>
      </c>
      <c r="AU45" s="48"/>
      <c r="AV45" s="48"/>
      <c r="AW45" s="47">
        <v>0.0</v>
      </c>
      <c r="AX45" s="47">
        <v>2.0</v>
      </c>
      <c r="AY45" s="48"/>
      <c r="AZ45" s="47">
        <v>0.0</v>
      </c>
      <c r="BA45" s="48"/>
      <c r="BB45" s="48"/>
      <c r="BC45" s="48"/>
      <c r="BD45" s="48"/>
      <c r="BE45" s="48"/>
      <c r="BF45" s="48"/>
      <c r="BG45" s="48"/>
      <c r="BH45" s="48"/>
      <c r="BI45" s="47">
        <v>0.0</v>
      </c>
      <c r="BJ45" s="48"/>
      <c r="BK45" s="48"/>
      <c r="BL45" s="47">
        <v>9.0</v>
      </c>
      <c r="BM45" s="48"/>
      <c r="BN45" s="47">
        <v>4.0</v>
      </c>
      <c r="BO45" s="48"/>
      <c r="BP45" s="48"/>
      <c r="BQ45" s="48"/>
      <c r="BR45" s="48"/>
      <c r="BS45" s="48"/>
      <c r="BT45" s="48"/>
      <c r="BU45" s="48"/>
      <c r="BV45" s="47">
        <v>3.0</v>
      </c>
      <c r="BW45" s="47"/>
      <c r="BX45" s="47">
        <v>1.0</v>
      </c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7">
        <v>0.0</v>
      </c>
      <c r="CK45" s="48"/>
      <c r="CL45" s="48"/>
      <c r="CM45" s="48"/>
      <c r="CN45" s="48"/>
      <c r="CO45" s="48"/>
      <c r="CP45" s="47">
        <v>2.0</v>
      </c>
      <c r="CQ45" s="48"/>
      <c r="CR45" s="47">
        <v>0.0</v>
      </c>
      <c r="CS45" s="47"/>
      <c r="CT45" s="47">
        <v>1.0</v>
      </c>
      <c r="CU45" s="47"/>
      <c r="CV45" s="47">
        <v>0.0</v>
      </c>
      <c r="CW45" s="48">
        <f t="shared" si="3"/>
        <v>25</v>
      </c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</row>
    <row r="46">
      <c r="A46" s="59">
        <v>46046.0</v>
      </c>
      <c r="B46" s="42" t="s">
        <v>32</v>
      </c>
      <c r="C46" s="47" t="s">
        <v>122</v>
      </c>
      <c r="D46" s="47">
        <v>4.0</v>
      </c>
      <c r="E46" s="47">
        <v>6.0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7">
        <v>0.0</v>
      </c>
      <c r="U46" s="48"/>
      <c r="V46" s="48"/>
      <c r="W46" s="47">
        <v>0.0</v>
      </c>
      <c r="X46" s="48"/>
      <c r="Y46" s="48"/>
      <c r="Z46" s="48"/>
      <c r="AA46" s="48"/>
      <c r="AB46" s="48"/>
      <c r="AC46" s="48"/>
      <c r="AD46" s="47">
        <v>0.0</v>
      </c>
      <c r="AE46" s="48"/>
      <c r="AF46" s="48"/>
      <c r="AG46" s="48"/>
      <c r="AH46" s="48"/>
      <c r="AI46" s="48"/>
      <c r="AJ46" s="48"/>
      <c r="AK46" s="47">
        <v>0.0</v>
      </c>
      <c r="AL46" s="47">
        <v>1.0</v>
      </c>
      <c r="AM46" s="48"/>
      <c r="AN46" s="48"/>
      <c r="AO46" s="48"/>
      <c r="AP46" s="48"/>
      <c r="AQ46" s="48"/>
      <c r="AR46" s="48"/>
      <c r="AS46" s="48"/>
      <c r="AT46" s="47">
        <v>0.0</v>
      </c>
      <c r="AU46" s="48"/>
      <c r="AV46" s="48"/>
      <c r="AW46" s="47">
        <v>0.0</v>
      </c>
      <c r="AX46" s="47">
        <v>2.0</v>
      </c>
      <c r="AY46" s="48"/>
      <c r="AZ46" s="47">
        <v>0.0</v>
      </c>
      <c r="BA46" s="48"/>
      <c r="BB46" s="48"/>
      <c r="BC46" s="48"/>
      <c r="BD46" s="48"/>
      <c r="BE46" s="48"/>
      <c r="BF46" s="48"/>
      <c r="BG46" s="48"/>
      <c r="BH46" s="48"/>
      <c r="BI46" s="47">
        <v>0.0</v>
      </c>
      <c r="BJ46" s="48"/>
      <c r="BK46" s="48"/>
      <c r="BL46" s="47">
        <v>6.0</v>
      </c>
      <c r="BM46" s="48"/>
      <c r="BN46" s="47">
        <v>7.0</v>
      </c>
      <c r="BO46" s="48"/>
      <c r="BP46" s="48"/>
      <c r="BQ46" s="48"/>
      <c r="BR46" s="48"/>
      <c r="BS46" s="48"/>
      <c r="BT46" s="48"/>
      <c r="BU46" s="48"/>
      <c r="BV46" s="47">
        <v>1.0</v>
      </c>
      <c r="BW46" s="47"/>
      <c r="BX46" s="47">
        <v>0.0</v>
      </c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7">
        <v>0.0</v>
      </c>
      <c r="CK46" s="48"/>
      <c r="CL46" s="48"/>
      <c r="CM46" s="48"/>
      <c r="CN46" s="48"/>
      <c r="CO46" s="48"/>
      <c r="CP46" s="47">
        <v>1.0</v>
      </c>
      <c r="CQ46" s="48"/>
      <c r="CR46" s="47">
        <v>7.0</v>
      </c>
      <c r="CS46" s="47"/>
      <c r="CT46" s="47">
        <v>0.0</v>
      </c>
      <c r="CU46" s="47"/>
      <c r="CV46" s="47">
        <v>0.0</v>
      </c>
      <c r="CW46" s="48">
        <f t="shared" si="3"/>
        <v>25</v>
      </c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</row>
    <row r="47">
      <c r="A47" s="59">
        <v>46046.0</v>
      </c>
      <c r="B47" s="42" t="s">
        <v>32</v>
      </c>
      <c r="C47" s="47" t="s">
        <v>122</v>
      </c>
      <c r="D47" s="47">
        <v>4.0</v>
      </c>
      <c r="E47" s="47">
        <v>7.0</v>
      </c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7">
        <v>0.0</v>
      </c>
      <c r="U47" s="48"/>
      <c r="V47" s="48"/>
      <c r="W47" s="47">
        <v>0.0</v>
      </c>
      <c r="X47" s="48"/>
      <c r="Y47" s="48"/>
      <c r="Z47" s="48"/>
      <c r="AA47" s="48"/>
      <c r="AB47" s="48"/>
      <c r="AC47" s="48"/>
      <c r="AD47" s="47">
        <v>0.0</v>
      </c>
      <c r="AE47" s="48"/>
      <c r="AF47" s="48"/>
      <c r="AG47" s="48"/>
      <c r="AH47" s="48"/>
      <c r="AI47" s="48"/>
      <c r="AJ47" s="48"/>
      <c r="AK47" s="47">
        <v>0.0</v>
      </c>
      <c r="AL47" s="47">
        <v>0.0</v>
      </c>
      <c r="AM47" s="48"/>
      <c r="AN47" s="48"/>
      <c r="AO47" s="48"/>
      <c r="AP47" s="48"/>
      <c r="AQ47" s="48"/>
      <c r="AR47" s="48"/>
      <c r="AS47" s="48"/>
      <c r="AT47" s="47">
        <v>0.0</v>
      </c>
      <c r="AU47" s="48"/>
      <c r="AV47" s="48"/>
      <c r="AW47" s="47">
        <v>0.0</v>
      </c>
      <c r="AX47" s="47">
        <v>0.0</v>
      </c>
      <c r="AY47" s="48"/>
      <c r="AZ47" s="47">
        <v>0.0</v>
      </c>
      <c r="BA47" s="48"/>
      <c r="BB47" s="48"/>
      <c r="BC47" s="48"/>
      <c r="BD47" s="48"/>
      <c r="BE47" s="48"/>
      <c r="BF47" s="48"/>
      <c r="BG47" s="48"/>
      <c r="BH47" s="48"/>
      <c r="BI47" s="47">
        <v>0.0</v>
      </c>
      <c r="BJ47" s="48"/>
      <c r="BK47" s="48"/>
      <c r="BL47" s="47">
        <v>0.0</v>
      </c>
      <c r="BM47" s="48"/>
      <c r="BN47" s="47">
        <v>0.0</v>
      </c>
      <c r="BO47" s="48"/>
      <c r="BP47" s="48"/>
      <c r="BQ47" s="48"/>
      <c r="BR47" s="48"/>
      <c r="BS47" s="48"/>
      <c r="BT47" s="48"/>
      <c r="BU47" s="48"/>
      <c r="BV47" s="47">
        <v>19.0</v>
      </c>
      <c r="BW47" s="47"/>
      <c r="BX47" s="47">
        <v>0.0</v>
      </c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7">
        <v>0.0</v>
      </c>
      <c r="CK47" s="48"/>
      <c r="CL47" s="48"/>
      <c r="CM47" s="48"/>
      <c r="CN47" s="48"/>
      <c r="CO47" s="48"/>
      <c r="CP47" s="47">
        <v>5.0</v>
      </c>
      <c r="CQ47" s="48"/>
      <c r="CR47" s="47">
        <v>1.0</v>
      </c>
      <c r="CS47" s="47"/>
      <c r="CT47" s="47">
        <v>0.0</v>
      </c>
      <c r="CU47" s="47"/>
      <c r="CV47" s="47">
        <v>0.0</v>
      </c>
      <c r="CW47" s="48">
        <f t="shared" si="3"/>
        <v>25</v>
      </c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</row>
    <row r="48">
      <c r="A48" s="59">
        <v>46046.0</v>
      </c>
      <c r="B48" s="42" t="s">
        <v>32</v>
      </c>
      <c r="C48" s="47" t="s">
        <v>122</v>
      </c>
      <c r="D48" s="47">
        <v>4.0</v>
      </c>
      <c r="E48" s="47">
        <v>8.0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7">
        <v>0.0</v>
      </c>
      <c r="U48" s="48"/>
      <c r="V48" s="48"/>
      <c r="W48" s="47">
        <v>0.0</v>
      </c>
      <c r="X48" s="48"/>
      <c r="Y48" s="48"/>
      <c r="Z48" s="48"/>
      <c r="AA48" s="48"/>
      <c r="AB48" s="48"/>
      <c r="AC48" s="48"/>
      <c r="AD48" s="47">
        <v>0.0</v>
      </c>
      <c r="AE48" s="48"/>
      <c r="AF48" s="48"/>
      <c r="AG48" s="48"/>
      <c r="AH48" s="48"/>
      <c r="AI48" s="48"/>
      <c r="AJ48" s="48"/>
      <c r="AK48" s="47">
        <v>0.0</v>
      </c>
      <c r="AL48" s="47">
        <v>0.0</v>
      </c>
      <c r="AM48" s="48"/>
      <c r="AN48" s="48"/>
      <c r="AO48" s="48"/>
      <c r="AP48" s="48"/>
      <c r="AQ48" s="48"/>
      <c r="AR48" s="48"/>
      <c r="AS48" s="48"/>
      <c r="AT48" s="47">
        <v>0.0</v>
      </c>
      <c r="AU48" s="48"/>
      <c r="AV48" s="48"/>
      <c r="AW48" s="47">
        <v>0.0</v>
      </c>
      <c r="AX48" s="47">
        <v>0.0</v>
      </c>
      <c r="AY48" s="48"/>
      <c r="AZ48" s="47">
        <v>0.0</v>
      </c>
      <c r="BA48" s="48"/>
      <c r="BB48" s="48"/>
      <c r="BC48" s="48"/>
      <c r="BD48" s="48"/>
      <c r="BE48" s="48"/>
      <c r="BF48" s="48"/>
      <c r="BG48" s="48"/>
      <c r="BH48" s="48"/>
      <c r="BI48" s="47">
        <v>0.0</v>
      </c>
      <c r="BJ48" s="48"/>
      <c r="BK48" s="48"/>
      <c r="BL48" s="47">
        <v>1.0</v>
      </c>
      <c r="BM48" s="48"/>
      <c r="BN48" s="47">
        <v>0.0</v>
      </c>
      <c r="BO48" s="48"/>
      <c r="BP48" s="48"/>
      <c r="BQ48" s="48"/>
      <c r="BR48" s="48"/>
      <c r="BS48" s="48"/>
      <c r="BT48" s="48"/>
      <c r="BU48" s="48"/>
      <c r="BV48" s="47">
        <v>8.0</v>
      </c>
      <c r="BW48" s="47"/>
      <c r="BX48" s="47">
        <v>16.0</v>
      </c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7">
        <v>0.0</v>
      </c>
      <c r="CK48" s="48"/>
      <c r="CL48" s="48"/>
      <c r="CM48" s="48"/>
      <c r="CN48" s="48"/>
      <c r="CO48" s="48"/>
      <c r="CP48" s="47">
        <v>0.0</v>
      </c>
      <c r="CQ48" s="48"/>
      <c r="CR48" s="47">
        <v>0.0</v>
      </c>
      <c r="CS48" s="47"/>
      <c r="CT48" s="47">
        <v>0.0</v>
      </c>
      <c r="CU48" s="47"/>
      <c r="CV48" s="47">
        <v>0.0</v>
      </c>
      <c r="CW48" s="48">
        <f t="shared" si="3"/>
        <v>25</v>
      </c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</row>
    <row r="49">
      <c r="A49" s="59">
        <v>46046.0</v>
      </c>
      <c r="B49" s="42" t="s">
        <v>32</v>
      </c>
      <c r="C49" s="47" t="s">
        <v>122</v>
      </c>
      <c r="D49" s="47">
        <v>4.0</v>
      </c>
      <c r="E49" s="47">
        <v>9.0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7">
        <v>0.0</v>
      </c>
      <c r="U49" s="48"/>
      <c r="V49" s="48"/>
      <c r="W49" s="47">
        <v>2.0</v>
      </c>
      <c r="X49" s="48"/>
      <c r="Y49" s="48"/>
      <c r="Z49" s="48"/>
      <c r="AA49" s="48"/>
      <c r="AB49" s="48"/>
      <c r="AC49" s="48"/>
      <c r="AD49" s="47">
        <v>0.0</v>
      </c>
      <c r="AE49" s="48"/>
      <c r="AF49" s="48"/>
      <c r="AG49" s="48"/>
      <c r="AH49" s="48"/>
      <c r="AI49" s="48"/>
      <c r="AJ49" s="48"/>
      <c r="AK49" s="47">
        <v>0.0</v>
      </c>
      <c r="AL49" s="47">
        <v>0.0</v>
      </c>
      <c r="AM49" s="48"/>
      <c r="AN49" s="48"/>
      <c r="AO49" s="48"/>
      <c r="AP49" s="48"/>
      <c r="AQ49" s="48"/>
      <c r="AR49" s="48"/>
      <c r="AS49" s="48"/>
      <c r="AT49" s="47">
        <v>0.0</v>
      </c>
      <c r="AU49" s="48"/>
      <c r="AV49" s="48"/>
      <c r="AW49" s="47">
        <v>0.0</v>
      </c>
      <c r="AX49" s="47">
        <v>0.0</v>
      </c>
      <c r="AY49" s="48"/>
      <c r="AZ49" s="47">
        <v>0.0</v>
      </c>
      <c r="BA49" s="48"/>
      <c r="BB49" s="48"/>
      <c r="BC49" s="48"/>
      <c r="BD49" s="48"/>
      <c r="BE49" s="48"/>
      <c r="BF49" s="48"/>
      <c r="BG49" s="48"/>
      <c r="BH49" s="48"/>
      <c r="BI49" s="47">
        <v>0.0</v>
      </c>
      <c r="BJ49" s="48"/>
      <c r="BK49" s="48"/>
      <c r="BL49" s="47">
        <v>0.0</v>
      </c>
      <c r="BM49" s="48"/>
      <c r="BN49" s="47">
        <v>0.0</v>
      </c>
      <c r="BO49" s="48"/>
      <c r="BP49" s="48"/>
      <c r="BQ49" s="48"/>
      <c r="BR49" s="48"/>
      <c r="BS49" s="48"/>
      <c r="BT49" s="48"/>
      <c r="BU49" s="48"/>
      <c r="BV49" s="47">
        <v>0.0</v>
      </c>
      <c r="BW49" s="47"/>
      <c r="BX49" s="47">
        <v>8.0</v>
      </c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7">
        <v>0.0</v>
      </c>
      <c r="CK49" s="48"/>
      <c r="CL49" s="48"/>
      <c r="CM49" s="48"/>
      <c r="CN49" s="48"/>
      <c r="CO49" s="48"/>
      <c r="CP49" s="47">
        <v>12.0</v>
      </c>
      <c r="CQ49" s="48"/>
      <c r="CR49" s="47">
        <v>0.0</v>
      </c>
      <c r="CS49" s="47"/>
      <c r="CT49" s="47">
        <v>0.0</v>
      </c>
      <c r="CU49" s="47"/>
      <c r="CV49" s="47">
        <v>2.0</v>
      </c>
      <c r="CW49" s="60">
        <f t="shared" si="3"/>
        <v>24</v>
      </c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</row>
    <row r="50">
      <c r="A50" s="59">
        <v>46046.0</v>
      </c>
      <c r="B50" s="42" t="s">
        <v>32</v>
      </c>
      <c r="C50" s="47" t="s">
        <v>122</v>
      </c>
      <c r="D50" s="47">
        <v>4.0</v>
      </c>
      <c r="E50" s="47">
        <v>10.0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7">
        <v>0.0</v>
      </c>
      <c r="U50" s="48"/>
      <c r="V50" s="48"/>
      <c r="W50" s="47">
        <v>0.0</v>
      </c>
      <c r="X50" s="48"/>
      <c r="Y50" s="48"/>
      <c r="Z50" s="48"/>
      <c r="AA50" s="48"/>
      <c r="AB50" s="48"/>
      <c r="AC50" s="48"/>
      <c r="AD50" s="47">
        <v>0.0</v>
      </c>
      <c r="AE50" s="48"/>
      <c r="AF50" s="48"/>
      <c r="AG50" s="48"/>
      <c r="AH50" s="48"/>
      <c r="AI50" s="48"/>
      <c r="AJ50" s="48"/>
      <c r="AK50" s="47">
        <v>0.0</v>
      </c>
      <c r="AL50" s="47">
        <v>0.0</v>
      </c>
      <c r="AM50" s="48"/>
      <c r="AN50" s="48"/>
      <c r="AO50" s="48"/>
      <c r="AP50" s="48"/>
      <c r="AQ50" s="48"/>
      <c r="AR50" s="48"/>
      <c r="AS50" s="48"/>
      <c r="AT50" s="47">
        <v>0.0</v>
      </c>
      <c r="AU50" s="48"/>
      <c r="AV50" s="48"/>
      <c r="AW50" s="47">
        <v>0.0</v>
      </c>
      <c r="AX50" s="47">
        <v>0.0</v>
      </c>
      <c r="AY50" s="48"/>
      <c r="AZ50" s="47">
        <v>0.0</v>
      </c>
      <c r="BA50" s="48"/>
      <c r="BB50" s="48"/>
      <c r="BC50" s="48"/>
      <c r="BD50" s="48"/>
      <c r="BE50" s="48"/>
      <c r="BF50" s="48"/>
      <c r="BG50" s="48"/>
      <c r="BH50" s="48"/>
      <c r="BI50" s="47">
        <v>0.0</v>
      </c>
      <c r="BJ50" s="48"/>
      <c r="BK50" s="48"/>
      <c r="BL50" s="47">
        <v>0.0</v>
      </c>
      <c r="BM50" s="48"/>
      <c r="BN50" s="47">
        <v>0.0</v>
      </c>
      <c r="BO50" s="48"/>
      <c r="BP50" s="48"/>
      <c r="BQ50" s="48"/>
      <c r="BR50" s="48"/>
      <c r="BS50" s="48"/>
      <c r="BT50" s="48"/>
      <c r="BU50" s="48"/>
      <c r="BV50" s="47">
        <v>0.0</v>
      </c>
      <c r="BW50" s="47"/>
      <c r="BX50" s="47">
        <v>0.0</v>
      </c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7">
        <v>2.0</v>
      </c>
      <c r="CK50" s="48"/>
      <c r="CL50" s="48"/>
      <c r="CM50" s="48"/>
      <c r="CN50" s="48"/>
      <c r="CO50" s="48"/>
      <c r="CP50" s="47">
        <v>23.0</v>
      </c>
      <c r="CQ50" s="48"/>
      <c r="CR50" s="47">
        <v>0.0</v>
      </c>
      <c r="CS50" s="47"/>
      <c r="CT50" s="47">
        <v>0.0</v>
      </c>
      <c r="CU50" s="47"/>
      <c r="CV50" s="47">
        <v>0.0</v>
      </c>
      <c r="CW50" s="48">
        <f t="shared" si="3"/>
        <v>25</v>
      </c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</row>
    <row r="51">
      <c r="A51" s="59">
        <v>46046.0</v>
      </c>
      <c r="B51" s="42" t="s">
        <v>32</v>
      </c>
      <c r="C51" s="47" t="s">
        <v>122</v>
      </c>
      <c r="D51" s="47">
        <v>4.0</v>
      </c>
      <c r="E51" s="47">
        <v>11.0</v>
      </c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7">
        <v>0.0</v>
      </c>
      <c r="U51" s="48"/>
      <c r="V51" s="48"/>
      <c r="W51" s="47">
        <v>0.0</v>
      </c>
      <c r="X51" s="48"/>
      <c r="Y51" s="48"/>
      <c r="Z51" s="48"/>
      <c r="AA51" s="48"/>
      <c r="AB51" s="48"/>
      <c r="AC51" s="48"/>
      <c r="AD51" s="47">
        <v>0.0</v>
      </c>
      <c r="AE51" s="48"/>
      <c r="AF51" s="48"/>
      <c r="AG51" s="48"/>
      <c r="AH51" s="48"/>
      <c r="AI51" s="48"/>
      <c r="AJ51" s="48"/>
      <c r="AK51" s="47">
        <v>0.0</v>
      </c>
      <c r="AL51" s="47">
        <v>0.0</v>
      </c>
      <c r="AM51" s="48"/>
      <c r="AN51" s="48"/>
      <c r="AO51" s="48"/>
      <c r="AP51" s="48"/>
      <c r="AQ51" s="48"/>
      <c r="AR51" s="48"/>
      <c r="AS51" s="48"/>
      <c r="AT51" s="47">
        <v>0.0</v>
      </c>
      <c r="AU51" s="48"/>
      <c r="AV51" s="48"/>
      <c r="AW51" s="47">
        <v>0.0</v>
      </c>
      <c r="AX51" s="47">
        <v>0.0</v>
      </c>
      <c r="AY51" s="48"/>
      <c r="AZ51" s="47">
        <v>0.0</v>
      </c>
      <c r="BA51" s="48"/>
      <c r="BB51" s="48"/>
      <c r="BC51" s="48"/>
      <c r="BD51" s="48"/>
      <c r="BE51" s="48"/>
      <c r="BF51" s="48"/>
      <c r="BG51" s="48"/>
      <c r="BH51" s="48"/>
      <c r="BI51" s="47">
        <v>0.0</v>
      </c>
      <c r="BJ51" s="48"/>
      <c r="BK51" s="48"/>
      <c r="BL51" s="47">
        <v>0.0</v>
      </c>
      <c r="BM51" s="48"/>
      <c r="BN51" s="47">
        <v>0.0</v>
      </c>
      <c r="BO51" s="48"/>
      <c r="BP51" s="48"/>
      <c r="BQ51" s="48"/>
      <c r="BR51" s="48"/>
      <c r="BS51" s="48"/>
      <c r="BT51" s="48"/>
      <c r="BU51" s="48"/>
      <c r="BV51" s="47">
        <v>0.0</v>
      </c>
      <c r="BW51" s="47"/>
      <c r="BX51" s="47">
        <v>0.0</v>
      </c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7">
        <v>6.0</v>
      </c>
      <c r="CK51" s="48"/>
      <c r="CL51" s="48"/>
      <c r="CM51" s="48"/>
      <c r="CN51" s="48"/>
      <c r="CO51" s="48"/>
      <c r="CP51" s="47">
        <v>19.0</v>
      </c>
      <c r="CQ51" s="48"/>
      <c r="CR51" s="47">
        <v>0.0</v>
      </c>
      <c r="CS51" s="47"/>
      <c r="CT51" s="47">
        <v>0.0</v>
      </c>
      <c r="CU51" s="47"/>
      <c r="CV51" s="47">
        <v>0.0</v>
      </c>
      <c r="CW51" s="48">
        <f t="shared" si="3"/>
        <v>25</v>
      </c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</row>
    <row r="52">
      <c r="A52" s="59">
        <v>46046.0</v>
      </c>
      <c r="B52" s="42" t="s">
        <v>32</v>
      </c>
      <c r="C52" s="47" t="s">
        <v>122</v>
      </c>
      <c r="D52" s="47">
        <v>4.0</v>
      </c>
      <c r="E52" s="47">
        <v>12.0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7">
        <v>0.0</v>
      </c>
      <c r="U52" s="48"/>
      <c r="V52" s="48"/>
      <c r="W52" s="47">
        <v>0.0</v>
      </c>
      <c r="X52" s="48"/>
      <c r="Y52" s="48"/>
      <c r="Z52" s="48"/>
      <c r="AA52" s="48"/>
      <c r="AB52" s="48"/>
      <c r="AC52" s="48"/>
      <c r="AD52" s="47">
        <v>0.0</v>
      </c>
      <c r="AE52" s="48"/>
      <c r="AF52" s="48"/>
      <c r="AG52" s="48"/>
      <c r="AH52" s="48"/>
      <c r="AI52" s="48"/>
      <c r="AJ52" s="48"/>
      <c r="AK52" s="47">
        <v>0.0</v>
      </c>
      <c r="AL52" s="47">
        <v>0.0</v>
      </c>
      <c r="AM52" s="48"/>
      <c r="AN52" s="48"/>
      <c r="AO52" s="48"/>
      <c r="AP52" s="48"/>
      <c r="AQ52" s="48"/>
      <c r="AR52" s="48"/>
      <c r="AS52" s="48"/>
      <c r="AT52" s="47">
        <v>0.0</v>
      </c>
      <c r="AU52" s="48"/>
      <c r="AV52" s="48"/>
      <c r="AW52" s="47">
        <v>0.0</v>
      </c>
      <c r="AX52" s="47">
        <v>0.0</v>
      </c>
      <c r="AY52" s="48"/>
      <c r="AZ52" s="47">
        <v>0.0</v>
      </c>
      <c r="BA52" s="48"/>
      <c r="BB52" s="48"/>
      <c r="BC52" s="48"/>
      <c r="BD52" s="48"/>
      <c r="BE52" s="48"/>
      <c r="BF52" s="48"/>
      <c r="BG52" s="48"/>
      <c r="BH52" s="48"/>
      <c r="BI52" s="47">
        <v>0.0</v>
      </c>
      <c r="BJ52" s="48"/>
      <c r="BK52" s="48"/>
      <c r="BL52" s="47">
        <v>0.0</v>
      </c>
      <c r="BM52" s="48"/>
      <c r="BN52" s="47">
        <v>0.0</v>
      </c>
      <c r="BO52" s="48"/>
      <c r="BP52" s="48"/>
      <c r="BQ52" s="48"/>
      <c r="BR52" s="48"/>
      <c r="BS52" s="48"/>
      <c r="BT52" s="48"/>
      <c r="BU52" s="48"/>
      <c r="BV52" s="47">
        <v>0.0</v>
      </c>
      <c r="BW52" s="47"/>
      <c r="BX52" s="47">
        <v>0.0</v>
      </c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7">
        <v>0.0</v>
      </c>
      <c r="CK52" s="48"/>
      <c r="CL52" s="48"/>
      <c r="CM52" s="48"/>
      <c r="CN52" s="48"/>
      <c r="CO52" s="48"/>
      <c r="CP52" s="47">
        <v>25.0</v>
      </c>
      <c r="CQ52" s="48"/>
      <c r="CR52" s="47">
        <v>0.0</v>
      </c>
      <c r="CS52" s="47"/>
      <c r="CT52" s="47">
        <v>0.0</v>
      </c>
      <c r="CU52" s="47"/>
      <c r="CV52" s="47">
        <v>0.0</v>
      </c>
      <c r="CW52" s="48">
        <f t="shared" si="3"/>
        <v>25</v>
      </c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</row>
    <row r="53">
      <c r="A53" s="22">
        <v>46047.0</v>
      </c>
      <c r="B53" s="61" t="s">
        <v>31</v>
      </c>
      <c r="C53" s="62" t="s">
        <v>201</v>
      </c>
      <c r="D53" s="63">
        <v>4.0</v>
      </c>
      <c r="E53" s="63">
        <v>0.0</v>
      </c>
      <c r="F53" s="64"/>
      <c r="G53" s="63">
        <v>0.0</v>
      </c>
      <c r="H53" s="64"/>
      <c r="I53" s="64"/>
      <c r="J53" s="64"/>
      <c r="K53" s="64"/>
      <c r="L53" s="64"/>
      <c r="M53" s="64"/>
      <c r="N53" s="64"/>
      <c r="O53" s="64"/>
      <c r="P53" s="63">
        <v>0.0</v>
      </c>
      <c r="Q53" s="64"/>
      <c r="R53" s="64"/>
      <c r="S53" s="64"/>
      <c r="T53" s="63">
        <v>2.0</v>
      </c>
      <c r="U53" s="64"/>
      <c r="V53" s="64"/>
      <c r="W53" s="64"/>
      <c r="X53" s="64"/>
      <c r="Y53" s="64"/>
      <c r="Z53" s="63">
        <v>0.0</v>
      </c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3">
        <v>0.0</v>
      </c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3">
        <v>0.0</v>
      </c>
      <c r="AZ53" s="64"/>
      <c r="BA53" s="64"/>
      <c r="BB53" s="64"/>
      <c r="BC53" s="64"/>
      <c r="BD53" s="64"/>
      <c r="BE53" s="64"/>
      <c r="BF53" s="64"/>
      <c r="BG53" s="64"/>
      <c r="BH53" s="64"/>
      <c r="BI53" s="63">
        <v>0.0</v>
      </c>
      <c r="BJ53" s="64"/>
      <c r="BK53" s="64"/>
      <c r="BL53" s="63">
        <v>9.0</v>
      </c>
      <c r="BM53" s="63">
        <v>0.0</v>
      </c>
      <c r="BN53" s="64"/>
      <c r="BO53" s="64"/>
      <c r="BP53" s="64"/>
      <c r="BQ53" s="64"/>
      <c r="BR53" s="64"/>
      <c r="BS53" s="64"/>
      <c r="BT53" s="64"/>
      <c r="BU53" s="64"/>
      <c r="BV53" s="63">
        <v>13.0</v>
      </c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3">
        <v>0.0</v>
      </c>
      <c r="CS53" s="63">
        <v>1.0</v>
      </c>
      <c r="CT53" s="63">
        <v>0.0</v>
      </c>
      <c r="CU53" s="63"/>
      <c r="CV53" s="64"/>
      <c r="CW53" s="65">
        <f t="shared" si="3"/>
        <v>25</v>
      </c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</row>
    <row r="54">
      <c r="A54" s="22">
        <v>46047.0</v>
      </c>
      <c r="B54" s="61" t="s">
        <v>31</v>
      </c>
      <c r="C54" s="62" t="s">
        <v>201</v>
      </c>
      <c r="D54" s="66">
        <v>4.0</v>
      </c>
      <c r="E54" s="63">
        <v>3.0</v>
      </c>
      <c r="F54" s="64"/>
      <c r="G54" s="63">
        <v>0.0</v>
      </c>
      <c r="H54" s="64"/>
      <c r="I54" s="64"/>
      <c r="J54" s="64"/>
      <c r="K54" s="64"/>
      <c r="L54" s="64"/>
      <c r="M54" s="64"/>
      <c r="N54" s="64"/>
      <c r="O54" s="64"/>
      <c r="P54" s="63">
        <v>0.0</v>
      </c>
      <c r="Q54" s="64"/>
      <c r="R54" s="64"/>
      <c r="S54" s="64"/>
      <c r="T54" s="63">
        <v>0.0</v>
      </c>
      <c r="U54" s="64"/>
      <c r="V54" s="64"/>
      <c r="W54" s="64"/>
      <c r="X54" s="64"/>
      <c r="Y54" s="64"/>
      <c r="Z54" s="63">
        <v>0.0</v>
      </c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3">
        <v>0.0</v>
      </c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3">
        <v>0.0</v>
      </c>
      <c r="AZ54" s="64"/>
      <c r="BA54" s="64"/>
      <c r="BB54" s="64"/>
      <c r="BC54" s="64"/>
      <c r="BD54" s="64"/>
      <c r="BE54" s="64"/>
      <c r="BF54" s="64"/>
      <c r="BG54" s="64"/>
      <c r="BH54" s="64"/>
      <c r="BI54" s="63">
        <v>1.0</v>
      </c>
      <c r="BJ54" s="64"/>
      <c r="BK54" s="64"/>
      <c r="BL54" s="63">
        <v>6.0</v>
      </c>
      <c r="BM54" s="63">
        <v>0.0</v>
      </c>
      <c r="BN54" s="64"/>
      <c r="BO54" s="64"/>
      <c r="BP54" s="64"/>
      <c r="BQ54" s="64"/>
      <c r="BR54" s="64"/>
      <c r="BS54" s="64"/>
      <c r="BT54" s="64"/>
      <c r="BU54" s="64"/>
      <c r="BV54" s="63">
        <v>6.0</v>
      </c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3">
        <v>8.0</v>
      </c>
      <c r="CS54" s="63">
        <v>4.0</v>
      </c>
      <c r="CT54" s="63">
        <v>0.0</v>
      </c>
      <c r="CU54" s="63"/>
      <c r="CV54" s="64"/>
      <c r="CW54" s="65">
        <f t="shared" si="3"/>
        <v>25</v>
      </c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</row>
    <row r="55">
      <c r="A55" s="22">
        <v>46047.0</v>
      </c>
      <c r="B55" s="61" t="s">
        <v>31</v>
      </c>
      <c r="C55" s="62" t="s">
        <v>201</v>
      </c>
      <c r="D55" s="66">
        <v>4.0</v>
      </c>
      <c r="E55" s="63">
        <v>6.0</v>
      </c>
      <c r="F55" s="64"/>
      <c r="G55" s="63">
        <v>0.0</v>
      </c>
      <c r="H55" s="64"/>
      <c r="I55" s="64"/>
      <c r="J55" s="64"/>
      <c r="K55" s="64"/>
      <c r="L55" s="64"/>
      <c r="M55" s="64"/>
      <c r="N55" s="64"/>
      <c r="O55" s="64"/>
      <c r="P55" s="63">
        <v>3.0</v>
      </c>
      <c r="Q55" s="64"/>
      <c r="R55" s="64"/>
      <c r="S55" s="64"/>
      <c r="T55" s="63">
        <v>7.0</v>
      </c>
      <c r="U55" s="64"/>
      <c r="V55" s="64"/>
      <c r="W55" s="64"/>
      <c r="X55" s="64"/>
      <c r="Y55" s="64"/>
      <c r="Z55" s="63">
        <v>0.0</v>
      </c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3">
        <v>0.0</v>
      </c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3">
        <v>0.0</v>
      </c>
      <c r="AZ55" s="64"/>
      <c r="BA55" s="64"/>
      <c r="BB55" s="64"/>
      <c r="BC55" s="64"/>
      <c r="BD55" s="64"/>
      <c r="BE55" s="64"/>
      <c r="BF55" s="64"/>
      <c r="BG55" s="64"/>
      <c r="BH55" s="64"/>
      <c r="BI55" s="63">
        <v>0.0</v>
      </c>
      <c r="BJ55" s="64"/>
      <c r="BK55" s="64"/>
      <c r="BL55" s="63">
        <v>1.0</v>
      </c>
      <c r="BM55" s="63">
        <v>1.0</v>
      </c>
      <c r="BN55" s="64"/>
      <c r="BO55" s="64"/>
      <c r="BP55" s="64"/>
      <c r="BQ55" s="64"/>
      <c r="BR55" s="64"/>
      <c r="BS55" s="64"/>
      <c r="BT55" s="64"/>
      <c r="BU55" s="64"/>
      <c r="BV55" s="63">
        <v>10.0</v>
      </c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3">
        <v>0.0</v>
      </c>
      <c r="CS55" s="63">
        <v>3.0</v>
      </c>
      <c r="CT55" s="63">
        <v>0.0</v>
      </c>
      <c r="CU55" s="63"/>
      <c r="CV55" s="64"/>
      <c r="CW55" s="65">
        <f t="shared" si="3"/>
        <v>25</v>
      </c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</row>
    <row r="56">
      <c r="A56" s="22">
        <v>46047.0</v>
      </c>
      <c r="B56" s="61" t="s">
        <v>31</v>
      </c>
      <c r="C56" s="62" t="s">
        <v>201</v>
      </c>
      <c r="D56" s="63">
        <v>4.0</v>
      </c>
      <c r="E56" s="63">
        <v>9.0</v>
      </c>
      <c r="F56" s="64"/>
      <c r="G56" s="63">
        <v>0.0</v>
      </c>
      <c r="H56" s="64"/>
      <c r="I56" s="64"/>
      <c r="J56" s="64"/>
      <c r="K56" s="64"/>
      <c r="L56" s="64"/>
      <c r="M56" s="64"/>
      <c r="N56" s="64"/>
      <c r="O56" s="64"/>
      <c r="P56" s="63">
        <v>10.0</v>
      </c>
      <c r="Q56" s="64"/>
      <c r="R56" s="64"/>
      <c r="S56" s="64"/>
      <c r="T56" s="63">
        <v>1.0</v>
      </c>
      <c r="U56" s="64"/>
      <c r="V56" s="64"/>
      <c r="W56" s="64"/>
      <c r="X56" s="64"/>
      <c r="Y56" s="64"/>
      <c r="Z56" s="63">
        <v>0.0</v>
      </c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3">
        <v>0.0</v>
      </c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3">
        <v>0.0</v>
      </c>
      <c r="AZ56" s="64"/>
      <c r="BA56" s="64"/>
      <c r="BB56" s="64"/>
      <c r="BC56" s="64"/>
      <c r="BD56" s="64"/>
      <c r="BE56" s="64"/>
      <c r="BF56" s="64"/>
      <c r="BG56" s="64"/>
      <c r="BH56" s="64"/>
      <c r="BI56" s="63">
        <v>0.0</v>
      </c>
      <c r="BJ56" s="64"/>
      <c r="BK56" s="64"/>
      <c r="BL56" s="63">
        <v>3.0</v>
      </c>
      <c r="BM56" s="63">
        <v>0.0</v>
      </c>
      <c r="BN56" s="64"/>
      <c r="BO56" s="64"/>
      <c r="BP56" s="64"/>
      <c r="BQ56" s="64"/>
      <c r="BR56" s="64"/>
      <c r="BS56" s="64"/>
      <c r="BT56" s="64"/>
      <c r="BU56" s="64"/>
      <c r="BV56" s="63">
        <v>7.0</v>
      </c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3">
        <v>0.0</v>
      </c>
      <c r="CS56" s="63">
        <v>4.0</v>
      </c>
      <c r="CT56" s="63">
        <v>0.0</v>
      </c>
      <c r="CU56" s="63"/>
      <c r="CV56" s="64"/>
      <c r="CW56" s="65">
        <f t="shared" si="3"/>
        <v>25</v>
      </c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</row>
    <row r="57">
      <c r="A57" s="22">
        <v>46047.0</v>
      </c>
      <c r="B57" s="61" t="s">
        <v>31</v>
      </c>
      <c r="C57" s="62" t="s">
        <v>201</v>
      </c>
      <c r="D57" s="63">
        <v>4.0</v>
      </c>
      <c r="E57" s="63">
        <v>12.0</v>
      </c>
      <c r="F57" s="64"/>
      <c r="G57" s="63">
        <v>0.0</v>
      </c>
      <c r="H57" s="64"/>
      <c r="I57" s="64"/>
      <c r="J57" s="64"/>
      <c r="K57" s="64"/>
      <c r="L57" s="64"/>
      <c r="M57" s="64"/>
      <c r="N57" s="64"/>
      <c r="O57" s="64"/>
      <c r="P57" s="63">
        <v>4.0</v>
      </c>
      <c r="Q57" s="64"/>
      <c r="R57" s="64"/>
      <c r="S57" s="64"/>
      <c r="T57" s="63">
        <v>4.0</v>
      </c>
      <c r="U57" s="64"/>
      <c r="V57" s="64"/>
      <c r="W57" s="64"/>
      <c r="X57" s="64"/>
      <c r="Y57" s="64"/>
      <c r="Z57" s="63">
        <v>0.0</v>
      </c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3">
        <v>0.0</v>
      </c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3">
        <v>0.0</v>
      </c>
      <c r="AZ57" s="64"/>
      <c r="BA57" s="64"/>
      <c r="BB57" s="64"/>
      <c r="BC57" s="64"/>
      <c r="BD57" s="64"/>
      <c r="BE57" s="64"/>
      <c r="BF57" s="64"/>
      <c r="BG57" s="64"/>
      <c r="BH57" s="64"/>
      <c r="BI57" s="63">
        <v>0.0</v>
      </c>
      <c r="BJ57" s="64"/>
      <c r="BK57" s="64"/>
      <c r="BL57" s="63">
        <v>2.0</v>
      </c>
      <c r="BM57" s="63">
        <v>0.0</v>
      </c>
      <c r="BN57" s="64"/>
      <c r="BO57" s="64"/>
      <c r="BP57" s="64"/>
      <c r="BQ57" s="64"/>
      <c r="BR57" s="64"/>
      <c r="BS57" s="64"/>
      <c r="BT57" s="64"/>
      <c r="BU57" s="64"/>
      <c r="BV57" s="63">
        <v>1.0</v>
      </c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3">
        <v>0.0</v>
      </c>
      <c r="CS57" s="63">
        <v>14.0</v>
      </c>
      <c r="CT57" s="63">
        <v>0.0</v>
      </c>
      <c r="CU57" s="63"/>
      <c r="CV57" s="64"/>
      <c r="CW57" s="65">
        <f t="shared" si="3"/>
        <v>25</v>
      </c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</row>
    <row r="58">
      <c r="A58" s="22">
        <v>46047.0</v>
      </c>
      <c r="B58" s="61" t="s">
        <v>31</v>
      </c>
      <c r="C58" s="62" t="s">
        <v>201</v>
      </c>
      <c r="D58" s="63">
        <v>4.0</v>
      </c>
      <c r="E58" s="63">
        <v>15.0</v>
      </c>
      <c r="F58" s="64"/>
      <c r="G58" s="63">
        <v>0.0</v>
      </c>
      <c r="H58" s="64"/>
      <c r="I58" s="64"/>
      <c r="J58" s="64"/>
      <c r="K58" s="64"/>
      <c r="L58" s="64"/>
      <c r="M58" s="64"/>
      <c r="N58" s="64"/>
      <c r="O58" s="64"/>
      <c r="P58" s="63">
        <v>3.0</v>
      </c>
      <c r="Q58" s="64"/>
      <c r="R58" s="64"/>
      <c r="S58" s="64"/>
      <c r="T58" s="63">
        <v>1.0</v>
      </c>
      <c r="U58" s="64"/>
      <c r="V58" s="64"/>
      <c r="W58" s="64"/>
      <c r="X58" s="64"/>
      <c r="Y58" s="64"/>
      <c r="Z58" s="63">
        <v>0.0</v>
      </c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3">
        <v>1.0</v>
      </c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3">
        <v>0.0</v>
      </c>
      <c r="AZ58" s="64"/>
      <c r="BA58" s="64"/>
      <c r="BB58" s="64"/>
      <c r="BC58" s="64"/>
      <c r="BD58" s="64"/>
      <c r="BE58" s="64"/>
      <c r="BF58" s="64"/>
      <c r="BG58" s="64"/>
      <c r="BH58" s="64"/>
      <c r="BI58" s="63">
        <v>2.0</v>
      </c>
      <c r="BJ58" s="64"/>
      <c r="BK58" s="64"/>
      <c r="BL58" s="63">
        <v>1.0</v>
      </c>
      <c r="BM58" s="63">
        <v>1.0</v>
      </c>
      <c r="BN58" s="64"/>
      <c r="BO58" s="64"/>
      <c r="BP58" s="64"/>
      <c r="BQ58" s="64"/>
      <c r="BR58" s="64"/>
      <c r="BS58" s="64"/>
      <c r="BT58" s="64"/>
      <c r="BU58" s="64"/>
      <c r="BV58" s="63">
        <v>15.0</v>
      </c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3">
        <v>0.0</v>
      </c>
      <c r="CS58" s="63">
        <v>1.0</v>
      </c>
      <c r="CT58" s="63">
        <v>0.0</v>
      </c>
      <c r="CU58" s="63"/>
      <c r="CV58" s="64"/>
      <c r="CW58" s="65">
        <f t="shared" si="3"/>
        <v>25</v>
      </c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</row>
    <row r="59">
      <c r="A59" s="22">
        <v>46047.0</v>
      </c>
      <c r="B59" s="61" t="s">
        <v>31</v>
      </c>
      <c r="C59" s="62" t="s">
        <v>201</v>
      </c>
      <c r="D59" s="63">
        <v>4.0</v>
      </c>
      <c r="E59" s="63">
        <v>18.0</v>
      </c>
      <c r="F59" s="64"/>
      <c r="G59" s="63">
        <v>0.0</v>
      </c>
      <c r="H59" s="64"/>
      <c r="I59" s="64"/>
      <c r="J59" s="64"/>
      <c r="K59" s="64"/>
      <c r="L59" s="64"/>
      <c r="M59" s="64"/>
      <c r="N59" s="64"/>
      <c r="O59" s="64"/>
      <c r="P59" s="63">
        <v>0.0</v>
      </c>
      <c r="Q59" s="64"/>
      <c r="R59" s="64"/>
      <c r="S59" s="64"/>
      <c r="T59" s="63">
        <v>1.0</v>
      </c>
      <c r="U59" s="64"/>
      <c r="V59" s="64"/>
      <c r="W59" s="64"/>
      <c r="X59" s="64"/>
      <c r="Y59" s="64"/>
      <c r="Z59" s="63">
        <v>0.0</v>
      </c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3">
        <v>0.0</v>
      </c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3">
        <v>0.0</v>
      </c>
      <c r="AZ59" s="64"/>
      <c r="BA59" s="64"/>
      <c r="BB59" s="64"/>
      <c r="BC59" s="64"/>
      <c r="BD59" s="64"/>
      <c r="BE59" s="64"/>
      <c r="BF59" s="64"/>
      <c r="BG59" s="64"/>
      <c r="BH59" s="64"/>
      <c r="BI59" s="63">
        <v>0.0</v>
      </c>
      <c r="BJ59" s="64"/>
      <c r="BK59" s="64"/>
      <c r="BL59" s="63">
        <v>0.0</v>
      </c>
      <c r="BM59" s="63">
        <v>0.0</v>
      </c>
      <c r="BN59" s="64"/>
      <c r="BO59" s="64"/>
      <c r="BP59" s="64"/>
      <c r="BQ59" s="64"/>
      <c r="BR59" s="64"/>
      <c r="BS59" s="64"/>
      <c r="BT59" s="64"/>
      <c r="BU59" s="64"/>
      <c r="BV59" s="63">
        <v>13.0</v>
      </c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3">
        <v>8.0</v>
      </c>
      <c r="CS59" s="63">
        <v>3.0</v>
      </c>
      <c r="CT59" s="63">
        <v>0.0</v>
      </c>
      <c r="CU59" s="63"/>
      <c r="CV59" s="64"/>
      <c r="CW59" s="65">
        <f t="shared" si="3"/>
        <v>25</v>
      </c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</row>
    <row r="60">
      <c r="A60" s="22">
        <v>46047.0</v>
      </c>
      <c r="B60" s="61" t="s">
        <v>31</v>
      </c>
      <c r="C60" s="62" t="s">
        <v>201</v>
      </c>
      <c r="D60" s="63">
        <v>4.0</v>
      </c>
      <c r="E60" s="63">
        <v>21.0</v>
      </c>
      <c r="F60" s="64"/>
      <c r="G60" s="63">
        <v>0.0</v>
      </c>
      <c r="H60" s="64"/>
      <c r="I60" s="64"/>
      <c r="J60" s="64"/>
      <c r="K60" s="64"/>
      <c r="L60" s="64"/>
      <c r="M60" s="64"/>
      <c r="N60" s="64"/>
      <c r="O60" s="64"/>
      <c r="P60" s="63">
        <v>0.0</v>
      </c>
      <c r="Q60" s="64"/>
      <c r="R60" s="64"/>
      <c r="S60" s="64"/>
      <c r="T60" s="63">
        <v>0.0</v>
      </c>
      <c r="U60" s="64"/>
      <c r="V60" s="64"/>
      <c r="W60" s="64"/>
      <c r="X60" s="64"/>
      <c r="Y60" s="64"/>
      <c r="Z60" s="63">
        <v>0.0</v>
      </c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3">
        <v>0.0</v>
      </c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3">
        <v>0.0</v>
      </c>
      <c r="AZ60" s="64"/>
      <c r="BA60" s="64"/>
      <c r="BB60" s="64"/>
      <c r="BC60" s="64"/>
      <c r="BD60" s="64"/>
      <c r="BE60" s="64"/>
      <c r="BF60" s="64"/>
      <c r="BG60" s="64"/>
      <c r="BH60" s="64"/>
      <c r="BI60" s="63">
        <v>0.0</v>
      </c>
      <c r="BJ60" s="64"/>
      <c r="BK60" s="64"/>
      <c r="BL60" s="63">
        <v>0.0</v>
      </c>
      <c r="BM60" s="63">
        <v>0.0</v>
      </c>
      <c r="BN60" s="64"/>
      <c r="BO60" s="64"/>
      <c r="BP60" s="64"/>
      <c r="BQ60" s="64"/>
      <c r="BR60" s="64"/>
      <c r="BS60" s="64"/>
      <c r="BT60" s="64"/>
      <c r="BU60" s="64"/>
      <c r="BV60" s="63">
        <v>24.0</v>
      </c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3">
        <v>0.0</v>
      </c>
      <c r="CS60" s="63">
        <v>0.0</v>
      </c>
      <c r="CT60" s="63">
        <v>1.0</v>
      </c>
      <c r="CU60" s="63"/>
      <c r="CV60" s="64"/>
      <c r="CW60" s="65">
        <f t="shared" si="3"/>
        <v>25</v>
      </c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</row>
    <row r="61">
      <c r="A61" s="22">
        <v>46047.0</v>
      </c>
      <c r="B61" s="61" t="s">
        <v>31</v>
      </c>
      <c r="C61" s="62" t="s">
        <v>201</v>
      </c>
      <c r="D61" s="63">
        <v>4.0</v>
      </c>
      <c r="E61" s="63">
        <v>24.0</v>
      </c>
      <c r="F61" s="64"/>
      <c r="G61" s="63">
        <v>9.0</v>
      </c>
      <c r="H61" s="64"/>
      <c r="I61" s="64"/>
      <c r="J61" s="64"/>
      <c r="K61" s="64"/>
      <c r="L61" s="64"/>
      <c r="M61" s="64"/>
      <c r="N61" s="64"/>
      <c r="O61" s="64"/>
      <c r="P61" s="63">
        <v>0.0</v>
      </c>
      <c r="Q61" s="64"/>
      <c r="R61" s="64"/>
      <c r="S61" s="64"/>
      <c r="T61" s="63">
        <v>0.0</v>
      </c>
      <c r="U61" s="64"/>
      <c r="V61" s="64"/>
      <c r="W61" s="64"/>
      <c r="X61" s="64"/>
      <c r="Y61" s="64"/>
      <c r="Z61" s="63">
        <v>1.0</v>
      </c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3">
        <v>0.0</v>
      </c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3">
        <v>3.0</v>
      </c>
      <c r="AZ61" s="64"/>
      <c r="BA61" s="64"/>
      <c r="BB61" s="64"/>
      <c r="BC61" s="64"/>
      <c r="BD61" s="64"/>
      <c r="BE61" s="64"/>
      <c r="BF61" s="64"/>
      <c r="BG61" s="64"/>
      <c r="BH61" s="64"/>
      <c r="BI61" s="63">
        <v>0.0</v>
      </c>
      <c r="BJ61" s="64"/>
      <c r="BK61" s="64"/>
      <c r="BL61" s="63">
        <v>0.0</v>
      </c>
      <c r="BM61" s="63">
        <v>0.0</v>
      </c>
      <c r="BN61" s="64"/>
      <c r="BO61" s="64"/>
      <c r="BP61" s="64"/>
      <c r="BQ61" s="64"/>
      <c r="BR61" s="64"/>
      <c r="BS61" s="64"/>
      <c r="BT61" s="64"/>
      <c r="BU61" s="64"/>
      <c r="BV61" s="63">
        <v>12.0</v>
      </c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3">
        <v>0.0</v>
      </c>
      <c r="CS61" s="63">
        <v>0.0</v>
      </c>
      <c r="CT61" s="63">
        <v>0.0</v>
      </c>
      <c r="CU61" s="63"/>
      <c r="CV61" s="64"/>
      <c r="CW61" s="65">
        <f t="shared" si="3"/>
        <v>25</v>
      </c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</row>
    <row r="62">
      <c r="A62" s="22">
        <v>46047.0</v>
      </c>
      <c r="B62" s="61" t="s">
        <v>31</v>
      </c>
      <c r="C62" s="62" t="s">
        <v>201</v>
      </c>
      <c r="D62" s="63">
        <v>4.0</v>
      </c>
      <c r="E62" s="63">
        <v>27.0</v>
      </c>
      <c r="F62" s="64"/>
      <c r="G62" s="63">
        <v>4.0</v>
      </c>
      <c r="H62" s="64"/>
      <c r="I62" s="64"/>
      <c r="J62" s="64"/>
      <c r="K62" s="64"/>
      <c r="L62" s="64"/>
      <c r="M62" s="64"/>
      <c r="N62" s="64"/>
      <c r="O62" s="64"/>
      <c r="P62" s="63">
        <v>0.0</v>
      </c>
      <c r="Q62" s="64"/>
      <c r="R62" s="64"/>
      <c r="S62" s="64"/>
      <c r="T62" s="63">
        <v>5.0</v>
      </c>
      <c r="U62" s="64"/>
      <c r="V62" s="64"/>
      <c r="W62" s="64"/>
      <c r="X62" s="64"/>
      <c r="Y62" s="64"/>
      <c r="Z62" s="63">
        <v>0.0</v>
      </c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3">
        <v>0.0</v>
      </c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3">
        <v>0.0</v>
      </c>
      <c r="AZ62" s="64"/>
      <c r="BA62" s="64"/>
      <c r="BB62" s="64"/>
      <c r="BC62" s="64"/>
      <c r="BD62" s="64"/>
      <c r="BE62" s="64"/>
      <c r="BF62" s="64"/>
      <c r="BG62" s="64"/>
      <c r="BH62" s="64"/>
      <c r="BI62" s="63">
        <v>0.0</v>
      </c>
      <c r="BJ62" s="64"/>
      <c r="BK62" s="64"/>
      <c r="BL62" s="63">
        <v>0.0</v>
      </c>
      <c r="BM62" s="63">
        <v>0.0</v>
      </c>
      <c r="BN62" s="64"/>
      <c r="BO62" s="64"/>
      <c r="BP62" s="64"/>
      <c r="BQ62" s="64"/>
      <c r="BR62" s="64"/>
      <c r="BS62" s="64"/>
      <c r="BT62" s="64"/>
      <c r="BU62" s="64"/>
      <c r="BV62" s="63">
        <v>0.0</v>
      </c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3">
        <v>14.0</v>
      </c>
      <c r="CS62" s="63">
        <v>2.0</v>
      </c>
      <c r="CT62" s="63">
        <v>0.0</v>
      </c>
      <c r="CU62" s="63"/>
      <c r="CV62" s="64"/>
      <c r="CW62" s="65">
        <f t="shared" si="3"/>
        <v>25</v>
      </c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</row>
    <row r="63">
      <c r="A63" s="22">
        <v>46047.0</v>
      </c>
      <c r="B63" s="61" t="s">
        <v>31</v>
      </c>
      <c r="C63" s="62" t="s">
        <v>201</v>
      </c>
      <c r="D63" s="63">
        <v>4.0</v>
      </c>
      <c r="E63" s="63">
        <v>30.0</v>
      </c>
      <c r="F63" s="64"/>
      <c r="G63" s="63">
        <v>0.0</v>
      </c>
      <c r="H63" s="64"/>
      <c r="I63" s="64"/>
      <c r="J63" s="64"/>
      <c r="K63" s="64"/>
      <c r="L63" s="64"/>
      <c r="M63" s="64"/>
      <c r="N63" s="64"/>
      <c r="O63" s="64"/>
      <c r="P63" s="63">
        <v>0.0</v>
      </c>
      <c r="Q63" s="64"/>
      <c r="R63" s="64"/>
      <c r="S63" s="64"/>
      <c r="T63" s="63">
        <v>0.0</v>
      </c>
      <c r="U63" s="64"/>
      <c r="V63" s="64"/>
      <c r="W63" s="64"/>
      <c r="X63" s="64"/>
      <c r="Y63" s="64"/>
      <c r="Z63" s="63">
        <v>0.0</v>
      </c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3">
        <v>0.0</v>
      </c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3">
        <v>0.0</v>
      </c>
      <c r="AZ63" s="64"/>
      <c r="BA63" s="64"/>
      <c r="BB63" s="64"/>
      <c r="BC63" s="64"/>
      <c r="BD63" s="64"/>
      <c r="BE63" s="64"/>
      <c r="BF63" s="64"/>
      <c r="BG63" s="64"/>
      <c r="BH63" s="64"/>
      <c r="BI63" s="63">
        <v>0.0</v>
      </c>
      <c r="BJ63" s="64"/>
      <c r="BK63" s="64"/>
      <c r="BL63" s="63">
        <v>0.0</v>
      </c>
      <c r="BM63" s="63">
        <v>0.0</v>
      </c>
      <c r="BN63" s="64"/>
      <c r="BO63" s="64"/>
      <c r="BP63" s="64"/>
      <c r="BQ63" s="64"/>
      <c r="BR63" s="64"/>
      <c r="BS63" s="64"/>
      <c r="BT63" s="64"/>
      <c r="BU63" s="64"/>
      <c r="BV63" s="63">
        <v>2.0</v>
      </c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3">
        <v>23.0</v>
      </c>
      <c r="CS63" s="63">
        <v>0.0</v>
      </c>
      <c r="CT63" s="63">
        <v>0.0</v>
      </c>
      <c r="CU63" s="63"/>
      <c r="CV63" s="64"/>
      <c r="CW63" s="65">
        <f t="shared" si="3"/>
        <v>25</v>
      </c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</row>
    <row r="64">
      <c r="A64" s="67">
        <v>46047.0</v>
      </c>
      <c r="B64" s="28" t="s">
        <v>31</v>
      </c>
      <c r="C64" s="31" t="s">
        <v>77</v>
      </c>
      <c r="D64" s="31">
        <v>3.0</v>
      </c>
      <c r="E64" s="31">
        <v>0.0</v>
      </c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</row>
    <row r="65">
      <c r="A65" s="67">
        <v>46047.0</v>
      </c>
      <c r="B65" s="28" t="s">
        <v>31</v>
      </c>
      <c r="C65" s="31" t="s">
        <v>67</v>
      </c>
      <c r="D65" s="31">
        <v>3.0</v>
      </c>
      <c r="E65" s="31">
        <v>3.0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</row>
    <row r="66">
      <c r="A66" s="67">
        <v>46047.0</v>
      </c>
      <c r="B66" s="28" t="s">
        <v>31</v>
      </c>
      <c r="C66" s="31" t="s">
        <v>77</v>
      </c>
      <c r="D66" s="31">
        <v>3.0</v>
      </c>
      <c r="E66" s="31">
        <v>6.0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</row>
    <row r="67">
      <c r="A67" s="67">
        <v>46047.0</v>
      </c>
      <c r="B67" s="28" t="s">
        <v>31</v>
      </c>
      <c r="C67" s="31" t="s">
        <v>67</v>
      </c>
      <c r="D67" s="31">
        <v>3.0</v>
      </c>
      <c r="E67" s="31">
        <v>9.0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</row>
    <row r="68">
      <c r="A68" s="67">
        <v>46047.0</v>
      </c>
      <c r="B68" s="28" t="s">
        <v>31</v>
      </c>
      <c r="C68" s="31" t="s">
        <v>77</v>
      </c>
      <c r="D68" s="31">
        <v>3.0</v>
      </c>
      <c r="E68" s="31">
        <v>12.0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</row>
    <row r="69">
      <c r="A69" s="67">
        <v>46047.0</v>
      </c>
      <c r="B69" s="28" t="s">
        <v>31</v>
      </c>
      <c r="C69" s="31" t="s">
        <v>67</v>
      </c>
      <c r="D69" s="31">
        <v>3.0</v>
      </c>
      <c r="E69" s="31">
        <v>15.0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</row>
    <row r="70">
      <c r="A70" s="67">
        <v>46047.0</v>
      </c>
      <c r="B70" s="28" t="s">
        <v>31</v>
      </c>
      <c r="C70" s="31" t="s">
        <v>77</v>
      </c>
      <c r="D70" s="31">
        <v>3.0</v>
      </c>
      <c r="E70" s="31">
        <v>18.0</v>
      </c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</row>
    <row r="71">
      <c r="A71" s="67">
        <v>46047.0</v>
      </c>
      <c r="B71" s="28" t="s">
        <v>31</v>
      </c>
      <c r="C71" s="31" t="s">
        <v>67</v>
      </c>
      <c r="D71" s="31">
        <v>3.0</v>
      </c>
      <c r="E71" s="31">
        <v>21.0</v>
      </c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</row>
    <row r="72">
      <c r="A72" s="67">
        <v>46047.0</v>
      </c>
      <c r="B72" s="28" t="s">
        <v>31</v>
      </c>
      <c r="C72" s="31" t="s">
        <v>77</v>
      </c>
      <c r="D72" s="31">
        <v>3.0</v>
      </c>
      <c r="E72" s="31">
        <v>24.0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</row>
    <row r="73">
      <c r="A73" s="67">
        <v>46047.0</v>
      </c>
      <c r="B73" s="28" t="s">
        <v>31</v>
      </c>
      <c r="C73" s="31" t="s">
        <v>67</v>
      </c>
      <c r="D73" s="31">
        <v>3.0</v>
      </c>
      <c r="E73" s="31">
        <v>27.0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</row>
    <row r="74">
      <c r="A74" s="67">
        <v>46047.0</v>
      </c>
      <c r="B74" s="28" t="s">
        <v>31</v>
      </c>
      <c r="C74" s="31" t="s">
        <v>77</v>
      </c>
      <c r="D74" s="31">
        <v>3.0</v>
      </c>
      <c r="E74" s="31">
        <v>30.0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</row>
    <row r="75">
      <c r="A75" s="18">
        <v>46047.0</v>
      </c>
      <c r="B75" s="19" t="s">
        <v>31</v>
      </c>
      <c r="C75" s="20" t="s">
        <v>119</v>
      </c>
      <c r="D75" s="57">
        <v>2.0</v>
      </c>
      <c r="E75" s="20">
        <v>0.0</v>
      </c>
      <c r="G75" s="20">
        <v>2.0</v>
      </c>
      <c r="AW75" s="20">
        <v>2.0</v>
      </c>
      <c r="BL75" s="20">
        <v>13.0</v>
      </c>
      <c r="BV75" s="20">
        <v>8.0</v>
      </c>
      <c r="CW75" s="58">
        <f t="shared" ref="CW75:CW85" si="4">sum(F75:CV75)</f>
        <v>25</v>
      </c>
    </row>
    <row r="76">
      <c r="A76" s="18">
        <v>46047.0</v>
      </c>
      <c r="B76" s="19" t="s">
        <v>31</v>
      </c>
      <c r="C76" s="20" t="s">
        <v>119</v>
      </c>
      <c r="D76" s="57">
        <v>2.0</v>
      </c>
      <c r="E76" s="20">
        <v>3.0</v>
      </c>
      <c r="P76" s="20">
        <v>2.0</v>
      </c>
      <c r="R76" s="20">
        <v>1.0</v>
      </c>
      <c r="BL76" s="20">
        <v>2.0</v>
      </c>
      <c r="BV76" s="20">
        <v>3.0</v>
      </c>
      <c r="CR76" s="20">
        <v>15.0</v>
      </c>
      <c r="CT76" s="20">
        <v>2.0</v>
      </c>
      <c r="CW76" s="58">
        <f t="shared" si="4"/>
        <v>25</v>
      </c>
    </row>
    <row r="77">
      <c r="A77" s="18">
        <v>46047.0</v>
      </c>
      <c r="B77" s="19" t="s">
        <v>31</v>
      </c>
      <c r="C77" s="20" t="s">
        <v>119</v>
      </c>
      <c r="D77" s="57">
        <v>2.0</v>
      </c>
      <c r="E77" s="20">
        <v>6.0</v>
      </c>
      <c r="J77" s="20">
        <v>3.0</v>
      </c>
      <c r="T77" s="20">
        <v>2.0</v>
      </c>
      <c r="AW77" s="20">
        <v>1.0</v>
      </c>
      <c r="BL77" s="20">
        <v>4.0</v>
      </c>
      <c r="BV77" s="20">
        <v>10.0</v>
      </c>
      <c r="CR77" s="20">
        <v>4.0</v>
      </c>
      <c r="CS77" s="20">
        <v>1.0</v>
      </c>
      <c r="CW77" s="58">
        <f t="shared" si="4"/>
        <v>25</v>
      </c>
    </row>
    <row r="78">
      <c r="A78" s="18">
        <v>46047.0</v>
      </c>
      <c r="B78" s="19" t="s">
        <v>31</v>
      </c>
      <c r="C78" s="20" t="s">
        <v>119</v>
      </c>
      <c r="D78" s="57">
        <v>2.0</v>
      </c>
      <c r="E78" s="20">
        <v>9.0</v>
      </c>
      <c r="AW78" s="20">
        <v>2.0</v>
      </c>
      <c r="BE78" s="20">
        <v>3.0</v>
      </c>
      <c r="BI78" s="20">
        <v>1.0</v>
      </c>
      <c r="BM78" s="20">
        <v>1.0</v>
      </c>
      <c r="BV78" s="20">
        <v>12.0</v>
      </c>
      <c r="CR78" s="20">
        <v>2.0</v>
      </c>
      <c r="CS78" s="20">
        <v>4.0</v>
      </c>
      <c r="CW78" s="58">
        <f t="shared" si="4"/>
        <v>25</v>
      </c>
    </row>
    <row r="79">
      <c r="A79" s="18">
        <v>46047.0</v>
      </c>
      <c r="B79" s="19" t="s">
        <v>31</v>
      </c>
      <c r="C79" s="20" t="s">
        <v>119</v>
      </c>
      <c r="D79" s="57">
        <v>2.0</v>
      </c>
      <c r="E79" s="20">
        <v>12.0</v>
      </c>
      <c r="J79" s="20">
        <v>1.0</v>
      </c>
      <c r="P79" s="20">
        <v>1.0</v>
      </c>
      <c r="AB79" s="20">
        <v>3.0</v>
      </c>
      <c r="BE79" s="20">
        <v>1.0</v>
      </c>
      <c r="BV79" s="20">
        <v>9.0</v>
      </c>
      <c r="CR79" s="20">
        <v>8.0</v>
      </c>
      <c r="CS79" s="20">
        <v>2.0</v>
      </c>
      <c r="CW79" s="58">
        <f t="shared" si="4"/>
        <v>25</v>
      </c>
    </row>
    <row r="80">
      <c r="A80" s="18">
        <v>46047.0</v>
      </c>
      <c r="B80" s="19" t="s">
        <v>31</v>
      </c>
      <c r="C80" s="20" t="s">
        <v>119</v>
      </c>
      <c r="D80" s="57">
        <v>2.0</v>
      </c>
      <c r="E80" s="20">
        <v>15.0</v>
      </c>
      <c r="P80" s="20">
        <v>1.0</v>
      </c>
      <c r="AF80" s="20">
        <v>3.0</v>
      </c>
      <c r="BI80" s="20">
        <v>1.0</v>
      </c>
      <c r="BL80" s="20">
        <v>1.0</v>
      </c>
      <c r="BV80" s="20">
        <v>10.0</v>
      </c>
      <c r="CD80" s="20">
        <v>1.0</v>
      </c>
      <c r="CR80" s="20">
        <v>5.0</v>
      </c>
      <c r="CS80" s="20">
        <v>3.0</v>
      </c>
      <c r="CW80" s="58">
        <f t="shared" si="4"/>
        <v>25</v>
      </c>
    </row>
    <row r="81">
      <c r="A81" s="18">
        <v>46047.0</v>
      </c>
      <c r="B81" s="19" t="s">
        <v>31</v>
      </c>
      <c r="C81" s="20" t="s">
        <v>119</v>
      </c>
      <c r="D81" s="57">
        <v>2.0</v>
      </c>
      <c r="E81" s="20">
        <v>18.0</v>
      </c>
      <c r="P81" s="20">
        <v>1.0</v>
      </c>
      <c r="BV81" s="20">
        <v>12.0</v>
      </c>
      <c r="CD81" s="20">
        <v>1.0</v>
      </c>
      <c r="CR81" s="20">
        <v>8.0</v>
      </c>
      <c r="CS81" s="20">
        <v>3.0</v>
      </c>
      <c r="CW81" s="58">
        <f t="shared" si="4"/>
        <v>25</v>
      </c>
    </row>
    <row r="82">
      <c r="A82" s="18">
        <v>46047.0</v>
      </c>
      <c r="B82" s="19" t="s">
        <v>31</v>
      </c>
      <c r="C82" s="20" t="s">
        <v>119</v>
      </c>
      <c r="D82" s="57">
        <v>2.0</v>
      </c>
      <c r="E82" s="20">
        <v>21.0</v>
      </c>
      <c r="G82" s="20">
        <v>1.0</v>
      </c>
      <c r="P82" s="20">
        <v>2.0</v>
      </c>
      <c r="AS82" s="20">
        <v>1.0</v>
      </c>
      <c r="BV82" s="20">
        <v>8.0</v>
      </c>
      <c r="CR82" s="20">
        <v>6.0</v>
      </c>
      <c r="CS82" s="20">
        <v>7.0</v>
      </c>
      <c r="CW82" s="58">
        <f t="shared" si="4"/>
        <v>25</v>
      </c>
    </row>
    <row r="83">
      <c r="A83" s="18">
        <v>46047.0</v>
      </c>
      <c r="B83" s="19" t="s">
        <v>31</v>
      </c>
      <c r="C83" s="20" t="s">
        <v>119</v>
      </c>
      <c r="D83" s="57">
        <v>2.0</v>
      </c>
      <c r="E83" s="20">
        <v>24.0</v>
      </c>
      <c r="AW83" s="20">
        <v>1.0</v>
      </c>
      <c r="BV83" s="20">
        <v>5.0</v>
      </c>
      <c r="CR83" s="20">
        <v>9.0</v>
      </c>
      <c r="CS83" s="20">
        <v>10.0</v>
      </c>
      <c r="CW83" s="58">
        <f t="shared" si="4"/>
        <v>25</v>
      </c>
    </row>
    <row r="84">
      <c r="A84" s="18">
        <v>46047.0</v>
      </c>
      <c r="B84" s="19" t="s">
        <v>31</v>
      </c>
      <c r="C84" s="20" t="s">
        <v>119</v>
      </c>
      <c r="D84" s="57">
        <v>2.0</v>
      </c>
      <c r="E84" s="20">
        <v>27.0</v>
      </c>
      <c r="G84" s="20">
        <v>8.0</v>
      </c>
      <c r="P84" s="20">
        <v>1.0</v>
      </c>
      <c r="AW84" s="20">
        <v>3.0</v>
      </c>
      <c r="BG84" s="20">
        <v>3.0</v>
      </c>
      <c r="BL84" s="20">
        <v>2.0</v>
      </c>
      <c r="BV84" s="20">
        <v>8.0</v>
      </c>
      <c r="CW84" s="58">
        <f t="shared" si="4"/>
        <v>25</v>
      </c>
    </row>
    <row r="85">
      <c r="A85" s="18">
        <v>46047.0</v>
      </c>
      <c r="B85" s="19" t="s">
        <v>31</v>
      </c>
      <c r="C85" s="20" t="s">
        <v>119</v>
      </c>
      <c r="D85" s="57">
        <v>2.0</v>
      </c>
      <c r="E85" s="20">
        <v>30.0</v>
      </c>
      <c r="AS85" s="20">
        <v>4.0</v>
      </c>
      <c r="BI85" s="20">
        <v>1.0</v>
      </c>
      <c r="BL85" s="20">
        <v>4.0</v>
      </c>
      <c r="BV85" s="20">
        <v>7.0</v>
      </c>
      <c r="CR85" s="20">
        <v>5.0</v>
      </c>
      <c r="CS85" s="20">
        <v>1.0</v>
      </c>
      <c r="CU85" s="20">
        <v>3.0</v>
      </c>
      <c r="CW85" s="58">
        <f t="shared" si="4"/>
        <v>25</v>
      </c>
    </row>
    <row r="86">
      <c r="A86" s="18">
        <v>46047.0</v>
      </c>
      <c r="B86" s="19" t="s">
        <v>31</v>
      </c>
      <c r="C86" s="20" t="s">
        <v>210</v>
      </c>
      <c r="D86" s="20">
        <v>1.0</v>
      </c>
      <c r="E86" s="20">
        <v>0.0</v>
      </c>
      <c r="T86" s="20">
        <v>4.0</v>
      </c>
      <c r="BL86" s="20">
        <v>1.0</v>
      </c>
      <c r="BV86" s="20">
        <v>15.0</v>
      </c>
      <c r="CR86" s="20">
        <v>1.0</v>
      </c>
      <c r="CS86" s="20">
        <v>4.0</v>
      </c>
      <c r="CW86" s="58">
        <f t="shared" ref="CW86:CW96" si="5">SUM(G86:CV86)</f>
        <v>25</v>
      </c>
    </row>
    <row r="87">
      <c r="A87" s="18">
        <v>46047.0</v>
      </c>
      <c r="B87" s="19" t="s">
        <v>31</v>
      </c>
      <c r="C87" s="20" t="s">
        <v>210</v>
      </c>
      <c r="D87" s="20">
        <v>1.0</v>
      </c>
      <c r="E87" s="20">
        <v>3.0</v>
      </c>
      <c r="BL87" s="20">
        <v>6.0</v>
      </c>
      <c r="BV87" s="20">
        <v>19.0</v>
      </c>
      <c r="CW87" s="58">
        <f t="shared" si="5"/>
        <v>25</v>
      </c>
    </row>
    <row r="88">
      <c r="A88" s="18">
        <v>46047.0</v>
      </c>
      <c r="B88" s="19" t="s">
        <v>31</v>
      </c>
      <c r="C88" s="20" t="s">
        <v>210</v>
      </c>
      <c r="D88" s="20">
        <v>1.0</v>
      </c>
      <c r="E88" s="20">
        <v>6.0</v>
      </c>
      <c r="G88" s="20">
        <v>2.0</v>
      </c>
      <c r="T88" s="20">
        <v>4.0</v>
      </c>
      <c r="BL88" s="20">
        <v>1.0</v>
      </c>
      <c r="BV88" s="20">
        <v>13.0</v>
      </c>
      <c r="CS88" s="20">
        <v>5.0</v>
      </c>
      <c r="CW88" s="58">
        <f t="shared" si="5"/>
        <v>25</v>
      </c>
    </row>
    <row r="89">
      <c r="A89" s="18">
        <v>46047.0</v>
      </c>
      <c r="B89" s="19" t="s">
        <v>31</v>
      </c>
      <c r="C89" s="20" t="s">
        <v>210</v>
      </c>
      <c r="D89" s="20">
        <v>1.0</v>
      </c>
      <c r="E89" s="20">
        <v>9.0</v>
      </c>
      <c r="J89" s="20">
        <v>2.0</v>
      </c>
      <c r="T89" s="20">
        <v>1.0</v>
      </c>
      <c r="Z89" s="20">
        <v>1.0</v>
      </c>
      <c r="BI89" s="20">
        <v>1.0</v>
      </c>
      <c r="BL89" s="20">
        <v>1.0</v>
      </c>
      <c r="BV89" s="20">
        <v>7.0</v>
      </c>
      <c r="CR89" s="20">
        <v>3.0</v>
      </c>
      <c r="CS89" s="20">
        <v>9.0</v>
      </c>
      <c r="CW89" s="48">
        <f t="shared" si="5"/>
        <v>25</v>
      </c>
    </row>
    <row r="90">
      <c r="A90" s="18">
        <v>46047.0</v>
      </c>
      <c r="B90" s="19" t="s">
        <v>31</v>
      </c>
      <c r="D90" s="20">
        <v>1.0</v>
      </c>
      <c r="E90" s="20">
        <v>12.0</v>
      </c>
      <c r="CW90" s="48">
        <f t="shared" si="5"/>
        <v>0</v>
      </c>
    </row>
    <row r="91">
      <c r="A91" s="18">
        <v>46047.0</v>
      </c>
      <c r="B91" s="19" t="s">
        <v>31</v>
      </c>
      <c r="D91" s="20">
        <v>1.0</v>
      </c>
      <c r="E91" s="20">
        <v>15.0</v>
      </c>
      <c r="CW91" s="48">
        <f t="shared" si="5"/>
        <v>0</v>
      </c>
    </row>
    <row r="92">
      <c r="A92" s="18">
        <v>46047.0</v>
      </c>
      <c r="B92" s="19" t="s">
        <v>31</v>
      </c>
      <c r="D92" s="20">
        <v>1.0</v>
      </c>
      <c r="E92" s="20">
        <v>18.0</v>
      </c>
      <c r="CW92" s="48">
        <f t="shared" si="5"/>
        <v>0</v>
      </c>
    </row>
    <row r="93">
      <c r="A93" s="18">
        <v>46047.0</v>
      </c>
      <c r="B93" s="19" t="s">
        <v>31</v>
      </c>
      <c r="D93" s="20">
        <v>1.0</v>
      </c>
      <c r="E93" s="20">
        <v>21.0</v>
      </c>
      <c r="CW93" s="48">
        <f t="shared" si="5"/>
        <v>0</v>
      </c>
    </row>
    <row r="94">
      <c r="A94" s="18">
        <v>46047.0</v>
      </c>
      <c r="B94" s="19" t="s">
        <v>31</v>
      </c>
      <c r="D94" s="20">
        <v>1.0</v>
      </c>
      <c r="E94" s="20">
        <v>24.0</v>
      </c>
      <c r="CW94" s="48">
        <f t="shared" si="5"/>
        <v>0</v>
      </c>
    </row>
    <row r="95">
      <c r="A95" s="18">
        <v>46047.0</v>
      </c>
      <c r="B95" s="19" t="s">
        <v>31</v>
      </c>
      <c r="D95" s="20">
        <v>1.0</v>
      </c>
      <c r="E95" s="20">
        <v>27.0</v>
      </c>
      <c r="CW95" s="48">
        <f t="shared" si="5"/>
        <v>0</v>
      </c>
    </row>
    <row r="96">
      <c r="A96" s="18">
        <v>46047.0</v>
      </c>
      <c r="B96" s="19" t="s">
        <v>31</v>
      </c>
      <c r="D96" s="20">
        <v>1.0</v>
      </c>
      <c r="E96" s="20">
        <v>30.0</v>
      </c>
      <c r="CW96" s="48">
        <f t="shared" si="5"/>
        <v>0</v>
      </c>
    </row>
    <row r="163">
      <c r="A163" s="18">
        <v>46047.0</v>
      </c>
      <c r="B163" s="19" t="s">
        <v>31</v>
      </c>
      <c r="D163" s="57">
        <v>2.0</v>
      </c>
    </row>
    <row r="164">
      <c r="A164" s="18">
        <v>46047.0</v>
      </c>
      <c r="B164" s="19" t="s">
        <v>31</v>
      </c>
      <c r="D164" s="57">
        <v>2.0</v>
      </c>
    </row>
    <row r="165">
      <c r="A165" s="18">
        <v>46047.0</v>
      </c>
      <c r="B165" s="19" t="s">
        <v>31</v>
      </c>
      <c r="D165" s="57">
        <v>2.0</v>
      </c>
    </row>
    <row r="166">
      <c r="A166" s="18">
        <v>46047.0</v>
      </c>
      <c r="B166" s="19" t="s">
        <v>31</v>
      </c>
      <c r="D166" s="57">
        <v>2.0</v>
      </c>
    </row>
    <row r="167">
      <c r="A167" s="18">
        <v>46047.0</v>
      </c>
      <c r="B167" s="19" t="s">
        <v>31</v>
      </c>
      <c r="D167" s="57">
        <v>2.0</v>
      </c>
    </row>
    <row r="168">
      <c r="A168" s="18">
        <v>46047.0</v>
      </c>
      <c r="B168" s="19" t="s">
        <v>31</v>
      </c>
      <c r="D168" s="57">
        <v>2.0</v>
      </c>
    </row>
    <row r="169">
      <c r="A169" s="18">
        <v>46047.0</v>
      </c>
      <c r="B169" s="19" t="s">
        <v>31</v>
      </c>
      <c r="D169" s="57">
        <v>2.0</v>
      </c>
    </row>
    <row r="170">
      <c r="A170" s="18">
        <v>46047.0</v>
      </c>
      <c r="B170" s="19" t="s">
        <v>31</v>
      </c>
      <c r="D170" s="57">
        <v>2.0</v>
      </c>
    </row>
    <row r="171">
      <c r="A171" s="18">
        <v>46047.0</v>
      </c>
      <c r="B171" s="19" t="s">
        <v>31</v>
      </c>
      <c r="D171" s="57">
        <v>2.0</v>
      </c>
    </row>
    <row r="172">
      <c r="A172" s="18">
        <v>46047.0</v>
      </c>
      <c r="B172" s="19" t="s">
        <v>31</v>
      </c>
      <c r="D172" s="57">
        <v>2.0</v>
      </c>
    </row>
    <row r="173">
      <c r="A173" s="18">
        <v>46047.0</v>
      </c>
      <c r="B173" s="19" t="s">
        <v>31</v>
      </c>
      <c r="D173" s="57">
        <v>2.0</v>
      </c>
    </row>
    <row r="174">
      <c r="A174" s="18">
        <v>46047.0</v>
      </c>
      <c r="B174" s="19" t="s">
        <v>31</v>
      </c>
      <c r="D174" s="57">
        <v>2.0</v>
      </c>
    </row>
    <row r="175">
      <c r="A175" s="18">
        <v>46047.0</v>
      </c>
      <c r="B175" s="19" t="s">
        <v>31</v>
      </c>
      <c r="D175" s="57">
        <v>2.0</v>
      </c>
    </row>
    <row r="176">
      <c r="A176" s="18">
        <v>46047.0</v>
      </c>
      <c r="B176" s="19" t="s">
        <v>31</v>
      </c>
      <c r="D176" s="57">
        <v>2.0</v>
      </c>
    </row>
    <row r="177">
      <c r="A177" s="18">
        <v>46047.0</v>
      </c>
      <c r="B177" s="19" t="s">
        <v>31</v>
      </c>
      <c r="D177" s="57">
        <v>2.0</v>
      </c>
    </row>
    <row r="178">
      <c r="A178" s="18">
        <v>46047.0</v>
      </c>
      <c r="B178" s="19" t="s">
        <v>31</v>
      </c>
      <c r="D178" s="57">
        <v>2.0</v>
      </c>
    </row>
    <row r="179">
      <c r="A179" s="18">
        <v>46047.0</v>
      </c>
      <c r="B179" s="19" t="s">
        <v>31</v>
      </c>
      <c r="D179" s="57">
        <v>2.0</v>
      </c>
    </row>
    <row r="180">
      <c r="A180" s="18">
        <v>46047.0</v>
      </c>
      <c r="B180" s="19" t="s">
        <v>31</v>
      </c>
      <c r="D180" s="57">
        <v>2.0</v>
      </c>
    </row>
    <row r="181">
      <c r="A181" s="18">
        <v>46047.0</v>
      </c>
      <c r="B181" s="19" t="s">
        <v>31</v>
      </c>
      <c r="D181" s="57">
        <v>2.0</v>
      </c>
    </row>
    <row r="182">
      <c r="A182" s="18">
        <v>46047.0</v>
      </c>
      <c r="B182" s="19" t="s">
        <v>31</v>
      </c>
      <c r="D182" s="57">
        <v>2.0</v>
      </c>
    </row>
    <row r="183">
      <c r="A183" s="18">
        <v>46047.0</v>
      </c>
      <c r="B183" s="19" t="s">
        <v>31</v>
      </c>
      <c r="D183" s="57">
        <v>2.0</v>
      </c>
    </row>
    <row r="184">
      <c r="A184" s="18">
        <v>46047.0</v>
      </c>
      <c r="B184" s="19" t="s">
        <v>31</v>
      </c>
      <c r="D184" s="57">
        <v>2.0</v>
      </c>
    </row>
    <row r="185">
      <c r="A185" s="18">
        <v>46047.0</v>
      </c>
      <c r="B185" s="19" t="s">
        <v>31</v>
      </c>
      <c r="D185" s="57">
        <v>2.0</v>
      </c>
    </row>
    <row r="186">
      <c r="A186" s="18">
        <v>46047.0</v>
      </c>
      <c r="B186" s="19" t="s">
        <v>31</v>
      </c>
      <c r="D186" s="57">
        <v>2.0</v>
      </c>
    </row>
    <row r="187">
      <c r="A187" s="18">
        <v>46047.0</v>
      </c>
      <c r="B187" s="19" t="s">
        <v>31</v>
      </c>
      <c r="D187" s="57">
        <v>2.0</v>
      </c>
    </row>
    <row r="188">
      <c r="A188" s="18">
        <v>46047.0</v>
      </c>
      <c r="B188" s="19" t="s">
        <v>31</v>
      </c>
      <c r="D188" s="57">
        <v>2.0</v>
      </c>
    </row>
    <row r="189">
      <c r="A189" s="18">
        <v>46047.0</v>
      </c>
      <c r="B189" s="19" t="s">
        <v>31</v>
      </c>
      <c r="D189" s="57">
        <v>2.0</v>
      </c>
    </row>
    <row r="190">
      <c r="A190" s="18">
        <v>46047.0</v>
      </c>
      <c r="B190" s="19" t="s">
        <v>31</v>
      </c>
      <c r="D190" s="57">
        <v>2.0</v>
      </c>
    </row>
    <row r="191">
      <c r="A191" s="18">
        <v>46047.0</v>
      </c>
      <c r="B191" s="19" t="s">
        <v>31</v>
      </c>
      <c r="D191" s="57">
        <v>2.0</v>
      </c>
    </row>
    <row r="192">
      <c r="A192" s="18">
        <v>46047.0</v>
      </c>
      <c r="B192" s="19" t="s">
        <v>31</v>
      </c>
      <c r="D192" s="57">
        <v>2.0</v>
      </c>
    </row>
    <row r="193">
      <c r="A193" s="18">
        <v>46047.0</v>
      </c>
      <c r="B193" s="19" t="s">
        <v>31</v>
      </c>
      <c r="D193" s="57">
        <v>2.0</v>
      </c>
    </row>
    <row r="194">
      <c r="A194" s="18">
        <v>46047.0</v>
      </c>
      <c r="B194" s="19" t="s">
        <v>31</v>
      </c>
      <c r="D194" s="57">
        <v>2.0</v>
      </c>
    </row>
    <row r="195">
      <c r="A195" s="18">
        <v>46047.0</v>
      </c>
      <c r="B195" s="19" t="s">
        <v>31</v>
      </c>
      <c r="D195" s="57">
        <v>2.0</v>
      </c>
    </row>
    <row r="196">
      <c r="A196" s="18">
        <v>46047.0</v>
      </c>
      <c r="B196" s="19" t="s">
        <v>31</v>
      </c>
      <c r="D196" s="57">
        <v>2.0</v>
      </c>
    </row>
    <row r="197">
      <c r="A197" s="18">
        <v>46047.0</v>
      </c>
      <c r="B197" s="19" t="s">
        <v>31</v>
      </c>
      <c r="D197" s="57">
        <v>2.0</v>
      </c>
    </row>
    <row r="198">
      <c r="A198" s="18">
        <v>46047.0</v>
      </c>
      <c r="B198" s="19" t="s">
        <v>31</v>
      </c>
      <c r="D198" s="57">
        <v>2.0</v>
      </c>
    </row>
    <row r="199">
      <c r="A199" s="18">
        <v>46047.0</v>
      </c>
      <c r="B199" s="19" t="s">
        <v>31</v>
      </c>
      <c r="D199" s="57">
        <v>2.0</v>
      </c>
    </row>
    <row r="200">
      <c r="A200" s="18">
        <v>46047.0</v>
      </c>
      <c r="B200" s="19" t="s">
        <v>31</v>
      </c>
      <c r="D200" s="57">
        <v>2.0</v>
      </c>
    </row>
    <row r="201">
      <c r="A201" s="18">
        <v>46047.0</v>
      </c>
      <c r="B201" s="19" t="s">
        <v>31</v>
      </c>
      <c r="D201" s="57">
        <v>2.0</v>
      </c>
    </row>
    <row r="202">
      <c r="A202" s="18">
        <v>46047.0</v>
      </c>
      <c r="B202" s="19" t="s">
        <v>31</v>
      </c>
      <c r="D202" s="57">
        <v>2.0</v>
      </c>
    </row>
    <row r="203">
      <c r="A203" s="18">
        <v>46047.0</v>
      </c>
      <c r="B203" s="19" t="s">
        <v>31</v>
      </c>
      <c r="D203" s="57">
        <v>2.0</v>
      </c>
    </row>
    <row r="204">
      <c r="A204" s="18">
        <v>46047.0</v>
      </c>
      <c r="B204" s="19" t="s">
        <v>31</v>
      </c>
      <c r="D204" s="57">
        <v>2.0</v>
      </c>
    </row>
    <row r="205">
      <c r="A205" s="18">
        <v>46047.0</v>
      </c>
      <c r="B205" s="19" t="s">
        <v>31</v>
      </c>
      <c r="D205" s="57">
        <v>2.0</v>
      </c>
    </row>
    <row r="206">
      <c r="A206" s="18">
        <v>46047.0</v>
      </c>
      <c r="B206" s="19" t="s">
        <v>31</v>
      </c>
      <c r="D206" s="57">
        <v>2.0</v>
      </c>
    </row>
    <row r="207">
      <c r="A207" s="18">
        <v>46047.0</v>
      </c>
      <c r="B207" s="19" t="s">
        <v>31</v>
      </c>
      <c r="D207" s="57">
        <v>2.0</v>
      </c>
    </row>
    <row r="208">
      <c r="A208" s="18">
        <v>46047.0</v>
      </c>
      <c r="B208" s="19" t="s">
        <v>31</v>
      </c>
    </row>
    <row r="209">
      <c r="A209" s="18">
        <v>46047.0</v>
      </c>
      <c r="B209" s="19" t="s">
        <v>31</v>
      </c>
    </row>
    <row r="210">
      <c r="A210" s="18">
        <v>46047.0</v>
      </c>
      <c r="B210" s="19" t="s">
        <v>31</v>
      </c>
    </row>
    <row r="211">
      <c r="A211" s="18">
        <v>46047.0</v>
      </c>
      <c r="B211" s="19" t="s">
        <v>31</v>
      </c>
    </row>
    <row r="212">
      <c r="A212" s="18">
        <v>46047.0</v>
      </c>
      <c r="B212" s="19" t="s">
        <v>31</v>
      </c>
    </row>
    <row r="213">
      <c r="A213" s="18">
        <v>46047.0</v>
      </c>
      <c r="B213" s="19" t="s">
        <v>31</v>
      </c>
    </row>
    <row r="214">
      <c r="A214" s="18">
        <v>46047.0</v>
      </c>
      <c r="B214" s="19" t="s">
        <v>31</v>
      </c>
    </row>
    <row r="215">
      <c r="A215" s="18">
        <v>46047.0</v>
      </c>
      <c r="B215" s="19" t="s">
        <v>31</v>
      </c>
    </row>
    <row r="216">
      <c r="A216" s="18">
        <v>46047.0</v>
      </c>
      <c r="B216" s="19" t="s">
        <v>31</v>
      </c>
    </row>
    <row r="217">
      <c r="A217" s="18">
        <v>46047.0</v>
      </c>
      <c r="B217" s="19" t="s">
        <v>31</v>
      </c>
    </row>
    <row r="218">
      <c r="A218" s="18">
        <v>46047.0</v>
      </c>
      <c r="B218" s="19" t="s">
        <v>31</v>
      </c>
    </row>
    <row r="219">
      <c r="A219" s="18">
        <v>46047.0</v>
      </c>
      <c r="B219" s="19" t="s">
        <v>31</v>
      </c>
    </row>
    <row r="220">
      <c r="A220" s="18">
        <v>46047.0</v>
      </c>
      <c r="B220" s="19" t="s">
        <v>31</v>
      </c>
    </row>
    <row r="221">
      <c r="A221" s="18">
        <v>46047.0</v>
      </c>
      <c r="B221" s="19" t="s">
        <v>31</v>
      </c>
    </row>
    <row r="222">
      <c r="A222" s="18">
        <v>46047.0</v>
      </c>
      <c r="B222" s="19" t="s">
        <v>31</v>
      </c>
    </row>
    <row r="223">
      <c r="A223" s="18">
        <v>46047.0</v>
      </c>
      <c r="B223" s="19" t="s">
        <v>31</v>
      </c>
    </row>
    <row r="224">
      <c r="A224" s="18">
        <v>46047.0</v>
      </c>
      <c r="B224" s="19" t="s">
        <v>31</v>
      </c>
    </row>
    <row r="225">
      <c r="A225" s="18">
        <v>46047.0</v>
      </c>
      <c r="B225" s="19" t="s">
        <v>31</v>
      </c>
    </row>
    <row r="226">
      <c r="A226" s="18">
        <v>46047.0</v>
      </c>
      <c r="B226" s="19" t="s">
        <v>31</v>
      </c>
    </row>
    <row r="227">
      <c r="A227" s="18">
        <v>46047.0</v>
      </c>
      <c r="B227" s="19" t="s">
        <v>31</v>
      </c>
    </row>
    <row r="228">
      <c r="A228" s="18">
        <v>46047.0</v>
      </c>
      <c r="B228" s="19" t="s">
        <v>31</v>
      </c>
    </row>
    <row r="229">
      <c r="A229" s="18">
        <v>46047.0</v>
      </c>
      <c r="B229" s="19" t="s">
        <v>31</v>
      </c>
    </row>
    <row r="230">
      <c r="A230" s="18">
        <v>46047.0</v>
      </c>
      <c r="B230" s="19" t="s">
        <v>31</v>
      </c>
    </row>
    <row r="231">
      <c r="A231" s="18">
        <v>46047.0</v>
      </c>
      <c r="B231" s="19" t="s">
        <v>31</v>
      </c>
    </row>
    <row r="232">
      <c r="A232" s="18">
        <v>46047.0</v>
      </c>
      <c r="B232" s="19" t="s">
        <v>31</v>
      </c>
    </row>
    <row r="233">
      <c r="A233" s="18">
        <v>46047.0</v>
      </c>
      <c r="B233" s="19" t="s">
        <v>31</v>
      </c>
    </row>
    <row r="234">
      <c r="A234" s="18">
        <v>46047.0</v>
      </c>
      <c r="B234" s="19" t="s">
        <v>31</v>
      </c>
    </row>
    <row r="235">
      <c r="A235" s="18">
        <v>46047.0</v>
      </c>
      <c r="B235" s="19" t="s">
        <v>31</v>
      </c>
    </row>
    <row r="236">
      <c r="A236" s="18">
        <v>46047.0</v>
      </c>
      <c r="B236" s="19" t="s">
        <v>31</v>
      </c>
    </row>
    <row r="237">
      <c r="A237" s="18">
        <v>46047.0</v>
      </c>
      <c r="B237" s="19" t="s">
        <v>31</v>
      </c>
    </row>
    <row r="238">
      <c r="A238" s="18">
        <v>46047.0</v>
      </c>
      <c r="B238" s="19" t="s">
        <v>31</v>
      </c>
    </row>
    <row r="239">
      <c r="A239" s="18">
        <v>46047.0</v>
      </c>
      <c r="B239" s="19" t="s">
        <v>31</v>
      </c>
    </row>
    <row r="240">
      <c r="A240" s="18">
        <v>46047.0</v>
      </c>
      <c r="B240" s="19" t="s">
        <v>31</v>
      </c>
    </row>
    <row r="241">
      <c r="A241" s="18">
        <v>46047.0</v>
      </c>
      <c r="B241" s="19" t="s">
        <v>31</v>
      </c>
    </row>
    <row r="242">
      <c r="A242" s="18">
        <v>46047.0</v>
      </c>
      <c r="B242" s="19" t="s">
        <v>31</v>
      </c>
    </row>
    <row r="243">
      <c r="A243" s="18">
        <v>46047.0</v>
      </c>
      <c r="B243" s="19" t="s">
        <v>31</v>
      </c>
    </row>
    <row r="244">
      <c r="A244" s="18">
        <v>46047.0</v>
      </c>
      <c r="B244" s="19" t="s">
        <v>31</v>
      </c>
    </row>
    <row r="245">
      <c r="A245" s="18">
        <v>46047.0</v>
      </c>
      <c r="B245" s="19" t="s">
        <v>31</v>
      </c>
    </row>
    <row r="246">
      <c r="A246" s="18">
        <v>46047.0</v>
      </c>
      <c r="B246" s="19" t="s">
        <v>31</v>
      </c>
    </row>
    <row r="247">
      <c r="A247" s="18">
        <v>46047.0</v>
      </c>
      <c r="B247" s="19" t="s">
        <v>31</v>
      </c>
    </row>
    <row r="248">
      <c r="A248" s="18">
        <v>46047.0</v>
      </c>
      <c r="B248" s="19" t="s">
        <v>31</v>
      </c>
    </row>
    <row r="249">
      <c r="A249" s="18">
        <v>46047.0</v>
      </c>
      <c r="B249" s="19" t="s">
        <v>31</v>
      </c>
    </row>
    <row r="250">
      <c r="A250" s="18">
        <v>46047.0</v>
      </c>
      <c r="B250" s="19" t="s">
        <v>31</v>
      </c>
    </row>
    <row r="251">
      <c r="A251" s="18">
        <v>46047.0</v>
      </c>
      <c r="B251" s="19" t="s">
        <v>31</v>
      </c>
    </row>
    <row r="252">
      <c r="B252" s="19" t="s">
        <v>31</v>
      </c>
    </row>
    <row r="253">
      <c r="B253" s="19" t="s">
        <v>31</v>
      </c>
    </row>
    <row r="254">
      <c r="B254" s="19" t="s">
        <v>31</v>
      </c>
    </row>
    <row r="255">
      <c r="B255" s="19" t="s">
        <v>31</v>
      </c>
    </row>
    <row r="256">
      <c r="B256" s="19" t="s">
        <v>31</v>
      </c>
    </row>
    <row r="257">
      <c r="B257" s="19" t="s">
        <v>31</v>
      </c>
    </row>
    <row r="258">
      <c r="B258" s="19" t="s">
        <v>31</v>
      </c>
    </row>
    <row r="259">
      <c r="B259" s="19" t="s">
        <v>31</v>
      </c>
    </row>
    <row r="260">
      <c r="B260" s="19" t="s">
        <v>31</v>
      </c>
    </row>
    <row r="261">
      <c r="B261" s="19" t="s">
        <v>31</v>
      </c>
    </row>
    <row r="262">
      <c r="B262" s="19" t="s">
        <v>31</v>
      </c>
    </row>
    <row r="263">
      <c r="B263" s="19" t="s">
        <v>31</v>
      </c>
    </row>
    <row r="264">
      <c r="B264" s="19" t="s">
        <v>31</v>
      </c>
    </row>
    <row r="265">
      <c r="B265" s="19" t="s">
        <v>31</v>
      </c>
    </row>
    <row r="266">
      <c r="B266" s="19" t="s">
        <v>31</v>
      </c>
    </row>
  </sheetData>
  <autoFilter ref="$A$1:$CW$2"/>
  <dataValidations>
    <dataValidation type="list" allowBlank="1" showErrorMessage="1" sqref="B3:B96 B163:B266">
      <formula1>"Mauliola,Lē'ahi ,‘Ewa Beach"</formula1>
    </dataValidation>
  </dataValidations>
  <drawing r:id="rId4"/>
  <legacyDrawing r:id="rId5"/>
</worksheet>
</file>