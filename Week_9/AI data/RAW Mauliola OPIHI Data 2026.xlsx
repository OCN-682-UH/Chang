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Transect Point Intercept" sheetId="2" r:id="rId6"/>
    <sheet state="visible" name="Quadrat PtCounts" sheetId="3" r:id="rId7"/>
  </sheets>
  <definedNames>
    <definedName hidden="1" localSheetId="2" name="_xlnm._FilterDatabase">'Quadrat PtCounts'!$A$1:$CW$2</definedName>
    <definedName name="THEREST">LAMBDA(left, right, self, amount, amount-(left+right))</definedName>
  </definedNames>
  <calcPr/>
</workbook>
</file>

<file path=xl/sharedStrings.xml><?xml version="1.0" encoding="utf-8"?>
<sst xmlns="http://schemas.openxmlformats.org/spreadsheetml/2006/main" count="594" uniqueCount="160">
  <si>
    <t>Date</t>
  </si>
  <si>
    <t xml:space="preserve">   </t>
  </si>
  <si>
    <t>Location</t>
  </si>
  <si>
    <t>Team Leader</t>
  </si>
  <si>
    <t>Team Members</t>
  </si>
  <si>
    <t>Stressful Events?</t>
  </si>
  <si>
    <t>Low Tide Time</t>
  </si>
  <si>
    <t>Low Tide Height</t>
  </si>
  <si>
    <t># in field group</t>
  </si>
  <si>
    <t>Limu (Algae)</t>
  </si>
  <si>
    <t># T lines</t>
  </si>
  <si>
    <t>Longest T (m)</t>
  </si>
  <si>
    <t>Dist between T pts for Q</t>
  </si>
  <si>
    <t># Quad/T</t>
  </si>
  <si>
    <t>Start time</t>
  </si>
  <si>
    <t>End time</t>
  </si>
  <si>
    <t>Weather</t>
  </si>
  <si>
    <t>Rain events?</t>
  </si>
  <si>
    <t>Wave Height</t>
  </si>
  <si>
    <t>Wind speed</t>
  </si>
  <si>
    <t># Visitors</t>
  </si>
  <si>
    <t># fishing</t>
  </si>
  <si>
    <t># collecting</t>
  </si>
  <si>
    <t>What collecting?</t>
  </si>
  <si>
    <t>Notes</t>
  </si>
  <si>
    <t>Mauliola</t>
  </si>
  <si>
    <t>Data Entry By</t>
  </si>
  <si>
    <t>Gigi Fernandez</t>
  </si>
  <si>
    <t>No</t>
  </si>
  <si>
    <t>Transect 
#</t>
  </si>
  <si>
    <t>Cloudy</t>
  </si>
  <si>
    <t>no</t>
  </si>
  <si>
    <t>1-3 ft</t>
  </si>
  <si>
    <t>1-3 mph</t>
  </si>
  <si>
    <t>Transect 
Pt</t>
  </si>
  <si>
    <t>Blue-Green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</si>
  <si>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</si>
  <si>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Position # on Transect (m)</t>
  </si>
  <si>
    <t>Substrate</t>
  </si>
  <si>
    <t>Organism or Substrate</t>
  </si>
  <si>
    <t>Total</t>
  </si>
  <si>
    <t>Quadrat
location (m)</t>
  </si>
  <si>
    <t>Acanthophora spicifera</t>
  </si>
  <si>
    <t>Amansia sp.</t>
  </si>
  <si>
    <t>Articulated Coralline</t>
  </si>
  <si>
    <t>Asparagopsis sp</t>
  </si>
  <si>
    <t>Astronema breviarticulatum</t>
  </si>
  <si>
    <t>Astronema sp.</t>
  </si>
  <si>
    <t>Ahnfeltiopsis sp</t>
  </si>
  <si>
    <t>Avrainvillea sp.</t>
  </si>
  <si>
    <t>Avrainvillea lacerata</t>
  </si>
  <si>
    <t>Brown/Orange Crust</t>
  </si>
  <si>
    <t>Bryopsis sp.</t>
  </si>
  <si>
    <t>Bornatella sphaerica</t>
  </si>
  <si>
    <t>Caulerpa racemosa</t>
  </si>
  <si>
    <t>CCA</t>
  </si>
  <si>
    <t>Cerramium sp</t>
  </si>
  <si>
    <t>cerracia</t>
  </si>
  <si>
    <t>Chaetomorpha basiretrorsa</t>
  </si>
  <si>
    <t>Chnoospora sp</t>
  </si>
  <si>
    <t>Cladophora sp</t>
  </si>
  <si>
    <t>Codium sp</t>
  </si>
  <si>
    <t>Codium arabicum</t>
  </si>
  <si>
    <t>Codium edule</t>
  </si>
  <si>
    <t>Codium reediae</t>
  </si>
  <si>
    <t>Patina sp.</t>
  </si>
  <si>
    <t xml:space="preserve">Colpomenia sp. </t>
  </si>
  <si>
    <t>Colpomenia sinuosa</t>
  </si>
  <si>
    <t>Cyanobacteria</t>
  </si>
  <si>
    <t>Dasya iridescens</t>
  </si>
  <si>
    <t>Dichotomaria marginata</t>
  </si>
  <si>
    <t>Dictyosphaeria cavernosa</t>
  </si>
  <si>
    <t>Dictyosphaeria versluysii</t>
  </si>
  <si>
    <t>Brown Colored Crust</t>
  </si>
  <si>
    <t>Dictyosphaeria sp.</t>
  </si>
  <si>
    <t>Dictyota sp</t>
  </si>
  <si>
    <t>Dictyota acutiloba</t>
  </si>
  <si>
    <t>Dictyota sandvicensis</t>
  </si>
  <si>
    <t>Dichtyopterous</t>
  </si>
  <si>
    <t>Rock</t>
  </si>
  <si>
    <t>Gelidiella sp</t>
  </si>
  <si>
    <t>Gracilaria sp.</t>
  </si>
  <si>
    <t>Gracilaria salicronia</t>
  </si>
  <si>
    <t>Galaxaura</t>
  </si>
  <si>
    <t>Padina</t>
  </si>
  <si>
    <t>Halimeda sp</t>
  </si>
  <si>
    <t>Hydroclathrus clathratus</t>
  </si>
  <si>
    <t>Ulva</t>
  </si>
  <si>
    <t>Hypnea sp.</t>
  </si>
  <si>
    <t>Jania pumila</t>
  </si>
  <si>
    <t>Jania sp</t>
  </si>
  <si>
    <t>Laurencia sp.</t>
  </si>
  <si>
    <t>Laurencia crustiformans</t>
  </si>
  <si>
    <t>Laurencia majuscula</t>
  </si>
  <si>
    <t>Laurencia mcdermidiae</t>
  </si>
  <si>
    <t>Laurencia nidifica</t>
  </si>
  <si>
    <t>Liagora sp</t>
  </si>
  <si>
    <t>Lobophora obscura</t>
  </si>
  <si>
    <t>Microdictyon sp.</t>
  </si>
  <si>
    <t>Neomeris</t>
  </si>
  <si>
    <t>Spyridia fligmentosa</t>
  </si>
  <si>
    <t>Portieria</t>
  </si>
  <si>
    <t>Pterocladiella</t>
  </si>
  <si>
    <t>Padina sp.</t>
  </si>
  <si>
    <t>Sargassum sp.</t>
  </si>
  <si>
    <t>Sargassum aquifolium</t>
  </si>
  <si>
    <t>Sargassum polyphyllum</t>
  </si>
  <si>
    <t>Sphaecelaria sp</t>
  </si>
  <si>
    <t>Symploca hypnoides</t>
  </si>
  <si>
    <t>Trichogloea sp</t>
  </si>
  <si>
    <t>Turbinaria ornata</t>
  </si>
  <si>
    <t xml:space="preserve">Wrangelia </t>
  </si>
  <si>
    <t>Valonia sp.</t>
  </si>
  <si>
    <t>Turf</t>
  </si>
  <si>
    <t>Botryocladia sp.</t>
  </si>
  <si>
    <t>Lyngbya sp</t>
  </si>
  <si>
    <t>Sand</t>
  </si>
  <si>
    <t>Cucumber- Actinopyga</t>
  </si>
  <si>
    <t>Hermet crab</t>
  </si>
  <si>
    <t>Crab</t>
  </si>
  <si>
    <t>Urchin - Echinometra</t>
  </si>
  <si>
    <t>Snail- Dendropoma gregarium</t>
  </si>
  <si>
    <t>Urchin - Ophiocoma</t>
  </si>
  <si>
    <t>Cucumber- Holothuria</t>
  </si>
  <si>
    <t>Haminoea cymbalum - green snail</t>
  </si>
  <si>
    <t>Pennaria disticha (christmas tree hydroid)</t>
  </si>
  <si>
    <t>Pocillopora damicornis</t>
  </si>
  <si>
    <t>Brittle Star</t>
  </si>
  <si>
    <t>Snail- Littoraria</t>
  </si>
  <si>
    <t>Snail - Nerite</t>
  </si>
  <si>
    <t>Snail- Serpulorbis</t>
  </si>
  <si>
    <t>Snail- Siphonaria normalis</t>
  </si>
  <si>
    <t>Limpet</t>
  </si>
  <si>
    <t>sponge</t>
  </si>
  <si>
    <t>Basalt</t>
  </si>
  <si>
    <t>Limestone</t>
  </si>
  <si>
    <t>hole</t>
  </si>
  <si>
    <t>mud/silt</t>
  </si>
  <si>
    <t>unknown</t>
  </si>
  <si>
    <t>Total Points</t>
  </si>
  <si>
    <t>NOTES/Corrections to data sheet</t>
  </si>
  <si>
    <t>Kaimalie Lim</t>
  </si>
  <si>
    <t xml:space="preserve"> Articulated Coralines</t>
  </si>
  <si>
    <t>Turf Algae</t>
  </si>
  <si>
    <t>Rock &amp; Sand</t>
  </si>
  <si>
    <t>Padina spp</t>
  </si>
  <si>
    <t>Rock / Sand</t>
  </si>
  <si>
    <t>Halimeda Discoidea</t>
  </si>
  <si>
    <t>Codium Edule</t>
  </si>
  <si>
    <t>Sea Urchin Echinodermata Mathaei</t>
  </si>
  <si>
    <t>Coral</t>
  </si>
  <si>
    <t>Cement slab</t>
  </si>
  <si>
    <t>Rock, Ophiocoma spp</t>
  </si>
  <si>
    <t>Cladophora</t>
  </si>
  <si>
    <t>Shallow Rock</t>
  </si>
  <si>
    <t>Dry Rock (Above Water)</t>
  </si>
  <si>
    <t>Lyngbya Magmuscula</t>
  </si>
  <si>
    <t>Total Count</t>
  </si>
  <si>
    <t>Madison Armstrong</t>
  </si>
  <si>
    <t>Column 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</si>
</sst>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mm/d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</font>
    <font>
      <color rgb="FF000000"/>
      <name val="Roboto"/>
    </font>
    <font>
      <color theme="1"/>
      <name val="Arial"/>
    </font>
    <font>
      <sz val="10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FC5E5"/>
        <bgColor rgb="FF9FC5E5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Fill="1" applyFont="1"/>
    <xf borderId="0" fillId="2" fontId="1" numFmtId="0" xfId="0" applyFill="1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2" fontId="1" numFmtId="0" xfId="0" applyAlignment="1" applyFill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6" fontId="2" numFmtId="0" xfId="0" applyFill="1" applyFont="1"/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2" numFmtId="0" xfId="0" applyFill="1" applyFont="1"/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2" numFmtId="166" xfId="0" applyAlignment="1" applyFill="1" applyFont="1" applyNumberFormat="1">
      <alignment readingOrder="0"/>
    </xf>
    <xf borderId="0" fillId="4" fontId="5" numFmtId="0" xfId="0" applyAlignment="1" applyFill="1" applyFont="1">
      <alignment horizontal="left" readingOrder="0"/>
    </xf>
    <xf borderId="0" fillId="4" fontId="4" numFmtId="0" xfId="0" applyAlignment="1" applyFill="1" applyFont="1">
      <alignment horizontal="left" readingOrder="0"/>
    </xf>
    <xf borderId="0" fillId="10" fontId="3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ill="1" applyFont="1"/>
    <xf borderId="0" fillId="4" fontId="2" numFmtId="0" xfId="0" applyAlignment="1" applyFill="1" applyFont="1">
      <alignment readingOrder="0" shrinkToFit="0" wrapText="1"/>
    </xf>
    <xf borderId="0" fillId="11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6" fontId="2" numFmtId="0" xfId="0" applyAlignment="1" applyFill="1" applyFont="1">
      <alignment readingOrder="0" shrinkToFit="0" wrapText="1"/>
    </xf>
    <xf borderId="0" fillId="7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12" fontId="2" numFmtId="166" xfId="0" applyAlignment="1" applyFill="1" applyFont="1" applyNumberFormat="1">
      <alignment readingOrder="0"/>
    </xf>
    <xf borderId="0" fillId="12" fontId="3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2" numFmtId="0" xfId="0" applyFill="1" applyFont="1"/>
    <xf borderId="0" fillId="12" fontId="6" numFmtId="0" xfId="0" applyAlignment="1" applyFill="1" applyFont="1">
      <alignment readingOrder="0" vertical="bottom"/>
    </xf>
    <xf borderId="0" fillId="12" fontId="6" numFmtId="0" xfId="0" applyAlignment="1" applyFill="1" applyFont="1">
      <alignment horizontal="right" readingOrder="0" vertical="bottom"/>
    </xf>
    <xf borderId="0" fillId="10" fontId="3" numFmtId="0" xfId="0" applyFill="1" applyFont="1"/>
    <xf borderId="0" fillId="13" fontId="2" numFmtId="166" xfId="0" applyAlignment="1" applyFill="1" applyFont="1" applyNumberFormat="1">
      <alignment readingOrder="0"/>
    </xf>
    <xf borderId="0" fillId="13" fontId="3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3" fontId="2" numFmtId="0" xfId="0" applyFill="1" applyFont="1"/>
    <xf borderId="0" fillId="14" fontId="2" numFmtId="166" xfId="0" applyAlignment="1" applyFill="1" applyFont="1" applyNumberFormat="1">
      <alignment readingOrder="0"/>
    </xf>
    <xf borderId="0" fillId="14" fontId="3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ill="1" applyFont="1"/>
    <xf borderId="0" fillId="14" fontId="2" numFmtId="164" xfId="0" applyAlignment="1" applyFill="1" applyFont="1" applyNumberFormat="1">
      <alignment readingOrder="0"/>
    </xf>
    <xf borderId="0" fillId="15" fontId="2" numFmtId="164" xfId="0" applyAlignment="1" applyFill="1" applyFont="1" applyNumberFormat="1">
      <alignment readingOrder="0"/>
    </xf>
    <xf borderId="0" fillId="15" fontId="3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5" fontId="2" numFmtId="0" xfId="0" applyFill="1" applyFont="1"/>
    <xf borderId="0" fillId="0" fontId="1" numFmtId="0" xfId="0" applyAlignment="1" applyFont="1">
      <alignment horizontal="right" readingOrder="0"/>
    </xf>
    <xf borderId="0" fillId="0" fontId="1" numFmtId="0" xfId="0" applyFont="1"/>
    <xf borderId="0" fillId="12" fontId="3" numFmtId="0" xfId="0" applyFill="1" applyFont="1"/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2" numFmtId="166" xfId="0" applyAlignment="1" applyFont="1" applyNumberFormat="1">
      <alignment readingOrder="0"/>
    </xf>
    <xf borderId="0" fillId="0" fontId="6" numFmtId="166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13" fontId="6" numFmtId="0" xfId="0" applyAlignment="1" applyFill="1" applyFont="1">
      <alignment horizontal="right" readingOrder="0" vertical="bottom"/>
    </xf>
    <xf borderId="0" fillId="15" fontId="2" numFmtId="166" xfId="0" applyAlignment="1" applyFill="1" applyFont="1" applyNumberFormat="1">
      <alignment readingOrder="0"/>
    </xf>
    <xf borderId="0" fillId="15" fontId="7" numFmtId="0" xfId="0" applyFill="1" applyFont="1"/>
    <xf borderId="0" fillId="15" fontId="7" numFmtId="0" xfId="0" applyAlignment="1" applyFill="1" applyFont="1">
      <alignment readingOrder="0"/>
    </xf>
    <xf borderId="0" fillId="16" fontId="2" numFmtId="164" xfId="0" applyAlignment="1" applyFill="1" applyFont="1" applyNumberFormat="1">
      <alignment readingOrder="0"/>
    </xf>
    <xf borderId="0" fillId="16" fontId="3" numFmtId="0" xfId="0" applyAlignment="1" applyFill="1" applyFont="1">
      <alignment readingOrder="0"/>
    </xf>
    <xf borderId="0" fillId="16" fontId="8" numFmtId="0" xfId="0" applyAlignment="1" applyFill="1" applyFont="1">
      <alignment horizontal="right" readingOrder="0" vertical="bottom"/>
    </xf>
    <xf borderId="0" fillId="16" fontId="1" numFmtId="0" xfId="0" applyFill="1" applyFont="1"/>
    <xf borderId="0" fillId="16" fontId="1" numFmtId="0" xfId="0" applyAlignment="1" applyFill="1" applyFont="1">
      <alignment readingOrder="0"/>
    </xf>
    <xf borderId="0" fillId="16" fontId="2" numFmtId="0" xfId="0" applyFill="1" applyFont="1"/>
    <xf borderId="0" fillId="0" fontId="6" numFmtId="0" xfId="0" applyAlignment="1" applyFont="1">
      <alignment readingOrder="0"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4" max="5" width="14.75"/>
    <col customWidth="1" min="7" max="7" width="13.75"/>
    <col customWidth="1" min="9" max="9" width="8.88"/>
    <col customWidth="1" min="11" max="11" width="20.38"/>
    <col customWidth="1" min="12" max="12" width="17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7"/>
      <c r="Y1" s="7"/>
      <c r="Z1" s="7"/>
      <c r="AA1" s="7"/>
    </row>
    <row r="2">
      <c r="A2" s="8">
        <v>46138.0</v>
      </c>
      <c r="B2" s="9" t="s">
        <v>25</v>
      </c>
      <c r="C2" s="10" t="s">
        <v>27</v>
      </c>
      <c r="E2" s="10" t="s">
        <v>28</v>
      </c>
      <c r="F2" s="11">
        <v>0.4652777777777778</v>
      </c>
      <c r="G2" s="10">
        <v>-0.27</v>
      </c>
      <c r="H2" s="10">
        <v>18.0</v>
      </c>
      <c r="I2" s="10">
        <v>6.0</v>
      </c>
      <c r="J2" s="10">
        <v>24.0</v>
      </c>
      <c r="K2" s="10">
        <v>1.0</v>
      </c>
      <c r="L2" s="10">
        <v>11.0</v>
      </c>
      <c r="M2" s="11">
        <v>0.3972222222222222</v>
      </c>
      <c r="N2" s="11">
        <v>0.4513888888888889</v>
      </c>
      <c r="O2" s="10" t="s">
        <v>30</v>
      </c>
      <c r="P2" s="10" t="s">
        <v>31</v>
      </c>
      <c r="Q2" s="10" t="s">
        <v>32</v>
      </c>
      <c r="R2" s="10" t="s">
        <v>33</v>
      </c>
      <c r="S2" s="10">
        <v>22.0</v>
      </c>
      <c r="T2" s="10">
        <v>3.0</v>
      </c>
      <c r="U2" s="10">
        <v>0.0</v>
      </c>
    </row>
    <row r="3">
      <c r="A3" s="8"/>
      <c r="B3" s="9"/>
      <c r="F3" s="11"/>
      <c r="M3" s="13"/>
      <c r="N3" s="13"/>
    </row>
    <row r="4">
      <c r="A4" s="8"/>
      <c r="B4" s="9"/>
      <c r="F4" s="11"/>
      <c r="M4" s="11"/>
      <c r="N4" s="13"/>
    </row>
    <row r="5">
      <c r="A5" s="8"/>
      <c r="B5" s="9"/>
      <c r="F5" s="11"/>
      <c r="M5" s="11"/>
      <c r="N5" s="11"/>
    </row>
    <row r="6">
      <c r="A6" s="8"/>
      <c r="B6" s="9"/>
      <c r="F6" s="11"/>
      <c r="M6" s="11"/>
      <c r="N6" s="11"/>
    </row>
    <row r="7">
      <c r="A7" s="8"/>
      <c r="B7" s="9"/>
    </row>
    <row r="8">
      <c r="A8" s="8"/>
      <c r="B8" s="9"/>
    </row>
    <row r="9">
      <c r="A9" s="8"/>
      <c r="B9" s="9"/>
      <c r="F9" s="13"/>
      <c r="M9" s="13"/>
    </row>
    <row r="10">
      <c r="A10" s="16"/>
      <c r="B10" s="9"/>
    </row>
    <row r="11">
      <c r="A11" s="16"/>
      <c r="B11" s="9"/>
    </row>
    <row r="12">
      <c r="A12" s="16"/>
      <c r="B12" s="9"/>
    </row>
    <row r="13">
      <c r="A13" s="16"/>
      <c r="B13" s="9"/>
    </row>
    <row r="14">
      <c r="A14" s="16"/>
      <c r="B14" s="18"/>
    </row>
    <row r="15">
      <c r="A15" s="16"/>
      <c r="B15" s="18"/>
    </row>
    <row r="16">
      <c r="A16" s="16"/>
      <c r="B16" s="18"/>
    </row>
  </sheetData>
  <dataValidations>
    <dataValidation type="list" allowBlank="1" showErrorMessage="1" sqref="B2">
      <formula1>"Mauliola,Lē'ahi ,‘Ewa Beach"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3" max="3" width="15.5"/>
    <col customWidth="1" min="4" max="4" width="9.88"/>
    <col customWidth="1" min="5" max="5" width="11.88"/>
    <col customWidth="1" min="6" max="6" width="0.38"/>
    <col customWidth="1" min="7" max="7" width="19.63"/>
  </cols>
  <sheetData>
    <row r="1">
      <c r="A1" s="1" t="s">
        <v>0</v>
      </c>
      <c r="B1" s="1" t="s">
        <v>2</v>
      </c>
      <c r="C1" s="1" t="s">
        <v>26</v>
      </c>
      <c r="D1" s="12" t="s">
        <v>29</v>
      </c>
      <c r="E1" s="12" t="s">
        <v>34</v>
      </c>
      <c r="F1" s="21" t="s">
        <v>37</v>
      </c>
      <c r="G1" s="5" t="s">
        <v>39</v>
      </c>
    </row>
    <row r="2">
      <c r="A2" s="25">
        <v>46132.0</v>
      </c>
      <c r="B2" s="28" t="s">
        <v>25</v>
      </c>
      <c r="C2" s="29" t="s">
        <v>27</v>
      </c>
      <c r="D2" s="29">
        <v>1.0</v>
      </c>
      <c r="E2" s="29">
        <v>0.0</v>
      </c>
      <c r="F2" s="30"/>
      <c r="G2" s="28" t="s">
        <v>65</v>
      </c>
      <c r="H2" s="30"/>
      <c r="I2" s="30"/>
      <c r="J2" s="30"/>
      <c r="K2" s="30"/>
      <c r="L2" s="30"/>
    </row>
    <row r="3">
      <c r="A3" s="25">
        <v>46132.0</v>
      </c>
      <c r="B3" s="28" t="s">
        <v>25</v>
      </c>
      <c r="C3" s="29" t="s">
        <v>27</v>
      </c>
      <c r="D3" s="29">
        <v>1.0</v>
      </c>
      <c r="E3" s="29">
        <v>1.0</v>
      </c>
      <c r="F3" s="30"/>
      <c r="G3" s="28" t="s">
        <v>73</v>
      </c>
      <c r="H3" s="30"/>
      <c r="I3" s="30"/>
      <c r="J3" s="30"/>
      <c r="K3" s="30"/>
      <c r="L3" s="30"/>
    </row>
    <row r="4">
      <c r="A4" s="25">
        <v>46132.0</v>
      </c>
      <c r="B4" s="28" t="s">
        <v>25</v>
      </c>
      <c r="C4" s="29" t="s">
        <v>27</v>
      </c>
      <c r="D4" s="29">
        <v>1.0</v>
      </c>
      <c r="E4" s="29">
        <v>2.0</v>
      </c>
      <c r="F4" s="29" t="s">
        <v>79</v>
      </c>
      <c r="G4" s="29" t="s">
        <v>79</v>
      </c>
      <c r="H4" s="30"/>
      <c r="I4" s="30"/>
      <c r="J4" s="30"/>
      <c r="K4" s="30"/>
      <c r="L4" s="30"/>
    </row>
    <row r="5">
      <c r="A5" s="25">
        <v>46132.0</v>
      </c>
      <c r="B5" s="28" t="s">
        <v>25</v>
      </c>
      <c r="C5" s="29" t="s">
        <v>27</v>
      </c>
      <c r="D5" s="29">
        <v>1.0</v>
      </c>
      <c r="E5" s="29">
        <v>3.0</v>
      </c>
      <c r="F5" s="30"/>
      <c r="G5" s="28" t="s">
        <v>84</v>
      </c>
      <c r="H5" s="30"/>
      <c r="I5" s="30"/>
      <c r="J5" s="30"/>
      <c r="K5" s="30"/>
      <c r="L5" s="30"/>
    </row>
    <row r="6">
      <c r="A6" s="25">
        <v>46132.0</v>
      </c>
      <c r="B6" s="28" t="s">
        <v>25</v>
      </c>
      <c r="C6" s="29" t="s">
        <v>27</v>
      </c>
      <c r="D6" s="29">
        <v>1.0</v>
      </c>
      <c r="E6" s="29">
        <v>4.0</v>
      </c>
      <c r="F6" s="30"/>
      <c r="G6" s="28" t="s">
        <v>84</v>
      </c>
      <c r="H6" s="30"/>
      <c r="I6" s="30"/>
      <c r="J6" s="30"/>
      <c r="K6" s="30"/>
      <c r="L6" s="30"/>
    </row>
    <row r="7">
      <c r="A7" s="25">
        <v>46132.0</v>
      </c>
      <c r="B7" s="28" t="s">
        <v>25</v>
      </c>
      <c r="C7" s="29" t="s">
        <v>27</v>
      </c>
      <c r="D7" s="29">
        <v>1.0</v>
      </c>
      <c r="E7" s="29">
        <v>5.0</v>
      </c>
      <c r="F7" s="30"/>
      <c r="G7" s="28" t="s">
        <v>55</v>
      </c>
      <c r="H7" s="30"/>
      <c r="I7" s="30"/>
      <c r="J7" s="30"/>
      <c r="K7" s="30"/>
      <c r="L7" s="30"/>
    </row>
    <row r="8">
      <c r="A8" s="25">
        <v>46132.0</v>
      </c>
      <c r="B8" s="28" t="s">
        <v>25</v>
      </c>
      <c r="C8" s="29" t="s">
        <v>27</v>
      </c>
      <c r="D8" s="29">
        <v>1.0</v>
      </c>
      <c r="E8" s="29">
        <v>6.0</v>
      </c>
      <c r="F8" s="30"/>
      <c r="G8" s="28" t="s">
        <v>55</v>
      </c>
      <c r="H8" s="30"/>
      <c r="I8" s="30"/>
      <c r="J8" s="30"/>
      <c r="K8" s="30"/>
      <c r="L8" s="30"/>
    </row>
    <row r="9">
      <c r="A9" s="25">
        <v>46132.0</v>
      </c>
      <c r="B9" s="28" t="s">
        <v>25</v>
      </c>
      <c r="C9" s="29" t="s">
        <v>27</v>
      </c>
      <c r="D9" s="29">
        <v>1.0</v>
      </c>
      <c r="E9" s="29">
        <v>7.0</v>
      </c>
      <c r="F9" s="30"/>
      <c r="G9" s="29" t="s">
        <v>55</v>
      </c>
      <c r="H9" s="30"/>
      <c r="I9" s="30"/>
      <c r="J9" s="30"/>
      <c r="K9" s="30"/>
      <c r="L9" s="30"/>
    </row>
    <row r="10">
      <c r="A10" s="25">
        <v>46132.0</v>
      </c>
      <c r="B10" s="28" t="s">
        <v>25</v>
      </c>
      <c r="C10" s="29" t="s">
        <v>27</v>
      </c>
      <c r="D10" s="29">
        <v>1.0</v>
      </c>
      <c r="E10" s="29">
        <v>8.0</v>
      </c>
      <c r="F10" s="30"/>
      <c r="G10" s="29" t="s">
        <v>100</v>
      </c>
      <c r="H10" s="30"/>
      <c r="I10" s="30"/>
      <c r="J10" s="30"/>
      <c r="K10" s="30"/>
      <c r="L10" s="30"/>
    </row>
    <row r="11">
      <c r="A11" s="25">
        <v>46132.0</v>
      </c>
      <c r="B11" s="28" t="s">
        <v>25</v>
      </c>
      <c r="C11" s="29" t="s">
        <v>27</v>
      </c>
      <c r="D11" s="29">
        <v>1.0</v>
      </c>
      <c r="E11" s="29">
        <v>9.0</v>
      </c>
      <c r="F11" s="30"/>
      <c r="G11" s="29" t="s">
        <v>84</v>
      </c>
      <c r="H11" s="30"/>
      <c r="I11" s="30"/>
      <c r="J11" s="30"/>
      <c r="K11" s="30"/>
      <c r="L11" s="30"/>
    </row>
    <row r="12">
      <c r="A12" s="25">
        <v>46132.0</v>
      </c>
      <c r="B12" s="28" t="s">
        <v>25</v>
      </c>
      <c r="C12" s="29" t="s">
        <v>27</v>
      </c>
      <c r="D12" s="29">
        <v>1.0</v>
      </c>
      <c r="E12" s="29">
        <v>10.0</v>
      </c>
      <c r="F12" s="30"/>
      <c r="G12" s="29" t="s">
        <v>84</v>
      </c>
      <c r="H12" s="30"/>
      <c r="I12" s="30"/>
      <c r="J12" s="30"/>
      <c r="K12" s="30"/>
      <c r="L12" s="30"/>
    </row>
    <row r="13">
      <c r="A13" s="25">
        <v>46132.0</v>
      </c>
      <c r="B13" s="28" t="s">
        <v>25</v>
      </c>
      <c r="C13" s="29" t="s">
        <v>27</v>
      </c>
      <c r="D13" s="29">
        <v>1.0</v>
      </c>
      <c r="E13" s="29">
        <v>11.0</v>
      </c>
      <c r="F13" s="30"/>
      <c r="G13" s="29" t="s">
        <v>84</v>
      </c>
      <c r="H13" s="30"/>
      <c r="I13" s="30"/>
      <c r="J13" s="30"/>
      <c r="K13" s="30"/>
      <c r="L13" s="30"/>
    </row>
    <row r="14">
      <c r="A14" s="25">
        <v>46132.0</v>
      </c>
      <c r="B14" s="28" t="s">
        <v>25</v>
      </c>
      <c r="C14" s="29" t="s">
        <v>27</v>
      </c>
      <c r="D14" s="29">
        <v>1.0</v>
      </c>
      <c r="E14" s="29">
        <v>12.0</v>
      </c>
      <c r="F14" s="30"/>
      <c r="G14" s="28" t="s">
        <v>79</v>
      </c>
      <c r="H14" s="30"/>
      <c r="I14" s="30"/>
      <c r="J14" s="30"/>
      <c r="K14" s="30"/>
      <c r="L14" s="30"/>
    </row>
    <row r="15">
      <c r="A15" s="25">
        <v>46132.0</v>
      </c>
      <c r="B15" s="28" t="s">
        <v>25</v>
      </c>
      <c r="C15" s="29" t="s">
        <v>27</v>
      </c>
      <c r="D15" s="29">
        <v>1.0</v>
      </c>
      <c r="E15" s="29">
        <v>13.0</v>
      </c>
      <c r="F15" s="30"/>
      <c r="G15" s="28" t="s">
        <v>116</v>
      </c>
      <c r="H15" s="30"/>
      <c r="I15" s="30"/>
      <c r="J15" s="30"/>
      <c r="K15" s="30"/>
      <c r="L15" s="30"/>
    </row>
    <row r="16">
      <c r="A16" s="25">
        <v>46132.0</v>
      </c>
      <c r="B16" s="28" t="s">
        <v>25</v>
      </c>
      <c r="C16" s="29" t="s">
        <v>27</v>
      </c>
      <c r="D16" s="29">
        <v>1.0</v>
      </c>
      <c r="E16" s="29">
        <v>14.0</v>
      </c>
      <c r="F16" s="30"/>
      <c r="G16" s="33" t="s">
        <v>84</v>
      </c>
      <c r="H16" s="30"/>
      <c r="I16" s="30"/>
      <c r="J16" s="30"/>
      <c r="K16" s="30"/>
      <c r="L16" s="30"/>
    </row>
    <row r="17">
      <c r="A17" s="25">
        <v>46132.0</v>
      </c>
      <c r="B17" s="28" t="s">
        <v>25</v>
      </c>
      <c r="C17" s="29" t="s">
        <v>27</v>
      </c>
      <c r="D17" s="29">
        <v>1.0</v>
      </c>
      <c r="E17" s="29">
        <v>15.0</v>
      </c>
      <c r="F17" s="30"/>
      <c r="G17" s="28" t="s">
        <v>84</v>
      </c>
      <c r="H17" s="30"/>
      <c r="I17" s="30"/>
      <c r="J17" s="30"/>
      <c r="K17" s="30"/>
      <c r="L17" s="30"/>
    </row>
    <row r="18">
      <c r="A18" s="25">
        <v>46132.0</v>
      </c>
      <c r="B18" s="28" t="s">
        <v>25</v>
      </c>
      <c r="C18" s="29" t="s">
        <v>27</v>
      </c>
      <c r="D18" s="29">
        <v>1.0</v>
      </c>
      <c r="E18" s="29">
        <v>16.0</v>
      </c>
      <c r="F18" s="30"/>
      <c r="G18" s="33" t="s">
        <v>55</v>
      </c>
      <c r="H18" s="30"/>
      <c r="I18" s="30"/>
      <c r="J18" s="30"/>
      <c r="K18" s="30"/>
      <c r="L18" s="30"/>
    </row>
    <row r="19">
      <c r="A19" s="25">
        <v>46132.0</v>
      </c>
      <c r="B19" s="28" t="s">
        <v>25</v>
      </c>
      <c r="C19" s="29" t="s">
        <v>27</v>
      </c>
      <c r="D19" s="29">
        <v>1.0</v>
      </c>
      <c r="E19" s="29">
        <v>17.0</v>
      </c>
      <c r="F19" s="30"/>
      <c r="G19" s="28" t="s">
        <v>116</v>
      </c>
      <c r="H19" s="30"/>
      <c r="I19" s="30"/>
      <c r="J19" s="30"/>
      <c r="K19" s="30"/>
      <c r="L19" s="30"/>
    </row>
    <row r="20">
      <c r="A20" s="25">
        <v>46132.0</v>
      </c>
      <c r="B20" s="28" t="s">
        <v>25</v>
      </c>
      <c r="C20" s="29" t="s">
        <v>27</v>
      </c>
      <c r="D20" s="29">
        <v>1.0</v>
      </c>
      <c r="E20" s="29">
        <v>18.0</v>
      </c>
      <c r="F20" s="30"/>
      <c r="G20" s="33" t="s">
        <v>73</v>
      </c>
      <c r="H20" s="30"/>
      <c r="I20" s="30"/>
      <c r="J20" s="30"/>
      <c r="K20" s="30"/>
      <c r="L20" s="30"/>
    </row>
    <row r="21">
      <c r="A21" s="25">
        <v>46132.0</v>
      </c>
      <c r="B21" s="28" t="s">
        <v>25</v>
      </c>
      <c r="C21" s="29" t="s">
        <v>27</v>
      </c>
      <c r="D21" s="29">
        <v>1.0</v>
      </c>
      <c r="E21" s="29">
        <v>19.0</v>
      </c>
      <c r="F21" s="30"/>
      <c r="G21" s="33" t="s">
        <v>79</v>
      </c>
      <c r="H21" s="30"/>
      <c r="I21" s="30"/>
      <c r="J21" s="30"/>
      <c r="K21" s="30"/>
      <c r="L21" s="30"/>
    </row>
    <row r="22">
      <c r="A22" s="25">
        <v>46132.0</v>
      </c>
      <c r="B22" s="28" t="s">
        <v>25</v>
      </c>
      <c r="C22" s="29" t="s">
        <v>27</v>
      </c>
      <c r="D22" s="29">
        <v>1.0</v>
      </c>
      <c r="E22" s="29">
        <v>20.0</v>
      </c>
      <c r="F22" s="30"/>
      <c r="G22" s="33" t="s">
        <v>116</v>
      </c>
      <c r="H22" s="30"/>
      <c r="I22" s="30"/>
      <c r="J22" s="30"/>
      <c r="K22" s="30"/>
      <c r="L22" s="30"/>
    </row>
    <row r="23">
      <c r="A23" s="37">
        <v>46132.0</v>
      </c>
      <c r="B23" s="38" t="s">
        <v>25</v>
      </c>
      <c r="C23" s="39" t="s">
        <v>141</v>
      </c>
      <c r="D23" s="39">
        <v>2.0</v>
      </c>
      <c r="E23" s="39">
        <v>0.0</v>
      </c>
      <c r="F23" s="40"/>
      <c r="G23" s="39" t="s">
        <v>73</v>
      </c>
      <c r="H23" s="40"/>
      <c r="I23" s="40"/>
      <c r="J23" s="40"/>
      <c r="K23" s="40"/>
      <c r="L23" s="40"/>
    </row>
    <row r="24">
      <c r="A24" s="37">
        <v>46132.0</v>
      </c>
      <c r="B24" s="38" t="s">
        <v>25</v>
      </c>
      <c r="C24" s="39" t="s">
        <v>141</v>
      </c>
      <c r="D24" s="39">
        <v>2.0</v>
      </c>
      <c r="E24" s="39">
        <v>1.0</v>
      </c>
      <c r="F24" s="40"/>
      <c r="G24" s="39" t="s">
        <v>84</v>
      </c>
      <c r="H24" s="40"/>
      <c r="I24" s="40"/>
      <c r="J24" s="40"/>
      <c r="K24" s="40"/>
      <c r="L24" s="40"/>
    </row>
    <row r="25">
      <c r="A25" s="37">
        <v>46132.0</v>
      </c>
      <c r="B25" s="38" t="s">
        <v>25</v>
      </c>
      <c r="C25" s="39" t="s">
        <v>141</v>
      </c>
      <c r="D25" s="39">
        <v>2.0</v>
      </c>
      <c r="E25" s="39">
        <v>2.0</v>
      </c>
      <c r="F25" s="40"/>
      <c r="G25" s="39" t="s">
        <v>142</v>
      </c>
      <c r="H25" s="40"/>
      <c r="I25" s="40"/>
      <c r="J25" s="40"/>
      <c r="K25" s="40"/>
      <c r="L25" s="40"/>
    </row>
    <row r="26">
      <c r="A26" s="37">
        <v>46132.0</v>
      </c>
      <c r="B26" s="38" t="s">
        <v>25</v>
      </c>
      <c r="C26" s="39" t="s">
        <v>141</v>
      </c>
      <c r="D26" s="39">
        <v>2.0</v>
      </c>
      <c r="E26" s="39">
        <v>3.0</v>
      </c>
      <c r="F26" s="40"/>
      <c r="G26" s="39" t="s">
        <v>116</v>
      </c>
      <c r="H26" s="40"/>
      <c r="I26" s="40"/>
      <c r="J26" s="40"/>
      <c r="K26" s="40"/>
      <c r="L26" s="40"/>
    </row>
    <row r="27">
      <c r="A27" s="37">
        <v>46132.0</v>
      </c>
      <c r="B27" s="38" t="s">
        <v>25</v>
      </c>
      <c r="C27" s="41" t="s">
        <v>141</v>
      </c>
      <c r="D27" s="42">
        <v>2.0</v>
      </c>
      <c r="E27" s="39">
        <v>4.0</v>
      </c>
      <c r="F27" s="40"/>
      <c r="G27" s="39" t="s">
        <v>143</v>
      </c>
      <c r="H27" s="40"/>
      <c r="I27" s="40"/>
      <c r="J27" s="40"/>
      <c r="K27" s="40"/>
      <c r="L27" s="40"/>
    </row>
    <row r="28">
      <c r="A28" s="37">
        <v>46132.0</v>
      </c>
      <c r="B28" s="38" t="s">
        <v>25</v>
      </c>
      <c r="C28" s="41" t="s">
        <v>141</v>
      </c>
      <c r="D28" s="42">
        <v>2.0</v>
      </c>
      <c r="E28" s="39">
        <v>5.0</v>
      </c>
      <c r="F28" s="40"/>
      <c r="G28" s="39" t="s">
        <v>116</v>
      </c>
      <c r="H28" s="40"/>
      <c r="I28" s="40"/>
      <c r="J28" s="40"/>
      <c r="K28" s="40"/>
      <c r="L28" s="40"/>
    </row>
    <row r="29">
      <c r="A29" s="37">
        <v>46132.0</v>
      </c>
      <c r="B29" s="38" t="s">
        <v>25</v>
      </c>
      <c r="C29" s="41" t="s">
        <v>141</v>
      </c>
      <c r="D29" s="42">
        <v>2.0</v>
      </c>
      <c r="E29" s="39">
        <v>6.0</v>
      </c>
      <c r="F29" s="40"/>
      <c r="G29" s="39" t="s">
        <v>84</v>
      </c>
      <c r="H29" s="40"/>
      <c r="I29" s="40"/>
      <c r="J29" s="40"/>
      <c r="K29" s="40"/>
      <c r="L29" s="40"/>
    </row>
    <row r="30">
      <c r="A30" s="37">
        <v>46132.0</v>
      </c>
      <c r="B30" s="38" t="s">
        <v>25</v>
      </c>
      <c r="C30" s="41" t="s">
        <v>141</v>
      </c>
      <c r="D30" s="42">
        <v>2.0</v>
      </c>
      <c r="E30" s="39">
        <v>7.0</v>
      </c>
      <c r="F30" s="40"/>
      <c r="G30" s="39" t="s">
        <v>116</v>
      </c>
      <c r="H30" s="40"/>
      <c r="I30" s="40"/>
      <c r="J30" s="40"/>
      <c r="K30" s="40"/>
      <c r="L30" s="40"/>
    </row>
    <row r="31">
      <c r="A31" s="37">
        <v>46132.0</v>
      </c>
      <c r="B31" s="38" t="s">
        <v>25</v>
      </c>
      <c r="C31" s="41" t="s">
        <v>141</v>
      </c>
      <c r="D31" s="42">
        <v>2.0</v>
      </c>
      <c r="E31" s="39">
        <v>8.0</v>
      </c>
      <c r="F31" s="40"/>
      <c r="G31" s="39" t="s">
        <v>116</v>
      </c>
      <c r="H31" s="40"/>
      <c r="I31" s="40"/>
      <c r="J31" s="40"/>
      <c r="K31" s="40"/>
      <c r="L31" s="40"/>
    </row>
    <row r="32">
      <c r="A32" s="37">
        <v>46132.0</v>
      </c>
      <c r="B32" s="38" t="s">
        <v>25</v>
      </c>
      <c r="C32" s="41" t="s">
        <v>141</v>
      </c>
      <c r="D32" s="42">
        <v>2.0</v>
      </c>
      <c r="E32" s="39">
        <v>9.0</v>
      </c>
      <c r="F32" s="40"/>
      <c r="G32" s="39" t="s">
        <v>116</v>
      </c>
      <c r="H32" s="40"/>
      <c r="I32" s="40"/>
      <c r="J32" s="40"/>
      <c r="K32" s="40"/>
      <c r="L32" s="40"/>
    </row>
    <row r="33">
      <c r="A33" s="37">
        <v>46132.0</v>
      </c>
      <c r="B33" s="38" t="s">
        <v>25</v>
      </c>
      <c r="C33" s="41" t="s">
        <v>141</v>
      </c>
      <c r="D33" s="42">
        <v>2.0</v>
      </c>
      <c r="E33" s="39">
        <v>10.0</v>
      </c>
      <c r="F33" s="40"/>
      <c r="G33" s="39" t="s">
        <v>79</v>
      </c>
      <c r="H33" s="40"/>
      <c r="I33" s="40"/>
      <c r="J33" s="40"/>
      <c r="K33" s="40"/>
      <c r="L33" s="40"/>
    </row>
    <row r="34">
      <c r="A34" s="37">
        <v>46132.0</v>
      </c>
      <c r="B34" s="38" t="s">
        <v>25</v>
      </c>
      <c r="C34" s="41" t="s">
        <v>141</v>
      </c>
      <c r="D34" s="42">
        <v>2.0</v>
      </c>
      <c r="E34" s="39">
        <v>11.0</v>
      </c>
      <c r="F34" s="40"/>
      <c r="G34" s="39" t="s">
        <v>116</v>
      </c>
      <c r="H34" s="40"/>
      <c r="I34" s="40"/>
      <c r="J34" s="40"/>
      <c r="K34" s="40"/>
      <c r="L34" s="40"/>
    </row>
    <row r="35">
      <c r="A35" s="37">
        <v>46132.0</v>
      </c>
      <c r="B35" s="38" t="s">
        <v>25</v>
      </c>
      <c r="C35" s="41" t="s">
        <v>141</v>
      </c>
      <c r="D35" s="42">
        <v>2.0</v>
      </c>
      <c r="E35" s="39">
        <v>12.0</v>
      </c>
      <c r="F35" s="40"/>
      <c r="G35" s="39" t="s">
        <v>143</v>
      </c>
      <c r="H35" s="40"/>
      <c r="I35" s="40"/>
      <c r="J35" s="40"/>
      <c r="K35" s="40"/>
      <c r="L35" s="40"/>
    </row>
    <row r="36">
      <c r="A36" s="37">
        <v>46132.0</v>
      </c>
      <c r="B36" s="38" t="s">
        <v>25</v>
      </c>
      <c r="C36" s="41" t="s">
        <v>141</v>
      </c>
      <c r="D36" s="42">
        <v>2.0</v>
      </c>
      <c r="E36" s="39">
        <v>13.0</v>
      </c>
      <c r="F36" s="40"/>
      <c r="G36" s="39" t="s">
        <v>79</v>
      </c>
      <c r="H36" s="40"/>
      <c r="I36" s="40"/>
      <c r="J36" s="40"/>
      <c r="K36" s="40"/>
      <c r="L36" s="40"/>
    </row>
    <row r="37">
      <c r="A37" s="37">
        <v>46132.0</v>
      </c>
      <c r="B37" s="38" t="s">
        <v>25</v>
      </c>
      <c r="C37" s="41" t="s">
        <v>141</v>
      </c>
      <c r="D37" s="42">
        <v>2.0</v>
      </c>
      <c r="E37" s="39">
        <v>14.0</v>
      </c>
      <c r="F37" s="40"/>
      <c r="G37" s="39" t="s">
        <v>116</v>
      </c>
      <c r="H37" s="40"/>
      <c r="I37" s="40"/>
      <c r="J37" s="40"/>
      <c r="K37" s="40"/>
      <c r="L37" s="40"/>
    </row>
    <row r="38">
      <c r="A38" s="37">
        <v>46132.0</v>
      </c>
      <c r="B38" s="38" t="s">
        <v>25</v>
      </c>
      <c r="C38" s="41" t="s">
        <v>141</v>
      </c>
      <c r="D38" s="42">
        <v>2.0</v>
      </c>
      <c r="E38" s="39">
        <v>15.0</v>
      </c>
      <c r="F38" s="40"/>
      <c r="G38" s="39" t="s">
        <v>84</v>
      </c>
      <c r="H38" s="40"/>
      <c r="I38" s="40"/>
      <c r="J38" s="40"/>
      <c r="K38" s="40"/>
      <c r="L38" s="40"/>
    </row>
    <row r="39">
      <c r="A39" s="37">
        <v>46132.0</v>
      </c>
      <c r="B39" s="38" t="s">
        <v>25</v>
      </c>
      <c r="C39" s="41" t="s">
        <v>141</v>
      </c>
      <c r="D39" s="42">
        <v>2.0</v>
      </c>
      <c r="E39" s="39">
        <v>16.0</v>
      </c>
      <c r="F39" s="40"/>
      <c r="G39" s="39" t="s">
        <v>79</v>
      </c>
      <c r="H39" s="40"/>
      <c r="I39" s="40"/>
      <c r="J39" s="40"/>
      <c r="K39" s="40"/>
      <c r="L39" s="40"/>
    </row>
    <row r="40">
      <c r="A40" s="37">
        <v>46132.0</v>
      </c>
      <c r="B40" s="38" t="s">
        <v>25</v>
      </c>
      <c r="C40" s="39" t="s">
        <v>141</v>
      </c>
      <c r="D40" s="39">
        <v>2.0</v>
      </c>
      <c r="E40" s="39">
        <v>17.0</v>
      </c>
      <c r="F40" s="40"/>
      <c r="G40" s="38" t="s">
        <v>79</v>
      </c>
      <c r="H40" s="40"/>
      <c r="I40" s="40"/>
      <c r="J40" s="40"/>
      <c r="K40" s="40"/>
      <c r="L40" s="40"/>
    </row>
    <row r="41">
      <c r="A41" s="37">
        <v>46132.0</v>
      </c>
      <c r="B41" s="38" t="s">
        <v>25</v>
      </c>
      <c r="C41" s="39" t="s">
        <v>141</v>
      </c>
      <c r="D41" s="39">
        <v>2.0</v>
      </c>
      <c r="E41" s="39">
        <v>18.0</v>
      </c>
      <c r="F41" s="40"/>
      <c r="G41" s="38" t="s">
        <v>116</v>
      </c>
      <c r="H41" s="40"/>
      <c r="I41" s="40"/>
      <c r="J41" s="40"/>
      <c r="K41" s="40"/>
      <c r="L41" s="40"/>
    </row>
    <row r="42">
      <c r="A42" s="37">
        <v>46132.0</v>
      </c>
      <c r="B42" s="38" t="s">
        <v>25</v>
      </c>
      <c r="C42" s="39" t="s">
        <v>141</v>
      </c>
      <c r="D42" s="39">
        <v>2.0</v>
      </c>
      <c r="E42" s="39">
        <v>19.0</v>
      </c>
      <c r="F42" s="40"/>
      <c r="G42" s="39" t="s">
        <v>79</v>
      </c>
      <c r="H42" s="40"/>
      <c r="I42" s="40"/>
      <c r="J42" s="40"/>
      <c r="K42" s="40"/>
      <c r="L42" s="40"/>
    </row>
    <row r="43">
      <c r="A43" s="37">
        <v>46132.0</v>
      </c>
      <c r="B43" s="38" t="s">
        <v>25</v>
      </c>
      <c r="C43" s="39" t="s">
        <v>141</v>
      </c>
      <c r="D43" s="39">
        <v>2.0</v>
      </c>
      <c r="E43" s="39">
        <v>20.0</v>
      </c>
      <c r="F43" s="40"/>
      <c r="G43" s="38" t="s">
        <v>79</v>
      </c>
      <c r="H43" s="40"/>
      <c r="I43" s="40"/>
      <c r="J43" s="40"/>
      <c r="K43" s="40"/>
      <c r="L43" s="40"/>
    </row>
    <row r="44">
      <c r="A44" s="44">
        <v>46132.0</v>
      </c>
      <c r="B44" s="45" t="s">
        <v>25</v>
      </c>
      <c r="C44" s="46" t="s">
        <v>141</v>
      </c>
      <c r="D44" s="46">
        <v>3.0</v>
      </c>
      <c r="E44" s="46">
        <v>0.0</v>
      </c>
      <c r="F44" s="47"/>
      <c r="G44" s="45" t="s">
        <v>144</v>
      </c>
      <c r="H44" s="47"/>
      <c r="I44" s="47"/>
      <c r="J44" s="47"/>
      <c r="K44" s="47"/>
      <c r="L44" s="47"/>
    </row>
    <row r="45">
      <c r="A45" s="44">
        <v>46132.0</v>
      </c>
      <c r="B45" s="45" t="s">
        <v>25</v>
      </c>
      <c r="C45" s="46" t="s">
        <v>141</v>
      </c>
      <c r="D45" s="46">
        <v>3.0</v>
      </c>
      <c r="E45" s="46">
        <v>1.0</v>
      </c>
      <c r="F45" s="47"/>
      <c r="G45" s="45" t="s">
        <v>145</v>
      </c>
      <c r="H45" s="47"/>
      <c r="I45" s="47"/>
      <c r="J45" s="47"/>
      <c r="K45" s="47"/>
      <c r="L45" s="47"/>
    </row>
    <row r="46">
      <c r="A46" s="44">
        <v>46132.0</v>
      </c>
      <c r="B46" s="45" t="s">
        <v>25</v>
      </c>
      <c r="C46" s="46" t="s">
        <v>141</v>
      </c>
      <c r="D46" s="46">
        <v>3.0</v>
      </c>
      <c r="E46" s="46">
        <v>2.0</v>
      </c>
      <c r="F46" s="47"/>
      <c r="G46" s="45" t="s">
        <v>146</v>
      </c>
      <c r="H46" s="47"/>
      <c r="I46" s="47"/>
      <c r="J46" s="47"/>
      <c r="K46" s="47"/>
      <c r="L46" s="47"/>
    </row>
    <row r="47">
      <c r="A47" s="44">
        <v>46132.0</v>
      </c>
      <c r="B47" s="45" t="s">
        <v>25</v>
      </c>
      <c r="C47" s="46" t="s">
        <v>141</v>
      </c>
      <c r="D47" s="46">
        <v>3.0</v>
      </c>
      <c r="E47" s="46">
        <v>3.0</v>
      </c>
      <c r="F47" s="47"/>
      <c r="G47" s="45" t="s">
        <v>146</v>
      </c>
      <c r="H47" s="47"/>
      <c r="I47" s="47"/>
      <c r="J47" s="47"/>
      <c r="K47" s="47"/>
      <c r="L47" s="47"/>
    </row>
    <row r="48">
      <c r="A48" s="44">
        <v>46132.0</v>
      </c>
      <c r="B48" s="45" t="s">
        <v>25</v>
      </c>
      <c r="C48" s="46" t="s">
        <v>141</v>
      </c>
      <c r="D48" s="46">
        <v>3.0</v>
      </c>
      <c r="E48" s="46">
        <v>4.0</v>
      </c>
      <c r="F48" s="47"/>
      <c r="G48" s="46" t="s">
        <v>147</v>
      </c>
      <c r="H48" s="47"/>
      <c r="I48" s="47"/>
      <c r="J48" s="47"/>
      <c r="K48" s="47"/>
      <c r="L48" s="47"/>
    </row>
    <row r="49">
      <c r="A49" s="44">
        <v>46132.0</v>
      </c>
      <c r="B49" s="45" t="s">
        <v>25</v>
      </c>
      <c r="C49" s="46" t="s">
        <v>141</v>
      </c>
      <c r="D49" s="46">
        <v>3.0</v>
      </c>
      <c r="E49" s="46">
        <v>5.0</v>
      </c>
      <c r="F49" s="47"/>
      <c r="G49" s="46" t="s">
        <v>79</v>
      </c>
      <c r="H49" s="47"/>
      <c r="I49" s="47"/>
      <c r="J49" s="47"/>
      <c r="K49" s="47"/>
      <c r="L49" s="47"/>
    </row>
    <row r="50">
      <c r="A50" s="44">
        <v>46132.0</v>
      </c>
      <c r="B50" s="45" t="s">
        <v>25</v>
      </c>
      <c r="C50" s="46" t="s">
        <v>141</v>
      </c>
      <c r="D50" s="46">
        <v>3.0</v>
      </c>
      <c r="E50" s="46">
        <v>6.0</v>
      </c>
      <c r="F50" s="47"/>
      <c r="G50" s="46" t="s">
        <v>146</v>
      </c>
      <c r="H50" s="47"/>
      <c r="I50" s="47"/>
      <c r="J50" s="47"/>
      <c r="K50" s="47"/>
      <c r="L50" s="47"/>
    </row>
    <row r="51">
      <c r="A51" s="44">
        <v>46132.0</v>
      </c>
      <c r="B51" s="45" t="s">
        <v>25</v>
      </c>
      <c r="C51" s="46" t="s">
        <v>141</v>
      </c>
      <c r="D51" s="46">
        <v>3.0</v>
      </c>
      <c r="E51" s="46">
        <v>7.0</v>
      </c>
      <c r="F51" s="47"/>
      <c r="G51" s="46" t="s">
        <v>148</v>
      </c>
      <c r="H51" s="47"/>
      <c r="I51" s="47"/>
      <c r="J51" s="47"/>
      <c r="K51" s="47"/>
      <c r="L51" s="47"/>
    </row>
    <row r="52">
      <c r="A52" s="44">
        <v>46132.0</v>
      </c>
      <c r="B52" s="45" t="s">
        <v>25</v>
      </c>
      <c r="C52" s="46" t="s">
        <v>141</v>
      </c>
      <c r="D52" s="46">
        <v>3.0</v>
      </c>
      <c r="E52" s="46">
        <v>8.0</v>
      </c>
      <c r="F52" s="47"/>
      <c r="G52" s="46" t="s">
        <v>149</v>
      </c>
      <c r="H52" s="47"/>
      <c r="I52" s="47"/>
      <c r="J52" s="47"/>
      <c r="K52" s="47"/>
      <c r="L52" s="47"/>
    </row>
    <row r="53">
      <c r="A53" s="44">
        <v>46132.0</v>
      </c>
      <c r="B53" s="45" t="s">
        <v>25</v>
      </c>
      <c r="C53" s="46" t="s">
        <v>141</v>
      </c>
      <c r="D53" s="46">
        <v>3.0</v>
      </c>
      <c r="E53" s="46">
        <v>9.0</v>
      </c>
      <c r="F53" s="47"/>
      <c r="G53" s="45" t="s">
        <v>145</v>
      </c>
      <c r="H53" s="47"/>
      <c r="I53" s="47"/>
      <c r="J53" s="47"/>
      <c r="K53" s="47"/>
      <c r="L53" s="47"/>
    </row>
    <row r="54">
      <c r="A54" s="44">
        <v>46132.0</v>
      </c>
      <c r="B54" s="45" t="s">
        <v>25</v>
      </c>
      <c r="C54" s="46" t="s">
        <v>141</v>
      </c>
      <c r="D54" s="46">
        <v>3.0</v>
      </c>
      <c r="E54" s="46">
        <v>10.0</v>
      </c>
      <c r="F54" s="47"/>
      <c r="G54" s="46" t="s">
        <v>150</v>
      </c>
      <c r="H54" s="47"/>
      <c r="I54" s="47"/>
      <c r="J54" s="47"/>
      <c r="K54" s="47"/>
      <c r="L54" s="47"/>
    </row>
    <row r="55">
      <c r="A55" s="44">
        <v>46132.0</v>
      </c>
      <c r="B55" s="45" t="s">
        <v>25</v>
      </c>
      <c r="C55" s="46" t="s">
        <v>141</v>
      </c>
      <c r="D55" s="46">
        <v>3.0</v>
      </c>
      <c r="E55" s="46">
        <v>11.0</v>
      </c>
      <c r="F55" s="47"/>
      <c r="G55" s="46" t="s">
        <v>151</v>
      </c>
      <c r="H55" s="47"/>
      <c r="I55" s="47"/>
      <c r="J55" s="47"/>
      <c r="K55" s="47"/>
      <c r="L55" s="47"/>
    </row>
    <row r="56">
      <c r="A56" s="44">
        <v>46132.0</v>
      </c>
      <c r="B56" s="45" t="s">
        <v>25</v>
      </c>
      <c r="C56" s="46" t="s">
        <v>141</v>
      </c>
      <c r="D56" s="46">
        <v>3.0</v>
      </c>
      <c r="E56" s="46">
        <v>12.0</v>
      </c>
      <c r="F56" s="47"/>
      <c r="G56" s="46" t="s">
        <v>152</v>
      </c>
      <c r="H56" s="47"/>
      <c r="I56" s="47"/>
      <c r="J56" s="47"/>
      <c r="K56" s="47"/>
      <c r="L56" s="47"/>
    </row>
    <row r="57">
      <c r="A57" s="44">
        <v>46132.0</v>
      </c>
      <c r="B57" s="45" t="s">
        <v>25</v>
      </c>
      <c r="C57" s="46" t="s">
        <v>141</v>
      </c>
      <c r="D57" s="46">
        <v>3.0</v>
      </c>
      <c r="E57" s="46">
        <v>13.0</v>
      </c>
      <c r="F57" s="47"/>
      <c r="G57" s="46" t="s">
        <v>116</v>
      </c>
      <c r="H57" s="47"/>
      <c r="I57" s="47"/>
      <c r="J57" s="47"/>
      <c r="K57" s="47"/>
      <c r="L57" s="47"/>
    </row>
    <row r="58">
      <c r="A58" s="44">
        <v>46132.0</v>
      </c>
      <c r="B58" s="45" t="s">
        <v>25</v>
      </c>
      <c r="C58" s="46" t="s">
        <v>141</v>
      </c>
      <c r="D58" s="46">
        <v>3.0</v>
      </c>
      <c r="E58" s="46">
        <v>14.0</v>
      </c>
      <c r="F58" s="47"/>
      <c r="G58" s="46" t="s">
        <v>116</v>
      </c>
      <c r="H58" s="47"/>
      <c r="I58" s="47"/>
      <c r="J58" s="47"/>
      <c r="K58" s="47"/>
      <c r="L58" s="47"/>
    </row>
    <row r="59">
      <c r="A59" s="44">
        <v>46132.0</v>
      </c>
      <c r="B59" s="45" t="s">
        <v>25</v>
      </c>
      <c r="C59" s="46" t="s">
        <v>141</v>
      </c>
      <c r="D59" s="46">
        <v>3.0</v>
      </c>
      <c r="E59" s="46">
        <v>15.0</v>
      </c>
      <c r="F59" s="47"/>
      <c r="G59" s="45" t="s">
        <v>145</v>
      </c>
      <c r="H59" s="47"/>
      <c r="I59" s="47"/>
      <c r="J59" s="47"/>
      <c r="K59" s="47"/>
      <c r="L59" s="47"/>
    </row>
    <row r="60">
      <c r="A60" s="44">
        <v>46132.0</v>
      </c>
      <c r="B60" s="45" t="s">
        <v>25</v>
      </c>
      <c r="C60" s="46" t="s">
        <v>141</v>
      </c>
      <c r="D60" s="46">
        <v>3.0</v>
      </c>
      <c r="E60" s="46">
        <v>16.0</v>
      </c>
      <c r="F60" s="47"/>
      <c r="G60" s="46" t="s">
        <v>116</v>
      </c>
      <c r="H60" s="47"/>
      <c r="I60" s="47"/>
      <c r="J60" s="47"/>
      <c r="K60" s="47"/>
      <c r="L60" s="47"/>
    </row>
    <row r="61">
      <c r="A61" s="44">
        <v>46132.0</v>
      </c>
      <c r="B61" s="45" t="s">
        <v>25</v>
      </c>
      <c r="C61" s="46" t="s">
        <v>141</v>
      </c>
      <c r="D61" s="46">
        <v>3.0</v>
      </c>
      <c r="E61" s="46">
        <v>17.0</v>
      </c>
      <c r="F61" s="47"/>
      <c r="G61" s="46" t="s">
        <v>153</v>
      </c>
      <c r="H61" s="47"/>
      <c r="I61" s="47"/>
      <c r="J61" s="47"/>
      <c r="K61" s="47"/>
      <c r="L61" s="47"/>
    </row>
    <row r="62">
      <c r="A62" s="44">
        <v>46132.0</v>
      </c>
      <c r="B62" s="45" t="s">
        <v>25</v>
      </c>
      <c r="C62" s="46" t="s">
        <v>141</v>
      </c>
      <c r="D62" s="46">
        <v>3.0</v>
      </c>
      <c r="E62" s="46">
        <v>18.0</v>
      </c>
      <c r="F62" s="47"/>
      <c r="G62" s="46" t="s">
        <v>116</v>
      </c>
      <c r="H62" s="47"/>
      <c r="I62" s="47"/>
      <c r="J62" s="47"/>
      <c r="K62" s="47"/>
      <c r="L62" s="47"/>
    </row>
    <row r="63">
      <c r="A63" s="44">
        <v>46132.0</v>
      </c>
      <c r="B63" s="45" t="s">
        <v>25</v>
      </c>
      <c r="C63" s="46" t="s">
        <v>141</v>
      </c>
      <c r="D63" s="46">
        <v>3.0</v>
      </c>
      <c r="E63" s="46">
        <v>19.0</v>
      </c>
      <c r="F63" s="47"/>
      <c r="G63" s="46" t="s">
        <v>116</v>
      </c>
      <c r="H63" s="47"/>
      <c r="I63" s="47"/>
      <c r="J63" s="47"/>
      <c r="K63" s="47"/>
      <c r="L63" s="47"/>
    </row>
    <row r="64">
      <c r="A64" s="44">
        <v>46132.0</v>
      </c>
      <c r="B64" s="45" t="s">
        <v>25</v>
      </c>
      <c r="C64" s="46" t="s">
        <v>141</v>
      </c>
      <c r="D64" s="46">
        <v>3.0</v>
      </c>
      <c r="E64" s="46">
        <v>20.0</v>
      </c>
      <c r="F64" s="47"/>
      <c r="G64" s="46" t="s">
        <v>145</v>
      </c>
      <c r="H64" s="47"/>
      <c r="I64" s="47"/>
      <c r="J64" s="47"/>
      <c r="K64" s="47"/>
      <c r="L64" s="47"/>
    </row>
    <row r="65">
      <c r="A65" s="48">
        <v>46132.0</v>
      </c>
      <c r="B65" s="49" t="s">
        <v>25</v>
      </c>
      <c r="C65" s="50" t="s">
        <v>141</v>
      </c>
      <c r="D65" s="50">
        <v>4.0</v>
      </c>
      <c r="E65" s="50">
        <v>0.0</v>
      </c>
      <c r="F65" s="51"/>
      <c r="G65" s="50" t="s">
        <v>143</v>
      </c>
      <c r="H65" s="51"/>
      <c r="I65" s="51"/>
      <c r="J65" s="51"/>
      <c r="K65" s="51"/>
      <c r="L65" s="51"/>
    </row>
    <row r="66">
      <c r="A66" s="48">
        <v>46132.0</v>
      </c>
      <c r="B66" s="49" t="s">
        <v>25</v>
      </c>
      <c r="C66" s="50" t="s">
        <v>141</v>
      </c>
      <c r="D66" s="50">
        <v>4.0</v>
      </c>
      <c r="E66" s="50">
        <v>1.0</v>
      </c>
      <c r="F66" s="51"/>
      <c r="G66" s="50" t="s">
        <v>145</v>
      </c>
      <c r="H66" s="51"/>
      <c r="I66" s="51"/>
      <c r="J66" s="51"/>
      <c r="K66" s="51"/>
      <c r="L66" s="51"/>
    </row>
    <row r="67">
      <c r="A67" s="48">
        <v>46132.0</v>
      </c>
      <c r="B67" s="49" t="s">
        <v>25</v>
      </c>
      <c r="C67" s="50" t="s">
        <v>141</v>
      </c>
      <c r="D67" s="50">
        <v>4.0</v>
      </c>
      <c r="E67" s="50">
        <v>2.0</v>
      </c>
      <c r="F67" s="51"/>
      <c r="G67" s="50" t="s">
        <v>154</v>
      </c>
      <c r="H67" s="51"/>
      <c r="I67" s="51"/>
      <c r="J67" s="51"/>
      <c r="K67" s="51"/>
      <c r="L67" s="51"/>
    </row>
    <row r="68">
      <c r="A68" s="48">
        <v>46132.0</v>
      </c>
      <c r="B68" s="49" t="s">
        <v>25</v>
      </c>
      <c r="C68" s="50" t="s">
        <v>141</v>
      </c>
      <c r="D68" s="50">
        <v>4.0</v>
      </c>
      <c r="E68" s="50">
        <v>3.0</v>
      </c>
      <c r="F68" s="51"/>
      <c r="G68" s="50" t="s">
        <v>155</v>
      </c>
      <c r="H68" s="51"/>
      <c r="I68" s="51"/>
      <c r="J68" s="51"/>
      <c r="K68" s="51"/>
      <c r="L68" s="51"/>
    </row>
    <row r="69" ht="15.0" customHeight="1">
      <c r="A69" s="48">
        <v>46132.0</v>
      </c>
      <c r="B69" s="49" t="s">
        <v>25</v>
      </c>
      <c r="C69" s="50" t="s">
        <v>141</v>
      </c>
      <c r="D69" s="50">
        <v>4.0</v>
      </c>
      <c r="E69" s="50">
        <v>4.0</v>
      </c>
      <c r="F69" s="51"/>
      <c r="G69" s="50" t="s">
        <v>154</v>
      </c>
      <c r="H69" s="51"/>
      <c r="I69" s="51"/>
      <c r="J69" s="51"/>
      <c r="K69" s="51"/>
      <c r="L69" s="51"/>
    </row>
    <row r="70">
      <c r="A70" s="48">
        <v>46132.0</v>
      </c>
      <c r="B70" s="49" t="s">
        <v>25</v>
      </c>
      <c r="C70" s="50" t="s">
        <v>141</v>
      </c>
      <c r="D70" s="50">
        <v>4.0</v>
      </c>
      <c r="E70" s="50">
        <v>5.0</v>
      </c>
      <c r="F70" s="51"/>
      <c r="G70" s="50" t="s">
        <v>143</v>
      </c>
      <c r="H70" s="51"/>
      <c r="I70" s="51"/>
      <c r="J70" s="51"/>
      <c r="K70" s="51"/>
      <c r="L70" s="51"/>
    </row>
    <row r="71">
      <c r="A71" s="48">
        <v>46132.0</v>
      </c>
      <c r="B71" s="49" t="s">
        <v>25</v>
      </c>
      <c r="C71" s="50" t="s">
        <v>141</v>
      </c>
      <c r="D71" s="50">
        <v>4.0</v>
      </c>
      <c r="E71" s="50">
        <v>6.0</v>
      </c>
      <c r="F71" s="51"/>
      <c r="G71" s="50" t="s">
        <v>145</v>
      </c>
      <c r="H71" s="51"/>
      <c r="I71" s="51"/>
      <c r="J71" s="51"/>
      <c r="K71" s="51"/>
      <c r="L71" s="51"/>
    </row>
    <row r="72">
      <c r="A72" s="48">
        <v>46132.0</v>
      </c>
      <c r="B72" s="49" t="s">
        <v>25</v>
      </c>
      <c r="C72" s="50" t="s">
        <v>141</v>
      </c>
      <c r="D72" s="50">
        <v>4.0</v>
      </c>
      <c r="E72" s="50">
        <v>7.0</v>
      </c>
      <c r="F72" s="51"/>
      <c r="G72" s="50" t="s">
        <v>143</v>
      </c>
      <c r="H72" s="51"/>
      <c r="I72" s="51"/>
      <c r="J72" s="51"/>
      <c r="K72" s="51"/>
      <c r="L72" s="51"/>
    </row>
    <row r="73">
      <c r="A73" s="48">
        <v>46132.0</v>
      </c>
      <c r="B73" s="49" t="s">
        <v>25</v>
      </c>
      <c r="C73" s="50" t="s">
        <v>141</v>
      </c>
      <c r="D73" s="50">
        <v>4.0</v>
      </c>
      <c r="E73" s="50">
        <v>8.0</v>
      </c>
      <c r="F73" s="51"/>
      <c r="G73" s="50" t="s">
        <v>145</v>
      </c>
      <c r="H73" s="51"/>
      <c r="I73" s="51"/>
      <c r="J73" s="51"/>
      <c r="K73" s="51"/>
      <c r="L73" s="51"/>
    </row>
    <row r="74">
      <c r="A74" s="48">
        <v>46132.0</v>
      </c>
      <c r="B74" s="49" t="s">
        <v>25</v>
      </c>
      <c r="C74" s="50" t="s">
        <v>141</v>
      </c>
      <c r="D74" s="50">
        <v>4.0</v>
      </c>
      <c r="E74" s="50">
        <v>9.0</v>
      </c>
      <c r="F74" s="51"/>
      <c r="G74" s="50" t="s">
        <v>143</v>
      </c>
      <c r="H74" s="51"/>
      <c r="I74" s="51"/>
      <c r="J74" s="51"/>
      <c r="K74" s="51"/>
      <c r="L74" s="51"/>
    </row>
    <row r="75">
      <c r="A75" s="48">
        <v>46132.0</v>
      </c>
      <c r="B75" s="49" t="s">
        <v>25</v>
      </c>
      <c r="C75" s="50" t="s">
        <v>141</v>
      </c>
      <c r="D75" s="50">
        <v>4.0</v>
      </c>
      <c r="E75" s="50">
        <v>10.0</v>
      </c>
      <c r="F75" s="51"/>
      <c r="G75" s="50" t="s">
        <v>154</v>
      </c>
      <c r="H75" s="51"/>
      <c r="I75" s="51"/>
      <c r="J75" s="51"/>
      <c r="K75" s="51"/>
      <c r="L75" s="51"/>
    </row>
    <row r="76">
      <c r="A76" s="48">
        <v>46132.0</v>
      </c>
      <c r="B76" s="49" t="s">
        <v>25</v>
      </c>
      <c r="C76" s="50" t="s">
        <v>141</v>
      </c>
      <c r="D76" s="50">
        <v>4.0</v>
      </c>
      <c r="E76" s="50">
        <v>11.0</v>
      </c>
      <c r="F76" s="51"/>
      <c r="G76" s="50" t="s">
        <v>116</v>
      </c>
      <c r="H76" s="51"/>
      <c r="I76" s="51"/>
      <c r="J76" s="51"/>
      <c r="K76" s="51"/>
      <c r="L76" s="51"/>
    </row>
    <row r="77">
      <c r="A77" s="48">
        <v>46132.0</v>
      </c>
      <c r="B77" s="49" t="s">
        <v>25</v>
      </c>
      <c r="C77" s="50" t="s">
        <v>141</v>
      </c>
      <c r="D77" s="50">
        <v>4.0</v>
      </c>
      <c r="E77" s="50">
        <v>12.0</v>
      </c>
      <c r="F77" s="51"/>
      <c r="G77" s="50" t="s">
        <v>116</v>
      </c>
      <c r="H77" s="51"/>
      <c r="I77" s="51"/>
      <c r="J77" s="51"/>
      <c r="K77" s="51"/>
      <c r="L77" s="51"/>
    </row>
    <row r="78">
      <c r="A78" s="48">
        <v>46132.0</v>
      </c>
      <c r="B78" s="49" t="s">
        <v>25</v>
      </c>
      <c r="C78" s="50" t="s">
        <v>141</v>
      </c>
      <c r="D78" s="50">
        <v>4.0</v>
      </c>
      <c r="E78" s="50">
        <v>13.0</v>
      </c>
      <c r="F78" s="51"/>
      <c r="G78" s="50" t="s">
        <v>143</v>
      </c>
      <c r="H78" s="51"/>
      <c r="I78" s="51"/>
      <c r="J78" s="51"/>
      <c r="K78" s="51"/>
      <c r="L78" s="51"/>
    </row>
    <row r="79">
      <c r="A79" s="48">
        <v>46132.0</v>
      </c>
      <c r="B79" s="49" t="s">
        <v>25</v>
      </c>
      <c r="C79" s="50" t="s">
        <v>141</v>
      </c>
      <c r="D79" s="50">
        <v>4.0</v>
      </c>
      <c r="E79" s="50">
        <v>14.0</v>
      </c>
      <c r="F79" s="51"/>
      <c r="G79" s="50" t="s">
        <v>116</v>
      </c>
      <c r="H79" s="51"/>
      <c r="I79" s="51"/>
      <c r="J79" s="51"/>
      <c r="K79" s="51"/>
      <c r="L79" s="51"/>
    </row>
    <row r="80">
      <c r="A80" s="48">
        <v>46132.0</v>
      </c>
      <c r="B80" s="49" t="s">
        <v>25</v>
      </c>
      <c r="C80" s="50" t="s">
        <v>141</v>
      </c>
      <c r="D80" s="50">
        <v>4.0</v>
      </c>
      <c r="E80" s="50">
        <v>15.0</v>
      </c>
      <c r="F80" s="51"/>
      <c r="G80" s="50" t="s">
        <v>116</v>
      </c>
      <c r="H80" s="51"/>
      <c r="I80" s="51"/>
      <c r="J80" s="51"/>
      <c r="K80" s="51"/>
      <c r="L80" s="51"/>
    </row>
    <row r="81">
      <c r="A81" s="48">
        <v>46132.0</v>
      </c>
      <c r="B81" s="49" t="s">
        <v>25</v>
      </c>
      <c r="C81" s="50" t="s">
        <v>141</v>
      </c>
      <c r="D81" s="50">
        <v>4.0</v>
      </c>
      <c r="E81" s="50">
        <v>16.0</v>
      </c>
      <c r="F81" s="51"/>
      <c r="G81" s="50" t="s">
        <v>116</v>
      </c>
      <c r="H81" s="51"/>
      <c r="I81" s="51"/>
      <c r="J81" s="51"/>
      <c r="K81" s="51"/>
      <c r="L81" s="51"/>
    </row>
    <row r="82">
      <c r="A82" s="48">
        <v>46132.0</v>
      </c>
      <c r="B82" s="49" t="s">
        <v>25</v>
      </c>
      <c r="C82" s="50" t="s">
        <v>141</v>
      </c>
      <c r="D82" s="50">
        <v>4.0</v>
      </c>
      <c r="E82" s="50">
        <v>17.0</v>
      </c>
      <c r="F82" s="51"/>
      <c r="G82" s="50" t="s">
        <v>116</v>
      </c>
      <c r="H82" s="51"/>
      <c r="I82" s="51"/>
      <c r="J82" s="51"/>
      <c r="K82" s="51"/>
      <c r="L82" s="51"/>
    </row>
    <row r="83">
      <c r="A83" s="48">
        <v>46132.0</v>
      </c>
      <c r="B83" s="49" t="s">
        <v>25</v>
      </c>
      <c r="C83" s="50" t="s">
        <v>141</v>
      </c>
      <c r="D83" s="50">
        <v>4.0</v>
      </c>
      <c r="E83" s="50">
        <v>18.0</v>
      </c>
      <c r="F83" s="51"/>
      <c r="G83" s="50" t="s">
        <v>116</v>
      </c>
      <c r="H83" s="51"/>
      <c r="I83" s="51"/>
      <c r="J83" s="51"/>
      <c r="K83" s="51"/>
      <c r="L83" s="51"/>
    </row>
    <row r="84">
      <c r="A84" s="48">
        <v>46132.0</v>
      </c>
      <c r="B84" s="49" t="s">
        <v>25</v>
      </c>
      <c r="C84" s="50" t="s">
        <v>141</v>
      </c>
      <c r="D84" s="50">
        <v>4.0</v>
      </c>
      <c r="E84" s="50">
        <v>19.0</v>
      </c>
      <c r="F84" s="51"/>
      <c r="G84" s="50" t="s">
        <v>116</v>
      </c>
      <c r="H84" s="51"/>
      <c r="I84" s="51"/>
      <c r="J84" s="51"/>
      <c r="K84" s="51"/>
      <c r="L84" s="51"/>
    </row>
    <row r="85">
      <c r="A85" s="52">
        <v>46132.0</v>
      </c>
      <c r="B85" s="49" t="s">
        <v>25</v>
      </c>
      <c r="C85" s="50" t="s">
        <v>141</v>
      </c>
      <c r="D85" s="50">
        <v>4.0</v>
      </c>
      <c r="E85" s="50">
        <v>20.0</v>
      </c>
      <c r="F85" s="51"/>
      <c r="G85" s="50" t="s">
        <v>154</v>
      </c>
      <c r="H85" s="51"/>
      <c r="I85" s="51"/>
      <c r="J85" s="51"/>
      <c r="K85" s="51"/>
      <c r="L85" s="51"/>
    </row>
    <row r="86">
      <c r="A86" s="53">
        <v>46132.0</v>
      </c>
      <c r="B86" s="54" t="s">
        <v>25</v>
      </c>
      <c r="C86" s="55" t="s">
        <v>141</v>
      </c>
      <c r="D86" s="55">
        <v>5.0</v>
      </c>
      <c r="E86" s="55">
        <v>0.0</v>
      </c>
      <c r="F86" s="56"/>
      <c r="G86" s="55" t="s">
        <v>79</v>
      </c>
      <c r="H86" s="56"/>
      <c r="I86" s="56"/>
      <c r="J86" s="56"/>
      <c r="K86" s="56"/>
      <c r="L86" s="56"/>
    </row>
    <row r="87">
      <c r="A87" s="53">
        <v>46132.0</v>
      </c>
      <c r="B87" s="54" t="s">
        <v>25</v>
      </c>
      <c r="C87" s="55" t="s">
        <v>141</v>
      </c>
      <c r="D87" s="55">
        <v>5.0</v>
      </c>
      <c r="E87" s="55">
        <v>1.0</v>
      </c>
      <c r="F87" s="56"/>
      <c r="G87" s="55" t="s">
        <v>68</v>
      </c>
      <c r="H87" s="56"/>
      <c r="I87" s="56"/>
      <c r="J87" s="56"/>
      <c r="K87" s="56"/>
      <c r="L87" s="56"/>
    </row>
    <row r="88">
      <c r="A88" s="53">
        <v>46132.0</v>
      </c>
      <c r="B88" s="54" t="s">
        <v>25</v>
      </c>
      <c r="C88" s="55" t="s">
        <v>141</v>
      </c>
      <c r="D88" s="55">
        <v>5.0</v>
      </c>
      <c r="E88" s="55">
        <v>2.0</v>
      </c>
      <c r="F88" s="56"/>
      <c r="G88" s="55" t="s">
        <v>84</v>
      </c>
      <c r="H88" s="56"/>
      <c r="I88" s="56"/>
      <c r="J88" s="56"/>
      <c r="K88" s="56"/>
      <c r="L88" s="56"/>
    </row>
    <row r="89">
      <c r="A89" s="53">
        <v>46132.0</v>
      </c>
      <c r="B89" s="54" t="s">
        <v>25</v>
      </c>
      <c r="C89" s="55" t="s">
        <v>141</v>
      </c>
      <c r="D89" s="55">
        <v>5.0</v>
      </c>
      <c r="E89" s="55">
        <v>3.0</v>
      </c>
      <c r="F89" s="56"/>
      <c r="G89" s="55" t="s">
        <v>84</v>
      </c>
      <c r="H89" s="56"/>
      <c r="I89" s="56"/>
      <c r="J89" s="56"/>
      <c r="K89" s="56"/>
      <c r="L89" s="56"/>
    </row>
    <row r="90">
      <c r="A90" s="53">
        <v>46132.0</v>
      </c>
      <c r="B90" s="54" t="s">
        <v>25</v>
      </c>
      <c r="C90" s="55" t="s">
        <v>141</v>
      </c>
      <c r="D90" s="55">
        <v>5.0</v>
      </c>
      <c r="E90" s="55">
        <v>4.0</v>
      </c>
      <c r="F90" s="56"/>
      <c r="G90" s="55" t="s">
        <v>156</v>
      </c>
      <c r="H90" s="56"/>
      <c r="I90" s="56"/>
      <c r="J90" s="56"/>
      <c r="K90" s="56"/>
      <c r="L90" s="56"/>
    </row>
    <row r="91">
      <c r="A91" s="53">
        <v>46132.0</v>
      </c>
      <c r="B91" s="54" t="s">
        <v>25</v>
      </c>
      <c r="C91" s="55" t="s">
        <v>141</v>
      </c>
      <c r="D91" s="55">
        <v>5.0</v>
      </c>
      <c r="E91" s="55">
        <v>5.0</v>
      </c>
      <c r="F91" s="56"/>
      <c r="G91" s="55" t="s">
        <v>79</v>
      </c>
      <c r="H91" s="56"/>
      <c r="I91" s="56"/>
      <c r="J91" s="56"/>
      <c r="K91" s="56"/>
      <c r="L91" s="56"/>
    </row>
    <row r="92">
      <c r="A92" s="53">
        <v>46132.0</v>
      </c>
      <c r="B92" s="54" t="s">
        <v>25</v>
      </c>
      <c r="C92" s="55" t="s">
        <v>141</v>
      </c>
      <c r="D92" s="55">
        <v>5.0</v>
      </c>
      <c r="E92" s="55">
        <v>6.0</v>
      </c>
      <c r="F92" s="56"/>
      <c r="G92" s="55" t="s">
        <v>79</v>
      </c>
      <c r="H92" s="56"/>
      <c r="I92" s="56"/>
      <c r="J92" s="56"/>
      <c r="K92" s="56"/>
      <c r="L92" s="56"/>
    </row>
    <row r="93">
      <c r="A93" s="53">
        <v>46132.0</v>
      </c>
      <c r="B93" s="54" t="s">
        <v>25</v>
      </c>
      <c r="C93" s="55" t="s">
        <v>141</v>
      </c>
      <c r="D93" s="55">
        <v>5.0</v>
      </c>
      <c r="E93" s="55">
        <v>7.0</v>
      </c>
      <c r="F93" s="56"/>
      <c r="G93" s="55" t="s">
        <v>99</v>
      </c>
      <c r="H93" s="56"/>
      <c r="I93" s="56"/>
      <c r="J93" s="56"/>
      <c r="K93" s="56"/>
      <c r="L93" s="56"/>
    </row>
    <row r="94">
      <c r="A94" s="53">
        <v>46132.0</v>
      </c>
      <c r="B94" s="54" t="s">
        <v>25</v>
      </c>
      <c r="C94" s="55" t="s">
        <v>141</v>
      </c>
      <c r="D94" s="55">
        <v>5.0</v>
      </c>
      <c r="E94" s="55">
        <v>8.0</v>
      </c>
      <c r="F94" s="56"/>
      <c r="G94" s="55" t="s">
        <v>156</v>
      </c>
      <c r="H94" s="56"/>
      <c r="I94" s="56"/>
      <c r="J94" s="56"/>
      <c r="K94" s="56"/>
      <c r="L94" s="56"/>
    </row>
    <row r="95">
      <c r="A95" s="53">
        <v>46132.0</v>
      </c>
      <c r="B95" s="54" t="s">
        <v>25</v>
      </c>
      <c r="C95" s="55" t="s">
        <v>141</v>
      </c>
      <c r="D95" s="55">
        <v>5.0</v>
      </c>
      <c r="E95" s="55">
        <v>9.0</v>
      </c>
      <c r="F95" s="56"/>
      <c r="G95" s="55" t="s">
        <v>79</v>
      </c>
      <c r="H95" s="56"/>
      <c r="I95" s="56"/>
      <c r="J95" s="56"/>
      <c r="K95" s="56"/>
      <c r="L95" s="56"/>
    </row>
    <row r="96">
      <c r="A96" s="53">
        <v>46132.0</v>
      </c>
      <c r="B96" s="54" t="s">
        <v>25</v>
      </c>
      <c r="C96" s="55" t="s">
        <v>141</v>
      </c>
      <c r="D96" s="55">
        <v>5.0</v>
      </c>
      <c r="E96" s="55">
        <v>10.0</v>
      </c>
      <c r="F96" s="56"/>
      <c r="G96" s="55" t="s">
        <v>156</v>
      </c>
      <c r="H96" s="56"/>
      <c r="I96" s="56"/>
      <c r="J96" s="56"/>
      <c r="K96" s="56"/>
      <c r="L96" s="56"/>
    </row>
    <row r="97">
      <c r="A97" s="53">
        <v>46132.0</v>
      </c>
      <c r="B97" s="54" t="s">
        <v>25</v>
      </c>
      <c r="C97" s="55" t="s">
        <v>141</v>
      </c>
      <c r="D97" s="55">
        <v>5.0</v>
      </c>
      <c r="E97" s="55">
        <v>11.0</v>
      </c>
      <c r="F97" s="56"/>
      <c r="G97" s="55" t="s">
        <v>156</v>
      </c>
      <c r="H97" s="56"/>
      <c r="I97" s="56"/>
      <c r="J97" s="56"/>
      <c r="K97" s="56"/>
      <c r="L97" s="56"/>
    </row>
    <row r="98">
      <c r="A98" s="53">
        <v>46132.0</v>
      </c>
      <c r="B98" s="54" t="s">
        <v>25</v>
      </c>
      <c r="C98" s="55" t="s">
        <v>141</v>
      </c>
      <c r="D98" s="55">
        <v>5.0</v>
      </c>
      <c r="E98" s="55">
        <v>12.0</v>
      </c>
      <c r="F98" s="56"/>
      <c r="G98" s="55" t="s">
        <v>156</v>
      </c>
      <c r="H98" s="56"/>
      <c r="I98" s="56"/>
      <c r="J98" s="56"/>
      <c r="K98" s="56"/>
      <c r="L98" s="56"/>
    </row>
    <row r="99">
      <c r="A99" s="53">
        <v>46132.0</v>
      </c>
      <c r="B99" s="54" t="s">
        <v>25</v>
      </c>
      <c r="C99" s="55" t="s">
        <v>141</v>
      </c>
      <c r="D99" s="55">
        <v>5.0</v>
      </c>
      <c r="E99" s="55">
        <v>13.0</v>
      </c>
      <c r="F99" s="56"/>
      <c r="G99" s="55" t="s">
        <v>116</v>
      </c>
      <c r="H99" s="56"/>
      <c r="I99" s="56"/>
      <c r="J99" s="56"/>
      <c r="K99" s="56"/>
      <c r="L99" s="56"/>
    </row>
    <row r="100">
      <c r="A100" s="53">
        <v>46132.0</v>
      </c>
      <c r="B100" s="54" t="s">
        <v>25</v>
      </c>
      <c r="C100" s="55" t="s">
        <v>141</v>
      </c>
      <c r="D100" s="55">
        <v>5.0</v>
      </c>
      <c r="E100" s="55">
        <v>14.0</v>
      </c>
      <c r="F100" s="56"/>
      <c r="G100" s="55" t="s">
        <v>116</v>
      </c>
      <c r="H100" s="56"/>
      <c r="I100" s="56"/>
      <c r="J100" s="56"/>
      <c r="K100" s="56"/>
      <c r="L100" s="56"/>
    </row>
    <row r="101">
      <c r="A101" s="53">
        <v>46132.0</v>
      </c>
      <c r="B101" s="54" t="s">
        <v>25</v>
      </c>
      <c r="C101" s="55" t="s">
        <v>141</v>
      </c>
      <c r="D101" s="55">
        <v>5.0</v>
      </c>
      <c r="E101" s="55">
        <v>15.0</v>
      </c>
      <c r="F101" s="56"/>
      <c r="G101" s="55" t="s">
        <v>116</v>
      </c>
      <c r="H101" s="56"/>
      <c r="I101" s="56"/>
      <c r="J101" s="56"/>
      <c r="K101" s="56"/>
      <c r="L101" s="56"/>
    </row>
    <row r="102">
      <c r="A102" s="53">
        <v>46132.0</v>
      </c>
      <c r="B102" s="54" t="s">
        <v>25</v>
      </c>
      <c r="C102" s="55" t="s">
        <v>141</v>
      </c>
      <c r="D102" s="55">
        <v>5.0</v>
      </c>
      <c r="E102" s="55">
        <v>16.0</v>
      </c>
      <c r="F102" s="56"/>
      <c r="G102" s="55" t="s">
        <v>116</v>
      </c>
      <c r="H102" s="56"/>
      <c r="I102" s="56"/>
      <c r="J102" s="56"/>
      <c r="K102" s="56"/>
      <c r="L102" s="56"/>
    </row>
    <row r="103">
      <c r="A103" s="53">
        <v>46132.0</v>
      </c>
      <c r="B103" s="54" t="s">
        <v>25</v>
      </c>
      <c r="C103" s="55" t="s">
        <v>141</v>
      </c>
      <c r="D103" s="55">
        <v>5.0</v>
      </c>
      <c r="E103" s="55">
        <v>17.0</v>
      </c>
      <c r="F103" s="56"/>
      <c r="G103" s="55" t="s">
        <v>116</v>
      </c>
      <c r="H103" s="56"/>
      <c r="I103" s="56"/>
      <c r="J103" s="56"/>
      <c r="K103" s="56"/>
      <c r="L103" s="56"/>
    </row>
    <row r="104">
      <c r="A104" s="53">
        <v>46132.0</v>
      </c>
      <c r="B104" s="54" t="s">
        <v>25</v>
      </c>
      <c r="C104" s="55" t="s">
        <v>141</v>
      </c>
      <c r="D104" s="55">
        <v>5.0</v>
      </c>
      <c r="E104" s="55">
        <v>18.0</v>
      </c>
      <c r="F104" s="56"/>
      <c r="G104" s="55" t="s">
        <v>116</v>
      </c>
      <c r="H104" s="56"/>
      <c r="I104" s="56"/>
      <c r="J104" s="56"/>
      <c r="K104" s="56"/>
      <c r="L104" s="56"/>
    </row>
    <row r="105">
      <c r="A105" s="53">
        <v>46132.0</v>
      </c>
      <c r="B105" s="54" t="s">
        <v>25</v>
      </c>
      <c r="C105" s="55" t="s">
        <v>141</v>
      </c>
      <c r="D105" s="55">
        <v>5.0</v>
      </c>
      <c r="E105" s="55">
        <v>19.0</v>
      </c>
      <c r="F105" s="56"/>
      <c r="G105" s="55" t="s">
        <v>79</v>
      </c>
      <c r="H105" s="56"/>
      <c r="I105" s="56"/>
      <c r="J105" s="56"/>
      <c r="K105" s="56"/>
      <c r="L105" s="56"/>
    </row>
    <row r="106">
      <c r="A106" s="53">
        <v>46132.0</v>
      </c>
      <c r="B106" s="54" t="s">
        <v>25</v>
      </c>
      <c r="C106" s="55" t="s">
        <v>141</v>
      </c>
      <c r="D106" s="55">
        <v>5.0</v>
      </c>
      <c r="E106" s="55">
        <v>20.0</v>
      </c>
      <c r="F106" s="56"/>
      <c r="G106" s="55" t="s">
        <v>116</v>
      </c>
      <c r="H106" s="56"/>
      <c r="I106" s="56"/>
      <c r="J106" s="56"/>
      <c r="K106" s="56"/>
      <c r="L106" s="56"/>
    </row>
    <row r="107">
      <c r="A107" s="8"/>
      <c r="B107" s="9"/>
      <c r="C107" s="57" t="s">
        <v>157</v>
      </c>
      <c r="E107" s="58">
        <f>Count(E2:E106)</f>
        <v>105</v>
      </c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B116" s="9"/>
    </row>
    <row r="117">
      <c r="B117" s="9"/>
    </row>
    <row r="118">
      <c r="B118" s="9"/>
    </row>
    <row r="119">
      <c r="B119" s="9"/>
    </row>
    <row r="275">
      <c r="A275" s="2" t="s">
        <v>1</v>
      </c>
      <c r="B275" s="2"/>
      <c r="C275" s="3"/>
      <c r="D275" s="3"/>
      <c r="E275" s="3"/>
      <c r="G275" s="4" t="s">
        <v>9</v>
      </c>
    </row>
    <row r="276">
      <c r="A276" s="1" t="s">
        <v>0</v>
      </c>
      <c r="B276" s="1" t="s">
        <v>2</v>
      </c>
      <c r="C276" s="1" t="s">
        <v>26</v>
      </c>
      <c r="D276" s="12" t="s">
        <v>29</v>
      </c>
      <c r="E276" s="12" t="s">
        <v>41</v>
      </c>
      <c r="F276" s="21" t="s">
        <v>37</v>
      </c>
      <c r="G276" s="4" t="s">
        <v>42</v>
      </c>
    </row>
    <row r="277">
      <c r="A277" s="60">
        <v>45760.0</v>
      </c>
      <c r="B277" s="9" t="s">
        <v>25</v>
      </c>
      <c r="C277" s="9" t="s">
        <v>158</v>
      </c>
      <c r="D277" s="9">
        <v>1.0</v>
      </c>
      <c r="E277" s="9">
        <v>0.0</v>
      </c>
      <c r="F277" s="61"/>
      <c r="G277" s="9">
        <v>0.0</v>
      </c>
      <c r="H277" s="61"/>
      <c r="I277" s="61"/>
      <c r="J277" s="61"/>
      <c r="K277" s="61"/>
      <c r="L277" s="61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3"/>
      <c r="B314" s="64"/>
      <c r="C314" s="64"/>
      <c r="D314" s="65"/>
    </row>
    <row r="315">
      <c r="A315" s="63"/>
      <c r="B315" s="64"/>
      <c r="C315" s="64"/>
      <c r="D315" s="65"/>
    </row>
    <row r="316">
      <c r="A316" s="63"/>
      <c r="B316" s="64"/>
      <c r="C316" s="64"/>
      <c r="D316" s="65"/>
    </row>
    <row r="317">
      <c r="A317" s="63"/>
      <c r="B317" s="64"/>
      <c r="C317" s="64"/>
      <c r="D317" s="65"/>
    </row>
    <row r="318">
      <c r="A318" s="63"/>
      <c r="B318" s="64"/>
      <c r="C318" s="64"/>
      <c r="D318" s="65"/>
    </row>
    <row r="319">
      <c r="A319" s="63"/>
      <c r="B319" s="64"/>
      <c r="C319" s="64"/>
      <c r="D319" s="65"/>
    </row>
    <row r="320">
      <c r="A320" s="63"/>
      <c r="B320" s="64"/>
      <c r="C320" s="64"/>
      <c r="D320" s="65"/>
    </row>
    <row r="321">
      <c r="A321" s="63"/>
      <c r="B321" s="64"/>
      <c r="C321" s="64"/>
      <c r="D321" s="65"/>
    </row>
    <row r="322">
      <c r="A322" s="63"/>
      <c r="B322" s="64"/>
      <c r="C322" s="64"/>
      <c r="D322" s="65"/>
    </row>
    <row r="323">
      <c r="A323" s="63"/>
      <c r="B323" s="64"/>
      <c r="C323" s="64"/>
      <c r="D323" s="65"/>
    </row>
    <row r="324">
      <c r="A324" s="63"/>
      <c r="B324" s="64"/>
      <c r="C324" s="64"/>
      <c r="D324" s="65"/>
    </row>
    <row r="325">
      <c r="A325" s="63"/>
      <c r="B325" s="64"/>
      <c r="C325" s="64"/>
      <c r="D325" s="65"/>
    </row>
    <row r="326">
      <c r="A326" s="62"/>
    </row>
    <row r="563">
      <c r="A563" s="2" t="s">
        <v>1</v>
      </c>
      <c r="B563" s="2"/>
      <c r="C563" s="3"/>
      <c r="D563" s="3"/>
      <c r="E563" s="3"/>
      <c r="G563" s="4" t="s">
        <v>9</v>
      </c>
    </row>
    <row r="564">
      <c r="A564" s="1" t="s">
        <v>0</v>
      </c>
      <c r="B564" s="1" t="s">
        <v>2</v>
      </c>
      <c r="C564" s="1" t="s">
        <v>26</v>
      </c>
      <c r="D564" s="12" t="s">
        <v>29</v>
      </c>
      <c r="E564" s="12" t="s">
        <v>41</v>
      </c>
      <c r="F564" s="21" t="s">
        <v>37</v>
      </c>
      <c r="G564" s="4" t="s">
        <v>42</v>
      </c>
    </row>
    <row r="565">
      <c r="A565" s="60">
        <v>45760.0</v>
      </c>
      <c r="B565" s="9" t="s">
        <v>25</v>
      </c>
      <c r="C565" s="9" t="s">
        <v>158</v>
      </c>
      <c r="D565" s="9">
        <v>1.0</v>
      </c>
      <c r="E565" s="9">
        <v>0.0</v>
      </c>
      <c r="F565" s="61"/>
      <c r="G565" s="9">
        <v>0.0</v>
      </c>
      <c r="H565" s="61"/>
      <c r="I565" s="61"/>
      <c r="J565" s="61"/>
      <c r="K565" s="61"/>
      <c r="L565" s="61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3"/>
      <c r="B602" s="64"/>
      <c r="C602" s="64"/>
      <c r="D602" s="65"/>
    </row>
    <row r="603">
      <c r="A603" s="63"/>
      <c r="B603" s="64"/>
      <c r="C603" s="64"/>
      <c r="D603" s="65"/>
    </row>
    <row r="604">
      <c r="A604" s="63"/>
      <c r="B604" s="64"/>
      <c r="C604" s="64"/>
      <c r="D604" s="65"/>
    </row>
    <row r="605">
      <c r="A605" s="63"/>
      <c r="B605" s="64"/>
      <c r="C605" s="64"/>
      <c r="D605" s="65"/>
    </row>
    <row r="606">
      <c r="A606" s="63"/>
      <c r="B606" s="64"/>
      <c r="C606" s="64"/>
      <c r="D606" s="65"/>
    </row>
    <row r="607">
      <c r="A607" s="63"/>
      <c r="B607" s="64"/>
      <c r="C607" s="64"/>
      <c r="D607" s="65"/>
    </row>
    <row r="608">
      <c r="A608" s="63"/>
      <c r="B608" s="64"/>
      <c r="C608" s="64"/>
      <c r="D608" s="65"/>
    </row>
    <row r="609">
      <c r="A609" s="63"/>
      <c r="B609" s="64"/>
      <c r="C609" s="64"/>
      <c r="D609" s="65"/>
    </row>
    <row r="610">
      <c r="A610" s="63"/>
      <c r="B610" s="64"/>
      <c r="C610" s="64"/>
      <c r="D610" s="65"/>
    </row>
    <row r="611">
      <c r="A611" s="63"/>
      <c r="B611" s="64"/>
      <c r="C611" s="64"/>
      <c r="D611" s="65"/>
    </row>
    <row r="612">
      <c r="A612" s="63"/>
      <c r="B612" s="64"/>
      <c r="C612" s="64"/>
      <c r="D612" s="65"/>
    </row>
    <row r="613">
      <c r="A613" s="63"/>
      <c r="B613" s="64"/>
      <c r="C613" s="64"/>
      <c r="D613" s="65"/>
    </row>
    <row r="614">
      <c r="A614" s="62"/>
    </row>
  </sheetData>
  <mergeCells count="1">
    <mergeCell ref="C107:D107"/>
  </mergeCells>
  <dataValidations>
    <dataValidation type="list" allowBlank="1" showErrorMessage="1" sqref="B277 B565">
      <formula1>"Mauliola,Lē'ahi ,‘Ewa Beach"</formula1>
    </dataValidation>
    <dataValidation type="list" allowBlank="1" showErrorMessage="1" sqref="B2:B119">
      <formula1>"Mauliola,Lē'ahi ,‘Ewa Beach"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0.0"/>
    <col customWidth="1" min="3" max="3" width="15.5"/>
    <col customWidth="1" min="4" max="4" width="9.88"/>
    <col customWidth="1" min="5" max="5" width="11.88"/>
    <col customWidth="1" min="6" max="6" width="0.38"/>
    <col customWidth="1" min="7" max="7" width="18.0"/>
    <col customWidth="1" min="18" max="18" width="16.25"/>
    <col customWidth="1" min="27" max="27" width="21.75"/>
    <col customWidth="1" min="28" max="28" width="18.38"/>
    <col customWidth="1" min="29" max="29" width="16.38"/>
    <col customWidth="1" min="30" max="35" width="21.75"/>
    <col customWidth="1" min="36" max="37" width="14.38"/>
    <col customWidth="1" min="39" max="40" width="17.0"/>
    <col customWidth="1" min="77" max="77" width="18.63"/>
    <col customWidth="1" min="78" max="81" width="16.38"/>
    <col customWidth="1" min="83" max="83" width="17.63"/>
    <col customWidth="1" min="90" max="90" width="14.13"/>
  </cols>
  <sheetData>
    <row r="1">
      <c r="A1" s="2" t="s">
        <v>1</v>
      </c>
      <c r="B1" s="2"/>
      <c r="C1" s="3"/>
      <c r="D1" s="3"/>
      <c r="E1" s="3"/>
      <c r="G1" s="4" t="s">
        <v>9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5"/>
      <c r="BF1" s="6"/>
      <c r="BG1" s="6"/>
      <c r="BH1" s="6"/>
      <c r="BI1" s="6"/>
      <c r="BJ1" s="6"/>
      <c r="BK1" s="6"/>
      <c r="BL1" s="6"/>
      <c r="BM1" s="6"/>
      <c r="BN1" s="5"/>
      <c r="BO1" s="5"/>
      <c r="BP1" s="5"/>
      <c r="BQ1" s="5"/>
      <c r="BR1" s="5"/>
      <c r="BS1" s="5"/>
      <c r="BT1" s="5"/>
      <c r="BU1" s="5"/>
      <c r="BV1" s="5"/>
      <c r="BW1" s="5"/>
      <c r="BX1" s="14" t="s">
        <v>35</v>
      </c>
      <c r="BY1" s="15" t="s">
        <v>36</v>
      </c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9"/>
      <c r="CO1" s="17"/>
      <c r="CP1" s="20" t="s">
        <v>38</v>
      </c>
      <c r="CQ1" s="22"/>
      <c r="CR1" s="22"/>
      <c r="CS1" s="20"/>
      <c r="CT1" s="20"/>
      <c r="CU1" s="20"/>
      <c r="CV1" s="23"/>
      <c r="CW1" s="24" t="s">
        <v>40</v>
      </c>
    </row>
    <row r="2">
      <c r="A2" s="1" t="s">
        <v>0</v>
      </c>
      <c r="B2" s="1" t="s">
        <v>2</v>
      </c>
      <c r="C2" s="1" t="s">
        <v>26</v>
      </c>
      <c r="D2" s="12" t="s">
        <v>29</v>
      </c>
      <c r="E2" s="12" t="s">
        <v>41</v>
      </c>
      <c r="F2" s="21" t="s">
        <v>37</v>
      </c>
      <c r="G2" s="4" t="s">
        <v>42</v>
      </c>
      <c r="H2" s="4" t="s">
        <v>43</v>
      </c>
      <c r="I2" s="4" t="s">
        <v>44</v>
      </c>
      <c r="J2" s="4" t="s">
        <v>45</v>
      </c>
      <c r="K2" s="26" t="s">
        <v>46</v>
      </c>
      <c r="L2" s="4" t="s">
        <v>47</v>
      </c>
      <c r="M2" s="4" t="s">
        <v>48</v>
      </c>
      <c r="N2" s="27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66</v>
      </c>
      <c r="AE2" s="4" t="s">
        <v>67</v>
      </c>
      <c r="AF2" s="4" t="s">
        <v>68</v>
      </c>
      <c r="AG2" s="4" t="s">
        <v>69</v>
      </c>
      <c r="AH2" s="4" t="s">
        <v>70</v>
      </c>
      <c r="AI2" s="4" t="s">
        <v>71</v>
      </c>
      <c r="AJ2" s="31" t="s">
        <v>72</v>
      </c>
      <c r="AK2" s="4" t="s">
        <v>74</v>
      </c>
      <c r="AL2" s="4" t="s">
        <v>75</v>
      </c>
      <c r="AM2" s="4" t="s">
        <v>76</v>
      </c>
      <c r="AN2" s="4" t="s">
        <v>77</v>
      </c>
      <c r="AO2" s="4" t="s">
        <v>78</v>
      </c>
      <c r="AP2" s="4" t="s">
        <v>80</v>
      </c>
      <c r="AQ2" s="4" t="s">
        <v>81</v>
      </c>
      <c r="AR2" s="4" t="s">
        <v>82</v>
      </c>
      <c r="AS2" s="4" t="s">
        <v>83</v>
      </c>
      <c r="AT2" s="4" t="s">
        <v>85</v>
      </c>
      <c r="AU2" s="31" t="s">
        <v>86</v>
      </c>
      <c r="AV2" s="4" t="s">
        <v>87</v>
      </c>
      <c r="AW2" s="4" t="s">
        <v>88</v>
      </c>
      <c r="AX2" s="4" t="s">
        <v>89</v>
      </c>
      <c r="AY2" s="4" t="s">
        <v>90</v>
      </c>
      <c r="AZ2" s="4" t="s">
        <v>91</v>
      </c>
      <c r="BA2" s="4" t="s">
        <v>92</v>
      </c>
      <c r="BB2" s="4" t="s">
        <v>93</v>
      </c>
      <c r="BC2" s="4" t="s">
        <v>94</v>
      </c>
      <c r="BD2" s="4" t="s">
        <v>95</v>
      </c>
      <c r="BE2" s="4" t="s">
        <v>96</v>
      </c>
      <c r="BF2" s="4">
        <v>3.0</v>
      </c>
      <c r="BG2" s="4" t="s">
        <v>97</v>
      </c>
      <c r="BH2" s="4" t="s">
        <v>98</v>
      </c>
      <c r="BI2" s="4" t="s">
        <v>99</v>
      </c>
      <c r="BJ2" s="4" t="s">
        <v>101</v>
      </c>
      <c r="BK2" s="4" t="s">
        <v>102</v>
      </c>
      <c r="BL2" s="4" t="s">
        <v>103</v>
      </c>
      <c r="BM2" s="4" t="s">
        <v>104</v>
      </c>
      <c r="BN2" s="4" t="s">
        <v>105</v>
      </c>
      <c r="BO2" s="4" t="s">
        <v>106</v>
      </c>
      <c r="BP2" s="4" t="s">
        <v>107</v>
      </c>
      <c r="BQ2" s="4" t="s">
        <v>108</v>
      </c>
      <c r="BR2" s="4" t="s">
        <v>109</v>
      </c>
      <c r="BS2" s="4" t="s">
        <v>110</v>
      </c>
      <c r="BT2" s="4" t="s">
        <v>111</v>
      </c>
      <c r="BU2" s="4" t="s">
        <v>112</v>
      </c>
      <c r="BV2" s="4" t="s">
        <v>113</v>
      </c>
      <c r="BW2" s="4" t="s">
        <v>114</v>
      </c>
      <c r="BX2" s="32" t="s">
        <v>115</v>
      </c>
      <c r="BY2" s="15" t="s">
        <v>117</v>
      </c>
      <c r="BZ2" s="15" t="s">
        <v>118</v>
      </c>
      <c r="CA2" s="15" t="s">
        <v>119</v>
      </c>
      <c r="CB2" s="15" t="s">
        <v>120</v>
      </c>
      <c r="CC2" s="15" t="s">
        <v>121</v>
      </c>
      <c r="CD2" s="15" t="s">
        <v>122</v>
      </c>
      <c r="CE2" s="15" t="s">
        <v>123</v>
      </c>
      <c r="CF2" s="34" t="s">
        <v>124</v>
      </c>
      <c r="CG2" s="15" t="s">
        <v>125</v>
      </c>
      <c r="CH2" s="15" t="s">
        <v>126</v>
      </c>
      <c r="CI2" s="15" t="s">
        <v>127</v>
      </c>
      <c r="CJ2" s="15" t="s">
        <v>128</v>
      </c>
      <c r="CK2" s="15" t="s">
        <v>129</v>
      </c>
      <c r="CL2" s="15" t="s">
        <v>130</v>
      </c>
      <c r="CM2" s="15" t="s">
        <v>131</v>
      </c>
      <c r="CN2" s="15" t="s">
        <v>132</v>
      </c>
      <c r="CO2" s="15" t="s">
        <v>133</v>
      </c>
      <c r="CP2" s="35" t="s">
        <v>134</v>
      </c>
      <c r="CQ2" s="35" t="s">
        <v>135</v>
      </c>
      <c r="CR2" s="35" t="s">
        <v>116</v>
      </c>
      <c r="CS2" s="36" t="s">
        <v>79</v>
      </c>
      <c r="CT2" s="36" t="s">
        <v>136</v>
      </c>
      <c r="CU2" s="36" t="s">
        <v>137</v>
      </c>
      <c r="CV2" s="23" t="s">
        <v>138</v>
      </c>
      <c r="CW2" s="24" t="s">
        <v>139</v>
      </c>
      <c r="CX2" s="10" t="s">
        <v>140</v>
      </c>
      <c r="CY2" s="21"/>
      <c r="CZ2" s="21"/>
    </row>
    <row r="3">
      <c r="A3" s="25">
        <v>46132.0</v>
      </c>
      <c r="B3" s="28" t="s">
        <v>25</v>
      </c>
      <c r="C3" s="29" t="s">
        <v>27</v>
      </c>
      <c r="D3" s="29">
        <v>1.0</v>
      </c>
      <c r="E3" s="29">
        <v>0.0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29">
        <v>10.0</v>
      </c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29">
        <v>8.0</v>
      </c>
      <c r="BM3" s="30"/>
      <c r="BN3" s="30"/>
      <c r="BO3" s="30"/>
      <c r="BP3" s="30"/>
      <c r="BQ3" s="30"/>
      <c r="BR3" s="30"/>
      <c r="BS3" s="30"/>
      <c r="BT3" s="30"/>
      <c r="BU3" s="30"/>
      <c r="BV3" s="29">
        <v>5.0</v>
      </c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29">
        <v>2.0</v>
      </c>
      <c r="CT3" s="30"/>
      <c r="CU3" s="30"/>
      <c r="CV3" s="30"/>
      <c r="CW3" s="43">
        <f t="shared" ref="CW3:CW14" si="1">SUM(G3:CV3)</f>
        <v>25</v>
      </c>
      <c r="CX3" s="30"/>
      <c r="CY3" s="30"/>
      <c r="CZ3" s="30"/>
    </row>
    <row r="4">
      <c r="A4" s="25">
        <v>46132.0</v>
      </c>
      <c r="B4" s="28" t="s">
        <v>25</v>
      </c>
      <c r="C4" s="29" t="s">
        <v>27</v>
      </c>
      <c r="D4" s="29">
        <v>1.0</v>
      </c>
      <c r="E4" s="29">
        <v>2.0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29">
        <v>9.0</v>
      </c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29">
        <v>6.0</v>
      </c>
      <c r="BM4" s="30"/>
      <c r="BN4" s="30"/>
      <c r="BO4" s="30"/>
      <c r="BP4" s="30"/>
      <c r="BQ4" s="30"/>
      <c r="BR4" s="30"/>
      <c r="BS4" s="30"/>
      <c r="BT4" s="30"/>
      <c r="BU4" s="30"/>
      <c r="BV4" s="29">
        <v>6.0</v>
      </c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29">
        <v>3.0</v>
      </c>
      <c r="CS4" s="29">
        <v>1.0</v>
      </c>
      <c r="CT4" s="30"/>
      <c r="CU4" s="30"/>
      <c r="CV4" s="30"/>
      <c r="CW4" s="43">
        <f t="shared" si="1"/>
        <v>25</v>
      </c>
      <c r="CX4" s="30"/>
      <c r="CY4" s="30"/>
      <c r="CZ4" s="30"/>
    </row>
    <row r="5">
      <c r="A5" s="25">
        <v>46132.0</v>
      </c>
      <c r="B5" s="28" t="s">
        <v>25</v>
      </c>
      <c r="C5" s="29" t="s">
        <v>27</v>
      </c>
      <c r="D5" s="29">
        <v>1.0</v>
      </c>
      <c r="E5" s="29">
        <v>4.0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29">
        <v>3.0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29">
        <v>3.0</v>
      </c>
      <c r="BM5" s="30"/>
      <c r="BN5" s="30"/>
      <c r="BO5" s="30"/>
      <c r="BP5" s="30"/>
      <c r="BQ5" s="30"/>
      <c r="BR5" s="30"/>
      <c r="BS5" s="30"/>
      <c r="BT5" s="30"/>
      <c r="BU5" s="30"/>
      <c r="BV5" s="29">
        <v>15.0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29">
        <v>2.0</v>
      </c>
      <c r="CS5" s="29">
        <v>2.0</v>
      </c>
      <c r="CT5" s="30"/>
      <c r="CU5" s="30"/>
      <c r="CV5" s="30"/>
      <c r="CW5" s="43">
        <f t="shared" si="1"/>
        <v>25</v>
      </c>
      <c r="CX5" s="30"/>
      <c r="CY5" s="30"/>
      <c r="CZ5" s="30"/>
    </row>
    <row r="6">
      <c r="A6" s="25">
        <v>46132.0</v>
      </c>
      <c r="B6" s="28" t="s">
        <v>25</v>
      </c>
      <c r="C6" s="29" t="s">
        <v>27</v>
      </c>
      <c r="D6" s="29">
        <v>1.0</v>
      </c>
      <c r="E6" s="29">
        <v>6.0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>
        <v>1.0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29">
        <v>2.0</v>
      </c>
      <c r="BJ6" s="30"/>
      <c r="BK6" s="30"/>
      <c r="BL6" s="29">
        <v>4.0</v>
      </c>
      <c r="BM6" s="30"/>
      <c r="BN6" s="30"/>
      <c r="BO6" s="30"/>
      <c r="BP6" s="30"/>
      <c r="BQ6" s="30"/>
      <c r="BR6" s="30"/>
      <c r="BS6" s="30"/>
      <c r="BT6" s="30"/>
      <c r="BU6" s="30"/>
      <c r="BV6" s="29">
        <v>16.0</v>
      </c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29">
        <v>1.0</v>
      </c>
      <c r="CS6" s="29">
        <v>1.0</v>
      </c>
      <c r="CT6" s="30"/>
      <c r="CU6" s="30"/>
      <c r="CV6" s="30"/>
      <c r="CW6" s="43">
        <f t="shared" si="1"/>
        <v>25</v>
      </c>
      <c r="CX6" s="30"/>
      <c r="CY6" s="30"/>
      <c r="CZ6" s="30"/>
    </row>
    <row r="7">
      <c r="A7" s="25">
        <v>46132.0</v>
      </c>
      <c r="B7" s="28" t="s">
        <v>25</v>
      </c>
      <c r="C7" s="29" t="s">
        <v>27</v>
      </c>
      <c r="D7" s="29">
        <v>1.0</v>
      </c>
      <c r="E7" s="29">
        <v>8.0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29">
        <v>2.0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29">
        <v>1.0</v>
      </c>
      <c r="BM7" s="30"/>
      <c r="BN7" s="30"/>
      <c r="BO7" s="30"/>
      <c r="BP7" s="30"/>
      <c r="BQ7" s="30"/>
      <c r="BR7" s="30"/>
      <c r="BS7" s="30"/>
      <c r="BT7" s="30"/>
      <c r="BU7" s="30"/>
      <c r="BV7" s="29">
        <v>19.0</v>
      </c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29">
        <v>1.0</v>
      </c>
      <c r="CK7" s="30"/>
      <c r="CL7" s="30"/>
      <c r="CM7" s="30"/>
      <c r="CN7" s="30"/>
      <c r="CO7" s="30"/>
      <c r="CP7" s="30"/>
      <c r="CQ7" s="30"/>
      <c r="CR7" s="29">
        <v>1.0</v>
      </c>
      <c r="CS7" s="29">
        <v>1.0</v>
      </c>
      <c r="CT7" s="30"/>
      <c r="CU7" s="30"/>
      <c r="CV7" s="30"/>
      <c r="CW7" s="43">
        <f t="shared" si="1"/>
        <v>25</v>
      </c>
      <c r="CX7" s="30"/>
      <c r="CY7" s="30"/>
      <c r="CZ7" s="30"/>
    </row>
    <row r="8">
      <c r="A8" s="25">
        <v>46132.0</v>
      </c>
      <c r="B8" s="28" t="s">
        <v>25</v>
      </c>
      <c r="C8" s="29" t="s">
        <v>27</v>
      </c>
      <c r="D8" s="29">
        <v>1.0</v>
      </c>
      <c r="E8" s="29">
        <v>10.0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29">
        <v>8.0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29">
        <v>1.0</v>
      </c>
      <c r="BJ8" s="30"/>
      <c r="BK8" s="30"/>
      <c r="BL8" s="29">
        <v>5.0</v>
      </c>
      <c r="BM8" s="30"/>
      <c r="BN8" s="30"/>
      <c r="BO8" s="30"/>
      <c r="BP8" s="30"/>
      <c r="BQ8" s="30"/>
      <c r="BR8" s="30"/>
      <c r="BS8" s="30"/>
      <c r="BT8" s="30"/>
      <c r="BU8" s="30"/>
      <c r="BV8" s="29">
        <v>4.0</v>
      </c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29">
        <v>6.0</v>
      </c>
      <c r="CS8" s="29">
        <v>1.0</v>
      </c>
      <c r="CT8" s="30"/>
      <c r="CU8" s="30"/>
      <c r="CV8" s="30"/>
      <c r="CW8" s="43">
        <f t="shared" si="1"/>
        <v>25</v>
      </c>
      <c r="CX8" s="30"/>
      <c r="CY8" s="30"/>
      <c r="CZ8" s="30"/>
    </row>
    <row r="9">
      <c r="A9" s="25">
        <v>46132.0</v>
      </c>
      <c r="B9" s="28" t="s">
        <v>25</v>
      </c>
      <c r="C9" s="29" t="s">
        <v>27</v>
      </c>
      <c r="D9" s="29">
        <v>1.0</v>
      </c>
      <c r="E9" s="29">
        <v>12.0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29"/>
      <c r="BM9" s="30"/>
      <c r="BN9" s="30"/>
      <c r="BO9" s="30"/>
      <c r="BP9" s="30"/>
      <c r="BQ9" s="30"/>
      <c r="BR9" s="30"/>
      <c r="BS9" s="30"/>
      <c r="BT9" s="30"/>
      <c r="BU9" s="30"/>
      <c r="BV9" s="29">
        <v>23.0</v>
      </c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29">
        <v>2.0</v>
      </c>
      <c r="CS9" s="30"/>
      <c r="CT9" s="30"/>
      <c r="CU9" s="30"/>
      <c r="CV9" s="30"/>
      <c r="CW9" s="43">
        <f t="shared" si="1"/>
        <v>25</v>
      </c>
      <c r="CX9" s="30"/>
      <c r="CY9" s="30"/>
      <c r="CZ9" s="30"/>
    </row>
    <row r="10">
      <c r="A10" s="25">
        <v>46132.0</v>
      </c>
      <c r="B10" s="28" t="s">
        <v>25</v>
      </c>
      <c r="C10" s="29" t="s">
        <v>27</v>
      </c>
      <c r="D10" s="29">
        <v>1.0</v>
      </c>
      <c r="E10" s="29">
        <v>14.0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29">
        <v>8.0</v>
      </c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29">
        <v>3.0</v>
      </c>
      <c r="BM10" s="30"/>
      <c r="BN10" s="30"/>
      <c r="BO10" s="30"/>
      <c r="BP10" s="30"/>
      <c r="BQ10" s="30"/>
      <c r="BR10" s="30"/>
      <c r="BS10" s="30"/>
      <c r="BT10" s="30"/>
      <c r="BU10" s="30"/>
      <c r="BV10" s="29">
        <v>10.0</v>
      </c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29">
        <v>3.0</v>
      </c>
      <c r="CS10" s="29">
        <v>1.0</v>
      </c>
      <c r="CT10" s="30"/>
      <c r="CU10" s="30"/>
      <c r="CV10" s="30"/>
      <c r="CW10" s="43">
        <f t="shared" si="1"/>
        <v>25</v>
      </c>
      <c r="CX10" s="30"/>
      <c r="CY10" s="30"/>
      <c r="CZ10" s="30"/>
    </row>
    <row r="11">
      <c r="A11" s="25">
        <v>46132.0</v>
      </c>
      <c r="B11" s="28" t="s">
        <v>25</v>
      </c>
      <c r="C11" s="29" t="s">
        <v>27</v>
      </c>
      <c r="D11" s="29">
        <v>1.0</v>
      </c>
      <c r="E11" s="29">
        <v>16.0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29">
        <v>6.0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29">
        <v>13.0</v>
      </c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29">
        <v>6.0</v>
      </c>
      <c r="CS11" s="30"/>
      <c r="CT11" s="30"/>
      <c r="CU11" s="30"/>
      <c r="CV11" s="30"/>
      <c r="CW11" s="43">
        <f t="shared" si="1"/>
        <v>25</v>
      </c>
      <c r="CX11" s="30"/>
      <c r="CY11" s="30"/>
      <c r="CZ11" s="30"/>
    </row>
    <row r="12">
      <c r="A12" s="25">
        <v>46132.0</v>
      </c>
      <c r="B12" s="28" t="s">
        <v>25</v>
      </c>
      <c r="C12" s="29" t="s">
        <v>27</v>
      </c>
      <c r="D12" s="29">
        <v>1.0</v>
      </c>
      <c r="E12" s="29">
        <v>18.0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29">
        <v>20.0</v>
      </c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29">
        <v>5.0</v>
      </c>
      <c r="CS12" s="30"/>
      <c r="CT12" s="30"/>
      <c r="CU12" s="30"/>
      <c r="CV12" s="30"/>
      <c r="CW12" s="43">
        <f t="shared" si="1"/>
        <v>25</v>
      </c>
      <c r="CX12" s="30"/>
      <c r="CY12" s="30"/>
      <c r="CZ12" s="30"/>
    </row>
    <row r="13">
      <c r="A13" s="25">
        <v>46132.0</v>
      </c>
      <c r="B13" s="28" t="s">
        <v>25</v>
      </c>
      <c r="C13" s="29" t="s">
        <v>27</v>
      </c>
      <c r="D13" s="29">
        <v>1.0</v>
      </c>
      <c r="E13" s="29">
        <v>20.0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29">
        <v>14.0</v>
      </c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29">
        <v>2.0</v>
      </c>
      <c r="CS13" s="30"/>
      <c r="CT13" s="30"/>
      <c r="CU13" s="30"/>
      <c r="CV13" s="30"/>
      <c r="CW13" s="43">
        <f t="shared" si="1"/>
        <v>16</v>
      </c>
      <c r="CX13" s="30"/>
      <c r="CY13" s="30"/>
      <c r="CZ13" s="30"/>
    </row>
    <row r="14">
      <c r="A14" s="37">
        <v>46132.0</v>
      </c>
      <c r="B14" s="38" t="s">
        <v>25</v>
      </c>
      <c r="C14" s="39" t="s">
        <v>27</v>
      </c>
      <c r="D14" s="39">
        <v>2.0</v>
      </c>
      <c r="E14" s="39">
        <v>0.0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39">
        <v>5.0</v>
      </c>
      <c r="BM14" s="39">
        <v>1.0</v>
      </c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39">
        <v>1.0</v>
      </c>
      <c r="CJ14" s="40"/>
      <c r="CK14" s="40"/>
      <c r="CL14" s="40"/>
      <c r="CM14" s="40"/>
      <c r="CN14" s="40"/>
      <c r="CO14" s="40"/>
      <c r="CP14" s="40"/>
      <c r="CQ14" s="40"/>
      <c r="CR14" s="39">
        <v>3.0</v>
      </c>
      <c r="CS14" s="39">
        <v>15.0</v>
      </c>
      <c r="CT14" s="40"/>
      <c r="CU14" s="40"/>
      <c r="CV14" s="40"/>
      <c r="CW14" s="59">
        <f t="shared" si="1"/>
        <v>25</v>
      </c>
      <c r="CX14" s="40"/>
      <c r="CY14" s="40"/>
      <c r="CZ14" s="40"/>
    </row>
    <row r="15">
      <c r="A15" s="37">
        <v>46132.0</v>
      </c>
      <c r="B15" s="38" t="s">
        <v>25</v>
      </c>
      <c r="C15" s="39" t="s">
        <v>27</v>
      </c>
      <c r="D15" s="39">
        <v>2.0</v>
      </c>
      <c r="E15" s="39">
        <v>2.0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39">
        <v>10.0</v>
      </c>
      <c r="BM15" s="40"/>
      <c r="BN15" s="40"/>
      <c r="BO15" s="40"/>
      <c r="BP15" s="40"/>
      <c r="BQ15" s="40"/>
      <c r="BR15" s="40"/>
      <c r="BS15" s="40"/>
      <c r="BT15" s="40"/>
      <c r="BU15" s="40"/>
      <c r="BV15" s="39">
        <v>4.0</v>
      </c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39">
        <v>2.0</v>
      </c>
      <c r="CS15" s="39">
        <v>9.0</v>
      </c>
      <c r="CT15" s="40"/>
      <c r="CU15" s="40"/>
      <c r="CV15" s="40"/>
      <c r="CW15" s="40">
        <f t="shared" ref="CW15:CW25" si="2">sum(F15:CV15)</f>
        <v>25</v>
      </c>
      <c r="CX15" s="40"/>
      <c r="CY15" s="40"/>
      <c r="CZ15" s="40"/>
    </row>
    <row r="16">
      <c r="A16" s="37">
        <v>46132.0</v>
      </c>
      <c r="B16" s="38" t="s">
        <v>25</v>
      </c>
      <c r="C16" s="39" t="s">
        <v>27</v>
      </c>
      <c r="D16" s="39">
        <v>2.0</v>
      </c>
      <c r="E16" s="39">
        <v>4.0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39">
        <v>2.0</v>
      </c>
      <c r="BM16" s="40"/>
      <c r="BN16" s="40"/>
      <c r="BO16" s="40"/>
      <c r="BP16" s="40"/>
      <c r="BQ16" s="40"/>
      <c r="BR16" s="40"/>
      <c r="BS16" s="40"/>
      <c r="BT16" s="40"/>
      <c r="BU16" s="40"/>
      <c r="BV16" s="39">
        <v>5.0</v>
      </c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39">
        <v>5.0</v>
      </c>
      <c r="CS16" s="39">
        <v>13.0</v>
      </c>
      <c r="CT16" s="40"/>
      <c r="CU16" s="40"/>
      <c r="CV16" s="40"/>
      <c r="CW16" s="40">
        <f t="shared" si="2"/>
        <v>25</v>
      </c>
      <c r="CX16" s="40"/>
      <c r="CY16" s="40"/>
      <c r="CZ16" s="40"/>
    </row>
    <row r="17">
      <c r="A17" s="37">
        <v>46132.0</v>
      </c>
      <c r="B17" s="38" t="s">
        <v>25</v>
      </c>
      <c r="C17" s="39" t="s">
        <v>27</v>
      </c>
      <c r="D17" s="39">
        <v>2.0</v>
      </c>
      <c r="E17" s="39">
        <v>6.0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39">
        <v>2.0</v>
      </c>
      <c r="BM17" s="40"/>
      <c r="BN17" s="40"/>
      <c r="BO17" s="40"/>
      <c r="BP17" s="40"/>
      <c r="BQ17" s="40"/>
      <c r="BR17" s="40"/>
      <c r="BS17" s="40"/>
      <c r="BT17" s="40"/>
      <c r="BU17" s="40"/>
      <c r="BV17" s="39">
        <v>4.0</v>
      </c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39">
        <v>4.0</v>
      </c>
      <c r="CS17" s="39">
        <v>15.0</v>
      </c>
      <c r="CT17" s="40"/>
      <c r="CU17" s="40"/>
      <c r="CV17" s="40"/>
      <c r="CW17" s="40">
        <f t="shared" si="2"/>
        <v>25</v>
      </c>
      <c r="CX17" s="40"/>
      <c r="CY17" s="40"/>
      <c r="CZ17" s="40"/>
    </row>
    <row r="18">
      <c r="A18" s="37">
        <v>46132.0</v>
      </c>
      <c r="B18" s="38" t="s">
        <v>25</v>
      </c>
      <c r="C18" s="39" t="s">
        <v>27</v>
      </c>
      <c r="D18" s="39">
        <v>2.0</v>
      </c>
      <c r="E18" s="39">
        <v>8.0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9">
        <v>3.0</v>
      </c>
      <c r="BM18" s="40"/>
      <c r="BN18" s="40"/>
      <c r="BO18" s="40"/>
      <c r="BP18" s="40"/>
      <c r="BQ18" s="40"/>
      <c r="BR18" s="40"/>
      <c r="BS18" s="40"/>
      <c r="BT18" s="40"/>
      <c r="BU18" s="40"/>
      <c r="BV18" s="39">
        <v>4.0</v>
      </c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39">
        <v>10.0</v>
      </c>
      <c r="CS18" s="39">
        <v>8.0</v>
      </c>
      <c r="CT18" s="40"/>
      <c r="CU18" s="40"/>
      <c r="CV18" s="40"/>
      <c r="CW18" s="40">
        <f t="shared" si="2"/>
        <v>25</v>
      </c>
      <c r="CX18" s="40"/>
      <c r="CY18" s="40"/>
      <c r="CZ18" s="40"/>
    </row>
    <row r="19">
      <c r="A19" s="37">
        <v>46132.0</v>
      </c>
      <c r="B19" s="38" t="s">
        <v>25</v>
      </c>
      <c r="C19" s="39" t="s">
        <v>27</v>
      </c>
      <c r="D19" s="39">
        <v>2.0</v>
      </c>
      <c r="E19" s="39">
        <v>10.0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39">
        <v>2.0</v>
      </c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39">
        <v>10.0</v>
      </c>
      <c r="CS19" s="39">
        <v>13.0</v>
      </c>
      <c r="CT19" s="40"/>
      <c r="CU19" s="40"/>
      <c r="CV19" s="40"/>
      <c r="CW19" s="40">
        <f t="shared" si="2"/>
        <v>25</v>
      </c>
      <c r="CX19" s="40"/>
      <c r="CY19" s="40"/>
      <c r="CZ19" s="40"/>
    </row>
    <row r="20">
      <c r="A20" s="37">
        <v>46132.0</v>
      </c>
      <c r="B20" s="38" t="s">
        <v>25</v>
      </c>
      <c r="C20" s="39" t="s">
        <v>27</v>
      </c>
      <c r="D20" s="39">
        <v>2.0</v>
      </c>
      <c r="E20" s="39">
        <v>12.0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39">
        <v>1.0</v>
      </c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39">
        <v>6.0</v>
      </c>
      <c r="CS20" s="39">
        <v>18.0</v>
      </c>
      <c r="CT20" s="40"/>
      <c r="CU20" s="40"/>
      <c r="CV20" s="40"/>
      <c r="CW20" s="40">
        <f t="shared" si="2"/>
        <v>25</v>
      </c>
      <c r="CX20" s="40"/>
      <c r="CY20" s="40"/>
      <c r="CZ20" s="40"/>
    </row>
    <row r="21">
      <c r="A21" s="37">
        <v>46132.0</v>
      </c>
      <c r="B21" s="38" t="s">
        <v>25</v>
      </c>
      <c r="C21" s="39" t="s">
        <v>27</v>
      </c>
      <c r="D21" s="39">
        <v>2.0</v>
      </c>
      <c r="E21" s="39">
        <v>14.0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39">
        <v>5.0</v>
      </c>
      <c r="CS21" s="39">
        <v>20.0</v>
      </c>
      <c r="CT21" s="40"/>
      <c r="CU21" s="40"/>
      <c r="CV21" s="40"/>
      <c r="CW21" s="40">
        <f t="shared" si="2"/>
        <v>25</v>
      </c>
      <c r="CX21" s="40"/>
      <c r="CY21" s="40"/>
      <c r="CZ21" s="40"/>
    </row>
    <row r="22">
      <c r="A22" s="37">
        <v>46132.0</v>
      </c>
      <c r="B22" s="38" t="s">
        <v>25</v>
      </c>
      <c r="C22" s="39" t="s">
        <v>27</v>
      </c>
      <c r="D22" s="39">
        <v>2.0</v>
      </c>
      <c r="E22" s="39">
        <v>16.0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39">
        <v>15.0</v>
      </c>
      <c r="CS22" s="39">
        <v>10.0</v>
      </c>
      <c r="CT22" s="40"/>
      <c r="CU22" s="40"/>
      <c r="CV22" s="40"/>
      <c r="CW22" s="40">
        <f t="shared" si="2"/>
        <v>25</v>
      </c>
      <c r="CX22" s="40"/>
      <c r="CY22" s="40"/>
      <c r="CZ22" s="40"/>
    </row>
    <row r="23">
      <c r="A23" s="37">
        <v>46132.0</v>
      </c>
      <c r="B23" s="38" t="s">
        <v>25</v>
      </c>
      <c r="C23" s="39" t="s">
        <v>27</v>
      </c>
      <c r="D23" s="39">
        <v>2.0</v>
      </c>
      <c r="E23" s="39">
        <v>18.0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39">
        <v>25.0</v>
      </c>
      <c r="CT23" s="40"/>
      <c r="CU23" s="40"/>
      <c r="CV23" s="40"/>
      <c r="CW23" s="40">
        <f t="shared" si="2"/>
        <v>25</v>
      </c>
      <c r="CX23" s="40"/>
      <c r="CY23" s="40"/>
      <c r="CZ23" s="40"/>
    </row>
    <row r="24">
      <c r="A24" s="37">
        <v>46132.0</v>
      </c>
      <c r="B24" s="38" t="s">
        <v>25</v>
      </c>
      <c r="C24" s="39" t="s">
        <v>27</v>
      </c>
      <c r="D24" s="39">
        <v>2.0</v>
      </c>
      <c r="E24" s="39">
        <v>20.0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39">
        <v>13.0</v>
      </c>
      <c r="CS24" s="39">
        <v>12.0</v>
      </c>
      <c r="CT24" s="40"/>
      <c r="CU24" s="40"/>
      <c r="CV24" s="40"/>
      <c r="CW24" s="40">
        <f t="shared" si="2"/>
        <v>25</v>
      </c>
      <c r="CX24" s="40"/>
      <c r="CY24" s="40"/>
      <c r="CZ24" s="40"/>
    </row>
    <row r="25">
      <c r="A25" s="44">
        <v>46132.0</v>
      </c>
      <c r="B25" s="45" t="s">
        <v>25</v>
      </c>
      <c r="C25" s="46" t="s">
        <v>27</v>
      </c>
      <c r="D25" s="66">
        <v>3.0</v>
      </c>
      <c r="E25" s="46">
        <v>0.0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6">
        <v>1.0</v>
      </c>
      <c r="BJ25" s="47"/>
      <c r="BK25" s="47"/>
      <c r="BL25" s="46">
        <v>2.0</v>
      </c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6">
        <v>22.0</v>
      </c>
      <c r="CT25" s="47"/>
      <c r="CU25" s="47"/>
      <c r="CV25" s="47"/>
      <c r="CW25" s="47">
        <f t="shared" si="2"/>
        <v>25</v>
      </c>
      <c r="CX25" s="47"/>
      <c r="CY25" s="47"/>
      <c r="CZ25" s="47"/>
    </row>
    <row r="26">
      <c r="A26" s="44">
        <v>46132.0</v>
      </c>
      <c r="B26" s="45" t="s">
        <v>25</v>
      </c>
      <c r="C26" s="46" t="s">
        <v>27</v>
      </c>
      <c r="D26" s="66">
        <v>3.0</v>
      </c>
      <c r="E26" s="46">
        <v>2.0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6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6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6"/>
      <c r="BA26" s="47"/>
      <c r="BB26" s="47"/>
      <c r="BC26" s="47"/>
      <c r="BD26" s="47"/>
      <c r="BE26" s="47"/>
      <c r="BF26" s="47"/>
      <c r="BG26" s="47"/>
      <c r="BH26" s="46"/>
      <c r="BI26" s="46">
        <v>1.0</v>
      </c>
      <c r="BJ26" s="47"/>
      <c r="BK26" s="47"/>
      <c r="BL26" s="46">
        <v>3.0</v>
      </c>
      <c r="BM26" s="46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6">
        <v>11.0</v>
      </c>
      <c r="CS26" s="46">
        <v>10.0</v>
      </c>
      <c r="CT26" s="47"/>
      <c r="CU26" s="47"/>
      <c r="CV26" s="47"/>
      <c r="CW26" s="47">
        <f t="shared" ref="CW26:CW56" si="3">SUM(G26:CV26)</f>
        <v>25</v>
      </c>
      <c r="CX26" s="46"/>
      <c r="CY26" s="47"/>
      <c r="CZ26" s="47"/>
    </row>
    <row r="27">
      <c r="A27" s="44">
        <v>46132.0</v>
      </c>
      <c r="B27" s="45" t="s">
        <v>25</v>
      </c>
      <c r="C27" s="46" t="s">
        <v>27</v>
      </c>
      <c r="D27" s="66">
        <v>3.0</v>
      </c>
      <c r="E27" s="46">
        <v>4.0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6"/>
      <c r="U27" s="47"/>
      <c r="V27" s="47"/>
      <c r="W27" s="47"/>
      <c r="X27" s="47"/>
      <c r="Y27" s="47"/>
      <c r="Z27" s="47"/>
      <c r="AA27" s="47"/>
      <c r="AB27" s="47"/>
      <c r="AC27" s="47"/>
      <c r="AD27" s="46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6"/>
      <c r="AU27" s="47"/>
      <c r="AV27" s="47"/>
      <c r="AW27" s="47"/>
      <c r="AX27" s="47"/>
      <c r="AY27" s="47"/>
      <c r="AZ27" s="46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6"/>
      <c r="BN27" s="47"/>
      <c r="BO27" s="47"/>
      <c r="BP27" s="47"/>
      <c r="BQ27" s="47"/>
      <c r="BR27" s="47"/>
      <c r="BS27" s="47"/>
      <c r="BT27" s="47"/>
      <c r="BU27" s="47"/>
      <c r="BV27" s="46"/>
      <c r="BW27" s="46"/>
      <c r="BX27" s="47"/>
      <c r="BY27" s="47"/>
      <c r="BZ27" s="47"/>
      <c r="CA27" s="47"/>
      <c r="CB27" s="47"/>
      <c r="CC27" s="47"/>
      <c r="CD27" s="46">
        <v>2.0</v>
      </c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6">
        <v>8.0</v>
      </c>
      <c r="CS27" s="46">
        <v>15.0</v>
      </c>
      <c r="CT27" s="47"/>
      <c r="CU27" s="47"/>
      <c r="CV27" s="47"/>
      <c r="CW27" s="47">
        <f t="shared" si="3"/>
        <v>25</v>
      </c>
      <c r="CX27" s="46"/>
      <c r="CY27" s="47"/>
      <c r="CZ27" s="47"/>
    </row>
    <row r="28">
      <c r="A28" s="44">
        <v>46132.0</v>
      </c>
      <c r="B28" s="45" t="s">
        <v>25</v>
      </c>
      <c r="C28" s="46" t="s">
        <v>27</v>
      </c>
      <c r="D28" s="66">
        <v>3.0</v>
      </c>
      <c r="E28" s="46">
        <v>6.0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6"/>
      <c r="U28" s="47"/>
      <c r="V28" s="47"/>
      <c r="W28" s="47"/>
      <c r="X28" s="47"/>
      <c r="Y28" s="47"/>
      <c r="Z28" s="46">
        <v>3.0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6"/>
      <c r="BA28" s="47"/>
      <c r="BB28" s="47"/>
      <c r="BC28" s="47"/>
      <c r="BD28" s="47"/>
      <c r="BE28" s="47"/>
      <c r="BF28" s="47"/>
      <c r="BG28" s="47"/>
      <c r="BH28" s="47"/>
      <c r="BI28" s="46"/>
      <c r="BJ28" s="47"/>
      <c r="BK28" s="47"/>
      <c r="BL28" s="46"/>
      <c r="BM28" s="46"/>
      <c r="BN28" s="47"/>
      <c r="BO28" s="47"/>
      <c r="BP28" s="46"/>
      <c r="BQ28" s="47"/>
      <c r="BR28" s="47"/>
      <c r="BS28" s="46"/>
      <c r="BT28" s="47"/>
      <c r="BU28" s="47"/>
      <c r="BV28" s="46"/>
      <c r="BW28" s="46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6">
        <v>8.0</v>
      </c>
      <c r="CS28" s="46">
        <v>14.0</v>
      </c>
      <c r="CT28" s="47"/>
      <c r="CU28" s="47"/>
      <c r="CV28" s="47"/>
      <c r="CW28" s="47">
        <f t="shared" si="3"/>
        <v>25</v>
      </c>
      <c r="CX28" s="47"/>
      <c r="CY28" s="47"/>
      <c r="CZ28" s="47"/>
    </row>
    <row r="29">
      <c r="A29" s="44">
        <v>46132.0</v>
      </c>
      <c r="B29" s="45" t="s">
        <v>25</v>
      </c>
      <c r="C29" s="46" t="s">
        <v>27</v>
      </c>
      <c r="D29" s="66">
        <v>3.0</v>
      </c>
      <c r="E29" s="46">
        <v>8.0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6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6">
        <v>1.0</v>
      </c>
      <c r="BM29" s="47"/>
      <c r="BN29" s="47"/>
      <c r="BO29" s="47"/>
      <c r="BP29" s="47"/>
      <c r="BQ29" s="47"/>
      <c r="BR29" s="47"/>
      <c r="BS29" s="47"/>
      <c r="BT29" s="47"/>
      <c r="BU29" s="47"/>
      <c r="BV29" s="46"/>
      <c r="BW29" s="46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6">
        <v>9.0</v>
      </c>
      <c r="CS29" s="46">
        <v>15.0</v>
      </c>
      <c r="CT29" s="47"/>
      <c r="CU29" s="47"/>
      <c r="CV29" s="47"/>
      <c r="CW29" s="47">
        <f t="shared" si="3"/>
        <v>25</v>
      </c>
      <c r="CX29" s="47"/>
      <c r="CY29" s="47"/>
      <c r="CZ29" s="47"/>
    </row>
    <row r="30">
      <c r="A30" s="44">
        <v>46132.0</v>
      </c>
      <c r="B30" s="45" t="s">
        <v>25</v>
      </c>
      <c r="C30" s="46" t="s">
        <v>27</v>
      </c>
      <c r="D30" s="66">
        <v>3.0</v>
      </c>
      <c r="E30" s="46">
        <v>10.0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6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6"/>
      <c r="AM30" s="47"/>
      <c r="AN30" s="47"/>
      <c r="AO30" s="47"/>
      <c r="AP30" s="47"/>
      <c r="AQ30" s="47"/>
      <c r="AR30" s="47"/>
      <c r="AS30" s="47"/>
      <c r="AT30" s="46">
        <v>1.0</v>
      </c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6"/>
      <c r="BJ30" s="47"/>
      <c r="BK30" s="47"/>
      <c r="BL30" s="46">
        <v>1.0</v>
      </c>
      <c r="BM30" s="46"/>
      <c r="BN30" s="47"/>
      <c r="BO30" s="47"/>
      <c r="BP30" s="47"/>
      <c r="BQ30" s="47"/>
      <c r="BR30" s="47"/>
      <c r="BS30" s="47"/>
      <c r="BT30" s="47"/>
      <c r="BU30" s="47"/>
      <c r="BV30" s="46"/>
      <c r="BW30" s="46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6">
        <v>23.0</v>
      </c>
      <c r="CT30" s="47"/>
      <c r="CU30" s="47"/>
      <c r="CV30" s="47"/>
      <c r="CW30" s="47">
        <f t="shared" si="3"/>
        <v>25</v>
      </c>
      <c r="CX30" s="47"/>
      <c r="CY30" s="47"/>
      <c r="CZ30" s="47"/>
    </row>
    <row r="31">
      <c r="A31" s="44">
        <v>46132.0</v>
      </c>
      <c r="B31" s="45" t="s">
        <v>25</v>
      </c>
      <c r="C31" s="46" t="s">
        <v>27</v>
      </c>
      <c r="D31" s="66">
        <v>3.0</v>
      </c>
      <c r="E31" s="46">
        <v>12.0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6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6"/>
      <c r="BJ31" s="47"/>
      <c r="BK31" s="47"/>
      <c r="BL31" s="46"/>
      <c r="BM31" s="46"/>
      <c r="BN31" s="47"/>
      <c r="BO31" s="47"/>
      <c r="BP31" s="47"/>
      <c r="BQ31" s="47"/>
      <c r="BR31" s="47"/>
      <c r="BS31" s="47"/>
      <c r="BT31" s="47"/>
      <c r="BU31" s="47"/>
      <c r="BV31" s="46"/>
      <c r="BW31" s="46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6">
        <v>13.0</v>
      </c>
      <c r="CS31" s="46">
        <v>12.0</v>
      </c>
      <c r="CT31" s="47"/>
      <c r="CU31" s="47"/>
      <c r="CV31" s="47"/>
      <c r="CW31" s="47">
        <f t="shared" si="3"/>
        <v>25</v>
      </c>
      <c r="CX31" s="47"/>
      <c r="CY31" s="47"/>
      <c r="CZ31" s="47"/>
    </row>
    <row r="32">
      <c r="A32" s="44">
        <v>46132.0</v>
      </c>
      <c r="B32" s="45" t="s">
        <v>25</v>
      </c>
      <c r="C32" s="46" t="s">
        <v>27</v>
      </c>
      <c r="D32" s="66">
        <v>3.0</v>
      </c>
      <c r="E32" s="46">
        <v>14.0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6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6"/>
      <c r="BM32" s="46"/>
      <c r="BN32" s="47"/>
      <c r="BO32" s="47"/>
      <c r="BP32" s="47"/>
      <c r="BQ32" s="47"/>
      <c r="BR32" s="47"/>
      <c r="BS32" s="47"/>
      <c r="BT32" s="47"/>
      <c r="BU32" s="47"/>
      <c r="BV32" s="46"/>
      <c r="BW32" s="46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6">
        <v>1.0</v>
      </c>
      <c r="CK32" s="47"/>
      <c r="CL32" s="47"/>
      <c r="CM32" s="47"/>
      <c r="CN32" s="47"/>
      <c r="CO32" s="47"/>
      <c r="CP32" s="47"/>
      <c r="CQ32" s="47"/>
      <c r="CR32" s="46">
        <v>13.0</v>
      </c>
      <c r="CS32" s="46">
        <v>11.0</v>
      </c>
      <c r="CT32" s="47"/>
      <c r="CU32" s="47"/>
      <c r="CV32" s="47"/>
      <c r="CW32" s="47">
        <f t="shared" si="3"/>
        <v>25</v>
      </c>
      <c r="CX32" s="46"/>
      <c r="CY32" s="47"/>
      <c r="CZ32" s="47"/>
    </row>
    <row r="33">
      <c r="A33" s="44">
        <v>46132.0</v>
      </c>
      <c r="B33" s="45" t="s">
        <v>25</v>
      </c>
      <c r="C33" s="46" t="s">
        <v>27</v>
      </c>
      <c r="D33" s="66">
        <v>3.0</v>
      </c>
      <c r="E33" s="46">
        <v>16.0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6"/>
      <c r="AM33" s="47"/>
      <c r="AN33" s="47"/>
      <c r="AO33" s="47"/>
      <c r="AP33" s="47"/>
      <c r="AQ33" s="47"/>
      <c r="AR33" s="47"/>
      <c r="AS33" s="47"/>
      <c r="AT33" s="46"/>
      <c r="AU33" s="47"/>
      <c r="AV33" s="47"/>
      <c r="AW33" s="47"/>
      <c r="AX33" s="47"/>
      <c r="AY33" s="46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6"/>
      <c r="BM33" s="46"/>
      <c r="BN33" s="47"/>
      <c r="BO33" s="47"/>
      <c r="BP33" s="47"/>
      <c r="BQ33" s="47"/>
      <c r="BR33" s="47"/>
      <c r="BS33" s="47"/>
      <c r="BT33" s="47"/>
      <c r="BU33" s="47"/>
      <c r="BV33" s="46"/>
      <c r="BW33" s="47"/>
      <c r="BX33" s="46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6">
        <v>20.0</v>
      </c>
      <c r="CS33" s="46">
        <v>5.0</v>
      </c>
      <c r="CT33" s="47"/>
      <c r="CU33" s="47"/>
      <c r="CV33" s="47"/>
      <c r="CW33" s="47">
        <f t="shared" si="3"/>
        <v>25</v>
      </c>
      <c r="CX33" s="47"/>
      <c r="CY33" s="47"/>
      <c r="CZ33" s="47"/>
    </row>
    <row r="34">
      <c r="A34" s="44">
        <v>46132.0</v>
      </c>
      <c r="B34" s="45" t="s">
        <v>25</v>
      </c>
      <c r="C34" s="46" t="s">
        <v>27</v>
      </c>
      <c r="D34" s="66">
        <v>3.0</v>
      </c>
      <c r="E34" s="46">
        <v>18.0</v>
      </c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6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6">
        <v>1.0</v>
      </c>
      <c r="BM34" s="47"/>
      <c r="BN34" s="47"/>
      <c r="BO34" s="47"/>
      <c r="BP34" s="47"/>
      <c r="BQ34" s="47"/>
      <c r="BR34" s="47"/>
      <c r="BS34" s="47"/>
      <c r="BT34" s="47"/>
      <c r="BU34" s="47"/>
      <c r="BV34" s="46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6">
        <v>14.0</v>
      </c>
      <c r="CS34" s="46">
        <v>10.0</v>
      </c>
      <c r="CT34" s="47"/>
      <c r="CU34" s="47"/>
      <c r="CV34" s="47"/>
      <c r="CW34" s="47">
        <f t="shared" si="3"/>
        <v>25</v>
      </c>
      <c r="CX34" s="47"/>
      <c r="CY34" s="47"/>
      <c r="CZ34" s="47"/>
    </row>
    <row r="35">
      <c r="A35" s="44">
        <v>46132.0</v>
      </c>
      <c r="B35" s="45" t="s">
        <v>25</v>
      </c>
      <c r="C35" s="46" t="s">
        <v>27</v>
      </c>
      <c r="D35" s="66">
        <v>3.0</v>
      </c>
      <c r="E35" s="46">
        <v>20.0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6">
        <v>2.0</v>
      </c>
      <c r="BM35" s="47"/>
      <c r="BN35" s="47"/>
      <c r="BO35" s="47"/>
      <c r="BP35" s="47"/>
      <c r="BQ35" s="47"/>
      <c r="BR35" s="47"/>
      <c r="BS35" s="47"/>
      <c r="BT35" s="47"/>
      <c r="BU35" s="47"/>
      <c r="BV35" s="46"/>
      <c r="BW35" s="46"/>
      <c r="BX35" s="46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6"/>
      <c r="CQ35" s="47"/>
      <c r="CR35" s="46">
        <v>15.0</v>
      </c>
      <c r="CS35" s="46">
        <v>8.0</v>
      </c>
      <c r="CT35" s="47"/>
      <c r="CU35" s="47"/>
      <c r="CV35" s="47"/>
      <c r="CW35" s="47">
        <f t="shared" si="3"/>
        <v>25</v>
      </c>
      <c r="CX35" s="47"/>
      <c r="CY35" s="47"/>
      <c r="CZ35" s="47"/>
    </row>
    <row r="36">
      <c r="A36" s="48">
        <v>46132.0</v>
      </c>
      <c r="B36" s="49" t="s">
        <v>25</v>
      </c>
      <c r="C36" s="50" t="s">
        <v>27</v>
      </c>
      <c r="D36" s="50">
        <v>4.0</v>
      </c>
      <c r="E36" s="50">
        <v>0.0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0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0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0">
        <v>11.0</v>
      </c>
      <c r="BM36" s="51"/>
      <c r="BN36" s="51"/>
      <c r="BO36" s="51"/>
      <c r="BP36" s="51"/>
      <c r="BQ36" s="51"/>
      <c r="BR36" s="51"/>
      <c r="BS36" s="51"/>
      <c r="BT36" s="51"/>
      <c r="BU36" s="51"/>
      <c r="BV36" s="50"/>
      <c r="BW36" s="51"/>
      <c r="BX36" s="50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0"/>
      <c r="CN36" s="51"/>
      <c r="CO36" s="51"/>
      <c r="CP36" s="51"/>
      <c r="CQ36" s="51"/>
      <c r="CR36" s="50">
        <v>4.0</v>
      </c>
      <c r="CS36" s="50">
        <v>10.0</v>
      </c>
      <c r="CT36" s="51"/>
      <c r="CU36" s="51"/>
      <c r="CV36" s="51"/>
      <c r="CW36" s="51">
        <f t="shared" si="3"/>
        <v>25</v>
      </c>
      <c r="CX36" s="50"/>
      <c r="CY36" s="51"/>
      <c r="CZ36" s="51"/>
    </row>
    <row r="37">
      <c r="A37" s="48">
        <v>46132.0</v>
      </c>
      <c r="B37" s="49" t="s">
        <v>25</v>
      </c>
      <c r="C37" s="50" t="s">
        <v>27</v>
      </c>
      <c r="D37" s="50">
        <v>4.0</v>
      </c>
      <c r="E37" s="50">
        <v>2.0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0">
        <v>2.0</v>
      </c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0"/>
      <c r="CN37" s="51"/>
      <c r="CO37" s="51"/>
      <c r="CP37" s="51"/>
      <c r="CQ37" s="51"/>
      <c r="CR37" s="50">
        <v>11.0</v>
      </c>
      <c r="CS37" s="50">
        <v>12.0</v>
      </c>
      <c r="CT37" s="51"/>
      <c r="CU37" s="51"/>
      <c r="CV37" s="51"/>
      <c r="CW37" s="51">
        <f t="shared" si="3"/>
        <v>25</v>
      </c>
      <c r="CX37" s="51"/>
      <c r="CY37" s="51"/>
      <c r="CZ37" s="51"/>
    </row>
    <row r="38">
      <c r="A38" s="48">
        <v>46132.0</v>
      </c>
      <c r="B38" s="49" t="s">
        <v>25</v>
      </c>
      <c r="C38" s="50" t="s">
        <v>27</v>
      </c>
      <c r="D38" s="50">
        <v>4.0</v>
      </c>
      <c r="E38" s="50">
        <v>4.0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0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0"/>
      <c r="CN38" s="51"/>
      <c r="CO38" s="51"/>
      <c r="CP38" s="51"/>
      <c r="CQ38" s="51"/>
      <c r="CR38" s="51"/>
      <c r="CS38" s="50">
        <v>25.0</v>
      </c>
      <c r="CT38" s="51"/>
      <c r="CU38" s="51"/>
      <c r="CV38" s="51"/>
      <c r="CW38" s="51">
        <f t="shared" si="3"/>
        <v>25</v>
      </c>
      <c r="CX38" s="51"/>
      <c r="CY38" s="51"/>
      <c r="CZ38" s="51"/>
    </row>
    <row r="39">
      <c r="A39" s="48">
        <v>46132.0</v>
      </c>
      <c r="B39" s="49" t="s">
        <v>25</v>
      </c>
      <c r="C39" s="50" t="s">
        <v>27</v>
      </c>
      <c r="D39" s="50">
        <v>4.0</v>
      </c>
      <c r="E39" s="50">
        <v>6.0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0"/>
      <c r="U39" s="51"/>
      <c r="V39" s="51"/>
      <c r="W39" s="50"/>
      <c r="X39" s="51"/>
      <c r="Y39" s="51"/>
      <c r="Z39" s="51"/>
      <c r="AA39" s="51"/>
      <c r="AB39" s="51"/>
      <c r="AC39" s="51"/>
      <c r="AD39" s="50"/>
      <c r="AE39" s="51"/>
      <c r="AF39" s="51"/>
      <c r="AG39" s="51"/>
      <c r="AH39" s="51"/>
      <c r="AI39" s="51"/>
      <c r="AJ39" s="51"/>
      <c r="AK39" s="50"/>
      <c r="AL39" s="50"/>
      <c r="AM39" s="51"/>
      <c r="AN39" s="51"/>
      <c r="AO39" s="51"/>
      <c r="AP39" s="51"/>
      <c r="AQ39" s="51"/>
      <c r="AR39" s="51"/>
      <c r="AS39" s="51"/>
      <c r="AT39" s="50"/>
      <c r="AU39" s="51"/>
      <c r="AV39" s="51"/>
      <c r="AW39" s="50"/>
      <c r="AX39" s="50"/>
      <c r="AY39" s="51"/>
      <c r="AZ39" s="50"/>
      <c r="BA39" s="51"/>
      <c r="BB39" s="51"/>
      <c r="BC39" s="51"/>
      <c r="BD39" s="51"/>
      <c r="BE39" s="51"/>
      <c r="BF39" s="51"/>
      <c r="BG39" s="51"/>
      <c r="BH39" s="51"/>
      <c r="BI39" s="50"/>
      <c r="BJ39" s="51"/>
      <c r="BK39" s="51"/>
      <c r="BL39" s="50">
        <v>2.0</v>
      </c>
      <c r="BM39" s="51"/>
      <c r="BN39" s="50"/>
      <c r="BO39" s="51"/>
      <c r="BP39" s="51"/>
      <c r="BQ39" s="51"/>
      <c r="BR39" s="51"/>
      <c r="BS39" s="51"/>
      <c r="BT39" s="51"/>
      <c r="BU39" s="51"/>
      <c r="BV39" s="50"/>
      <c r="BW39" s="50"/>
      <c r="BX39" s="50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0"/>
      <c r="CK39" s="51"/>
      <c r="CL39" s="51"/>
      <c r="CM39" s="51"/>
      <c r="CN39" s="51"/>
      <c r="CO39" s="51"/>
      <c r="CP39" s="50"/>
      <c r="CQ39" s="51"/>
      <c r="CR39" s="50">
        <v>11.0</v>
      </c>
      <c r="CS39" s="50">
        <v>12.0</v>
      </c>
      <c r="CT39" s="50"/>
      <c r="CU39" s="50"/>
      <c r="CV39" s="50"/>
      <c r="CW39" s="51">
        <f t="shared" si="3"/>
        <v>25</v>
      </c>
      <c r="CX39" s="51"/>
      <c r="CY39" s="51"/>
      <c r="CZ39" s="51"/>
    </row>
    <row r="40">
      <c r="A40" s="48">
        <v>46132.0</v>
      </c>
      <c r="B40" s="49" t="s">
        <v>25</v>
      </c>
      <c r="C40" s="50" t="s">
        <v>27</v>
      </c>
      <c r="D40" s="50">
        <v>4.0</v>
      </c>
      <c r="E40" s="50">
        <v>8.0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0"/>
      <c r="U40" s="51"/>
      <c r="V40" s="51"/>
      <c r="W40" s="50"/>
      <c r="X40" s="51"/>
      <c r="Y40" s="51"/>
      <c r="Z40" s="51"/>
      <c r="AA40" s="51"/>
      <c r="AB40" s="51"/>
      <c r="AC40" s="51"/>
      <c r="AD40" s="50"/>
      <c r="AE40" s="51"/>
      <c r="AF40" s="51"/>
      <c r="AG40" s="51"/>
      <c r="AH40" s="51"/>
      <c r="AI40" s="51"/>
      <c r="AJ40" s="51"/>
      <c r="AK40" s="50"/>
      <c r="AL40" s="50"/>
      <c r="AM40" s="51"/>
      <c r="AN40" s="51"/>
      <c r="AO40" s="51"/>
      <c r="AP40" s="51"/>
      <c r="AQ40" s="51"/>
      <c r="AR40" s="51"/>
      <c r="AS40" s="51"/>
      <c r="AT40" s="50"/>
      <c r="AU40" s="51"/>
      <c r="AV40" s="51"/>
      <c r="AW40" s="50"/>
      <c r="AX40" s="50"/>
      <c r="AY40" s="51"/>
      <c r="AZ40" s="50"/>
      <c r="BA40" s="51"/>
      <c r="BB40" s="51"/>
      <c r="BC40" s="51"/>
      <c r="BD40" s="51"/>
      <c r="BE40" s="51"/>
      <c r="BF40" s="51"/>
      <c r="BG40" s="51"/>
      <c r="BH40" s="51"/>
      <c r="BI40" s="50"/>
      <c r="BJ40" s="51"/>
      <c r="BK40" s="51"/>
      <c r="BL40" s="50"/>
      <c r="BM40" s="51"/>
      <c r="BN40" s="50"/>
      <c r="BO40" s="51"/>
      <c r="BP40" s="51"/>
      <c r="BQ40" s="51"/>
      <c r="BR40" s="51"/>
      <c r="BS40" s="51"/>
      <c r="BT40" s="51"/>
      <c r="BU40" s="51"/>
      <c r="BV40" s="50"/>
      <c r="BW40" s="50"/>
      <c r="BX40" s="50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0"/>
      <c r="CK40" s="51"/>
      <c r="CL40" s="51"/>
      <c r="CM40" s="51"/>
      <c r="CN40" s="51"/>
      <c r="CO40" s="51"/>
      <c r="CP40" s="50"/>
      <c r="CQ40" s="51"/>
      <c r="CR40" s="50">
        <v>9.0</v>
      </c>
      <c r="CS40" s="50">
        <v>16.0</v>
      </c>
      <c r="CT40" s="50"/>
      <c r="CU40" s="50"/>
      <c r="CV40" s="50"/>
      <c r="CW40" s="51">
        <f t="shared" si="3"/>
        <v>25</v>
      </c>
      <c r="CX40" s="51"/>
      <c r="CY40" s="51"/>
      <c r="CZ40" s="51"/>
    </row>
    <row r="41">
      <c r="A41" s="48">
        <v>46132.0</v>
      </c>
      <c r="B41" s="49" t="s">
        <v>25</v>
      </c>
      <c r="C41" s="50" t="s">
        <v>27</v>
      </c>
      <c r="D41" s="50">
        <v>4.0</v>
      </c>
      <c r="E41" s="50">
        <v>10.0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0"/>
      <c r="U41" s="51"/>
      <c r="V41" s="51"/>
      <c r="W41" s="50"/>
      <c r="X41" s="51"/>
      <c r="Y41" s="51"/>
      <c r="Z41" s="51"/>
      <c r="AA41" s="51"/>
      <c r="AB41" s="51"/>
      <c r="AC41" s="51"/>
      <c r="AD41" s="50"/>
      <c r="AE41" s="51"/>
      <c r="AF41" s="51"/>
      <c r="AG41" s="51"/>
      <c r="AH41" s="51"/>
      <c r="AI41" s="51"/>
      <c r="AJ41" s="51"/>
      <c r="AK41" s="50"/>
      <c r="AL41" s="50"/>
      <c r="AM41" s="51"/>
      <c r="AN41" s="51"/>
      <c r="AO41" s="51"/>
      <c r="AP41" s="51"/>
      <c r="AQ41" s="51"/>
      <c r="AR41" s="51"/>
      <c r="AS41" s="51"/>
      <c r="AT41" s="50"/>
      <c r="AU41" s="51"/>
      <c r="AV41" s="51"/>
      <c r="AW41" s="50"/>
      <c r="AX41" s="50"/>
      <c r="AY41" s="51"/>
      <c r="AZ41" s="50"/>
      <c r="BA41" s="51"/>
      <c r="BB41" s="51"/>
      <c r="BC41" s="51"/>
      <c r="BD41" s="51"/>
      <c r="BE41" s="51"/>
      <c r="BF41" s="51"/>
      <c r="BG41" s="51"/>
      <c r="BH41" s="51"/>
      <c r="BI41" s="50"/>
      <c r="BJ41" s="51"/>
      <c r="BK41" s="51"/>
      <c r="BL41" s="50"/>
      <c r="BM41" s="51"/>
      <c r="BN41" s="50"/>
      <c r="BO41" s="51"/>
      <c r="BP41" s="51"/>
      <c r="BQ41" s="51"/>
      <c r="BR41" s="51"/>
      <c r="BS41" s="51"/>
      <c r="BT41" s="51"/>
      <c r="BU41" s="51"/>
      <c r="BV41" s="50"/>
      <c r="BW41" s="50"/>
      <c r="BX41" s="50"/>
      <c r="BY41" s="50">
        <v>1.0</v>
      </c>
      <c r="BZ41" s="51"/>
      <c r="CA41" s="51"/>
      <c r="CB41" s="50">
        <v>5.0</v>
      </c>
      <c r="CC41" s="51"/>
      <c r="CD41" s="51"/>
      <c r="CE41" s="51"/>
      <c r="CF41" s="51"/>
      <c r="CG41" s="51"/>
      <c r="CH41" s="51"/>
      <c r="CI41" s="51"/>
      <c r="CJ41" s="50"/>
      <c r="CK41" s="51"/>
      <c r="CL41" s="51"/>
      <c r="CM41" s="51"/>
      <c r="CN41" s="51"/>
      <c r="CO41" s="51"/>
      <c r="CP41" s="50"/>
      <c r="CQ41" s="51"/>
      <c r="CR41" s="50">
        <v>2.0</v>
      </c>
      <c r="CS41" s="50">
        <v>17.0</v>
      </c>
      <c r="CT41" s="50"/>
      <c r="CU41" s="50"/>
      <c r="CV41" s="50"/>
      <c r="CW41" s="51">
        <f t="shared" si="3"/>
        <v>25</v>
      </c>
      <c r="CX41" s="51"/>
      <c r="CY41" s="51"/>
      <c r="CZ41" s="51"/>
    </row>
    <row r="42">
      <c r="A42" s="48">
        <v>46132.0</v>
      </c>
      <c r="B42" s="49" t="s">
        <v>25</v>
      </c>
      <c r="C42" s="50" t="s">
        <v>27</v>
      </c>
      <c r="D42" s="50">
        <v>4.0</v>
      </c>
      <c r="E42" s="50">
        <v>12.0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0"/>
      <c r="U42" s="51"/>
      <c r="V42" s="51"/>
      <c r="W42" s="50"/>
      <c r="X42" s="51"/>
      <c r="Y42" s="51"/>
      <c r="Z42" s="51"/>
      <c r="AA42" s="51"/>
      <c r="AB42" s="51"/>
      <c r="AC42" s="51"/>
      <c r="AD42" s="50"/>
      <c r="AE42" s="51"/>
      <c r="AF42" s="51"/>
      <c r="AG42" s="51"/>
      <c r="AH42" s="51"/>
      <c r="AI42" s="51"/>
      <c r="AJ42" s="51"/>
      <c r="AK42" s="50"/>
      <c r="AL42" s="50"/>
      <c r="AM42" s="51"/>
      <c r="AN42" s="51"/>
      <c r="AO42" s="51"/>
      <c r="AP42" s="51"/>
      <c r="AQ42" s="51"/>
      <c r="AR42" s="51"/>
      <c r="AS42" s="51"/>
      <c r="AT42" s="50"/>
      <c r="AU42" s="51"/>
      <c r="AV42" s="51"/>
      <c r="AW42" s="50"/>
      <c r="AX42" s="50"/>
      <c r="AY42" s="51"/>
      <c r="AZ42" s="50"/>
      <c r="BA42" s="51"/>
      <c r="BB42" s="51"/>
      <c r="BC42" s="51"/>
      <c r="BD42" s="51"/>
      <c r="BE42" s="51"/>
      <c r="BF42" s="51"/>
      <c r="BG42" s="51"/>
      <c r="BH42" s="51"/>
      <c r="BI42" s="50"/>
      <c r="BJ42" s="51"/>
      <c r="BK42" s="51"/>
      <c r="BL42" s="50"/>
      <c r="BM42" s="51"/>
      <c r="BN42" s="50"/>
      <c r="BO42" s="51"/>
      <c r="BP42" s="51"/>
      <c r="BQ42" s="51"/>
      <c r="BR42" s="51"/>
      <c r="BS42" s="51"/>
      <c r="BT42" s="51"/>
      <c r="BU42" s="51"/>
      <c r="BV42" s="50"/>
      <c r="BW42" s="50"/>
      <c r="BX42" s="50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0"/>
      <c r="CK42" s="51"/>
      <c r="CL42" s="51"/>
      <c r="CM42" s="51"/>
      <c r="CN42" s="51"/>
      <c r="CO42" s="51"/>
      <c r="CP42" s="50"/>
      <c r="CQ42" s="51"/>
      <c r="CR42" s="50">
        <v>15.0</v>
      </c>
      <c r="CS42" s="50">
        <v>10.0</v>
      </c>
      <c r="CT42" s="50"/>
      <c r="CU42" s="50"/>
      <c r="CV42" s="50"/>
      <c r="CW42" s="51">
        <f t="shared" si="3"/>
        <v>25</v>
      </c>
      <c r="CX42" s="51"/>
      <c r="CY42" s="51"/>
      <c r="CZ42" s="51"/>
    </row>
    <row r="43">
      <c r="A43" s="48">
        <v>46132.0</v>
      </c>
      <c r="B43" s="49" t="s">
        <v>25</v>
      </c>
      <c r="C43" s="50" t="s">
        <v>27</v>
      </c>
      <c r="D43" s="50">
        <v>4.0</v>
      </c>
      <c r="E43" s="50">
        <v>14.0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0"/>
      <c r="U43" s="51"/>
      <c r="V43" s="51"/>
      <c r="W43" s="50"/>
      <c r="X43" s="51"/>
      <c r="Y43" s="51"/>
      <c r="Z43" s="51"/>
      <c r="AA43" s="51"/>
      <c r="AB43" s="51"/>
      <c r="AC43" s="51"/>
      <c r="AD43" s="50"/>
      <c r="AE43" s="51"/>
      <c r="AF43" s="51"/>
      <c r="AG43" s="51"/>
      <c r="AH43" s="51"/>
      <c r="AI43" s="51"/>
      <c r="AJ43" s="51"/>
      <c r="AK43" s="50"/>
      <c r="AL43" s="50"/>
      <c r="AM43" s="51"/>
      <c r="AN43" s="51"/>
      <c r="AO43" s="51"/>
      <c r="AP43" s="51"/>
      <c r="AQ43" s="51"/>
      <c r="AR43" s="51"/>
      <c r="AS43" s="51"/>
      <c r="AT43" s="50"/>
      <c r="AU43" s="51"/>
      <c r="AV43" s="51"/>
      <c r="AW43" s="50"/>
      <c r="AX43" s="50"/>
      <c r="AY43" s="51"/>
      <c r="AZ43" s="50"/>
      <c r="BA43" s="51"/>
      <c r="BB43" s="51"/>
      <c r="BC43" s="51"/>
      <c r="BD43" s="51"/>
      <c r="BE43" s="51"/>
      <c r="BF43" s="51"/>
      <c r="BG43" s="51"/>
      <c r="BH43" s="51"/>
      <c r="BI43" s="50"/>
      <c r="BJ43" s="51"/>
      <c r="BK43" s="51"/>
      <c r="BL43" s="50"/>
      <c r="BM43" s="51"/>
      <c r="BN43" s="50"/>
      <c r="BO43" s="51"/>
      <c r="BP43" s="51"/>
      <c r="BQ43" s="51"/>
      <c r="BR43" s="51"/>
      <c r="BS43" s="51"/>
      <c r="BT43" s="51"/>
      <c r="BU43" s="51"/>
      <c r="BV43" s="50"/>
      <c r="BW43" s="50"/>
      <c r="BX43" s="50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0"/>
      <c r="CK43" s="51"/>
      <c r="CL43" s="51"/>
      <c r="CM43" s="51"/>
      <c r="CN43" s="51"/>
      <c r="CO43" s="51"/>
      <c r="CP43" s="50"/>
      <c r="CQ43" s="51"/>
      <c r="CR43" s="50">
        <v>10.0</v>
      </c>
      <c r="CS43" s="50">
        <v>15.0</v>
      </c>
      <c r="CT43" s="50"/>
      <c r="CU43" s="50"/>
      <c r="CV43" s="50"/>
      <c r="CW43" s="51">
        <f t="shared" si="3"/>
        <v>25</v>
      </c>
      <c r="CX43" s="51"/>
      <c r="CY43" s="51"/>
      <c r="CZ43" s="51"/>
    </row>
    <row r="44">
      <c r="A44" s="48">
        <v>46132.0</v>
      </c>
      <c r="B44" s="49" t="s">
        <v>25</v>
      </c>
      <c r="C44" s="50" t="s">
        <v>27</v>
      </c>
      <c r="D44" s="50">
        <v>4.0</v>
      </c>
      <c r="E44" s="50">
        <v>16.0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0"/>
      <c r="U44" s="51"/>
      <c r="V44" s="51"/>
      <c r="W44" s="50"/>
      <c r="X44" s="51"/>
      <c r="Y44" s="51"/>
      <c r="Z44" s="51"/>
      <c r="AA44" s="51"/>
      <c r="AB44" s="51"/>
      <c r="AC44" s="51"/>
      <c r="AD44" s="50"/>
      <c r="AE44" s="51"/>
      <c r="AF44" s="51"/>
      <c r="AG44" s="51"/>
      <c r="AH44" s="51"/>
      <c r="AI44" s="51"/>
      <c r="AJ44" s="51"/>
      <c r="AK44" s="50"/>
      <c r="AL44" s="50"/>
      <c r="AM44" s="51"/>
      <c r="AN44" s="51"/>
      <c r="AO44" s="51"/>
      <c r="AP44" s="51"/>
      <c r="AQ44" s="51"/>
      <c r="AR44" s="51"/>
      <c r="AS44" s="51"/>
      <c r="AT44" s="50"/>
      <c r="AU44" s="51"/>
      <c r="AV44" s="51"/>
      <c r="AW44" s="50"/>
      <c r="AX44" s="50"/>
      <c r="AY44" s="51"/>
      <c r="AZ44" s="50"/>
      <c r="BA44" s="51"/>
      <c r="BB44" s="51"/>
      <c r="BC44" s="51"/>
      <c r="BD44" s="51"/>
      <c r="BE44" s="51"/>
      <c r="BF44" s="51"/>
      <c r="BG44" s="51"/>
      <c r="BH44" s="51"/>
      <c r="BI44" s="50"/>
      <c r="BJ44" s="51"/>
      <c r="BK44" s="51"/>
      <c r="BL44" s="50"/>
      <c r="BM44" s="51"/>
      <c r="BN44" s="50"/>
      <c r="BO44" s="51"/>
      <c r="BP44" s="51"/>
      <c r="BQ44" s="51"/>
      <c r="BR44" s="51"/>
      <c r="BS44" s="51"/>
      <c r="BT44" s="51"/>
      <c r="BU44" s="51"/>
      <c r="BV44" s="50"/>
      <c r="BW44" s="50"/>
      <c r="BX44" s="50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0"/>
      <c r="CK44" s="51"/>
      <c r="CL44" s="51"/>
      <c r="CM44" s="51"/>
      <c r="CN44" s="51"/>
      <c r="CO44" s="51"/>
      <c r="CP44" s="50"/>
      <c r="CQ44" s="51"/>
      <c r="CR44" s="50"/>
      <c r="CS44" s="50">
        <v>25.0</v>
      </c>
      <c r="CT44" s="50"/>
      <c r="CU44" s="50"/>
      <c r="CV44" s="50"/>
      <c r="CW44" s="51">
        <f t="shared" si="3"/>
        <v>25</v>
      </c>
      <c r="CX44" s="51"/>
      <c r="CY44" s="51"/>
      <c r="CZ44" s="51"/>
    </row>
    <row r="45">
      <c r="A45" s="48">
        <v>46132.0</v>
      </c>
      <c r="B45" s="49" t="s">
        <v>25</v>
      </c>
      <c r="C45" s="50" t="s">
        <v>27</v>
      </c>
      <c r="D45" s="50">
        <v>4.0</v>
      </c>
      <c r="E45" s="50">
        <v>18.0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0"/>
      <c r="U45" s="51"/>
      <c r="V45" s="51"/>
      <c r="W45" s="50"/>
      <c r="X45" s="51"/>
      <c r="Y45" s="51"/>
      <c r="Z45" s="51"/>
      <c r="AA45" s="51"/>
      <c r="AB45" s="51"/>
      <c r="AC45" s="51"/>
      <c r="AD45" s="50"/>
      <c r="AE45" s="51"/>
      <c r="AF45" s="51"/>
      <c r="AG45" s="51"/>
      <c r="AH45" s="51"/>
      <c r="AI45" s="51"/>
      <c r="AJ45" s="51"/>
      <c r="AK45" s="50"/>
      <c r="AL45" s="50"/>
      <c r="AM45" s="51"/>
      <c r="AN45" s="51"/>
      <c r="AO45" s="51"/>
      <c r="AP45" s="51"/>
      <c r="AQ45" s="51"/>
      <c r="AR45" s="51"/>
      <c r="AS45" s="51"/>
      <c r="AT45" s="50"/>
      <c r="AU45" s="51"/>
      <c r="AV45" s="51"/>
      <c r="AW45" s="50"/>
      <c r="AX45" s="50"/>
      <c r="AY45" s="51"/>
      <c r="AZ45" s="50"/>
      <c r="BA45" s="51"/>
      <c r="BB45" s="51"/>
      <c r="BC45" s="51"/>
      <c r="BD45" s="51"/>
      <c r="BE45" s="51"/>
      <c r="BF45" s="51"/>
      <c r="BG45" s="51"/>
      <c r="BH45" s="51"/>
      <c r="BI45" s="50"/>
      <c r="BJ45" s="51"/>
      <c r="BK45" s="51"/>
      <c r="BL45" s="50">
        <v>3.0</v>
      </c>
      <c r="BM45" s="51"/>
      <c r="BN45" s="50"/>
      <c r="BO45" s="51"/>
      <c r="BP45" s="51"/>
      <c r="BQ45" s="51"/>
      <c r="BR45" s="51"/>
      <c r="BS45" s="51"/>
      <c r="BT45" s="51"/>
      <c r="BU45" s="51"/>
      <c r="BV45" s="50"/>
      <c r="BW45" s="50"/>
      <c r="BX45" s="50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0"/>
      <c r="CK45" s="51"/>
      <c r="CL45" s="51"/>
      <c r="CM45" s="51"/>
      <c r="CN45" s="51"/>
      <c r="CO45" s="51"/>
      <c r="CP45" s="50"/>
      <c r="CQ45" s="51"/>
      <c r="CR45" s="50">
        <v>15.0</v>
      </c>
      <c r="CS45" s="50">
        <v>7.0</v>
      </c>
      <c r="CT45" s="50"/>
      <c r="CU45" s="50"/>
      <c r="CV45" s="50"/>
      <c r="CW45" s="51">
        <f t="shared" si="3"/>
        <v>25</v>
      </c>
      <c r="CX45" s="51"/>
      <c r="CY45" s="51"/>
      <c r="CZ45" s="51"/>
    </row>
    <row r="46">
      <c r="A46" s="48">
        <v>46132.0</v>
      </c>
      <c r="B46" s="49" t="s">
        <v>25</v>
      </c>
      <c r="C46" s="50" t="s">
        <v>27</v>
      </c>
      <c r="D46" s="50">
        <v>4.0</v>
      </c>
      <c r="E46" s="50">
        <v>20.0</v>
      </c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0"/>
      <c r="U46" s="51"/>
      <c r="V46" s="51"/>
      <c r="W46" s="50"/>
      <c r="X46" s="51"/>
      <c r="Y46" s="51"/>
      <c r="Z46" s="51"/>
      <c r="AA46" s="51"/>
      <c r="AB46" s="51"/>
      <c r="AC46" s="51"/>
      <c r="AD46" s="50"/>
      <c r="AE46" s="51"/>
      <c r="AF46" s="51"/>
      <c r="AG46" s="51"/>
      <c r="AH46" s="51"/>
      <c r="AI46" s="51"/>
      <c r="AJ46" s="51"/>
      <c r="AK46" s="50"/>
      <c r="AL46" s="50"/>
      <c r="AM46" s="51"/>
      <c r="AN46" s="51"/>
      <c r="AO46" s="51"/>
      <c r="AP46" s="51"/>
      <c r="AQ46" s="51"/>
      <c r="AR46" s="51"/>
      <c r="AS46" s="51"/>
      <c r="AT46" s="50"/>
      <c r="AU46" s="51"/>
      <c r="AV46" s="51"/>
      <c r="AW46" s="50"/>
      <c r="AX46" s="50"/>
      <c r="AY46" s="51"/>
      <c r="AZ46" s="50"/>
      <c r="BA46" s="51"/>
      <c r="BB46" s="51"/>
      <c r="BC46" s="51"/>
      <c r="BD46" s="51"/>
      <c r="BE46" s="51"/>
      <c r="BF46" s="51"/>
      <c r="BG46" s="51"/>
      <c r="BH46" s="51"/>
      <c r="BI46" s="50"/>
      <c r="BJ46" s="51"/>
      <c r="BK46" s="51"/>
      <c r="BL46" s="50">
        <v>4.0</v>
      </c>
      <c r="BM46" s="51"/>
      <c r="BN46" s="50"/>
      <c r="BO46" s="51"/>
      <c r="BP46" s="51"/>
      <c r="BQ46" s="51"/>
      <c r="BR46" s="51"/>
      <c r="BS46" s="51"/>
      <c r="BT46" s="51"/>
      <c r="BU46" s="51"/>
      <c r="BV46" s="50"/>
      <c r="BW46" s="50"/>
      <c r="BX46" s="50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0"/>
      <c r="CK46" s="51"/>
      <c r="CL46" s="51"/>
      <c r="CM46" s="51"/>
      <c r="CN46" s="51"/>
      <c r="CO46" s="51"/>
      <c r="CP46" s="50"/>
      <c r="CQ46" s="51"/>
      <c r="CR46" s="50">
        <v>3.0</v>
      </c>
      <c r="CS46" s="50">
        <v>18.0</v>
      </c>
      <c r="CT46" s="50"/>
      <c r="CU46" s="50"/>
      <c r="CV46" s="50"/>
      <c r="CW46" s="51">
        <f t="shared" si="3"/>
        <v>25</v>
      </c>
      <c r="CX46" s="51"/>
      <c r="CY46" s="51"/>
      <c r="CZ46" s="51"/>
    </row>
    <row r="47">
      <c r="A47" s="67">
        <v>46132.0</v>
      </c>
      <c r="B47" s="54" t="s">
        <v>25</v>
      </c>
      <c r="C47" s="55" t="s">
        <v>27</v>
      </c>
      <c r="D47" s="55">
        <v>5.0</v>
      </c>
      <c r="E47" s="55">
        <v>0.0</v>
      </c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5"/>
      <c r="U47" s="56"/>
      <c r="V47" s="56"/>
      <c r="W47" s="55"/>
      <c r="X47" s="56"/>
      <c r="Y47" s="56"/>
      <c r="Z47" s="56"/>
      <c r="AA47" s="56"/>
      <c r="AB47" s="56"/>
      <c r="AC47" s="56"/>
      <c r="AD47" s="55"/>
      <c r="AE47" s="56"/>
      <c r="AF47" s="56"/>
      <c r="AG47" s="56"/>
      <c r="AH47" s="56"/>
      <c r="AI47" s="56"/>
      <c r="AJ47" s="56"/>
      <c r="AK47" s="55">
        <v>2.0</v>
      </c>
      <c r="AL47" s="55"/>
      <c r="AM47" s="56"/>
      <c r="AN47" s="56"/>
      <c r="AO47" s="56"/>
      <c r="AP47" s="56"/>
      <c r="AQ47" s="56"/>
      <c r="AR47" s="56"/>
      <c r="AS47" s="56"/>
      <c r="AT47" s="55"/>
      <c r="AU47" s="56"/>
      <c r="AV47" s="56"/>
      <c r="AW47" s="55"/>
      <c r="AX47" s="55"/>
      <c r="AY47" s="56"/>
      <c r="AZ47" s="55"/>
      <c r="BA47" s="56"/>
      <c r="BB47" s="56"/>
      <c r="BC47" s="56"/>
      <c r="BD47" s="56"/>
      <c r="BE47" s="56"/>
      <c r="BF47" s="56"/>
      <c r="BG47" s="56"/>
      <c r="BH47" s="56"/>
      <c r="BI47" s="55"/>
      <c r="BJ47" s="56"/>
      <c r="BK47" s="55">
        <v>1.0</v>
      </c>
      <c r="BL47" s="55">
        <v>15.0</v>
      </c>
      <c r="BM47" s="56"/>
      <c r="BN47" s="55"/>
      <c r="BO47" s="56"/>
      <c r="BP47" s="56"/>
      <c r="BQ47" s="56"/>
      <c r="BR47" s="56"/>
      <c r="BS47" s="56"/>
      <c r="BT47" s="56"/>
      <c r="BU47" s="56"/>
      <c r="BV47" s="55"/>
      <c r="BW47" s="55"/>
      <c r="BX47" s="55">
        <v>2.0</v>
      </c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5"/>
      <c r="CK47" s="56"/>
      <c r="CL47" s="56"/>
      <c r="CM47" s="56"/>
      <c r="CN47" s="56"/>
      <c r="CO47" s="56"/>
      <c r="CP47" s="55"/>
      <c r="CQ47" s="56"/>
      <c r="CR47" s="55">
        <v>4.0</v>
      </c>
      <c r="CS47" s="55">
        <v>1.0</v>
      </c>
      <c r="CT47" s="55"/>
      <c r="CU47" s="55"/>
      <c r="CV47" s="55"/>
      <c r="CW47" s="56">
        <f t="shared" si="3"/>
        <v>25</v>
      </c>
      <c r="CX47" s="56"/>
      <c r="CY47" s="56"/>
      <c r="CZ47" s="56"/>
    </row>
    <row r="48">
      <c r="A48" s="67">
        <v>46132.0</v>
      </c>
      <c r="B48" s="54" t="s">
        <v>25</v>
      </c>
      <c r="C48" s="55" t="s">
        <v>27</v>
      </c>
      <c r="D48" s="55">
        <v>5.0</v>
      </c>
      <c r="E48" s="55">
        <v>2.0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5"/>
      <c r="U48" s="56"/>
      <c r="V48" s="56"/>
      <c r="W48" s="55"/>
      <c r="X48" s="56"/>
      <c r="Y48" s="56"/>
      <c r="Z48" s="56"/>
      <c r="AA48" s="56"/>
      <c r="AB48" s="56"/>
      <c r="AC48" s="56"/>
      <c r="AD48" s="55"/>
      <c r="AE48" s="56"/>
      <c r="AF48" s="56"/>
      <c r="AG48" s="56"/>
      <c r="AH48" s="56"/>
      <c r="AI48" s="56"/>
      <c r="AJ48" s="56"/>
      <c r="AK48" s="55"/>
      <c r="AL48" s="55"/>
      <c r="AM48" s="56"/>
      <c r="AN48" s="56"/>
      <c r="AO48" s="56"/>
      <c r="AP48" s="56"/>
      <c r="AQ48" s="56"/>
      <c r="AR48" s="56"/>
      <c r="AS48" s="56"/>
      <c r="AT48" s="55"/>
      <c r="AU48" s="56"/>
      <c r="AV48" s="56"/>
      <c r="AW48" s="55"/>
      <c r="AX48" s="55"/>
      <c r="AY48" s="56"/>
      <c r="AZ48" s="55"/>
      <c r="BA48" s="56"/>
      <c r="BB48" s="56"/>
      <c r="BC48" s="56"/>
      <c r="BD48" s="56"/>
      <c r="BE48" s="56"/>
      <c r="BF48" s="56"/>
      <c r="BG48" s="56"/>
      <c r="BH48" s="56"/>
      <c r="BI48" s="55"/>
      <c r="BJ48" s="56"/>
      <c r="BK48" s="56"/>
      <c r="BL48" s="55">
        <v>7.0</v>
      </c>
      <c r="BM48" s="56"/>
      <c r="BN48" s="55"/>
      <c r="BO48" s="56"/>
      <c r="BP48" s="56"/>
      <c r="BQ48" s="56"/>
      <c r="BR48" s="56"/>
      <c r="BS48" s="56"/>
      <c r="BT48" s="56"/>
      <c r="BU48" s="56"/>
      <c r="BV48" s="55"/>
      <c r="BW48" s="55"/>
      <c r="BX48" s="55">
        <v>1.0</v>
      </c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5">
        <v>1.0</v>
      </c>
      <c r="CK48" s="56"/>
      <c r="CL48" s="56"/>
      <c r="CM48" s="56"/>
      <c r="CN48" s="56"/>
      <c r="CO48" s="56"/>
      <c r="CP48" s="55"/>
      <c r="CQ48" s="56"/>
      <c r="CR48" s="55">
        <v>4.0</v>
      </c>
      <c r="CS48" s="55">
        <v>12.0</v>
      </c>
      <c r="CT48" s="55"/>
      <c r="CU48" s="55"/>
      <c r="CV48" s="55"/>
      <c r="CW48" s="56">
        <f t="shared" si="3"/>
        <v>25</v>
      </c>
      <c r="CX48" s="56"/>
      <c r="CY48" s="56"/>
      <c r="CZ48" s="56"/>
    </row>
    <row r="49">
      <c r="A49" s="67">
        <v>46132.0</v>
      </c>
      <c r="B49" s="54" t="s">
        <v>25</v>
      </c>
      <c r="C49" s="55" t="s">
        <v>27</v>
      </c>
      <c r="D49" s="55">
        <v>5.0</v>
      </c>
      <c r="E49" s="55">
        <v>4.0</v>
      </c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5"/>
      <c r="U49" s="56"/>
      <c r="V49" s="56"/>
      <c r="W49" s="55"/>
      <c r="X49" s="56"/>
      <c r="Y49" s="56"/>
      <c r="Z49" s="56"/>
      <c r="AA49" s="56"/>
      <c r="AB49" s="56"/>
      <c r="AC49" s="56"/>
      <c r="AD49" s="55"/>
      <c r="AE49" s="56"/>
      <c r="AF49" s="56"/>
      <c r="AG49" s="56"/>
      <c r="AH49" s="56"/>
      <c r="AI49" s="56"/>
      <c r="AJ49" s="56"/>
      <c r="AK49" s="55"/>
      <c r="AL49" s="55"/>
      <c r="AM49" s="56"/>
      <c r="AN49" s="56"/>
      <c r="AO49" s="56"/>
      <c r="AP49" s="56"/>
      <c r="AQ49" s="56"/>
      <c r="AR49" s="56"/>
      <c r="AS49" s="56"/>
      <c r="AT49" s="55"/>
      <c r="AU49" s="56"/>
      <c r="AV49" s="56"/>
      <c r="AW49" s="55"/>
      <c r="AX49" s="55"/>
      <c r="AY49" s="56"/>
      <c r="AZ49" s="55"/>
      <c r="BA49" s="56"/>
      <c r="BB49" s="56"/>
      <c r="BC49" s="56"/>
      <c r="BD49" s="56"/>
      <c r="BE49" s="56"/>
      <c r="BF49" s="56"/>
      <c r="BG49" s="56"/>
      <c r="BH49" s="56"/>
      <c r="BI49" s="55"/>
      <c r="BJ49" s="56"/>
      <c r="BK49" s="56"/>
      <c r="BL49" s="55">
        <v>4.0</v>
      </c>
      <c r="BM49" s="56"/>
      <c r="BN49" s="55"/>
      <c r="BO49" s="56"/>
      <c r="BP49" s="56"/>
      <c r="BQ49" s="56"/>
      <c r="BR49" s="56"/>
      <c r="BS49" s="56"/>
      <c r="BT49" s="56"/>
      <c r="BU49" s="56"/>
      <c r="BV49" s="55"/>
      <c r="BW49" s="55"/>
      <c r="BX49" s="55">
        <v>7.0</v>
      </c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5"/>
      <c r="CK49" s="56"/>
      <c r="CL49" s="56"/>
      <c r="CM49" s="56"/>
      <c r="CN49" s="56"/>
      <c r="CO49" s="56"/>
      <c r="CP49" s="55"/>
      <c r="CQ49" s="56"/>
      <c r="CR49" s="55">
        <v>10.0</v>
      </c>
      <c r="CS49" s="55">
        <v>2.0</v>
      </c>
      <c r="CT49" s="55"/>
      <c r="CU49" s="55"/>
      <c r="CV49" s="55"/>
      <c r="CW49" s="56">
        <f t="shared" si="3"/>
        <v>23</v>
      </c>
      <c r="CX49" s="56"/>
      <c r="CY49" s="56"/>
      <c r="CZ49" s="56"/>
    </row>
    <row r="50">
      <c r="A50" s="67">
        <v>46132.0</v>
      </c>
      <c r="B50" s="54" t="s">
        <v>25</v>
      </c>
      <c r="C50" s="55" t="s">
        <v>27</v>
      </c>
      <c r="D50" s="55">
        <v>5.0</v>
      </c>
      <c r="E50" s="55">
        <v>6.0</v>
      </c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5"/>
      <c r="U50" s="56"/>
      <c r="V50" s="56"/>
      <c r="W50" s="55"/>
      <c r="X50" s="56"/>
      <c r="Y50" s="56"/>
      <c r="Z50" s="56"/>
      <c r="AA50" s="56"/>
      <c r="AB50" s="56"/>
      <c r="AC50" s="56"/>
      <c r="AD50" s="55"/>
      <c r="AE50" s="56"/>
      <c r="AF50" s="56"/>
      <c r="AG50" s="56"/>
      <c r="AH50" s="56"/>
      <c r="AI50" s="56"/>
      <c r="AJ50" s="56"/>
      <c r="AK50" s="55"/>
      <c r="AL50" s="55"/>
      <c r="AM50" s="56"/>
      <c r="AN50" s="56"/>
      <c r="AO50" s="56"/>
      <c r="AP50" s="56"/>
      <c r="AQ50" s="56"/>
      <c r="AR50" s="56"/>
      <c r="AS50" s="56"/>
      <c r="AT50" s="55"/>
      <c r="AU50" s="56"/>
      <c r="AV50" s="56"/>
      <c r="AW50" s="55"/>
      <c r="AX50" s="55"/>
      <c r="AY50" s="56"/>
      <c r="AZ50" s="55"/>
      <c r="BA50" s="56"/>
      <c r="BB50" s="56"/>
      <c r="BC50" s="56"/>
      <c r="BD50" s="56"/>
      <c r="BE50" s="56"/>
      <c r="BF50" s="56"/>
      <c r="BG50" s="56"/>
      <c r="BH50" s="56"/>
      <c r="BI50" s="55"/>
      <c r="BJ50" s="56"/>
      <c r="BK50" s="56"/>
      <c r="BL50" s="55">
        <v>6.0</v>
      </c>
      <c r="BM50" s="56"/>
      <c r="BN50" s="55"/>
      <c r="BO50" s="56"/>
      <c r="BP50" s="56"/>
      <c r="BQ50" s="56"/>
      <c r="BR50" s="56"/>
      <c r="BS50" s="56"/>
      <c r="BT50" s="56"/>
      <c r="BU50" s="56"/>
      <c r="BV50" s="55"/>
      <c r="BW50" s="55"/>
      <c r="BX50" s="55">
        <v>6.0</v>
      </c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5"/>
      <c r="CK50" s="56"/>
      <c r="CL50" s="56"/>
      <c r="CM50" s="56"/>
      <c r="CN50" s="56"/>
      <c r="CO50" s="56"/>
      <c r="CP50" s="55"/>
      <c r="CQ50" s="56"/>
      <c r="CR50" s="55">
        <v>6.0</v>
      </c>
      <c r="CS50" s="55">
        <v>8.0</v>
      </c>
      <c r="CT50" s="55"/>
      <c r="CU50" s="55"/>
      <c r="CV50" s="55"/>
      <c r="CW50" s="56">
        <f t="shared" si="3"/>
        <v>26</v>
      </c>
      <c r="CX50" s="56"/>
      <c r="CY50" s="56"/>
      <c r="CZ50" s="56"/>
    </row>
    <row r="51">
      <c r="A51" s="67">
        <v>46132.0</v>
      </c>
      <c r="B51" s="54" t="s">
        <v>25</v>
      </c>
      <c r="C51" s="55" t="s">
        <v>27</v>
      </c>
      <c r="D51" s="55">
        <v>5.0</v>
      </c>
      <c r="E51" s="55">
        <v>8.0</v>
      </c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5">
        <v>2.0</v>
      </c>
      <c r="U51" s="56"/>
      <c r="V51" s="56"/>
      <c r="W51" s="55"/>
      <c r="X51" s="56"/>
      <c r="Y51" s="56"/>
      <c r="Z51" s="56"/>
      <c r="AA51" s="56"/>
      <c r="AB51" s="56"/>
      <c r="AC51" s="56"/>
      <c r="AD51" s="55"/>
      <c r="AE51" s="56"/>
      <c r="AF51" s="56"/>
      <c r="AG51" s="56"/>
      <c r="AH51" s="56"/>
      <c r="AI51" s="56"/>
      <c r="AJ51" s="56"/>
      <c r="AK51" s="55"/>
      <c r="AL51" s="55"/>
      <c r="AM51" s="56"/>
      <c r="AN51" s="56"/>
      <c r="AO51" s="56"/>
      <c r="AP51" s="56"/>
      <c r="AQ51" s="56"/>
      <c r="AR51" s="56"/>
      <c r="AS51" s="56"/>
      <c r="AT51" s="55"/>
      <c r="AU51" s="56"/>
      <c r="AV51" s="56"/>
      <c r="AW51" s="55"/>
      <c r="AX51" s="55"/>
      <c r="AY51" s="56"/>
      <c r="AZ51" s="55"/>
      <c r="BA51" s="56"/>
      <c r="BB51" s="56"/>
      <c r="BC51" s="56"/>
      <c r="BD51" s="56"/>
      <c r="BE51" s="56"/>
      <c r="BF51" s="56"/>
      <c r="BG51" s="56"/>
      <c r="BH51" s="56"/>
      <c r="BI51" s="55"/>
      <c r="BJ51" s="56"/>
      <c r="BK51" s="55">
        <v>2.0</v>
      </c>
      <c r="BL51" s="55">
        <v>3.0</v>
      </c>
      <c r="BM51" s="56"/>
      <c r="BN51" s="55"/>
      <c r="BO51" s="56"/>
      <c r="BP51" s="56"/>
      <c r="BQ51" s="56"/>
      <c r="BR51" s="56"/>
      <c r="BS51" s="56"/>
      <c r="BT51" s="56"/>
      <c r="BU51" s="56"/>
      <c r="BV51" s="55"/>
      <c r="BW51" s="55"/>
      <c r="BX51" s="55">
        <v>11.0</v>
      </c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5"/>
      <c r="CK51" s="56"/>
      <c r="CL51" s="56"/>
      <c r="CM51" s="56"/>
      <c r="CN51" s="56"/>
      <c r="CO51" s="56"/>
      <c r="CP51" s="55"/>
      <c r="CQ51" s="56"/>
      <c r="CR51" s="55">
        <v>2.0</v>
      </c>
      <c r="CS51" s="55">
        <v>5.0</v>
      </c>
      <c r="CT51" s="55"/>
      <c r="CU51" s="55"/>
      <c r="CV51" s="55"/>
      <c r="CW51" s="56">
        <f t="shared" si="3"/>
        <v>25</v>
      </c>
      <c r="CX51" s="56"/>
      <c r="CY51" s="56"/>
      <c r="CZ51" s="56"/>
    </row>
    <row r="52">
      <c r="A52" s="67">
        <v>46132.0</v>
      </c>
      <c r="B52" s="54" t="s">
        <v>25</v>
      </c>
      <c r="C52" s="55" t="s">
        <v>27</v>
      </c>
      <c r="D52" s="55">
        <v>5.0</v>
      </c>
      <c r="E52" s="55">
        <v>10.0</v>
      </c>
      <c r="F52" s="56"/>
      <c r="G52" s="55"/>
      <c r="H52" s="56"/>
      <c r="I52" s="56"/>
      <c r="J52" s="56"/>
      <c r="K52" s="56"/>
      <c r="L52" s="56"/>
      <c r="M52" s="56"/>
      <c r="N52" s="56"/>
      <c r="O52" s="56"/>
      <c r="P52" s="55"/>
      <c r="Q52" s="56"/>
      <c r="R52" s="56"/>
      <c r="S52" s="56"/>
      <c r="T52" s="55"/>
      <c r="U52" s="56"/>
      <c r="V52" s="56"/>
      <c r="W52" s="56"/>
      <c r="X52" s="56"/>
      <c r="Y52" s="56"/>
      <c r="Z52" s="55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5"/>
      <c r="AL52" s="56"/>
      <c r="AM52" s="56"/>
      <c r="AN52" s="56"/>
      <c r="AO52" s="56"/>
      <c r="AP52" s="56"/>
      <c r="AQ52" s="56"/>
      <c r="AR52" s="56"/>
      <c r="AS52" s="56"/>
      <c r="AT52" s="55">
        <v>3.0</v>
      </c>
      <c r="AU52" s="56"/>
      <c r="AV52" s="56"/>
      <c r="AW52" s="56"/>
      <c r="AX52" s="56"/>
      <c r="AY52" s="55"/>
      <c r="AZ52" s="56"/>
      <c r="BA52" s="56"/>
      <c r="BB52" s="56"/>
      <c r="BC52" s="56"/>
      <c r="BD52" s="56"/>
      <c r="BE52" s="56"/>
      <c r="BF52" s="56"/>
      <c r="BG52" s="56"/>
      <c r="BH52" s="56"/>
      <c r="BI52" s="55"/>
      <c r="BJ52" s="56"/>
      <c r="BK52" s="56"/>
      <c r="BL52" s="55"/>
      <c r="BM52" s="55"/>
      <c r="BN52" s="56"/>
      <c r="BO52" s="56"/>
      <c r="BP52" s="56"/>
      <c r="BQ52" s="56"/>
      <c r="BR52" s="56"/>
      <c r="BS52" s="56"/>
      <c r="BT52" s="56"/>
      <c r="BU52" s="56"/>
      <c r="BV52" s="55"/>
      <c r="BW52" s="56"/>
      <c r="BX52" s="55">
        <v>5.0</v>
      </c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5">
        <v>11.0</v>
      </c>
      <c r="CS52" s="55">
        <v>6.0</v>
      </c>
      <c r="CT52" s="55"/>
      <c r="CU52" s="55"/>
      <c r="CV52" s="56"/>
      <c r="CW52" s="68">
        <f t="shared" si="3"/>
        <v>25</v>
      </c>
      <c r="CX52" s="56"/>
      <c r="CY52" s="56"/>
      <c r="CZ52" s="56"/>
    </row>
    <row r="53">
      <c r="A53" s="67">
        <v>46132.0</v>
      </c>
      <c r="B53" s="54" t="s">
        <v>25</v>
      </c>
      <c r="C53" s="55" t="s">
        <v>27</v>
      </c>
      <c r="D53" s="55">
        <v>5.0</v>
      </c>
      <c r="E53" s="55">
        <v>12.0</v>
      </c>
      <c r="F53" s="56"/>
      <c r="G53" s="55"/>
      <c r="H53" s="56"/>
      <c r="I53" s="56"/>
      <c r="J53" s="56"/>
      <c r="K53" s="56"/>
      <c r="L53" s="56"/>
      <c r="M53" s="56"/>
      <c r="N53" s="56"/>
      <c r="O53" s="56"/>
      <c r="P53" s="55"/>
      <c r="Q53" s="56"/>
      <c r="R53" s="56"/>
      <c r="S53" s="56"/>
      <c r="T53" s="55"/>
      <c r="U53" s="56"/>
      <c r="V53" s="56"/>
      <c r="W53" s="56"/>
      <c r="X53" s="56"/>
      <c r="Y53" s="56"/>
      <c r="Z53" s="55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5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5"/>
      <c r="AZ53" s="56"/>
      <c r="BA53" s="56"/>
      <c r="BB53" s="56"/>
      <c r="BC53" s="56"/>
      <c r="BD53" s="56"/>
      <c r="BE53" s="56"/>
      <c r="BF53" s="56"/>
      <c r="BG53" s="56"/>
      <c r="BH53" s="56"/>
      <c r="BI53" s="55"/>
      <c r="BJ53" s="56"/>
      <c r="BK53" s="56"/>
      <c r="BL53" s="55"/>
      <c r="BM53" s="55"/>
      <c r="BN53" s="56"/>
      <c r="BO53" s="56"/>
      <c r="BP53" s="56"/>
      <c r="BQ53" s="56"/>
      <c r="BR53" s="56"/>
      <c r="BS53" s="56"/>
      <c r="BT53" s="56"/>
      <c r="BU53" s="56"/>
      <c r="BV53" s="55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5">
        <v>10.0</v>
      </c>
      <c r="CS53" s="55">
        <v>15.0</v>
      </c>
      <c r="CT53" s="55"/>
      <c r="CU53" s="55"/>
      <c r="CV53" s="56"/>
      <c r="CW53" s="68">
        <f t="shared" si="3"/>
        <v>25</v>
      </c>
      <c r="CX53" s="56"/>
      <c r="CY53" s="56"/>
      <c r="CZ53" s="56"/>
    </row>
    <row r="54">
      <c r="A54" s="67">
        <v>46132.0</v>
      </c>
      <c r="B54" s="54" t="s">
        <v>25</v>
      </c>
      <c r="C54" s="55" t="s">
        <v>27</v>
      </c>
      <c r="D54" s="55">
        <v>5.0</v>
      </c>
      <c r="E54" s="55">
        <v>14.0</v>
      </c>
      <c r="F54" s="56"/>
      <c r="G54" s="55"/>
      <c r="H54" s="56"/>
      <c r="I54" s="56"/>
      <c r="J54" s="56"/>
      <c r="K54" s="56"/>
      <c r="L54" s="56"/>
      <c r="M54" s="56"/>
      <c r="N54" s="56"/>
      <c r="O54" s="56"/>
      <c r="P54" s="55"/>
      <c r="Q54" s="56"/>
      <c r="R54" s="56"/>
      <c r="S54" s="56"/>
      <c r="T54" s="55"/>
      <c r="U54" s="56"/>
      <c r="V54" s="56"/>
      <c r="W54" s="56"/>
      <c r="X54" s="56"/>
      <c r="Y54" s="56"/>
      <c r="Z54" s="55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5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5"/>
      <c r="AZ54" s="56"/>
      <c r="BA54" s="56"/>
      <c r="BB54" s="56"/>
      <c r="BC54" s="56"/>
      <c r="BD54" s="56"/>
      <c r="BE54" s="56"/>
      <c r="BF54" s="56"/>
      <c r="BG54" s="56"/>
      <c r="BH54" s="56"/>
      <c r="BI54" s="55"/>
      <c r="BJ54" s="56"/>
      <c r="BK54" s="56"/>
      <c r="BL54" s="55"/>
      <c r="BM54" s="55"/>
      <c r="BN54" s="56"/>
      <c r="BO54" s="56"/>
      <c r="BP54" s="56"/>
      <c r="BQ54" s="56"/>
      <c r="BR54" s="56"/>
      <c r="BS54" s="56"/>
      <c r="BT54" s="56"/>
      <c r="BU54" s="56"/>
      <c r="BV54" s="55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5">
        <v>10.0</v>
      </c>
      <c r="CS54" s="55">
        <v>15.0</v>
      </c>
      <c r="CT54" s="55"/>
      <c r="CU54" s="55"/>
      <c r="CV54" s="56"/>
      <c r="CW54" s="68">
        <f t="shared" si="3"/>
        <v>25</v>
      </c>
      <c r="CX54" s="56"/>
      <c r="CY54" s="56"/>
      <c r="CZ54" s="56"/>
    </row>
    <row r="55">
      <c r="A55" s="67">
        <v>46132.0</v>
      </c>
      <c r="B55" s="54" t="s">
        <v>25</v>
      </c>
      <c r="C55" s="55" t="s">
        <v>27</v>
      </c>
      <c r="D55" s="55">
        <v>5.0</v>
      </c>
      <c r="E55" s="55">
        <v>16.0</v>
      </c>
      <c r="F55" s="56"/>
      <c r="G55" s="55"/>
      <c r="H55" s="56"/>
      <c r="I55" s="56"/>
      <c r="J55" s="56"/>
      <c r="K55" s="56"/>
      <c r="L55" s="56"/>
      <c r="M55" s="56"/>
      <c r="N55" s="56"/>
      <c r="O55" s="56"/>
      <c r="P55" s="55"/>
      <c r="Q55" s="56"/>
      <c r="R55" s="56"/>
      <c r="S55" s="56"/>
      <c r="T55" s="55"/>
      <c r="U55" s="56"/>
      <c r="V55" s="56"/>
      <c r="W55" s="56"/>
      <c r="X55" s="56"/>
      <c r="Y55" s="56"/>
      <c r="Z55" s="55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5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5"/>
      <c r="AZ55" s="56"/>
      <c r="BA55" s="56"/>
      <c r="BB55" s="56"/>
      <c r="BC55" s="56"/>
      <c r="BD55" s="56"/>
      <c r="BE55" s="56"/>
      <c r="BF55" s="56"/>
      <c r="BG55" s="56"/>
      <c r="BH55" s="56"/>
      <c r="BI55" s="55"/>
      <c r="BJ55" s="56"/>
      <c r="BK55" s="56"/>
      <c r="BL55" s="55">
        <v>1.0</v>
      </c>
      <c r="BM55" s="55"/>
      <c r="BN55" s="56"/>
      <c r="BO55" s="56"/>
      <c r="BP55" s="56"/>
      <c r="BQ55" s="56"/>
      <c r="BR55" s="56"/>
      <c r="BS55" s="56"/>
      <c r="BT55" s="56"/>
      <c r="BU55" s="56"/>
      <c r="BV55" s="55"/>
      <c r="BW55" s="56"/>
      <c r="BX55" s="55">
        <v>7.0</v>
      </c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5">
        <v>12.0</v>
      </c>
      <c r="CS55" s="55">
        <v>5.0</v>
      </c>
      <c r="CT55" s="55"/>
      <c r="CU55" s="55"/>
      <c r="CV55" s="56"/>
      <c r="CW55" s="68">
        <f t="shared" si="3"/>
        <v>25</v>
      </c>
      <c r="CX55" s="56"/>
      <c r="CY55" s="56"/>
      <c r="CZ55" s="56"/>
    </row>
    <row r="56">
      <c r="A56" s="67">
        <v>46132.0</v>
      </c>
      <c r="B56" s="54" t="s">
        <v>25</v>
      </c>
      <c r="C56" s="55" t="s">
        <v>27</v>
      </c>
      <c r="D56" s="55">
        <v>5.0</v>
      </c>
      <c r="E56" s="55">
        <v>18.0</v>
      </c>
      <c r="F56" s="56"/>
      <c r="G56" s="55"/>
      <c r="H56" s="56"/>
      <c r="I56" s="56"/>
      <c r="J56" s="56"/>
      <c r="K56" s="56"/>
      <c r="L56" s="56"/>
      <c r="M56" s="56"/>
      <c r="N56" s="56"/>
      <c r="O56" s="56"/>
      <c r="P56" s="55"/>
      <c r="Q56" s="56"/>
      <c r="R56" s="56"/>
      <c r="S56" s="56"/>
      <c r="T56" s="55"/>
      <c r="U56" s="56"/>
      <c r="V56" s="56"/>
      <c r="W56" s="56"/>
      <c r="X56" s="56"/>
      <c r="Y56" s="56"/>
      <c r="Z56" s="55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5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5"/>
      <c r="AZ56" s="56"/>
      <c r="BA56" s="56"/>
      <c r="BB56" s="56"/>
      <c r="BC56" s="56"/>
      <c r="BD56" s="56"/>
      <c r="BE56" s="56"/>
      <c r="BF56" s="56"/>
      <c r="BG56" s="56"/>
      <c r="BH56" s="56"/>
      <c r="BI56" s="55"/>
      <c r="BJ56" s="56"/>
      <c r="BK56" s="56"/>
      <c r="BL56" s="55">
        <v>3.0</v>
      </c>
      <c r="BM56" s="55"/>
      <c r="BN56" s="56"/>
      <c r="BO56" s="56"/>
      <c r="BP56" s="56"/>
      <c r="BQ56" s="56"/>
      <c r="BR56" s="56"/>
      <c r="BS56" s="56"/>
      <c r="BT56" s="56"/>
      <c r="BU56" s="56"/>
      <c r="BV56" s="55"/>
      <c r="BW56" s="56"/>
      <c r="BX56" s="55">
        <v>4.0</v>
      </c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5">
        <v>10.0</v>
      </c>
      <c r="CS56" s="55">
        <v>8.0</v>
      </c>
      <c r="CT56" s="55"/>
      <c r="CU56" s="55"/>
      <c r="CV56" s="56"/>
      <c r="CW56" s="68">
        <f t="shared" si="3"/>
        <v>25</v>
      </c>
      <c r="CX56" s="56"/>
      <c r="CY56" s="56"/>
      <c r="CZ56" s="56"/>
    </row>
    <row r="57">
      <c r="A57" s="67">
        <v>46132.0</v>
      </c>
      <c r="B57" s="54" t="s">
        <v>25</v>
      </c>
      <c r="C57" s="55" t="s">
        <v>27</v>
      </c>
      <c r="D57" s="55">
        <v>5.0</v>
      </c>
      <c r="E57" s="55">
        <v>20.0</v>
      </c>
      <c r="F57" s="56"/>
      <c r="G57" s="55"/>
      <c r="H57" s="56"/>
      <c r="I57" s="56"/>
      <c r="J57" s="56"/>
      <c r="K57" s="56"/>
      <c r="L57" s="56"/>
      <c r="M57" s="56"/>
      <c r="N57" s="56"/>
      <c r="O57" s="56"/>
      <c r="P57" s="55"/>
      <c r="Q57" s="56"/>
      <c r="R57" s="56"/>
      <c r="S57" s="56"/>
      <c r="T57" s="55"/>
      <c r="U57" s="56"/>
      <c r="V57" s="56"/>
      <c r="W57" s="56"/>
      <c r="X57" s="56"/>
      <c r="Y57" s="56"/>
      <c r="Z57" s="55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5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5"/>
      <c r="AZ57" s="56"/>
      <c r="BA57" s="56"/>
      <c r="BB57" s="56"/>
      <c r="BC57" s="56"/>
      <c r="BD57" s="56"/>
      <c r="BE57" s="56"/>
      <c r="BF57" s="56"/>
      <c r="BG57" s="56"/>
      <c r="BH57" s="56"/>
      <c r="BI57" s="55"/>
      <c r="BJ57" s="56"/>
      <c r="BK57" s="56"/>
      <c r="BL57" s="55"/>
      <c r="BM57" s="55"/>
      <c r="BN57" s="56"/>
      <c r="BO57" s="56"/>
      <c r="BP57" s="56"/>
      <c r="BQ57" s="56"/>
      <c r="BR57" s="56"/>
      <c r="BS57" s="56"/>
      <c r="BT57" s="56"/>
      <c r="BU57" s="56"/>
      <c r="BV57" s="55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5"/>
      <c r="CS57" s="55"/>
      <c r="CT57" s="55"/>
      <c r="CU57" s="55"/>
      <c r="CV57" s="56"/>
      <c r="CW57" s="69"/>
      <c r="CX57" s="56"/>
      <c r="CY57" s="56"/>
      <c r="CZ57" s="56"/>
    </row>
    <row r="58">
      <c r="A58" s="70"/>
      <c r="B58" s="71"/>
      <c r="C58" s="72" t="s">
        <v>159</v>
      </c>
      <c r="E58" s="73">
        <f>Count(E3:E57)</f>
        <v>55</v>
      </c>
      <c r="F58" s="73"/>
      <c r="G58" s="74">
        <f t="shared" ref="G58:CW58" si="4">Sum(G3:G57)</f>
        <v>0</v>
      </c>
      <c r="H58" s="74">
        <f t="shared" si="4"/>
        <v>0</v>
      </c>
      <c r="I58" s="74">
        <f t="shared" si="4"/>
        <v>0</v>
      </c>
      <c r="J58" s="74">
        <f t="shared" si="4"/>
        <v>0</v>
      </c>
      <c r="K58" s="74">
        <f t="shared" si="4"/>
        <v>0</v>
      </c>
      <c r="L58" s="74">
        <f t="shared" si="4"/>
        <v>0</v>
      </c>
      <c r="M58" s="74">
        <f t="shared" si="4"/>
        <v>0</v>
      </c>
      <c r="N58" s="74">
        <f t="shared" si="4"/>
        <v>0</v>
      </c>
      <c r="O58" s="74">
        <f t="shared" si="4"/>
        <v>0</v>
      </c>
      <c r="P58" s="74">
        <f t="shared" si="4"/>
        <v>0</v>
      </c>
      <c r="Q58" s="74">
        <f t="shared" si="4"/>
        <v>0</v>
      </c>
      <c r="R58" s="74">
        <f t="shared" si="4"/>
        <v>0</v>
      </c>
      <c r="S58" s="74">
        <f t="shared" si="4"/>
        <v>0</v>
      </c>
      <c r="T58" s="74">
        <f t="shared" si="4"/>
        <v>49</v>
      </c>
      <c r="U58" s="74">
        <f t="shared" si="4"/>
        <v>0</v>
      </c>
      <c r="V58" s="74">
        <f t="shared" si="4"/>
        <v>0</v>
      </c>
      <c r="W58" s="74">
        <f t="shared" si="4"/>
        <v>0</v>
      </c>
      <c r="X58" s="74">
        <f t="shared" si="4"/>
        <v>0</v>
      </c>
      <c r="Y58" s="74">
        <f t="shared" si="4"/>
        <v>0</v>
      </c>
      <c r="Z58" s="74">
        <f t="shared" si="4"/>
        <v>3</v>
      </c>
      <c r="AA58" s="74">
        <f t="shared" si="4"/>
        <v>0</v>
      </c>
      <c r="AB58" s="74">
        <f t="shared" si="4"/>
        <v>0</v>
      </c>
      <c r="AC58" s="74">
        <f t="shared" si="4"/>
        <v>0</v>
      </c>
      <c r="AD58" s="74">
        <f t="shared" si="4"/>
        <v>0</v>
      </c>
      <c r="AE58" s="74">
        <f t="shared" si="4"/>
        <v>0</v>
      </c>
      <c r="AF58" s="74">
        <f t="shared" si="4"/>
        <v>0</v>
      </c>
      <c r="AG58" s="74">
        <f t="shared" si="4"/>
        <v>0</v>
      </c>
      <c r="AH58" s="74">
        <f t="shared" si="4"/>
        <v>0</v>
      </c>
      <c r="AI58" s="74">
        <f t="shared" si="4"/>
        <v>0</v>
      </c>
      <c r="AJ58" s="74">
        <f t="shared" si="4"/>
        <v>0</v>
      </c>
      <c r="AK58" s="74">
        <f t="shared" si="4"/>
        <v>2</v>
      </c>
      <c r="AL58" s="74">
        <f t="shared" si="4"/>
        <v>0</v>
      </c>
      <c r="AM58" s="74">
        <f t="shared" si="4"/>
        <v>0</v>
      </c>
      <c r="AN58" s="74">
        <f t="shared" si="4"/>
        <v>0</v>
      </c>
      <c r="AO58" s="74">
        <f t="shared" si="4"/>
        <v>0</v>
      </c>
      <c r="AP58" s="74">
        <f t="shared" si="4"/>
        <v>0</v>
      </c>
      <c r="AQ58" s="74">
        <f t="shared" si="4"/>
        <v>0</v>
      </c>
      <c r="AR58" s="74">
        <f t="shared" si="4"/>
        <v>0</v>
      </c>
      <c r="AS58" s="74">
        <f t="shared" si="4"/>
        <v>0</v>
      </c>
      <c r="AT58" s="74">
        <f t="shared" si="4"/>
        <v>4</v>
      </c>
      <c r="AU58" s="74">
        <f t="shared" si="4"/>
        <v>0</v>
      </c>
      <c r="AV58" s="74">
        <f t="shared" si="4"/>
        <v>0</v>
      </c>
      <c r="AW58" s="74">
        <f t="shared" si="4"/>
        <v>0</v>
      </c>
      <c r="AX58" s="74">
        <f t="shared" si="4"/>
        <v>0</v>
      </c>
      <c r="AY58" s="74">
        <f t="shared" si="4"/>
        <v>0</v>
      </c>
      <c r="AZ58" s="74">
        <f t="shared" si="4"/>
        <v>0</v>
      </c>
      <c r="BA58" s="74">
        <f t="shared" si="4"/>
        <v>0</v>
      </c>
      <c r="BB58" s="74">
        <f t="shared" si="4"/>
        <v>0</v>
      </c>
      <c r="BC58" s="74">
        <f t="shared" si="4"/>
        <v>0</v>
      </c>
      <c r="BD58" s="74">
        <f t="shared" si="4"/>
        <v>0</v>
      </c>
      <c r="BE58" s="74">
        <f t="shared" si="4"/>
        <v>0</v>
      </c>
      <c r="BF58" s="74">
        <f t="shared" si="4"/>
        <v>0</v>
      </c>
      <c r="BG58" s="74">
        <f t="shared" si="4"/>
        <v>0</v>
      </c>
      <c r="BH58" s="74">
        <f t="shared" si="4"/>
        <v>0</v>
      </c>
      <c r="BI58" s="74">
        <f t="shared" si="4"/>
        <v>5</v>
      </c>
      <c r="BJ58" s="74">
        <f t="shared" si="4"/>
        <v>0</v>
      </c>
      <c r="BK58" s="74">
        <f t="shared" si="4"/>
        <v>3</v>
      </c>
      <c r="BL58" s="74">
        <f t="shared" si="4"/>
        <v>123</v>
      </c>
      <c r="BM58" s="74">
        <f t="shared" si="4"/>
        <v>4</v>
      </c>
      <c r="BN58" s="74">
        <f t="shared" si="4"/>
        <v>0</v>
      </c>
      <c r="BO58" s="74">
        <f t="shared" si="4"/>
        <v>0</v>
      </c>
      <c r="BP58" s="74">
        <f t="shared" si="4"/>
        <v>0</v>
      </c>
      <c r="BQ58" s="74">
        <f t="shared" si="4"/>
        <v>0</v>
      </c>
      <c r="BR58" s="74">
        <f t="shared" si="4"/>
        <v>0</v>
      </c>
      <c r="BS58" s="74">
        <f t="shared" si="4"/>
        <v>0</v>
      </c>
      <c r="BT58" s="74">
        <f t="shared" si="4"/>
        <v>0</v>
      </c>
      <c r="BU58" s="74">
        <f t="shared" si="4"/>
        <v>0</v>
      </c>
      <c r="BV58" s="74">
        <f t="shared" si="4"/>
        <v>162</v>
      </c>
      <c r="BW58" s="74">
        <f t="shared" si="4"/>
        <v>0</v>
      </c>
      <c r="BX58" s="74">
        <f t="shared" si="4"/>
        <v>43</v>
      </c>
      <c r="BY58" s="74">
        <f t="shared" si="4"/>
        <v>1</v>
      </c>
      <c r="BZ58" s="74">
        <f t="shared" si="4"/>
        <v>0</v>
      </c>
      <c r="CA58" s="74">
        <f t="shared" si="4"/>
        <v>0</v>
      </c>
      <c r="CB58" s="74">
        <f t="shared" si="4"/>
        <v>5</v>
      </c>
      <c r="CC58" s="74">
        <f t="shared" si="4"/>
        <v>0</v>
      </c>
      <c r="CD58" s="74">
        <f t="shared" si="4"/>
        <v>2</v>
      </c>
      <c r="CE58" s="74">
        <f t="shared" si="4"/>
        <v>0</v>
      </c>
      <c r="CF58" s="74">
        <f t="shared" si="4"/>
        <v>0</v>
      </c>
      <c r="CG58" s="74">
        <f t="shared" si="4"/>
        <v>0</v>
      </c>
      <c r="CH58" s="74">
        <f t="shared" si="4"/>
        <v>0</v>
      </c>
      <c r="CI58" s="74">
        <f t="shared" si="4"/>
        <v>1</v>
      </c>
      <c r="CJ58" s="74">
        <f t="shared" si="4"/>
        <v>3</v>
      </c>
      <c r="CK58" s="74">
        <f t="shared" si="4"/>
        <v>0</v>
      </c>
      <c r="CL58" s="74">
        <f t="shared" si="4"/>
        <v>0</v>
      </c>
      <c r="CM58" s="74">
        <f t="shared" si="4"/>
        <v>0</v>
      </c>
      <c r="CN58" s="74">
        <f t="shared" si="4"/>
        <v>0</v>
      </c>
      <c r="CO58" s="74">
        <f t="shared" si="4"/>
        <v>0</v>
      </c>
      <c r="CP58" s="74">
        <f t="shared" si="4"/>
        <v>0</v>
      </c>
      <c r="CQ58" s="74">
        <f t="shared" si="4"/>
        <v>0</v>
      </c>
      <c r="CR58" s="74">
        <f t="shared" si="4"/>
        <v>374</v>
      </c>
      <c r="CS58" s="74">
        <f t="shared" si="4"/>
        <v>556</v>
      </c>
      <c r="CT58" s="74">
        <f t="shared" si="4"/>
        <v>0</v>
      </c>
      <c r="CU58" s="74">
        <f t="shared" si="4"/>
        <v>0</v>
      </c>
      <c r="CV58" s="74">
        <f t="shared" si="4"/>
        <v>0</v>
      </c>
      <c r="CW58" s="74">
        <f t="shared" si="4"/>
        <v>1340</v>
      </c>
      <c r="CX58" s="75"/>
      <c r="CY58" s="75"/>
      <c r="CZ58" s="75"/>
    </row>
    <row r="59">
      <c r="A59" s="8"/>
      <c r="B59" s="9"/>
      <c r="C59" s="76"/>
      <c r="G59" s="10"/>
      <c r="P59" s="10"/>
      <c r="T59" s="10"/>
      <c r="Z59" s="10"/>
      <c r="AK59" s="10"/>
      <c r="AY59" s="10"/>
      <c r="BI59" s="10"/>
      <c r="BL59" s="10"/>
      <c r="BM59" s="10"/>
      <c r="BV59" s="10"/>
      <c r="CW59" s="77"/>
    </row>
    <row r="60">
      <c r="A60" s="8"/>
      <c r="B60" s="9"/>
      <c r="C60" s="76"/>
      <c r="G60" s="10"/>
      <c r="P60" s="10"/>
      <c r="T60" s="10"/>
      <c r="Z60" s="10"/>
      <c r="AK60" s="10"/>
      <c r="AY60" s="10"/>
      <c r="BI60" s="10"/>
      <c r="BL60" s="10"/>
      <c r="BM60" s="10"/>
      <c r="BV60" s="10"/>
      <c r="CW60" s="77"/>
    </row>
    <row r="61">
      <c r="A61" s="8"/>
      <c r="B61" s="9"/>
      <c r="C61" s="76"/>
      <c r="G61" s="10"/>
      <c r="P61" s="10"/>
      <c r="T61" s="10"/>
      <c r="Z61" s="10"/>
      <c r="AK61" s="10"/>
      <c r="AY61" s="10"/>
      <c r="BI61" s="10"/>
      <c r="BL61" s="10"/>
      <c r="BM61" s="10"/>
      <c r="BV61" s="10"/>
      <c r="CW61" s="77"/>
    </row>
    <row r="62">
      <c r="A62" s="8"/>
      <c r="B62" s="9"/>
      <c r="C62" s="76"/>
      <c r="G62" s="10"/>
      <c r="P62" s="10"/>
      <c r="T62" s="10"/>
      <c r="Z62" s="10"/>
      <c r="AK62" s="10"/>
      <c r="AY62" s="10"/>
      <c r="BI62" s="10"/>
      <c r="BL62" s="10"/>
      <c r="BM62" s="10"/>
      <c r="BV62" s="10"/>
      <c r="CW62" s="77"/>
    </row>
    <row r="63">
      <c r="A63" s="8"/>
      <c r="B63" s="9"/>
      <c r="C63" s="76"/>
      <c r="G63" s="10"/>
      <c r="P63" s="10"/>
      <c r="T63" s="10"/>
      <c r="Z63" s="10"/>
      <c r="AK63" s="10"/>
      <c r="AY63" s="10"/>
      <c r="BI63" s="10"/>
      <c r="BL63" s="10"/>
      <c r="BM63" s="10"/>
      <c r="BV63" s="10"/>
      <c r="CW63" s="77"/>
    </row>
    <row r="64">
      <c r="A64" s="8"/>
      <c r="B64" s="9"/>
      <c r="C64" s="76"/>
      <c r="G64" s="10"/>
      <c r="P64" s="10"/>
      <c r="T64" s="10"/>
      <c r="Z64" s="10"/>
      <c r="AK64" s="10"/>
      <c r="AY64" s="10"/>
      <c r="BI64" s="10"/>
      <c r="BL64" s="10"/>
      <c r="BM64" s="10"/>
      <c r="BV64" s="10"/>
      <c r="CW64" s="77"/>
    </row>
    <row r="65">
      <c r="A65" s="8"/>
      <c r="B65" s="9"/>
      <c r="C65" s="76"/>
      <c r="G65" s="10"/>
      <c r="P65" s="10"/>
      <c r="T65" s="10"/>
      <c r="Z65" s="10"/>
      <c r="AK65" s="10"/>
      <c r="AY65" s="10"/>
      <c r="BI65" s="10"/>
      <c r="BL65" s="10"/>
      <c r="BM65" s="10"/>
      <c r="BV65" s="10"/>
      <c r="CW65" s="77"/>
    </row>
    <row r="66">
      <c r="A66" s="8"/>
      <c r="B66" s="9"/>
      <c r="C66" s="76"/>
      <c r="G66" s="10"/>
      <c r="P66" s="10"/>
      <c r="T66" s="10"/>
      <c r="Z66" s="10"/>
      <c r="AK66" s="10"/>
      <c r="AY66" s="10"/>
      <c r="BI66" s="10"/>
      <c r="BL66" s="10"/>
      <c r="BM66" s="10"/>
      <c r="BV66" s="10"/>
      <c r="CW66" s="77"/>
    </row>
    <row r="67">
      <c r="A67" s="8"/>
      <c r="B67" s="9"/>
      <c r="C67" s="76"/>
      <c r="G67" s="10"/>
      <c r="P67" s="10"/>
      <c r="T67" s="10"/>
      <c r="Z67" s="10"/>
      <c r="AK67" s="10"/>
      <c r="AY67" s="10"/>
      <c r="BI67" s="10"/>
      <c r="BL67" s="10"/>
      <c r="BM67" s="10"/>
      <c r="BV67" s="10"/>
      <c r="CW67" s="77"/>
    </row>
    <row r="68">
      <c r="A68" s="8"/>
      <c r="B68" s="9"/>
      <c r="C68" s="76"/>
      <c r="G68" s="10"/>
      <c r="P68" s="10"/>
      <c r="T68" s="10"/>
      <c r="Z68" s="10"/>
      <c r="AK68" s="10"/>
      <c r="AY68" s="10"/>
      <c r="BI68" s="10"/>
      <c r="BL68" s="10"/>
      <c r="BM68" s="10"/>
      <c r="BV68" s="10"/>
      <c r="CW68" s="77"/>
    </row>
    <row r="69">
      <c r="A69" s="8"/>
      <c r="B69" s="9"/>
      <c r="C69" s="76"/>
      <c r="G69" s="10"/>
      <c r="P69" s="10"/>
      <c r="T69" s="10"/>
      <c r="Z69" s="10"/>
      <c r="AK69" s="10"/>
      <c r="AY69" s="10"/>
      <c r="BI69" s="10"/>
      <c r="BL69" s="10"/>
      <c r="BM69" s="10"/>
      <c r="BV69" s="10"/>
      <c r="CW69" s="77"/>
    </row>
    <row r="70">
      <c r="A70" s="8"/>
      <c r="B70" s="9"/>
      <c r="C70" s="76"/>
      <c r="G70" s="10"/>
      <c r="P70" s="10"/>
      <c r="T70" s="10"/>
      <c r="Z70" s="10"/>
      <c r="AK70" s="10"/>
      <c r="AY70" s="10"/>
      <c r="BI70" s="10"/>
      <c r="BL70" s="10"/>
      <c r="BM70" s="10"/>
      <c r="BV70" s="10"/>
      <c r="CW70" s="77"/>
    </row>
    <row r="71">
      <c r="A71" s="8"/>
      <c r="B71" s="9"/>
      <c r="C71" s="76"/>
      <c r="G71" s="10"/>
      <c r="P71" s="10"/>
      <c r="T71" s="10"/>
      <c r="Z71" s="10"/>
      <c r="AK71" s="10"/>
      <c r="AY71" s="10"/>
      <c r="BI71" s="10"/>
      <c r="BL71" s="10"/>
      <c r="BM71" s="10"/>
      <c r="BV71" s="10"/>
      <c r="CW71" s="77"/>
    </row>
    <row r="72">
      <c r="A72" s="8"/>
      <c r="B72" s="9"/>
      <c r="C72" s="76"/>
      <c r="G72" s="10"/>
      <c r="P72" s="10"/>
      <c r="T72" s="10"/>
      <c r="Z72" s="10"/>
      <c r="AK72" s="10"/>
      <c r="AY72" s="10"/>
      <c r="BI72" s="10"/>
      <c r="BL72" s="10"/>
      <c r="BM72" s="10"/>
      <c r="BV72" s="10"/>
      <c r="CW72" s="77"/>
    </row>
    <row r="73">
      <c r="A73" s="8"/>
      <c r="B73" s="9"/>
      <c r="C73" s="76"/>
      <c r="G73" s="10"/>
      <c r="P73" s="10"/>
      <c r="T73" s="10"/>
      <c r="Z73" s="10"/>
      <c r="AK73" s="10"/>
      <c r="AY73" s="10"/>
      <c r="BI73" s="10"/>
      <c r="BL73" s="10"/>
      <c r="BM73" s="10"/>
      <c r="BV73" s="10"/>
      <c r="CW73" s="77"/>
    </row>
    <row r="74">
      <c r="A74" s="8"/>
      <c r="B74" s="9"/>
      <c r="C74" s="76"/>
      <c r="G74" s="10"/>
      <c r="P74" s="10"/>
      <c r="T74" s="10"/>
      <c r="Z74" s="10"/>
      <c r="AK74" s="10"/>
      <c r="AY74" s="10"/>
      <c r="BI74" s="10"/>
      <c r="BL74" s="10"/>
      <c r="BM74" s="10"/>
      <c r="BV74" s="10"/>
      <c r="CW74" s="77"/>
    </row>
    <row r="75">
      <c r="A75" s="8"/>
      <c r="B75" s="9"/>
      <c r="C75" s="76"/>
      <c r="G75" s="10"/>
      <c r="P75" s="10"/>
      <c r="T75" s="10"/>
      <c r="Z75" s="10"/>
      <c r="AK75" s="10"/>
      <c r="AY75" s="10"/>
      <c r="BI75" s="10"/>
      <c r="BL75" s="10"/>
      <c r="BM75" s="10"/>
      <c r="BV75" s="10"/>
      <c r="CW75" s="77"/>
    </row>
    <row r="76">
      <c r="A76" s="8"/>
      <c r="B76" s="9"/>
      <c r="C76" s="76"/>
      <c r="G76" s="10"/>
      <c r="P76" s="10"/>
      <c r="T76" s="10"/>
      <c r="Z76" s="10"/>
      <c r="AK76" s="10"/>
      <c r="AY76" s="10"/>
      <c r="BI76" s="10"/>
      <c r="BL76" s="10"/>
      <c r="BM76" s="10"/>
      <c r="BV76" s="10"/>
      <c r="CW76" s="77"/>
    </row>
    <row r="77">
      <c r="A77" s="8"/>
      <c r="B77" s="9"/>
      <c r="C77" s="76"/>
      <c r="G77" s="10"/>
      <c r="P77" s="10"/>
      <c r="T77" s="10"/>
      <c r="Z77" s="10"/>
      <c r="AK77" s="10"/>
      <c r="AY77" s="10"/>
      <c r="BI77" s="10"/>
      <c r="BL77" s="10"/>
      <c r="BM77" s="10"/>
      <c r="BV77" s="10"/>
      <c r="CW77" s="77"/>
    </row>
    <row r="78">
      <c r="A78" s="8"/>
      <c r="B78" s="9"/>
      <c r="C78" s="76"/>
      <c r="G78" s="10"/>
      <c r="P78" s="10"/>
      <c r="T78" s="10"/>
      <c r="Z78" s="10"/>
      <c r="AK78" s="10"/>
      <c r="AY78" s="10"/>
      <c r="BI78" s="10"/>
      <c r="BL78" s="10"/>
      <c r="BM78" s="10"/>
      <c r="BV78" s="10"/>
      <c r="CW78" s="77"/>
    </row>
    <row r="79">
      <c r="A79" s="8"/>
      <c r="B79" s="9"/>
      <c r="C79" s="76"/>
      <c r="G79" s="10"/>
      <c r="P79" s="10"/>
      <c r="T79" s="10"/>
      <c r="Z79" s="10"/>
      <c r="AK79" s="10"/>
      <c r="AY79" s="10"/>
      <c r="BI79" s="10"/>
      <c r="BL79" s="10"/>
      <c r="BM79" s="10"/>
      <c r="BV79" s="10"/>
      <c r="CW79" s="77"/>
    </row>
  </sheetData>
  <autoFilter ref="$A$1:$CW$2"/>
  <mergeCells count="1">
    <mergeCell ref="C58:D58"/>
  </mergeCells>
  <dataValidations>
    <dataValidation type="list" allowBlank="1" showErrorMessage="1" sqref="B3:B79">
      <formula1>"Mauliola,Lē'ahi ,‘Ewa Beach"</formula1>
    </dataValidation>
  </dataValidations>
  <drawing r:id="rId1"/>
</worksheet>
</file>