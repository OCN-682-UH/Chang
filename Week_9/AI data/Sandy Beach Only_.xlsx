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s_NO_Excl" sheetId="1" r:id="rId5"/>
  </sheets>
  <definedNames/>
  <calcPr/>
</workbook>
</file>

<file path=xl/sharedStrings.xml><?xml version="1.0" encoding="utf-8"?>
<sst xmlns="http://schemas.openxmlformats.org/spreadsheetml/2006/main" count="235" uniqueCount="217">
  <si>
    <t>EVERYTHING (all FTs, even those with no data, and all database species information)</t>
  </si>
  <si>
    <t>Green:Whole Field trip was excluded from Diversity calculations (Sheet 1); Orange: Excluded Transect were reinstated from Diversity calculations (Sheet 1); If transects were excluded due to missing transects (no data), they were not highlighted</t>
  </si>
  <si>
    <t>Date</t>
  </si>
  <si>
    <t>Location</t>
  </si>
  <si>
    <t>latitude</t>
  </si>
  <si>
    <t>longitude</t>
  </si>
  <si>
    <t>School</t>
  </si>
  <si>
    <t>Start Time</t>
  </si>
  <si>
    <t>Stop Time</t>
  </si>
  <si>
    <t>Num of T</t>
  </si>
  <si>
    <t>Transect Length</t>
  </si>
  <si>
    <t>Pt Spacing</t>
  </si>
  <si>
    <t>Num of Quad/T</t>
  </si>
  <si>
    <t>Actual Quadrats sampled</t>
  </si>
  <si>
    <t>Actual Q/T if different than stated</t>
  </si>
  <si>
    <t>Excluding Transects/reason</t>
  </si>
  <si>
    <t>Actual Quadrats (after exclusions)</t>
  </si>
  <si>
    <t>Notes</t>
  </si>
  <si>
    <t>Acanthophora spicifera</t>
  </si>
  <si>
    <t>Actinopyga varians</t>
  </si>
  <si>
    <t>Ahnfeltiopsis concinna</t>
  </si>
  <si>
    <t>Ahnfeltiopsis flabelliformis</t>
  </si>
  <si>
    <t>Aiptasia pulchella</t>
  </si>
  <si>
    <t>Akalaphycus setchelliae</t>
  </si>
  <si>
    <t>Amansia glomerata</t>
  </si>
  <si>
    <t>Amphipod spp</t>
  </si>
  <si>
    <t>Anthopleura nigrescens</t>
  </si>
  <si>
    <t>Aplysia spp</t>
  </si>
  <si>
    <t>Articulated Corallines</t>
  </si>
  <si>
    <t>Asparagopsis taxiformis</t>
  </si>
  <si>
    <t>Asteronema breviarticulatum</t>
  </si>
  <si>
    <t>Avrainvillea amadelpha</t>
  </si>
  <si>
    <t>Barnacles spp</t>
  </si>
  <si>
    <t>Bleached Coral</t>
  </si>
  <si>
    <t>Boodlea composita</t>
  </si>
  <si>
    <t>Bornetella sphaerica</t>
  </si>
  <si>
    <t>Botryocladia skottsbergii</t>
  </si>
  <si>
    <t>Brachidontes crebristriatus</t>
  </si>
  <si>
    <t>Brittle Star</t>
  </si>
  <si>
    <t>Brown Crust</t>
  </si>
  <si>
    <t>Bryopsis spp</t>
  </si>
  <si>
    <t>Calcinus elegans</t>
  </si>
  <si>
    <t>Calcinus laevimanus</t>
  </si>
  <si>
    <t>Calcinus seurati</t>
  </si>
  <si>
    <t>Caulerpa racemosa</t>
  </si>
  <si>
    <t>Caulerpa sertularioides</t>
  </si>
  <si>
    <t>Caulerpa spp</t>
  </si>
  <si>
    <t>Cellana exarata</t>
  </si>
  <si>
    <t>Cellana sandwicensis</t>
  </si>
  <si>
    <t>Centroceras clavulatum</t>
  </si>
  <si>
    <t>Chaetomorpha antennina</t>
  </si>
  <si>
    <t>Champia parvula</t>
  </si>
  <si>
    <t>Chnoospora minima</t>
  </si>
  <si>
    <t>Chondria spp</t>
  </si>
  <si>
    <t>Cladophora or Cladophoropsis spp</t>
  </si>
  <si>
    <t>Codium arabicum</t>
  </si>
  <si>
    <t>Codium edule</t>
  </si>
  <si>
    <t>Codium spp.</t>
  </si>
  <si>
    <t>Coelothrix irregularis</t>
  </si>
  <si>
    <t>Colobocentrotus atratus</t>
  </si>
  <si>
    <t>Colpomenia sinuosa</t>
  </si>
  <si>
    <t>Conus ebraeus</t>
  </si>
  <si>
    <t>Conus spp</t>
  </si>
  <si>
    <t>Coral spp.</t>
  </si>
  <si>
    <t>Crab spp</t>
  </si>
  <si>
    <t>Crustose Coralline Algae</t>
  </si>
  <si>
    <t>Cyanobacteria spp</t>
  </si>
  <si>
    <t>Cypraea tigris</t>
  </si>
  <si>
    <t>Dasya spp</t>
  </si>
  <si>
    <t>Dendropoma gregaria</t>
  </si>
  <si>
    <t>Diadema paucispinum</t>
  </si>
  <si>
    <t>Dichotomaria marginata</t>
  </si>
  <si>
    <t>Dictyopteris spp</t>
  </si>
  <si>
    <t>Dictyosphaeria cavernosa</t>
  </si>
  <si>
    <t>Dictyosphaeria spp</t>
  </si>
  <si>
    <t>Dictyosphaeria versluysii</t>
  </si>
  <si>
    <t>Dictyota acutiloba</t>
  </si>
  <si>
    <t>Dictyota sandvicensis</t>
  </si>
  <si>
    <t>Dictyota spp</t>
  </si>
  <si>
    <t>Drupa morum</t>
  </si>
  <si>
    <t>Echinolittorina hawaiiensis</t>
  </si>
  <si>
    <t>Echinometra mathaei</t>
  </si>
  <si>
    <t>Echinometra oblonga</t>
  </si>
  <si>
    <t>Echinometra sp</t>
  </si>
  <si>
    <t>Echinothrix spp</t>
  </si>
  <si>
    <t>Fireworm spp</t>
  </si>
  <si>
    <t>Galaxaura spp</t>
  </si>
  <si>
    <t>Galaxaura or Liagora sp</t>
  </si>
  <si>
    <t>Gelid spp</t>
  </si>
  <si>
    <t>Gelidiella acerosa</t>
  </si>
  <si>
    <t>Gelidiopsis intricata</t>
  </si>
  <si>
    <t>Gelidiopsis spp</t>
  </si>
  <si>
    <t>Gelidium pusillum</t>
  </si>
  <si>
    <t>Gracilaria salicornia</t>
  </si>
  <si>
    <t>Grapsus tenuicrustatus</t>
  </si>
  <si>
    <t>Grateloupia spp</t>
  </si>
  <si>
    <t>Griffithsia spp</t>
  </si>
  <si>
    <t>Halimeda discoidea</t>
  </si>
  <si>
    <t>Haminoea cymbalum</t>
  </si>
  <si>
    <t>Hermit Crab</t>
  </si>
  <si>
    <t>Holothuria atra</t>
  </si>
  <si>
    <t>Holothuria cinerascens</t>
  </si>
  <si>
    <t>Holothuria difficilis</t>
  </si>
  <si>
    <t>Holothuria hilla</t>
  </si>
  <si>
    <t>Holothuria pardalis</t>
  </si>
  <si>
    <t>Holothuria spp</t>
  </si>
  <si>
    <t>Holothuria whitmaei</t>
  </si>
  <si>
    <t>Hydroclathrus clathratus</t>
  </si>
  <si>
    <t>Hypnea cervicornis</t>
  </si>
  <si>
    <t>Hypnea chordacea</t>
  </si>
  <si>
    <t>Hypnea musciformis</t>
  </si>
  <si>
    <t>Hypnea spp</t>
  </si>
  <si>
    <t>Isognomon californicum</t>
  </si>
  <si>
    <t>Isognomon perna</t>
  </si>
  <si>
    <t>Laurencia dendroidea</t>
  </si>
  <si>
    <t>Laurencia dotyi</t>
  </si>
  <si>
    <t>Laurencia mcdermidiae</t>
  </si>
  <si>
    <t>Laurencia spp</t>
  </si>
  <si>
    <t>Leptolyngbya crosbyana</t>
  </si>
  <si>
    <t>Liagora spp</t>
  </si>
  <si>
    <t>Littoraria pintado</t>
  </si>
  <si>
    <t>Lobophora variegata</t>
  </si>
  <si>
    <t>Loimia medusa</t>
  </si>
  <si>
    <t>Lyngbya majuscula</t>
  </si>
  <si>
    <t>Martensia spp</t>
  </si>
  <si>
    <t>Mauritia mauritiana</t>
  </si>
  <si>
    <t>Microdictyon setchellianum</t>
  </si>
  <si>
    <t>Monetaria caputserpentis</t>
  </si>
  <si>
    <t>Montipora capitata</t>
  </si>
  <si>
    <t>Montipora sp</t>
  </si>
  <si>
    <t>Morula granulata</t>
  </si>
  <si>
    <t>Morula sp</t>
  </si>
  <si>
    <t>Morula uva</t>
  </si>
  <si>
    <t>Neomeris spp</t>
  </si>
  <si>
    <t>Nerita picea</t>
  </si>
  <si>
    <t>Nerita polita</t>
  </si>
  <si>
    <t>Nesochthamalus intertextus</t>
  </si>
  <si>
    <t>Onchidium verruculatum</t>
  </si>
  <si>
    <t>Ophiocoma brevipes</t>
  </si>
  <si>
    <t>Ophiocoma erinaceus</t>
  </si>
  <si>
    <t>Padina spp</t>
  </si>
  <si>
    <t>Palisada parvipapillata</t>
  </si>
  <si>
    <t>Palythoa caesia</t>
  </si>
  <si>
    <t>Parvocaulis parvulus</t>
  </si>
  <si>
    <t>Peasiella tantilla</t>
  </si>
  <si>
    <t>Pennaria disticha</t>
  </si>
  <si>
    <t>Pocillopora damicornis</t>
  </si>
  <si>
    <t>Pocillopora sp</t>
  </si>
  <si>
    <t>Porites lobata</t>
  </si>
  <si>
    <t>Porites sp</t>
  </si>
  <si>
    <t>Portieria hornemannii</t>
  </si>
  <si>
    <t>Protopalythoa spp</t>
  </si>
  <si>
    <t>Pterocladiella caerulescens</t>
  </si>
  <si>
    <t>Pterocladiella capillacea</t>
  </si>
  <si>
    <t>Pterocladiella spp</t>
  </si>
  <si>
    <t>Rhodymenia spp</t>
  </si>
  <si>
    <t>Sargassum aquifolium</t>
  </si>
  <si>
    <t>Sargassum polyphyllum</t>
  </si>
  <si>
    <t>Sargassum spp</t>
  </si>
  <si>
    <t>Siphonaria normalis</t>
  </si>
  <si>
    <t>Smaragdinella calyculata</t>
  </si>
  <si>
    <t>Snail spp.</t>
  </si>
  <si>
    <t>Sphacelaria spp</t>
  </si>
  <si>
    <t>Spirobranchus giganteus</t>
  </si>
  <si>
    <t>Sponge spp</t>
  </si>
  <si>
    <t>Spyridia filamentosa</t>
  </si>
  <si>
    <t>Stomatopod spp</t>
  </si>
  <si>
    <t>Stylocheilus striatus</t>
  </si>
  <si>
    <t>Symploca hydnoides</t>
  </si>
  <si>
    <t>Thylacodes variabilis</t>
  </si>
  <si>
    <t>Trichogloea spp</t>
  </si>
  <si>
    <t>Trochus intextus</t>
  </si>
  <si>
    <t>Tripneustes gratilla</t>
  </si>
  <si>
    <t>Tube snail</t>
  </si>
  <si>
    <t>Turbinaria ornata</t>
  </si>
  <si>
    <t>Turf spp</t>
  </si>
  <si>
    <t>Ulva fasciata</t>
  </si>
  <si>
    <t>Ulva flexuosa</t>
  </si>
  <si>
    <t>Ulva reticulata</t>
  </si>
  <si>
    <t>Ulva spp</t>
  </si>
  <si>
    <t>Valonia spp</t>
  </si>
  <si>
    <t>Wrangelia elegantissima</t>
  </si>
  <si>
    <t>Zoanthid spp</t>
  </si>
  <si>
    <t>Unknown Brown</t>
  </si>
  <si>
    <t>Unknown Cyanobacteria</t>
  </si>
  <si>
    <t>Unknown Fuzzy</t>
  </si>
  <si>
    <t>Unknown Green</t>
  </si>
  <si>
    <t>Unknown Polychaete</t>
  </si>
  <si>
    <t>Unknown  Red</t>
  </si>
  <si>
    <t>Unknown species</t>
  </si>
  <si>
    <t>Species count:</t>
  </si>
  <si>
    <t>Species Count (&gt;=2)</t>
  </si>
  <si>
    <t>Species count (&gt;=5)</t>
  </si>
  <si>
    <t>Number of tallies recorded_species only</t>
  </si>
  <si>
    <t>Total number of tallies</t>
  </si>
  <si>
    <t>Difference = substrate tallies</t>
  </si>
  <si>
    <t>Sandy Beach</t>
  </si>
  <si>
    <t>OPIHI Coordinator</t>
  </si>
  <si>
    <t>4 meters</t>
  </si>
  <si>
    <t>4,2,4,5</t>
  </si>
  <si>
    <t>OPIHI</t>
  </si>
  <si>
    <t>1 meter</t>
  </si>
  <si>
    <t>2,4,4,4,4</t>
  </si>
  <si>
    <t>Highlands Intermediate School</t>
  </si>
  <si>
    <t>0.25 meter</t>
  </si>
  <si>
    <t>5,0,3,1</t>
  </si>
  <si>
    <t>2 meters</t>
  </si>
  <si>
    <t>8,10,8</t>
  </si>
  <si>
    <t>Kailua Intermediate</t>
  </si>
  <si>
    <t>5,0,6,4,5,6</t>
  </si>
  <si>
    <t>Voyager Public Charter School</t>
  </si>
  <si>
    <t>4,4,3,4,3,2</t>
  </si>
  <si>
    <t>3,3,3,2</t>
  </si>
  <si>
    <t>Sandy Beach West</t>
  </si>
  <si>
    <t>Stevenson Middle School</t>
  </si>
  <si>
    <t>3,4,4,2,4,3,3</t>
  </si>
  <si>
    <t>0,0,2,0,2,1,0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</si>
</sst>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000000"/>
      <name val="Calibri"/>
    </font>
    <font>
      <color theme="1"/>
      <name val="Arial"/>
      <scheme val="minor"/>
    </font>
    <font>
      <sz val="12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3">
    <border/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readingOrder="0"/>
    </xf>
    <xf borderId="0" fillId="0" fontId="3" numFmtId="21" xfId="0" applyAlignment="1" applyFont="1" applyNumberFormat="1">
      <alignment readingOrder="0"/>
    </xf>
    <xf borderId="0" fillId="0" fontId="3" numFmtId="0" xfId="0" applyFont="1"/>
    <xf borderId="0" fillId="2" fontId="3" numFmtId="164" xfId="0" applyAlignment="1" applyFill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3" numFmtId="21" xfId="0" applyAlignment="1" applyFill="1" applyFont="1" applyNumberFormat="1">
      <alignment readingOrder="0"/>
    </xf>
    <xf borderId="0" fillId="2" fontId="3" numFmtId="0" xfId="0" applyFill="1" applyFont="1"/>
    <xf borderId="0" fillId="3" fontId="3" numFmtId="164" xfId="0" applyAlignment="1" applyFill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21" xfId="0" applyAlignment="1" applyFill="1" applyFont="1" applyNumberFormat="1">
      <alignment readingOrder="0"/>
    </xf>
    <xf borderId="0" fillId="3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7" max="17" width="20.13"/>
    <col customWidth="1" min="19" max="19" width="20.5"/>
    <col customWidth="1" min="25" max="25" width="18.63"/>
    <col customWidth="1" min="27" max="27" width="19.5"/>
    <col customWidth="1" min="28" max="28" width="19.0"/>
    <col customWidth="1" min="29" max="29" width="25.75"/>
    <col customWidth="1" min="30" max="30" width="22.13"/>
    <col customWidth="1" min="34" max="34" width="17.75"/>
    <col customWidth="1" min="43" max="43" width="16.88"/>
    <col customWidth="1" min="49" max="49" width="21.5"/>
    <col customWidth="1" min="51" max="51" width="16.25"/>
    <col customWidth="1" min="53" max="53" width="28.63"/>
    <col customWidth="1" min="59" max="59" width="16.88"/>
    <col customWidth="1" min="64" max="64" width="21.75"/>
    <col customWidth="1" min="65" max="65" width="16.38"/>
    <col customWidth="1" min="68" max="68" width="17.38"/>
    <col customWidth="1" min="69" max="69" width="18.75"/>
    <col customWidth="1" min="72" max="72" width="21.25"/>
    <col customWidth="1" min="73" max="73" width="16.38"/>
    <col customWidth="1" min="74" max="74" width="21.75"/>
    <col customWidth="1" min="76" max="76" width="16.38"/>
    <col customWidth="1" min="79" max="79" width="20.63"/>
    <col customWidth="1" min="80" max="80" width="19.88"/>
    <col customWidth="1" min="81" max="81" width="17.88"/>
    <col customWidth="1" min="86" max="86" width="19.75"/>
    <col customWidth="1" min="88" max="88" width="15.88"/>
    <col customWidth="1" min="91" max="91" width="16.0"/>
    <col customWidth="1" min="92" max="92" width="17.5"/>
    <col customWidth="1" min="96" max="96" width="17.38"/>
    <col customWidth="1" min="100" max="100" width="19.0"/>
    <col customWidth="1" min="111" max="111" width="20.88"/>
    <col customWidth="1" min="113" max="113" width="20.38"/>
    <col customWidth="1" min="115" max="115" width="21.5"/>
    <col customWidth="1" min="117" max="117" width="19.0"/>
    <col customWidth="1" min="119" max="119" width="15.25"/>
    <col customWidth="1" min="122" max="122" width="17.0"/>
    <col customWidth="1" min="125" max="125" width="21.5"/>
    <col customWidth="1" min="129" max="129" width="15.5"/>
    <col customWidth="1" min="135" max="135" width="21.75"/>
    <col customWidth="1" min="138" max="138" width="17.0"/>
    <col customWidth="1" min="140" max="140" width="17.63"/>
    <col customWidth="1" min="144" max="144" width="15.25"/>
    <col customWidth="1" min="150" max="150" width="15.5"/>
    <col customWidth="1" min="151" max="151" width="21.5"/>
    <col customWidth="1" min="152" max="152" width="20.25"/>
    <col customWidth="1" min="153" max="153" width="15.63"/>
    <col customWidth="1" min="155" max="155" width="17.25"/>
    <col customWidth="1" min="158" max="158" width="16.75"/>
    <col customWidth="1" min="164" max="164" width="16.88"/>
    <col customWidth="1" min="166" max="166" width="16.88"/>
    <col customWidth="1" min="167" max="168" width="18.63"/>
    <col customWidth="1" min="171" max="171" width="17.88"/>
    <col customWidth="1" min="173" max="173" width="17.38"/>
    <col customWidth="1" min="194" max="216" width="20.13"/>
  </cols>
  <sheetData>
    <row r="1">
      <c r="A1" s="1" t="s">
        <v>0</v>
      </c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4"/>
      <c r="S1" s="5"/>
      <c r="T1" s="4"/>
      <c r="U1" s="4"/>
      <c r="V1" s="4"/>
      <c r="W1" s="4"/>
      <c r="X1" s="4"/>
      <c r="Y1" s="4"/>
      <c r="Z1" s="4"/>
      <c r="AA1" s="6"/>
      <c r="AB1" s="4"/>
      <c r="AC1" s="7"/>
      <c r="AD1" s="3"/>
      <c r="AE1" s="8"/>
      <c r="AF1" s="8"/>
      <c r="AG1" s="4"/>
      <c r="AH1" s="1"/>
      <c r="AI1" s="4"/>
      <c r="AJ1" s="4"/>
      <c r="AK1" s="4"/>
      <c r="AL1" s="9"/>
      <c r="AM1" s="10"/>
      <c r="AN1" s="4"/>
      <c r="AO1" s="7"/>
      <c r="AP1" s="4"/>
      <c r="AQ1" s="4"/>
      <c r="AR1" s="4"/>
      <c r="AS1" s="4"/>
      <c r="AT1" s="4"/>
      <c r="AU1" s="4"/>
      <c r="AV1" s="4"/>
      <c r="AW1" s="11"/>
      <c r="AX1" s="4"/>
      <c r="AY1" s="4"/>
      <c r="AZ1" s="1"/>
      <c r="BA1" s="1"/>
      <c r="BB1" s="5"/>
      <c r="BC1" s="5"/>
      <c r="BD1" s="6"/>
      <c r="BE1" s="4"/>
      <c r="BF1" s="4"/>
      <c r="BG1" s="4"/>
      <c r="BH1" s="4"/>
      <c r="BI1" s="4"/>
      <c r="BJ1" s="6"/>
      <c r="BK1" s="5"/>
      <c r="BL1" s="3"/>
      <c r="BM1" s="5"/>
      <c r="BN1" s="4"/>
      <c r="BO1" s="5"/>
      <c r="BP1" s="4"/>
      <c r="BQ1" s="5"/>
      <c r="BR1" s="4"/>
      <c r="BS1" s="4"/>
      <c r="BT1" s="4"/>
      <c r="BU1" s="3"/>
      <c r="BV1" s="8"/>
      <c r="BW1" s="4"/>
      <c r="BX1" s="4"/>
      <c r="BY1" s="2"/>
      <c r="BZ1" s="4"/>
      <c r="CA1" s="4"/>
      <c r="CB1" s="2"/>
      <c r="CC1" s="4"/>
      <c r="CD1" s="4"/>
      <c r="CE1" s="4"/>
      <c r="CF1" s="4"/>
      <c r="CG1" s="10"/>
      <c r="CH1" s="4"/>
      <c r="CI1" s="4"/>
      <c r="CJ1" s="4"/>
      <c r="CK1" s="4"/>
      <c r="CL1" s="4"/>
      <c r="CM1" s="4"/>
      <c r="CN1" s="1"/>
      <c r="CO1" s="4"/>
      <c r="CP1" s="4"/>
      <c r="CQ1" s="4"/>
      <c r="CR1" s="1"/>
      <c r="CS1" s="8"/>
      <c r="CT1" s="8"/>
      <c r="CU1" s="4"/>
      <c r="CV1" s="4"/>
      <c r="CW1" s="4"/>
      <c r="CX1" s="4"/>
      <c r="CY1" s="4"/>
      <c r="CZ1" s="7"/>
      <c r="DA1" s="4"/>
      <c r="DB1" s="4"/>
      <c r="DC1" s="4"/>
      <c r="DD1" s="4"/>
      <c r="DE1" s="4"/>
      <c r="DF1" s="2"/>
      <c r="DG1" s="7"/>
      <c r="DH1" s="4"/>
      <c r="DI1" s="8"/>
      <c r="DJ1" s="4"/>
      <c r="DK1" s="8"/>
      <c r="DL1" s="2"/>
      <c r="DM1" s="4"/>
      <c r="DN1" s="4"/>
      <c r="DO1" s="7"/>
      <c r="DP1" s="4"/>
      <c r="DQ1" s="4"/>
      <c r="DR1" s="1"/>
      <c r="DS1" s="4"/>
      <c r="DT1" s="4"/>
      <c r="DU1" s="4"/>
      <c r="DV1" s="4"/>
      <c r="DW1" s="4"/>
      <c r="DX1" s="4"/>
      <c r="DY1" s="8"/>
      <c r="DZ1" s="9"/>
      <c r="EA1" s="4"/>
      <c r="EB1" s="4"/>
      <c r="EC1" s="4"/>
      <c r="ED1" s="4"/>
      <c r="EE1" s="4"/>
      <c r="EF1" s="4"/>
      <c r="EG1" s="4"/>
      <c r="EH1" s="4"/>
      <c r="EI1" s="2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1"/>
      <c r="FB1" s="4"/>
      <c r="FC1" s="4"/>
      <c r="FD1" s="5"/>
      <c r="FE1" s="12"/>
      <c r="FF1" s="4"/>
      <c r="FG1" s="4"/>
      <c r="FH1" s="1"/>
      <c r="FI1" s="4"/>
      <c r="FJ1" s="5"/>
      <c r="FK1" s="5"/>
      <c r="FL1" s="13"/>
      <c r="FM1" s="4"/>
      <c r="FN1" s="4"/>
      <c r="FO1" s="4"/>
      <c r="FP1" s="4"/>
      <c r="FQ1" s="13"/>
      <c r="FR1" s="2"/>
      <c r="FS1" s="4"/>
      <c r="FT1" s="4"/>
      <c r="FU1" s="4"/>
      <c r="FV1" s="7"/>
      <c r="FW1" s="4"/>
      <c r="FX1" s="4"/>
      <c r="FY1" s="4"/>
      <c r="FZ1" s="4"/>
      <c r="GA1" s="4"/>
      <c r="GB1" s="4"/>
      <c r="GC1" s="4"/>
      <c r="GD1" s="4"/>
      <c r="GE1" s="5"/>
      <c r="GF1" s="12"/>
      <c r="GG1" s="8"/>
      <c r="GH1" s="8"/>
      <c r="GI1" s="8"/>
      <c r="GJ1" s="8"/>
      <c r="GK1" s="1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</row>
    <row r="2">
      <c r="A2" s="1" t="s">
        <v>1</v>
      </c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4"/>
      <c r="S2" s="5"/>
      <c r="T2" s="4"/>
      <c r="U2" s="4"/>
      <c r="V2" s="4"/>
      <c r="W2" s="4"/>
      <c r="X2" s="4"/>
      <c r="Y2" s="4"/>
      <c r="Z2" s="4"/>
      <c r="AA2" s="6"/>
      <c r="AB2" s="4"/>
      <c r="AC2" s="7"/>
      <c r="AD2" s="3"/>
      <c r="AE2" s="8"/>
      <c r="AF2" s="8"/>
      <c r="AG2" s="4"/>
      <c r="AH2" s="1"/>
      <c r="AI2" s="4"/>
      <c r="AJ2" s="4"/>
      <c r="AK2" s="4"/>
      <c r="AL2" s="9"/>
      <c r="AM2" s="10"/>
      <c r="AN2" s="4"/>
      <c r="AO2" s="7"/>
      <c r="AP2" s="4"/>
      <c r="AQ2" s="4"/>
      <c r="AR2" s="4"/>
      <c r="AS2" s="4"/>
      <c r="AT2" s="4"/>
      <c r="AU2" s="4"/>
      <c r="AV2" s="4"/>
      <c r="AW2" s="11"/>
      <c r="AX2" s="4"/>
      <c r="AY2" s="4"/>
      <c r="AZ2" s="1"/>
      <c r="BA2" s="1"/>
      <c r="BB2" s="5"/>
      <c r="BC2" s="5"/>
      <c r="BD2" s="6"/>
      <c r="BE2" s="4"/>
      <c r="BF2" s="4"/>
      <c r="BG2" s="4"/>
      <c r="BH2" s="4"/>
      <c r="BI2" s="4"/>
      <c r="BJ2" s="6"/>
      <c r="BK2" s="5"/>
      <c r="BL2" s="3"/>
      <c r="BM2" s="5"/>
      <c r="BN2" s="4"/>
      <c r="BO2" s="5"/>
      <c r="BP2" s="4"/>
      <c r="BQ2" s="5"/>
      <c r="BR2" s="4"/>
      <c r="BS2" s="4"/>
      <c r="BT2" s="4"/>
      <c r="BU2" s="3"/>
      <c r="BV2" s="8"/>
      <c r="BW2" s="4"/>
      <c r="BX2" s="4"/>
      <c r="BY2" s="2"/>
      <c r="BZ2" s="4"/>
      <c r="CA2" s="4"/>
      <c r="CB2" s="2"/>
      <c r="CC2" s="4"/>
      <c r="CD2" s="4"/>
      <c r="CE2" s="4"/>
      <c r="CF2" s="4"/>
      <c r="CG2" s="10"/>
      <c r="CH2" s="4"/>
      <c r="CI2" s="4"/>
      <c r="CJ2" s="4"/>
      <c r="CK2" s="4"/>
      <c r="CL2" s="4"/>
      <c r="CM2" s="4"/>
      <c r="CN2" s="1"/>
      <c r="CO2" s="4"/>
      <c r="CP2" s="4"/>
      <c r="CQ2" s="4"/>
      <c r="CR2" s="1"/>
      <c r="CS2" s="8"/>
      <c r="CT2" s="8"/>
      <c r="CU2" s="4"/>
      <c r="CV2" s="4"/>
      <c r="CW2" s="4"/>
      <c r="CX2" s="4"/>
      <c r="CY2" s="4"/>
      <c r="CZ2" s="7"/>
      <c r="DA2" s="4"/>
      <c r="DB2" s="4"/>
      <c r="DC2" s="4"/>
      <c r="DD2" s="4"/>
      <c r="DE2" s="4"/>
      <c r="DF2" s="2"/>
      <c r="DG2" s="7"/>
      <c r="DH2" s="4"/>
      <c r="DI2" s="8"/>
      <c r="DJ2" s="4"/>
      <c r="DK2" s="8"/>
      <c r="DL2" s="2"/>
      <c r="DM2" s="4"/>
      <c r="DN2" s="4"/>
      <c r="DO2" s="7"/>
      <c r="DP2" s="4"/>
      <c r="DQ2" s="4"/>
      <c r="DR2" s="1"/>
      <c r="DS2" s="4"/>
      <c r="DT2" s="4"/>
      <c r="DU2" s="4"/>
      <c r="DV2" s="4"/>
      <c r="DW2" s="4"/>
      <c r="DX2" s="4"/>
      <c r="DY2" s="8"/>
      <c r="DZ2" s="9"/>
      <c r="EA2" s="4"/>
      <c r="EB2" s="4"/>
      <c r="EC2" s="4"/>
      <c r="ED2" s="4"/>
      <c r="EE2" s="4"/>
      <c r="EF2" s="4"/>
      <c r="EG2" s="4"/>
      <c r="EH2" s="4"/>
      <c r="EI2" s="2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1"/>
      <c r="FB2" s="4"/>
      <c r="FC2" s="4"/>
      <c r="FD2" s="5"/>
      <c r="FE2" s="12"/>
      <c r="FF2" s="4"/>
      <c r="FG2" s="4"/>
      <c r="FH2" s="1"/>
      <c r="FI2" s="4"/>
      <c r="FJ2" s="5"/>
      <c r="FK2" s="5"/>
      <c r="FL2" s="13"/>
      <c r="FM2" s="4"/>
      <c r="FN2" s="4"/>
      <c r="FO2" s="4"/>
      <c r="FP2" s="4"/>
      <c r="FQ2" s="13"/>
      <c r="FR2" s="2"/>
      <c r="FS2" s="4"/>
      <c r="FT2" s="4"/>
      <c r="FU2" s="4"/>
      <c r="FV2" s="7"/>
      <c r="FW2" s="4"/>
      <c r="FX2" s="4"/>
      <c r="FY2" s="4"/>
      <c r="FZ2" s="4"/>
      <c r="GA2" s="4"/>
      <c r="GB2" s="4"/>
      <c r="GC2" s="4"/>
      <c r="GD2" s="4"/>
      <c r="GE2" s="5"/>
      <c r="GF2" s="12"/>
      <c r="GG2" s="8"/>
      <c r="GH2" s="8"/>
      <c r="GI2" s="8"/>
      <c r="GJ2" s="8"/>
      <c r="GK2" s="1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</row>
    <row r="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3" t="s">
        <v>18</v>
      </c>
      <c r="R3" s="4" t="s">
        <v>19</v>
      </c>
      <c r="S3" s="5" t="s">
        <v>20</v>
      </c>
      <c r="T3" s="4" t="s">
        <v>21</v>
      </c>
      <c r="U3" s="15" t="s">
        <v>22</v>
      </c>
      <c r="V3" s="15" t="s">
        <v>23</v>
      </c>
      <c r="W3" s="15" t="s">
        <v>24</v>
      </c>
      <c r="X3" s="4" t="s">
        <v>25</v>
      </c>
      <c r="Y3" s="4" t="s">
        <v>26</v>
      </c>
      <c r="Z3" s="15" t="s">
        <v>27</v>
      </c>
      <c r="AA3" s="6" t="s">
        <v>28</v>
      </c>
      <c r="AB3" s="4" t="s">
        <v>29</v>
      </c>
      <c r="AC3" s="7" t="s">
        <v>30</v>
      </c>
      <c r="AD3" s="3" t="s">
        <v>31</v>
      </c>
      <c r="AE3" s="8" t="s">
        <v>32</v>
      </c>
      <c r="AF3" s="8" t="s">
        <v>33</v>
      </c>
      <c r="AG3" s="15" t="s">
        <v>34</v>
      </c>
      <c r="AH3" s="1" t="s">
        <v>35</v>
      </c>
      <c r="AI3" s="4" t="s">
        <v>36</v>
      </c>
      <c r="AJ3" s="15" t="s">
        <v>37</v>
      </c>
      <c r="AK3" s="4" t="s">
        <v>38</v>
      </c>
      <c r="AL3" s="9" t="s">
        <v>39</v>
      </c>
      <c r="AM3" s="10" t="s">
        <v>40</v>
      </c>
      <c r="AN3" s="15" t="s">
        <v>41</v>
      </c>
      <c r="AO3" s="7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15" t="s">
        <v>47</v>
      </c>
      <c r="AU3" s="15" t="s">
        <v>48</v>
      </c>
      <c r="AV3" s="15" t="s">
        <v>49</v>
      </c>
      <c r="AW3" s="16" t="s">
        <v>50</v>
      </c>
      <c r="AX3" s="15" t="s">
        <v>51</v>
      </c>
      <c r="AY3" s="15" t="s">
        <v>52</v>
      </c>
      <c r="AZ3" s="17" t="s">
        <v>53</v>
      </c>
      <c r="BA3" s="17" t="s">
        <v>54</v>
      </c>
      <c r="BB3" s="5" t="s">
        <v>55</v>
      </c>
      <c r="BC3" s="5" t="s">
        <v>56</v>
      </c>
      <c r="BD3" s="6" t="s">
        <v>57</v>
      </c>
      <c r="BE3" s="4" t="s">
        <v>58</v>
      </c>
      <c r="BF3" s="15" t="s">
        <v>59</v>
      </c>
      <c r="BG3" s="4" t="s">
        <v>60</v>
      </c>
      <c r="BH3" s="15" t="s">
        <v>61</v>
      </c>
      <c r="BI3" s="15" t="s">
        <v>62</v>
      </c>
      <c r="BJ3" s="6" t="s">
        <v>63</v>
      </c>
      <c r="BK3" s="5" t="s">
        <v>64</v>
      </c>
      <c r="BL3" s="3" t="s">
        <v>65</v>
      </c>
      <c r="BM3" s="5" t="s">
        <v>66</v>
      </c>
      <c r="BN3" s="15" t="s">
        <v>67</v>
      </c>
      <c r="BO3" s="5" t="s">
        <v>68</v>
      </c>
      <c r="BP3" s="4" t="s">
        <v>69</v>
      </c>
      <c r="BQ3" s="5" t="s">
        <v>70</v>
      </c>
      <c r="BR3" s="4" t="s">
        <v>71</v>
      </c>
      <c r="BS3" s="15" t="s">
        <v>72</v>
      </c>
      <c r="BT3" s="4" t="s">
        <v>73</v>
      </c>
      <c r="BU3" s="18" t="s">
        <v>74</v>
      </c>
      <c r="BV3" s="8" t="s">
        <v>75</v>
      </c>
      <c r="BW3" s="4" t="s">
        <v>76</v>
      </c>
      <c r="BX3" s="4" t="s">
        <v>77</v>
      </c>
      <c r="BY3" s="2" t="s">
        <v>78</v>
      </c>
      <c r="BZ3" s="4" t="s">
        <v>79</v>
      </c>
      <c r="CA3" s="4" t="s">
        <v>80</v>
      </c>
      <c r="CB3" s="2" t="s">
        <v>81</v>
      </c>
      <c r="CC3" s="15" t="s">
        <v>82</v>
      </c>
      <c r="CD3" s="15" t="s">
        <v>83</v>
      </c>
      <c r="CE3" s="4" t="s">
        <v>84</v>
      </c>
      <c r="CF3" s="15" t="s">
        <v>85</v>
      </c>
      <c r="CG3" s="10" t="s">
        <v>86</v>
      </c>
      <c r="CH3" s="4" t="s">
        <v>87</v>
      </c>
      <c r="CI3" s="15" t="s">
        <v>88</v>
      </c>
      <c r="CJ3" s="4" t="s">
        <v>89</v>
      </c>
      <c r="CK3" s="4" t="s">
        <v>90</v>
      </c>
      <c r="CL3" s="15" t="s">
        <v>91</v>
      </c>
      <c r="CM3" s="4" t="s">
        <v>92</v>
      </c>
      <c r="CN3" s="1" t="s">
        <v>93</v>
      </c>
      <c r="CO3" s="15" t="s">
        <v>94</v>
      </c>
      <c r="CP3" s="15" t="s">
        <v>95</v>
      </c>
      <c r="CQ3" s="4" t="s">
        <v>96</v>
      </c>
      <c r="CR3" s="1" t="s">
        <v>97</v>
      </c>
      <c r="CS3" s="8" t="s">
        <v>98</v>
      </c>
      <c r="CT3" s="8" t="s">
        <v>99</v>
      </c>
      <c r="CU3" s="15" t="s">
        <v>100</v>
      </c>
      <c r="CV3" s="15" t="s">
        <v>101</v>
      </c>
      <c r="CW3" s="15" t="s">
        <v>102</v>
      </c>
      <c r="CX3" s="15" t="s">
        <v>103</v>
      </c>
      <c r="CY3" s="15" t="s">
        <v>104</v>
      </c>
      <c r="CZ3" s="7" t="s">
        <v>105</v>
      </c>
      <c r="DA3" s="15" t="s">
        <v>106</v>
      </c>
      <c r="DB3" s="4" t="s">
        <v>107</v>
      </c>
      <c r="DC3" s="15" t="s">
        <v>108</v>
      </c>
      <c r="DD3" s="15" t="s">
        <v>109</v>
      </c>
      <c r="DE3" s="4" t="s">
        <v>110</v>
      </c>
      <c r="DF3" s="2" t="s">
        <v>111</v>
      </c>
      <c r="DG3" s="7" t="s">
        <v>112</v>
      </c>
      <c r="DH3" s="4" t="s">
        <v>113</v>
      </c>
      <c r="DI3" s="8" t="s">
        <v>114</v>
      </c>
      <c r="DJ3" s="15" t="s">
        <v>115</v>
      </c>
      <c r="DK3" s="8" t="s">
        <v>116</v>
      </c>
      <c r="DL3" s="2" t="s">
        <v>117</v>
      </c>
      <c r="DM3" s="4" t="s">
        <v>118</v>
      </c>
      <c r="DN3" s="4" t="s">
        <v>119</v>
      </c>
      <c r="DO3" s="7" t="s">
        <v>120</v>
      </c>
      <c r="DP3" s="4" t="s">
        <v>121</v>
      </c>
      <c r="DQ3" s="4" t="s">
        <v>122</v>
      </c>
      <c r="DR3" s="1" t="s">
        <v>123</v>
      </c>
      <c r="DS3" s="15" t="s">
        <v>124</v>
      </c>
      <c r="DT3" s="15" t="s">
        <v>125</v>
      </c>
      <c r="DU3" s="4" t="s">
        <v>126</v>
      </c>
      <c r="DV3" s="15" t="s">
        <v>127</v>
      </c>
      <c r="DW3" s="4" t="s">
        <v>128</v>
      </c>
      <c r="DX3" s="4" t="s">
        <v>129</v>
      </c>
      <c r="DY3" s="8" t="s">
        <v>130</v>
      </c>
      <c r="DZ3" s="9" t="s">
        <v>131</v>
      </c>
      <c r="EA3" s="15" t="s">
        <v>132</v>
      </c>
      <c r="EB3" s="15" t="s">
        <v>133</v>
      </c>
      <c r="EC3" s="4" t="s">
        <v>134</v>
      </c>
      <c r="ED3" s="15" t="s">
        <v>135</v>
      </c>
      <c r="EE3" s="15" t="s">
        <v>136</v>
      </c>
      <c r="EF3" s="15" t="s">
        <v>137</v>
      </c>
      <c r="EG3" s="15" t="s">
        <v>138</v>
      </c>
      <c r="EH3" s="4" t="s">
        <v>139</v>
      </c>
      <c r="EI3" s="2" t="s">
        <v>140</v>
      </c>
      <c r="EJ3" s="15" t="s">
        <v>141</v>
      </c>
      <c r="EK3" s="15" t="s">
        <v>142</v>
      </c>
      <c r="EL3" s="4" t="s">
        <v>143</v>
      </c>
      <c r="EM3" s="4" t="s">
        <v>144</v>
      </c>
      <c r="EN3" s="15" t="s">
        <v>145</v>
      </c>
      <c r="EO3" s="4" t="s">
        <v>146</v>
      </c>
      <c r="EP3" s="4" t="s">
        <v>147</v>
      </c>
      <c r="EQ3" s="4" t="s">
        <v>148</v>
      </c>
      <c r="ER3" s="15" t="s">
        <v>149</v>
      </c>
      <c r="ES3" s="15" t="s">
        <v>150</v>
      </c>
      <c r="ET3" s="15" t="s">
        <v>151</v>
      </c>
      <c r="EU3" s="4" t="s">
        <v>152</v>
      </c>
      <c r="EV3" s="4" t="s">
        <v>153</v>
      </c>
      <c r="EW3" s="4" t="s">
        <v>154</v>
      </c>
      <c r="EX3" s="15" t="s">
        <v>155</v>
      </c>
      <c r="EY3" s="4" t="s">
        <v>156</v>
      </c>
      <c r="EZ3" s="4" t="s">
        <v>157</v>
      </c>
      <c r="FA3" s="1" t="s">
        <v>158</v>
      </c>
      <c r="FB3" s="4" t="s">
        <v>159</v>
      </c>
      <c r="FC3" s="15" t="s">
        <v>160</v>
      </c>
      <c r="FD3" s="5" t="s">
        <v>161</v>
      </c>
      <c r="FE3" s="19" t="s">
        <v>162</v>
      </c>
      <c r="FF3" s="4" t="s">
        <v>163</v>
      </c>
      <c r="FG3" s="4" t="s">
        <v>164</v>
      </c>
      <c r="FH3" s="1" t="s">
        <v>165</v>
      </c>
      <c r="FI3" s="15" t="s">
        <v>166</v>
      </c>
      <c r="FJ3" s="5" t="s">
        <v>167</v>
      </c>
      <c r="FK3" s="5" t="s">
        <v>168</v>
      </c>
      <c r="FL3" s="13" t="s">
        <v>169</v>
      </c>
      <c r="FM3" s="4" t="s">
        <v>170</v>
      </c>
      <c r="FN3" s="4" t="s">
        <v>171</v>
      </c>
      <c r="FO3" s="4" t="s">
        <v>172</v>
      </c>
      <c r="FP3" s="15" t="s">
        <v>173</v>
      </c>
      <c r="FQ3" s="13" t="s">
        <v>174</v>
      </c>
      <c r="FR3" s="2" t="s">
        <v>175</v>
      </c>
      <c r="FS3" s="4" t="s">
        <v>176</v>
      </c>
      <c r="FT3" s="4" t="s">
        <v>177</v>
      </c>
      <c r="FU3" s="15" t="s">
        <v>178</v>
      </c>
      <c r="FV3" s="7" t="s">
        <v>179</v>
      </c>
      <c r="FW3" s="4" t="s">
        <v>180</v>
      </c>
      <c r="FX3" s="4" t="s">
        <v>181</v>
      </c>
      <c r="FY3" s="4" t="s">
        <v>182</v>
      </c>
      <c r="FZ3" s="4" t="s">
        <v>183</v>
      </c>
      <c r="GA3" s="15" t="s">
        <v>184</v>
      </c>
      <c r="GB3" s="4" t="s">
        <v>185</v>
      </c>
      <c r="GC3" s="4" t="s">
        <v>186</v>
      </c>
      <c r="GD3" s="15" t="s">
        <v>187</v>
      </c>
      <c r="GE3" s="5" t="s">
        <v>188</v>
      </c>
      <c r="GF3" s="19" t="s">
        <v>189</v>
      </c>
      <c r="GG3" s="8" t="s">
        <v>190</v>
      </c>
      <c r="GH3" s="8" t="s">
        <v>191</v>
      </c>
      <c r="GI3" s="8" t="s">
        <v>192</v>
      </c>
      <c r="GJ3" s="8" t="s">
        <v>193</v>
      </c>
      <c r="GK3" s="14" t="s">
        <v>194</v>
      </c>
      <c r="GL3" s="4" t="s">
        <v>195</v>
      </c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</row>
    <row r="4">
      <c r="A4" s="20">
        <v>38854.0</v>
      </c>
      <c r="B4" s="4" t="s">
        <v>196</v>
      </c>
      <c r="C4" s="4">
        <v>21.2882</v>
      </c>
      <c r="D4" s="4">
        <v>-157.667999</v>
      </c>
      <c r="E4" s="4" t="s">
        <v>197</v>
      </c>
      <c r="F4" s="21">
        <v>0.0</v>
      </c>
      <c r="G4" s="21">
        <v>0.041666666666666664</v>
      </c>
      <c r="H4" s="4">
        <v>3.0</v>
      </c>
      <c r="I4" s="4">
        <v>20.0</v>
      </c>
      <c r="J4" s="4" t="s">
        <v>198</v>
      </c>
      <c r="K4" s="4">
        <v>5.0</v>
      </c>
      <c r="L4" s="4">
        <v>4.0</v>
      </c>
      <c r="M4" s="4">
        <v>4.0</v>
      </c>
      <c r="O4" s="4">
        <v>4.0</v>
      </c>
      <c r="Q4" s="4">
        <v>1.0</v>
      </c>
      <c r="BG4" s="4">
        <v>1.0</v>
      </c>
      <c r="BJ4" s="4">
        <v>2.0</v>
      </c>
      <c r="BV4" s="4">
        <v>3.0</v>
      </c>
      <c r="CI4" s="4">
        <v>6.0</v>
      </c>
      <c r="CN4" s="4">
        <v>3.0</v>
      </c>
      <c r="DL4" s="4">
        <v>6.0</v>
      </c>
      <c r="DN4" s="4">
        <v>3.0</v>
      </c>
      <c r="DY4" s="4">
        <v>1.0</v>
      </c>
      <c r="EI4" s="4">
        <v>8.0</v>
      </c>
      <c r="FA4" s="4">
        <v>10.0</v>
      </c>
      <c r="FQ4" s="4">
        <v>1.0</v>
      </c>
      <c r="FR4" s="4">
        <v>34.0</v>
      </c>
      <c r="GG4" s="22">
        <f t="shared" ref="GG4:GG6" si="1">count(Q4:GF4)</f>
        <v>13</v>
      </c>
      <c r="GH4" s="22">
        <f t="shared" ref="GH4:GH6" si="2">countif(Q4:GF4,"&gt;=2")</f>
        <v>9</v>
      </c>
      <c r="GI4" s="22">
        <f t="shared" ref="GI4:GI6" si="3">countif(Q4:GF4,"&gt;=5")</f>
        <v>5</v>
      </c>
      <c r="GJ4" s="22">
        <f t="shared" ref="GJ4:GJ6" si="4">sum(Q4:GF4)</f>
        <v>79</v>
      </c>
      <c r="GK4" s="22">
        <f t="shared" ref="GK4:GK6" si="5">25*O4</f>
        <v>100</v>
      </c>
      <c r="GL4" s="22">
        <f t="shared" ref="GL4:GL6" si="6">GK4-GJ4</f>
        <v>21</v>
      </c>
    </row>
    <row r="5">
      <c r="A5" s="20">
        <v>39192.0</v>
      </c>
      <c r="B5" s="4" t="s">
        <v>196</v>
      </c>
      <c r="C5" s="4">
        <v>21.2882</v>
      </c>
      <c r="D5" s="4">
        <v>-157.667999</v>
      </c>
      <c r="E5" s="4" t="s">
        <v>197</v>
      </c>
      <c r="F5" s="21">
        <v>0.0</v>
      </c>
      <c r="G5" s="21">
        <v>0.041666666666666664</v>
      </c>
      <c r="H5" s="4">
        <v>3.0</v>
      </c>
      <c r="I5" s="4">
        <v>20.0</v>
      </c>
      <c r="J5" s="4" t="s">
        <v>198</v>
      </c>
      <c r="K5" s="4">
        <v>7.0</v>
      </c>
      <c r="L5" s="4">
        <v>15.0</v>
      </c>
      <c r="M5" s="4" t="s">
        <v>199</v>
      </c>
      <c r="O5" s="4">
        <v>15.0</v>
      </c>
      <c r="Q5" s="4">
        <v>4.0</v>
      </c>
      <c r="AA5" s="4">
        <v>7.0</v>
      </c>
      <c r="AL5" s="4">
        <v>10.0</v>
      </c>
      <c r="BA5" s="4">
        <v>12.0</v>
      </c>
      <c r="BE5" s="4">
        <v>1.0</v>
      </c>
      <c r="BG5" s="4">
        <v>1.0</v>
      </c>
      <c r="BJ5" s="4">
        <v>3.0</v>
      </c>
      <c r="BL5" s="4">
        <v>10.0</v>
      </c>
      <c r="BX5" s="4">
        <v>2.0</v>
      </c>
      <c r="CI5" s="4">
        <v>4.0</v>
      </c>
      <c r="DL5" s="4">
        <v>3.0</v>
      </c>
      <c r="DR5" s="4">
        <v>1.0</v>
      </c>
      <c r="EI5" s="4">
        <v>2.0</v>
      </c>
      <c r="EU5" s="4">
        <v>7.0</v>
      </c>
      <c r="EV5" s="4">
        <v>12.0</v>
      </c>
      <c r="FL5" s="4">
        <v>5.0</v>
      </c>
      <c r="FR5" s="4">
        <v>115.0</v>
      </c>
      <c r="GG5" s="22">
        <f t="shared" si="1"/>
        <v>17</v>
      </c>
      <c r="GH5" s="22">
        <f t="shared" si="2"/>
        <v>14</v>
      </c>
      <c r="GI5" s="22">
        <f t="shared" si="3"/>
        <v>8</v>
      </c>
      <c r="GJ5" s="22">
        <f t="shared" si="4"/>
        <v>199</v>
      </c>
      <c r="GK5" s="22">
        <f t="shared" si="5"/>
        <v>375</v>
      </c>
      <c r="GL5" s="22">
        <f t="shared" si="6"/>
        <v>176</v>
      </c>
    </row>
    <row r="6">
      <c r="A6" s="20">
        <v>42440.0</v>
      </c>
      <c r="B6" s="4" t="s">
        <v>196</v>
      </c>
      <c r="C6" s="4">
        <v>21.2882</v>
      </c>
      <c r="D6" s="4">
        <v>-157.667999</v>
      </c>
      <c r="E6" s="4" t="s">
        <v>200</v>
      </c>
      <c r="F6" s="21">
        <v>0.4270833333333333</v>
      </c>
      <c r="G6" s="21">
        <v>0.4791666666666667</v>
      </c>
      <c r="H6" s="4">
        <v>5.0</v>
      </c>
      <c r="I6" s="4">
        <v>13.0</v>
      </c>
      <c r="J6" s="4" t="s">
        <v>201</v>
      </c>
      <c r="K6" s="4">
        <v>5.0</v>
      </c>
      <c r="L6" s="4">
        <v>18.0</v>
      </c>
      <c r="M6" s="4" t="s">
        <v>202</v>
      </c>
      <c r="O6" s="4">
        <v>18.0</v>
      </c>
      <c r="AA6" s="4">
        <v>18.0</v>
      </c>
      <c r="BA6" s="4">
        <v>18.0</v>
      </c>
      <c r="BL6" s="4">
        <v>32.0</v>
      </c>
      <c r="BY6" s="4">
        <v>3.0</v>
      </c>
      <c r="DL6" s="4">
        <v>15.0</v>
      </c>
      <c r="EI6" s="4">
        <v>4.0</v>
      </c>
      <c r="FQ6" s="4">
        <v>1.0</v>
      </c>
      <c r="FR6" s="4">
        <v>132.0</v>
      </c>
      <c r="FU6" s="4"/>
      <c r="FV6" s="4">
        <v>33.0</v>
      </c>
      <c r="GG6" s="22">
        <f t="shared" si="1"/>
        <v>9</v>
      </c>
      <c r="GH6" s="22">
        <f t="shared" si="2"/>
        <v>8</v>
      </c>
      <c r="GI6" s="22">
        <f t="shared" si="3"/>
        <v>6</v>
      </c>
      <c r="GJ6" s="22">
        <f t="shared" si="4"/>
        <v>256</v>
      </c>
      <c r="GK6" s="22">
        <f t="shared" si="5"/>
        <v>450</v>
      </c>
      <c r="GL6" s="22">
        <f t="shared" si="6"/>
        <v>194</v>
      </c>
    </row>
    <row r="7">
      <c r="A7" s="23">
        <v>42825.0</v>
      </c>
      <c r="B7" s="24" t="s">
        <v>196</v>
      </c>
      <c r="C7" s="24">
        <v>21.2882</v>
      </c>
      <c r="D7" s="24">
        <v>-157.667999</v>
      </c>
      <c r="E7" s="24" t="s">
        <v>203</v>
      </c>
      <c r="F7" s="25">
        <v>0.4173611111111111</v>
      </c>
      <c r="G7" s="25">
        <v>0.45069444444444445</v>
      </c>
      <c r="H7" s="24">
        <v>6.0</v>
      </c>
      <c r="I7" s="24">
        <v>12.0</v>
      </c>
      <c r="J7" s="24" t="s">
        <v>204</v>
      </c>
      <c r="K7" s="24">
        <v>5.0</v>
      </c>
      <c r="L7" s="24">
        <v>9.0</v>
      </c>
      <c r="M7" s="24" t="s">
        <v>205</v>
      </c>
      <c r="N7" s="26"/>
      <c r="O7" s="24"/>
      <c r="P7" s="26"/>
      <c r="Q7" s="24">
        <v>4.0</v>
      </c>
      <c r="R7" s="26"/>
      <c r="S7" s="26"/>
      <c r="T7" s="26"/>
      <c r="U7" s="26"/>
      <c r="V7" s="26"/>
      <c r="W7" s="26"/>
      <c r="X7" s="26"/>
      <c r="Y7" s="26"/>
      <c r="Z7" s="24"/>
      <c r="AA7" s="24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4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4"/>
      <c r="BK7" s="26"/>
      <c r="BL7" s="24">
        <v>18.0</v>
      </c>
      <c r="BM7" s="26"/>
      <c r="BN7" s="26"/>
      <c r="BO7" s="26"/>
      <c r="BP7" s="24"/>
      <c r="BQ7" s="26"/>
      <c r="BR7" s="26"/>
      <c r="BS7" s="26"/>
      <c r="BT7" s="26"/>
      <c r="BU7" s="26"/>
      <c r="BV7" s="26"/>
      <c r="BW7" s="26"/>
      <c r="BX7" s="26"/>
      <c r="BY7" s="24">
        <v>3.0</v>
      </c>
      <c r="BZ7" s="26"/>
      <c r="CA7" s="26"/>
      <c r="CB7" s="24"/>
      <c r="CC7" s="24"/>
      <c r="CD7" s="26"/>
      <c r="CE7" s="26"/>
      <c r="CF7" s="26"/>
      <c r="CG7" s="26"/>
      <c r="CH7" s="26"/>
      <c r="CI7" s="26"/>
      <c r="CJ7" s="24"/>
      <c r="CK7" s="26"/>
      <c r="CL7" s="26"/>
      <c r="CM7" s="26"/>
      <c r="CN7" s="26"/>
      <c r="CO7" s="26"/>
      <c r="CP7" s="26"/>
      <c r="CQ7" s="26"/>
      <c r="CR7" s="26"/>
      <c r="CS7" s="26"/>
      <c r="CT7" s="24">
        <v>2.0</v>
      </c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4">
        <v>1.0</v>
      </c>
      <c r="DH7" s="26"/>
      <c r="DI7" s="26"/>
      <c r="DJ7" s="26"/>
      <c r="DK7" s="26"/>
      <c r="DL7" s="26"/>
      <c r="DM7" s="26"/>
      <c r="DN7" s="26"/>
      <c r="DO7" s="24"/>
      <c r="DP7" s="26"/>
      <c r="DQ7" s="26"/>
      <c r="DR7" s="26"/>
      <c r="DS7" s="26"/>
      <c r="DT7" s="26"/>
      <c r="DU7" s="24">
        <v>3.0</v>
      </c>
      <c r="DV7" s="26"/>
      <c r="DW7" s="26"/>
      <c r="DX7" s="26"/>
      <c r="DY7" s="26"/>
      <c r="DZ7" s="26"/>
      <c r="EA7" s="26"/>
      <c r="EB7" s="26"/>
      <c r="EC7" s="24"/>
      <c r="ED7" s="26"/>
      <c r="EE7" s="26"/>
      <c r="EF7" s="26"/>
      <c r="EG7" s="26"/>
      <c r="EH7" s="26"/>
      <c r="EI7" s="24">
        <v>13.0</v>
      </c>
      <c r="EJ7" s="26"/>
      <c r="EK7" s="26"/>
      <c r="EL7" s="26"/>
      <c r="EM7" s="26"/>
      <c r="EN7" s="26"/>
      <c r="EO7" s="26"/>
      <c r="EP7" s="26"/>
      <c r="EQ7" s="26"/>
      <c r="ER7" s="26"/>
      <c r="ES7" s="24"/>
      <c r="ET7" s="24"/>
      <c r="EU7" s="24"/>
      <c r="EV7" s="26"/>
      <c r="EW7" s="26"/>
      <c r="EX7" s="26"/>
      <c r="EY7" s="26"/>
      <c r="EZ7" s="26"/>
      <c r="FA7" s="26"/>
      <c r="FB7" s="24"/>
      <c r="FC7" s="26"/>
      <c r="FD7" s="24">
        <v>1.0</v>
      </c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4">
        <v>10.0</v>
      </c>
      <c r="FR7" s="24">
        <v>71.0</v>
      </c>
      <c r="FS7" s="26"/>
      <c r="FT7" s="26"/>
      <c r="FU7" s="26"/>
      <c r="FV7" s="26"/>
      <c r="FW7" s="26"/>
      <c r="FX7" s="26"/>
      <c r="FY7" s="24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</row>
    <row r="8">
      <c r="A8" s="20">
        <v>42908.0</v>
      </c>
      <c r="B8" s="4" t="s">
        <v>196</v>
      </c>
      <c r="C8" s="4">
        <v>21.2882</v>
      </c>
      <c r="D8" s="4">
        <v>-157.667999</v>
      </c>
      <c r="E8" s="4" t="s">
        <v>197</v>
      </c>
      <c r="F8" s="21">
        <v>0.3194444444444444</v>
      </c>
      <c r="G8" s="21">
        <v>0.3958333333333333</v>
      </c>
      <c r="H8" s="4">
        <v>3.0</v>
      </c>
      <c r="I8" s="4">
        <v>20.0</v>
      </c>
      <c r="J8" s="4" t="s">
        <v>206</v>
      </c>
      <c r="K8" s="4">
        <v>10.0</v>
      </c>
      <c r="L8" s="4">
        <v>26.0</v>
      </c>
      <c r="M8" s="4" t="s">
        <v>207</v>
      </c>
      <c r="O8" s="4">
        <v>26.0</v>
      </c>
      <c r="T8" s="4">
        <v>1.0</v>
      </c>
      <c r="V8" s="4"/>
      <c r="W8" s="4">
        <v>1.0</v>
      </c>
      <c r="AA8" s="4">
        <v>111.0</v>
      </c>
      <c r="AG8" s="4">
        <v>3.0</v>
      </c>
      <c r="AL8" s="4">
        <v>4.0</v>
      </c>
      <c r="AV8" s="4">
        <v>10.0</v>
      </c>
      <c r="AZ8" s="4"/>
      <c r="BA8" s="4">
        <v>1.0</v>
      </c>
      <c r="BC8" s="4">
        <v>3.0</v>
      </c>
      <c r="BE8" s="4">
        <v>9.0</v>
      </c>
      <c r="BJ8" s="4">
        <v>16.0</v>
      </c>
      <c r="BL8" s="4">
        <v>7.0</v>
      </c>
      <c r="BM8" s="4">
        <v>18.0</v>
      </c>
      <c r="BP8" s="4">
        <v>4.0</v>
      </c>
      <c r="BY8" s="4">
        <v>22.0</v>
      </c>
      <c r="CB8" s="4">
        <v>1.0</v>
      </c>
      <c r="CF8" s="4"/>
      <c r="CG8" s="4">
        <v>4.0</v>
      </c>
      <c r="CJ8" s="4">
        <v>42.0</v>
      </c>
      <c r="CK8" s="4">
        <v>3.0</v>
      </c>
      <c r="CP8" s="4"/>
      <c r="CQ8" s="4">
        <v>3.0</v>
      </c>
      <c r="CT8" s="4">
        <v>2.0</v>
      </c>
      <c r="DD8" s="4">
        <v>2.0</v>
      </c>
      <c r="DF8" s="4">
        <v>1.0</v>
      </c>
      <c r="DL8" s="4">
        <v>8.0</v>
      </c>
      <c r="DM8" s="4">
        <v>3.0</v>
      </c>
      <c r="DN8" s="4">
        <v>3.0</v>
      </c>
      <c r="DT8" s="4"/>
      <c r="DU8" s="4">
        <v>27.0</v>
      </c>
      <c r="EI8" s="4">
        <v>1.0</v>
      </c>
      <c r="EJ8" s="4">
        <v>3.0</v>
      </c>
      <c r="EK8" s="4"/>
      <c r="EL8" s="4">
        <v>1.0</v>
      </c>
      <c r="ES8" s="4"/>
      <c r="ET8" s="4"/>
      <c r="EU8" s="4">
        <v>52.0</v>
      </c>
      <c r="FC8" s="4"/>
      <c r="FD8" s="4">
        <v>1.0</v>
      </c>
      <c r="FE8" s="4">
        <v>3.0</v>
      </c>
      <c r="FL8" s="4">
        <v>7.0</v>
      </c>
      <c r="FQ8" s="4">
        <v>3.0</v>
      </c>
      <c r="FR8" s="4">
        <v>218.0</v>
      </c>
      <c r="FW8" s="4"/>
      <c r="FX8" s="4">
        <v>1.0</v>
      </c>
      <c r="GD8" s="4">
        <v>6.0</v>
      </c>
      <c r="GG8" s="22">
        <f t="shared" ref="GG8:GG9" si="7">count(Q8:GF8)</f>
        <v>37</v>
      </c>
      <c r="GH8" s="22">
        <f t="shared" ref="GH8:GH9" si="8">countif(Q8:GF8,"&gt;=2")</f>
        <v>28</v>
      </c>
      <c r="GI8" s="22">
        <f t="shared" ref="GI8:GI9" si="9">countif(Q8:GF8,"&gt;=5")</f>
        <v>14</v>
      </c>
      <c r="GJ8" s="22">
        <f t="shared" ref="GJ8:GJ9" si="10">sum(Q8:GF8)</f>
        <v>605</v>
      </c>
      <c r="GK8" s="22">
        <f t="shared" ref="GK8:GK9" si="11">25*O8</f>
        <v>650</v>
      </c>
      <c r="GL8" s="22">
        <f t="shared" ref="GL8:GL9" si="12">GK8-GJ8</f>
        <v>45</v>
      </c>
    </row>
    <row r="9">
      <c r="A9" s="27">
        <v>43311.0</v>
      </c>
      <c r="B9" s="28" t="s">
        <v>196</v>
      </c>
      <c r="C9" s="28">
        <v>21.2882</v>
      </c>
      <c r="D9" s="28">
        <v>-157.667999</v>
      </c>
      <c r="E9" s="28" t="s">
        <v>208</v>
      </c>
      <c r="F9" s="29">
        <v>0.3902777777777778</v>
      </c>
      <c r="G9" s="29">
        <v>0.4479166666666667</v>
      </c>
      <c r="H9" s="28">
        <v>6.0</v>
      </c>
      <c r="I9" s="28">
        <v>17.0</v>
      </c>
      <c r="J9" s="28" t="s">
        <v>201</v>
      </c>
      <c r="K9" s="28">
        <v>6.0</v>
      </c>
      <c r="L9" s="28">
        <v>26.0</v>
      </c>
      <c r="M9" s="28" t="s">
        <v>209</v>
      </c>
      <c r="N9" s="28"/>
      <c r="O9" s="28"/>
      <c r="P9" s="30"/>
      <c r="Q9" s="28">
        <v>2.0</v>
      </c>
      <c r="R9" s="28">
        <v>2.0</v>
      </c>
      <c r="S9" s="30"/>
      <c r="T9" s="30"/>
      <c r="U9" s="30"/>
      <c r="V9" s="30"/>
      <c r="W9" s="30"/>
      <c r="X9" s="30"/>
      <c r="Y9" s="30"/>
      <c r="Z9" s="30"/>
      <c r="AA9" s="30"/>
      <c r="AB9" s="28">
        <v>1.0</v>
      </c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28">
        <v>1.0</v>
      </c>
      <c r="BH9" s="30"/>
      <c r="BI9" s="30"/>
      <c r="BJ9" s="28">
        <v>2.0</v>
      </c>
      <c r="BK9" s="28">
        <v>1.0</v>
      </c>
      <c r="BL9" s="28">
        <v>12.0</v>
      </c>
      <c r="BM9" s="28">
        <v>3.0</v>
      </c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28">
        <v>3.0</v>
      </c>
      <c r="CA9" s="30"/>
      <c r="CB9" s="28">
        <v>2.0</v>
      </c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28"/>
      <c r="DF9" s="28">
        <v>1.0</v>
      </c>
      <c r="DG9" s="30"/>
      <c r="DH9" s="30"/>
      <c r="DI9" s="30"/>
      <c r="DJ9" s="30"/>
      <c r="DK9" s="30"/>
      <c r="DL9" s="28">
        <v>2.0</v>
      </c>
      <c r="DM9" s="30"/>
      <c r="DN9" s="28">
        <v>5.0</v>
      </c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28">
        <v>2.0</v>
      </c>
      <c r="DZ9" s="30"/>
      <c r="EA9" s="30"/>
      <c r="EB9" s="30"/>
      <c r="EC9" s="30"/>
      <c r="ED9" s="30"/>
      <c r="EE9" s="30"/>
      <c r="EF9" s="30"/>
      <c r="EG9" s="30"/>
      <c r="EH9" s="30"/>
      <c r="EI9" s="28">
        <v>1.0</v>
      </c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28"/>
      <c r="EY9" s="28">
        <v>4.0</v>
      </c>
      <c r="EZ9" s="30"/>
      <c r="FA9" s="28">
        <v>1.0</v>
      </c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28">
        <v>6.0</v>
      </c>
      <c r="FM9" s="28"/>
      <c r="FN9" s="28"/>
      <c r="FO9" s="28">
        <v>1.0</v>
      </c>
      <c r="FP9" s="30"/>
      <c r="FQ9" s="28">
        <v>11.0</v>
      </c>
      <c r="FR9" s="28">
        <v>217.0</v>
      </c>
      <c r="FS9" s="30"/>
      <c r="FT9" s="30"/>
      <c r="FU9" s="28"/>
      <c r="FV9" s="28">
        <v>1.0</v>
      </c>
      <c r="FW9" s="30"/>
      <c r="FX9" s="30"/>
      <c r="FY9" s="30"/>
      <c r="FZ9" s="30"/>
      <c r="GA9" s="30"/>
      <c r="GB9" s="30"/>
      <c r="GC9" s="30"/>
      <c r="GD9" s="30"/>
      <c r="GE9" s="30"/>
      <c r="GF9" s="28">
        <v>7.0</v>
      </c>
      <c r="GG9" s="30">
        <f t="shared" si="7"/>
        <v>23</v>
      </c>
      <c r="GH9" s="30">
        <f t="shared" si="8"/>
        <v>15</v>
      </c>
      <c r="GI9" s="30">
        <f t="shared" si="9"/>
        <v>6</v>
      </c>
      <c r="GJ9" s="30">
        <f t="shared" si="10"/>
        <v>288</v>
      </c>
      <c r="GK9" s="30">
        <f t="shared" si="11"/>
        <v>0</v>
      </c>
      <c r="GL9" s="30">
        <f t="shared" si="12"/>
        <v>-288</v>
      </c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</row>
    <row r="10">
      <c r="A10" s="23">
        <v>43564.0</v>
      </c>
      <c r="B10" s="24" t="s">
        <v>196</v>
      </c>
      <c r="C10" s="24">
        <v>21.2882</v>
      </c>
      <c r="D10" s="24">
        <v>-157.667999</v>
      </c>
      <c r="E10" s="24" t="s">
        <v>210</v>
      </c>
      <c r="F10" s="25">
        <v>0.3888888888888889</v>
      </c>
      <c r="G10" s="25">
        <v>0.4583333333333333</v>
      </c>
      <c r="H10" s="24">
        <v>6.0</v>
      </c>
      <c r="I10" s="24">
        <v>12.0</v>
      </c>
      <c r="J10" s="24" t="s">
        <v>201</v>
      </c>
      <c r="K10" s="24">
        <v>6.0</v>
      </c>
      <c r="L10" s="24">
        <v>20.0</v>
      </c>
      <c r="M10" s="24" t="s">
        <v>211</v>
      </c>
      <c r="N10" s="24"/>
      <c r="O10" s="24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4">
        <v>8.0</v>
      </c>
      <c r="AB10" s="24"/>
      <c r="AC10" s="24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4">
        <v>1.0</v>
      </c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4">
        <v>1.0</v>
      </c>
      <c r="BK10" s="26"/>
      <c r="BL10" s="24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4"/>
      <c r="DH10" s="26"/>
      <c r="DI10" s="26"/>
      <c r="DJ10" s="26"/>
      <c r="DK10" s="26"/>
      <c r="DL10" s="26"/>
      <c r="DM10" s="26"/>
      <c r="DN10" s="26"/>
      <c r="DO10" s="24"/>
      <c r="DP10" s="26"/>
      <c r="DQ10" s="24"/>
      <c r="DR10" s="24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4">
        <v>14.0</v>
      </c>
      <c r="EJ10" s="26"/>
      <c r="EK10" s="24"/>
      <c r="EL10" s="24"/>
      <c r="EM10" s="24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4">
        <v>5.0</v>
      </c>
      <c r="FB10" s="24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4">
        <v>2.0</v>
      </c>
      <c r="FR10" s="24">
        <v>142.0</v>
      </c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</row>
    <row r="11">
      <c r="A11" s="23">
        <v>43566.0</v>
      </c>
      <c r="B11" s="24" t="s">
        <v>196</v>
      </c>
      <c r="C11" s="24">
        <v>21.2882</v>
      </c>
      <c r="D11" s="24">
        <v>-157.667999</v>
      </c>
      <c r="E11" s="24" t="s">
        <v>210</v>
      </c>
      <c r="F11" s="25">
        <v>0.3888888888888889</v>
      </c>
      <c r="G11" s="25">
        <v>0.4618055555555556</v>
      </c>
      <c r="H11" s="24">
        <v>5.0</v>
      </c>
      <c r="I11" s="24">
        <v>10.0</v>
      </c>
      <c r="J11" s="24" t="s">
        <v>201</v>
      </c>
      <c r="K11" s="24">
        <v>6.0</v>
      </c>
      <c r="L11" s="24">
        <v>11.0</v>
      </c>
      <c r="M11" s="24" t="s">
        <v>212</v>
      </c>
      <c r="N11" s="24"/>
      <c r="O11" s="24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4"/>
      <c r="AC11" s="24"/>
      <c r="AD11" s="26"/>
      <c r="AE11" s="26"/>
      <c r="AF11" s="24">
        <v>1.0</v>
      </c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4">
        <v>1.0</v>
      </c>
      <c r="BE11" s="26"/>
      <c r="BF11" s="26"/>
      <c r="BG11" s="26"/>
      <c r="BH11" s="26"/>
      <c r="BI11" s="26"/>
      <c r="BJ11" s="26"/>
      <c r="BK11" s="26"/>
      <c r="BL11" s="24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4"/>
      <c r="DH11" s="26"/>
      <c r="DI11" s="26"/>
      <c r="DJ11" s="26"/>
      <c r="DK11" s="26"/>
      <c r="DL11" s="26"/>
      <c r="DM11" s="26"/>
      <c r="DN11" s="26"/>
      <c r="DO11" s="24"/>
      <c r="DP11" s="26"/>
      <c r="DQ11" s="24"/>
      <c r="DR11" s="24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4">
        <v>1.0</v>
      </c>
      <c r="EI11" s="24">
        <v>2.0</v>
      </c>
      <c r="EJ11" s="26"/>
      <c r="EK11" s="24"/>
      <c r="EL11" s="24"/>
      <c r="EM11" s="24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4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4">
        <v>1.0</v>
      </c>
      <c r="FR11" s="24">
        <v>34.0</v>
      </c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4">
        <v>12.0</v>
      </c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</row>
    <row r="12">
      <c r="A12" s="20">
        <v>42837.0</v>
      </c>
      <c r="B12" s="4" t="s">
        <v>213</v>
      </c>
      <c r="C12" s="4">
        <v>21.2843</v>
      </c>
      <c r="D12" s="4">
        <v>-157.675293</v>
      </c>
      <c r="E12" s="4" t="s">
        <v>214</v>
      </c>
      <c r="F12" s="21">
        <v>0.39791666666666664</v>
      </c>
      <c r="G12" s="21">
        <v>0.4409722222222222</v>
      </c>
      <c r="H12" s="4">
        <v>7.0</v>
      </c>
      <c r="I12" s="4">
        <v>25.0</v>
      </c>
      <c r="J12" s="4" t="s">
        <v>201</v>
      </c>
      <c r="K12" s="4">
        <v>4.0</v>
      </c>
      <c r="L12" s="4">
        <v>23.0</v>
      </c>
      <c r="M12" s="4" t="s">
        <v>215</v>
      </c>
      <c r="O12" s="4">
        <v>23.0</v>
      </c>
      <c r="AA12" s="4">
        <v>5.0</v>
      </c>
      <c r="AB12" s="4">
        <v>1.0</v>
      </c>
      <c r="AC12" s="4">
        <v>6.0</v>
      </c>
      <c r="AF12" s="4">
        <v>11.0</v>
      </c>
      <c r="BJ12" s="4">
        <v>2.0</v>
      </c>
      <c r="BL12" s="4">
        <v>22.0</v>
      </c>
      <c r="BY12" s="4">
        <v>2.0</v>
      </c>
      <c r="CF12" s="4"/>
      <c r="CG12" s="4">
        <v>24.0</v>
      </c>
      <c r="EI12" s="4">
        <v>18.0</v>
      </c>
      <c r="EJ12" s="4">
        <v>1.0</v>
      </c>
      <c r="FA12" s="4">
        <v>4.0</v>
      </c>
      <c r="FE12" s="4">
        <v>16.0</v>
      </c>
      <c r="FQ12" s="4">
        <v>3.0</v>
      </c>
      <c r="FR12" s="4">
        <v>157.0</v>
      </c>
      <c r="FT12" s="4">
        <v>3.0</v>
      </c>
      <c r="GG12" s="22">
        <f>count(Q12:GF12)</f>
        <v>15</v>
      </c>
      <c r="GH12" s="22">
        <f>countif(Q12:GF12,"&gt;=2")</f>
        <v>13</v>
      </c>
      <c r="GI12" s="22">
        <f>countif(Q12:GF12,"&gt;=5")</f>
        <v>8</v>
      </c>
      <c r="GJ12" s="22">
        <f>sum(Q12:GF12)</f>
        <v>275</v>
      </c>
      <c r="GK12" s="22">
        <f>25*O12</f>
        <v>575</v>
      </c>
      <c r="GL12" s="22">
        <f>GK12-GJ12</f>
        <v>300</v>
      </c>
    </row>
    <row r="13">
      <c r="A13" s="23">
        <v>43593.0</v>
      </c>
      <c r="B13" s="24" t="s">
        <v>213</v>
      </c>
      <c r="C13" s="24">
        <v>21.2843</v>
      </c>
      <c r="D13" s="24">
        <v>-157.675293</v>
      </c>
      <c r="E13" s="24" t="s">
        <v>214</v>
      </c>
      <c r="F13" s="25">
        <v>0.38472222222222224</v>
      </c>
      <c r="G13" s="25">
        <v>0.42986111111111114</v>
      </c>
      <c r="H13" s="24">
        <v>7.0</v>
      </c>
      <c r="I13" s="24">
        <v>28.0</v>
      </c>
      <c r="J13" s="24" t="s">
        <v>206</v>
      </c>
      <c r="K13" s="24">
        <v>4.0</v>
      </c>
      <c r="L13" s="24">
        <v>5.0</v>
      </c>
      <c r="M13" s="24" t="s">
        <v>216</v>
      </c>
      <c r="N13" s="26"/>
      <c r="O13" s="24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4"/>
      <c r="AC13" s="24"/>
      <c r="AD13" s="26"/>
      <c r="AE13" s="26"/>
      <c r="AF13" s="26"/>
      <c r="AG13" s="24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4"/>
      <c r="BA13" s="24">
        <v>2.0</v>
      </c>
      <c r="BB13" s="26"/>
      <c r="BC13" s="26"/>
      <c r="BD13" s="26"/>
      <c r="BE13" s="26"/>
      <c r="BF13" s="24"/>
      <c r="BG13" s="24"/>
      <c r="BH13" s="26"/>
      <c r="BI13" s="26"/>
      <c r="BJ13" s="26"/>
      <c r="BK13" s="24"/>
      <c r="BL13" s="24">
        <v>2.0</v>
      </c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4">
        <v>1.0</v>
      </c>
      <c r="BZ13" s="26"/>
      <c r="CA13" s="26"/>
      <c r="CB13" s="24"/>
      <c r="CC13" s="24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4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4"/>
      <c r="EE13" s="24"/>
      <c r="EF13" s="24"/>
      <c r="EG13" s="24"/>
      <c r="EH13" s="24"/>
      <c r="EI13" s="24">
        <v>2.0</v>
      </c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4"/>
      <c r="FA13" s="24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4">
        <v>3.0</v>
      </c>
      <c r="FR13" s="24">
        <v>3.0</v>
      </c>
      <c r="FS13" s="26"/>
      <c r="FT13" s="26"/>
      <c r="FU13" s="24"/>
      <c r="FV13" s="24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</row>
  </sheetData>
  <drawing r:id="rId1"/>
</worksheet>
</file>